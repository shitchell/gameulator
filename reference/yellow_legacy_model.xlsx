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egacy vs Vanilla" sheetId="2" state="visible" r:id="rId4"/>
    <sheet name="Type Chart" sheetId="3" state="visible" r:id="rId5"/>
    <sheet name="Boss Gauntlet" sheetId="4" state="visible" r:id="rId6"/>
    <sheet name="TM Economy" sheetId="5" state="visible" r:id="rId7"/>
    <sheet name="Solo Carries" sheetId="6" state="visible" r:id="rId8"/>
    <sheet name="Learnset Matrix" sheetId="7" state="visible" r:id="rId9"/>
    <sheet name="Dual-Type Defense" sheetId="8" state="visible" r:id="rId10"/>
    <sheet name="Your Roster" sheetId="9" state="visible" r:id="rId11"/>
  </sheets>
  <definedNames>
    <definedName function="false" hidden="true" localSheetId="3" name="_xlnm._FilterDatabase" vbProcedure="false">'Boss Gauntlet'!$A$4:$U$59</definedName>
    <definedName function="false" hidden="true" localSheetId="6" name="_xlnm._FilterDatabase" vbProcedure="false">'Learnset Matrix'!$A$4:$T$155</definedName>
    <definedName function="false" hidden="true" localSheetId="5" name="_xlnm._FilterDatabase" vbProcedure="false">'Solo Carries'!$A$4:$K$74</definedName>
    <definedName function="false" hidden="true" localSheetId="4" name="_xlnm._FilterDatabase" vbProcedure="false">'TM Economy'!$A$4:$G$40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<sst xmlns="http://schemas.openxmlformats.org/spreadsheetml/2006/main" count="1578" uniqueCount="591">
  <si>
    <t xml:space="preserve">POKEMON YELLOW LEGACY — Team Model</t>
  </si>
  <si>
    <t xml:space="preserve">Rebuilt from scratch against the Legacy source. Everything in the two earlier workbooks was VANILLA Yellow and does not apply to this game.</t>
  </si>
  <si>
    <t xml:space="preserve">SOURCE</t>
  </si>
  <si>
    <t xml:space="preserve">Data</t>
  </si>
  <si>
    <t xml:space="preserve">github.com/cRz-Shadows/Pokemon_Yellow_Legacy — the hack's own disassembly. Type chart, base stats, learnsets, TM/HM compatibility, move power, TM shop inventories and every boss roster are parsed from it directly.</t>
  </si>
  <si>
    <t xml:space="preserve">Version note</t>
  </si>
  <si>
    <t xml:space="preserve">Balance shifted between Legacy releases. If your ROM is an old pre-patched build, some numbers here may be off. Check your version against the repo.</t>
  </si>
  <si>
    <t xml:space="preserve">WHY THE OLD WORKBOOKS ARE VOID</t>
  </si>
  <si>
    <t xml:space="preserve">Type chart</t>
  </si>
  <si>
    <t xml:space="preserve">Legacy CHANGED it. Ghost is now SPECIAL and hits Psychic for 2x (the vanilla bug is fixed). Bug is no longer super-effective vs Poison.</t>
  </si>
  <si>
    <t xml:space="preserve">Trade evolutions</t>
  </si>
  <si>
    <t xml:space="preserve">GONE. Kadabra-&gt;Alakazam L42, Haunter-&gt;Gengar L42, Graveler-&gt;Golem L38, Machoke-&gt;Machamp L38. No link cable needed.</t>
  </si>
  <si>
    <t xml:space="preserve">TM scarcity</t>
  </si>
  <si>
    <t xml:space="preserve">Mostly GONE. The Indigo Plateau lobby sells Blizzard, Thunderbolt, Earthquake, Body Slam, Psychic, Ice Beam, Rock Slide, Fire Blast and more. Scarcity is a MID-GAME constraint only.</t>
  </si>
  <si>
    <t xml:space="preserve">Move relearner</t>
  </si>
  <si>
    <t xml:space="preserve">Legacy adds one. Missed level-up moves are recoverable.</t>
  </si>
  <si>
    <t xml:space="preserve">Stats &amp; moves</t>
  </si>
  <si>
    <t xml:space="preserve">Rebalanced. Pikachu +65 BST. Onix hugely buffed. Night Shade is now a real 60 BP Special Ghost attack. Solarbeam is 180 BP. Cut is a 55 BP BUG move.</t>
  </si>
  <si>
    <t xml:space="preserve">Boss rosters</t>
  </si>
  <si>
    <t xml:space="preserve">Completely different and harder. 8 gyms + Elite Four + Champion = 55 Pokemon, all re-parsed.</t>
  </si>
  <si>
    <t xml:space="preserve">METHOD</t>
  </si>
  <si>
    <t xml:space="preserve">Damage sim</t>
  </si>
  <si>
    <t xml:space="preserve">Gen 1 formula, Legacy's numbers: ((((2*L/5+2) * Power * A/D)/50)+2) * STAB * TypeEffectiveness. Category is set by TYPE (no phys/spec split in Legacy either) -- but note GHOST moved into the Special group.</t>
  </si>
  <si>
    <t xml:space="preserve">Level-matched</t>
  </si>
  <si>
    <t xml:space="preserve">Your Pokemon fights each trainer at that trainer's ace level. No free wins from overlevelling.</t>
  </si>
  <si>
    <t xml:space="preserve">2HKO bar</t>
  </si>
  <si>
    <t xml:space="preserve">'Covers' a boss = can 2HKO it. 'Fragility' = how many of the 55 bosses can 2HKO YOU back.</t>
  </si>
  <si>
    <t xml:space="preserve">Assumptions</t>
  </si>
  <si>
    <t xml:space="preserve">DV 8, no stat-XP. Damage roll averaged at 92.5%, multiplied by accuracy. Charge moves x0.55, Hyper Beam x0.62, recoil x0.9. Selfdestruct/Explosion/OHKO moves excluded.</t>
  </si>
  <si>
    <t xml:space="preserve">Champion</t>
  </si>
  <si>
    <t xml:space="preserve">Blue has 3 Eevee-branch variants. The Vaporeon branch is modelled (Machamp/Pidgeot/Ninetales/Victreebel/Alakazam/Vaporeon). The other two swap a few slots; conclusions do not change.</t>
  </si>
  <si>
    <t xml:space="preserve">Not modelled</t>
  </si>
  <si>
    <t xml:space="preserve">Status moves, turn order, crits, Hard Mode level caps. Speed enters only via Fragility.</t>
  </si>
  <si>
    <t xml:space="preserve">SHEETS</t>
  </si>
  <si>
    <t xml:space="preserve">Legacy vs Vanilla</t>
  </si>
  <si>
    <t xml:space="preserve">Exactly what the hack changed.</t>
  </si>
  <si>
    <t xml:space="preserve">Type Chart</t>
  </si>
  <si>
    <t xml:space="preserve">Legacy's own matrix.</t>
  </si>
  <si>
    <t xml:space="preserve">Boss Gauntlet</t>
  </si>
  <si>
    <t xml:space="preserve">All 55, with every type's multiplier.</t>
  </si>
  <si>
    <t xml:space="preserve">Solo Carries</t>
  </si>
  <si>
    <t xml:space="preserve">Every Pokemon, its best legal 4 moves, coverage and fragility.</t>
  </si>
  <si>
    <t xml:space="preserve">TM Economy</t>
  </si>
  <si>
    <t xml:space="preserve">Buyable vs one-off, and WHEN each becomes unlimited. Read before spending a TM.</t>
  </si>
  <si>
    <t xml:space="preserve">Learnset Matrix</t>
  </si>
  <si>
    <t xml:space="preserve">151 x 15 -- who can attack with what.</t>
  </si>
  <si>
    <t xml:space="preserve">Dual-Type Defense</t>
  </si>
  <si>
    <t xml:space="preserve">Recomputed on the NEW chart.</t>
  </si>
  <si>
    <t xml:space="preserve">Your Roster</t>
  </si>
  <si>
    <t xml:space="preserve">Your 11 Pokemon, scored.</t>
  </si>
  <si>
    <t xml:space="preserve">Recommended Team</t>
  </si>
  <si>
    <t xml:space="preserve">The answer.</t>
  </si>
  <si>
    <t xml:space="preserve">What Yellow Legacy Actually Changed</t>
  </si>
  <si>
    <t xml:space="preserve">Every row verified by diffing the two disassemblies.</t>
  </si>
  <si>
    <t xml:space="preserve">Area</t>
  </si>
  <si>
    <t xml:space="preserve">Vanilla Yellow</t>
  </si>
  <si>
    <t xml:space="preserve">Yellow Legacy</t>
  </si>
  <si>
    <t xml:space="preserve">Why it matters</t>
  </si>
  <si>
    <t xml:space="preserve">Ghost -&gt; Psychic</t>
  </si>
  <si>
    <t xml:space="preserve">0x (shipped bug)</t>
  </si>
  <si>
    <t xml:space="preserve">2x -- FIXED</t>
  </si>
  <si>
    <t xml:space="preserve">Psychic finally has a working counter. Gengar becomes a genuine threat.</t>
  </si>
  <si>
    <t xml:space="preserve">Ghost category</t>
  </si>
  <si>
    <t xml:space="preserve">Physical (ran off Attack)</t>
  </si>
  <si>
    <t xml:space="preserve">SPECIAL</t>
  </si>
  <si>
    <t xml:space="preserve">Ghost mons have huge Special and terrible Attack. This alone makes Ghost usable.</t>
  </si>
  <si>
    <t xml:space="preserve">Night Shade</t>
  </si>
  <si>
    <t xml:space="preserve">Fixed damage = user's level</t>
  </si>
  <si>
    <t xml:space="preserve">60 BP Special Ghost attack</t>
  </si>
  <si>
    <t xml:space="preserve">Ghost now has a real attacking move. In vanilla it had none.</t>
  </si>
  <si>
    <t xml:space="preserve">Bug -&gt; Poison</t>
  </si>
  <si>
    <t xml:space="preserve">2x</t>
  </si>
  <si>
    <t xml:space="preserve">1x -- removed</t>
  </si>
  <si>
    <t xml:space="preserve">Bug loses its hidden edge. Beedrill/Venomoth get worse.</t>
  </si>
  <si>
    <t xml:space="preserve">Required a link cable</t>
  </si>
  <si>
    <t xml:space="preserve">Level-up: Alakazam/Gengar L42, Golem/Machamp L38</t>
  </si>
  <si>
    <t xml:space="preserve">You can get all four solo. No emulator trading needed.</t>
  </si>
  <si>
    <t xml:space="preserve">TM shop</t>
  </si>
  <si>
    <t xml:space="preserve">Celadon only, junk TMs</t>
  </si>
  <si>
    <t xml:space="preserve">Indigo Plateau sells Blizzard, Thunderbolt, Earthquake, Body Slam, Psychic, Ice Beam, Rock Slide, Fire Blast...</t>
  </si>
  <si>
    <t xml:space="preserve">TM scarcity basically disappears by endgame. Everyone can run the good moves.</t>
  </si>
  <si>
    <t xml:space="preserve">Does not exist</t>
  </si>
  <si>
    <t xml:space="preserve">Added</t>
  </si>
  <si>
    <t xml:space="preserve">Missed level-up moves are recoverable. Evolution timing is far more forgiving.</t>
  </si>
  <si>
    <t xml:space="preserve">Pikachu</t>
  </si>
  <si>
    <t xml:space="preserve">35/55/30/90/50</t>
  </si>
  <si>
    <t xml:space="preserve">60/55/50/90/70 (+65 BST), gains Thunderpunch L20, Headbutt L24</t>
  </si>
  <si>
    <t xml:space="preserve">Pikachu is genuinely usable now, not a passenger.</t>
  </si>
  <si>
    <t xml:space="preserve">Onix</t>
  </si>
  <si>
    <t xml:space="preserve">35/45/160/70/30</t>
  </si>
  <si>
    <t xml:space="preserve">75/80/160/85/65</t>
  </si>
  <si>
    <t xml:space="preserve">From a joke to a real wall.</t>
  </si>
  <si>
    <t xml:space="preserve">Solarbeam</t>
  </si>
  <si>
    <t xml:space="preserve">120 BP</t>
  </si>
  <si>
    <t xml:space="preserve">180 BP</t>
  </si>
  <si>
    <t xml:space="preserve">Grass stops being a dead type.</t>
  </si>
  <si>
    <t xml:space="preserve">Cut</t>
  </si>
  <si>
    <t xml:space="preserve">50 BP Normal</t>
  </si>
  <si>
    <t xml:space="preserve">55 BP BUG</t>
  </si>
  <si>
    <t xml:space="preserve">The HM is no longer a totally dead slot.</t>
  </si>
  <si>
    <t xml:space="preserve">Availability</t>
  </si>
  <si>
    <t xml:space="preserve">~75 species wild</t>
  </si>
  <si>
    <t xml:space="preserve">All 151 obtainable in one playthrough</t>
  </si>
  <si>
    <t xml:space="preserve">Explains your Beedrill.</t>
  </si>
  <si>
    <t xml:space="preserve">Boss teams</t>
  </si>
  <si>
    <t xml:space="preserve">Vanilla rosters</t>
  </si>
  <si>
    <t xml:space="preserve">Rebuilt, higher levels, anti-sweep movesets</t>
  </si>
  <si>
    <t xml:space="preserve">The old 49-boss gauntlet is meaningless here. 55 bosses now.</t>
  </si>
  <si>
    <t xml:space="preserve">Yellow Legacy Type Chart</t>
  </si>
  <si>
    <t xml:space="preserve">Rows = attacker. RED = changed from vanilla Gen 1.</t>
  </si>
  <si>
    <t xml:space="preserve">ATK \ DEF</t>
  </si>
  <si>
    <t xml:space="preserve">Normal</t>
  </si>
  <si>
    <t xml:space="preserve">Fire</t>
  </si>
  <si>
    <t xml:space="preserve">Water</t>
  </si>
  <si>
    <t xml:space="preserve">Electric</t>
  </si>
  <si>
    <t xml:space="preserve">Grass</t>
  </si>
  <si>
    <t xml:space="preserve">Ice</t>
  </si>
  <si>
    <t xml:space="preserve">Fighting</t>
  </si>
  <si>
    <t xml:space="preserve">Poison</t>
  </si>
  <si>
    <t xml:space="preserve">Ground</t>
  </si>
  <si>
    <t xml:space="preserve">Flying</t>
  </si>
  <si>
    <t xml:space="preserve">Psychic</t>
  </si>
  <si>
    <t xml:space="preserve">Bug</t>
  </si>
  <si>
    <t xml:space="preserve">Rock</t>
  </si>
  <si>
    <t xml:space="preserve">Ghost</t>
  </si>
  <si>
    <t xml:space="preserve">Dragon</t>
  </si>
  <si>
    <t xml:space="preserve">Only two cells differ from vanilla Gen 1: Ghost-&gt;Psychic (0x -&gt; 2x) and Bug-&gt;Poison (2x -&gt; 1x). Both are marked red.</t>
  </si>
  <si>
    <t xml:space="preserve">The Legacy Gauntlet — 55 Boss Pokemon</t>
  </si>
  <si>
    <t xml:space="preserve">Parsed from Legacy's own trainer party data. Multipliers are live formulas.</t>
  </si>
  <si>
    <t xml:space="preserve">Trainer</t>
  </si>
  <si>
    <t xml:space="preserve">Stage</t>
  </si>
  <si>
    <t xml:space="preserve">Pokemon</t>
  </si>
  <si>
    <t xml:space="preserve">Lv</t>
  </si>
  <si>
    <t xml:space="preserve">Type 1</t>
  </si>
  <si>
    <t xml:space="preserve">Type 2</t>
  </si>
  <si>
    <t xml:space="preserve">Brock</t>
  </si>
  <si>
    <t xml:space="preserve">Gym 1</t>
  </si>
  <si>
    <t xml:space="preserve">Geodude</t>
  </si>
  <si>
    <t xml:space="preserve">Misty</t>
  </si>
  <si>
    <t xml:space="preserve">Gym 2</t>
  </si>
  <si>
    <t xml:space="preserve">Psyduck</t>
  </si>
  <si>
    <t xml:space="preserve">Goldeen</t>
  </si>
  <si>
    <t xml:space="preserve">Starmie</t>
  </si>
  <si>
    <t xml:space="preserve">Lt. Surge</t>
  </si>
  <si>
    <t xml:space="preserve">Gym 3</t>
  </si>
  <si>
    <t xml:space="preserve">Raichu</t>
  </si>
  <si>
    <t xml:space="preserve">Erika</t>
  </si>
  <si>
    <t xml:space="preserve">Gym 4</t>
  </si>
  <si>
    <t xml:space="preserve">Tangela</t>
  </si>
  <si>
    <t xml:space="preserve">Victreebel</t>
  </si>
  <si>
    <t xml:space="preserve">Ivysaur</t>
  </si>
  <si>
    <t xml:space="preserve">Vileplume</t>
  </si>
  <si>
    <t xml:space="preserve">Koga</t>
  </si>
  <si>
    <t xml:space="preserve">Gym 5</t>
  </si>
  <si>
    <t xml:space="preserve">Golbat</t>
  </si>
  <si>
    <t xml:space="preserve">Muk</t>
  </si>
  <si>
    <t xml:space="preserve">Tentacruel</t>
  </si>
  <si>
    <t xml:space="preserve">Venomoth</t>
  </si>
  <si>
    <t xml:space="preserve">Sabrina</t>
  </si>
  <si>
    <t xml:space="preserve">Gym 6</t>
  </si>
  <si>
    <t xml:space="preserve">Abra</t>
  </si>
  <si>
    <t xml:space="preserve">Hypno</t>
  </si>
  <si>
    <t xml:space="preserve">Mrime</t>
  </si>
  <si>
    <t xml:space="preserve">Kadabra</t>
  </si>
  <si>
    <t xml:space="preserve">Alakazam</t>
  </si>
  <si>
    <t xml:space="preserve">Blaine</t>
  </si>
  <si>
    <t xml:space="preserve">Gym 7</t>
  </si>
  <si>
    <t xml:space="preserve">Rapidash</t>
  </si>
  <si>
    <t xml:space="preserve">Charizard</t>
  </si>
  <si>
    <t xml:space="preserve">Ninetales</t>
  </si>
  <si>
    <t xml:space="preserve">Arcanine</t>
  </si>
  <si>
    <t xml:space="preserve">Magmar</t>
  </si>
  <si>
    <t xml:space="preserve">Giovanni</t>
  </si>
  <si>
    <t xml:space="preserve">Gym 8</t>
  </si>
  <si>
    <t xml:space="preserve">Dugtrio</t>
  </si>
  <si>
    <t xml:space="preserve">Nidoqueen</t>
  </si>
  <si>
    <t xml:space="preserve">Persian</t>
  </si>
  <si>
    <t xml:space="preserve">Nidoking</t>
  </si>
  <si>
    <t xml:space="preserve">Rhydon</t>
  </si>
  <si>
    <t xml:space="preserve">Lorelei</t>
  </si>
  <si>
    <t xml:space="preserve">Elite Four</t>
  </si>
  <si>
    <t xml:space="preserve">Slowbro</t>
  </si>
  <si>
    <t xml:space="preserve">Cloyster</t>
  </si>
  <si>
    <t xml:space="preserve">Dewgong</t>
  </si>
  <si>
    <t xml:space="preserve">Jynx</t>
  </si>
  <si>
    <t xml:space="preserve">Lapras</t>
  </si>
  <si>
    <t xml:space="preserve">Bruno</t>
  </si>
  <si>
    <t xml:space="preserve">Hitmonchan</t>
  </si>
  <si>
    <t xml:space="preserve">Poliwrath</t>
  </si>
  <si>
    <t xml:space="preserve">Hitmonlee</t>
  </si>
  <si>
    <t xml:space="preserve">Machamp</t>
  </si>
  <si>
    <t xml:space="preserve">Agatha</t>
  </si>
  <si>
    <t xml:space="preserve">Gengar</t>
  </si>
  <si>
    <t xml:space="preserve">Marowak</t>
  </si>
  <si>
    <t xml:space="preserve">Arbok</t>
  </si>
  <si>
    <t xml:space="preserve">Lance</t>
  </si>
  <si>
    <t xml:space="preserve">Dragonite</t>
  </si>
  <si>
    <t xml:space="preserve">Gyarados</t>
  </si>
  <si>
    <t xml:space="preserve">Aerodactyl</t>
  </si>
  <si>
    <t xml:space="preserve">Blue (Champion)</t>
  </si>
  <si>
    <t xml:space="preserve">Pidgeot</t>
  </si>
  <si>
    <t xml:space="preserve">Vaporeon</t>
  </si>
  <si>
    <t xml:space="preserve">TM Economy — Read Before You Spend One</t>
  </si>
  <si>
    <t xml:space="preserve">In Legacy most good TMs become BUYABLE at Indigo Plateau. Mid-game they are still one-shot. TMs are consumed on use and Gen 1 has no way to delete a move.</t>
  </si>
  <si>
    <t xml:space="preserve">Move</t>
  </si>
  <si>
    <t xml:space="preserve">Type</t>
  </si>
  <si>
    <t xml:space="preserve">Power</t>
  </si>
  <si>
    <t xml:space="preserve">Category</t>
  </si>
  <si>
    <t xml:space="preserve">Where</t>
  </si>
  <si>
    <t xml:space="preserve">Safe to spend now?</t>
  </si>
  <si>
    <t xml:space="preserve">Selfdestruct</t>
  </si>
  <si>
    <t xml:space="preserve">Physical</t>
  </si>
  <si>
    <t xml:space="preserve">ONE COPY ONLY</t>
  </si>
  <si>
    <t xml:space="preserve">single item ball / gift</t>
  </si>
  <si>
    <t xml:space="preserve">NO - spend with care</t>
  </si>
  <si>
    <t xml:space="preserve">Explosion</t>
  </si>
  <si>
    <t xml:space="preserve">Scarce -&gt; then unlimited</t>
  </si>
  <si>
    <t xml:space="preserve">One copy now; SOLD at Indigo Plateau lobby</t>
  </si>
  <si>
    <t xml:space="preserve">HOLD until Indigo, then free</t>
  </si>
  <si>
    <t xml:space="preserve">Special</t>
  </si>
  <si>
    <t xml:space="preserve">Double Edge</t>
  </si>
  <si>
    <t xml:space="preserve">Blizzard</t>
  </si>
  <si>
    <t xml:space="preserve">Thunder</t>
  </si>
  <si>
    <t xml:space="preserve">Fire Blast</t>
  </si>
  <si>
    <t xml:space="preserve">Sky Attack</t>
  </si>
  <si>
    <t xml:space="preserve">Earthquake</t>
  </si>
  <si>
    <t xml:space="preserve">Dream Eater</t>
  </si>
  <si>
    <t xml:space="preserve">Flamethrower</t>
  </si>
  <si>
    <t xml:space="preserve">Ice Beam</t>
  </si>
  <si>
    <t xml:space="preserve">Thunderbolt</t>
  </si>
  <si>
    <t xml:space="preserve">Body Slam</t>
  </si>
  <si>
    <t xml:space="preserve">Submission</t>
  </si>
  <si>
    <t xml:space="preserve">Rock Slide</t>
  </si>
  <si>
    <t xml:space="preserve">Mega Drain</t>
  </si>
  <si>
    <t xml:space="preserve">Hyper Beam</t>
  </si>
  <si>
    <t xml:space="preserve">Unlimited</t>
  </si>
  <si>
    <t xml:space="preserve">Game Corner prizes (coins buyable)</t>
  </si>
  <si>
    <t xml:space="preserve">YES</t>
  </si>
  <si>
    <t xml:space="preserve">Mega Kick</t>
  </si>
  <si>
    <t xml:space="preserve">Celadon Dept Store (2F / 5F)</t>
  </si>
  <si>
    <t xml:space="preserve">Egg Bomb</t>
  </si>
  <si>
    <t xml:space="preserve">Skull Bash</t>
  </si>
  <si>
    <t xml:space="preserve">Take Down</t>
  </si>
  <si>
    <t xml:space="preserve">Surf</t>
  </si>
  <si>
    <t xml:space="preserve">HM - INFINITE</t>
  </si>
  <si>
    <t xml:space="preserve">reusable forever</t>
  </si>
  <si>
    <t xml:space="preserve">YES - free</t>
  </si>
  <si>
    <t xml:space="preserve">Tri Attack</t>
  </si>
  <si>
    <t xml:space="preserve">Cinnabar Mart</t>
  </si>
  <si>
    <t xml:space="preserve">Mega Punch</t>
  </si>
  <si>
    <t xml:space="preserve">Razor Wind</t>
  </si>
  <si>
    <t xml:space="preserve">Strength</t>
  </si>
  <si>
    <t xml:space="preserve">Fly</t>
  </si>
  <si>
    <t xml:space="preserve">Dig</t>
  </si>
  <si>
    <t xml:space="preserve">Bubblebeam</t>
  </si>
  <si>
    <t xml:space="preserve">Pay Day</t>
  </si>
  <si>
    <t xml:space="preserve">Rage</t>
  </si>
  <si>
    <t xml:space="preserve">Swift</t>
  </si>
  <si>
    <t xml:space="preserve">Water Gun</t>
  </si>
  <si>
    <t xml:space="preserve">RED = genuinely one-of-a-kind. ORANGE = one copy until you reach Indigo Plateau, where it goes on sale. GREEN = buy as many as you like.</t>
  </si>
  <si>
    <t xml:space="preserve">Every Pokemon vs. the Legacy Gauntlet</t>
  </si>
  <si>
    <t xml:space="preserve">Best 4 legally-learnable moves. E4 = of the 26 Elite Four + Champion mons it can 2HKO. Fragility = how many of 55 bosses 2HKO it back.</t>
  </si>
  <si>
    <t xml:space="preserve">Rank</t>
  </si>
  <si>
    <t xml:space="preserve">Best 4 Moves</t>
  </si>
  <si>
    <t xml:space="preserve">E4 2HKO</t>
  </si>
  <si>
    <t xml:space="preserve">E4 %</t>
  </si>
  <si>
    <t xml:space="preserve">All bosses</t>
  </si>
  <si>
    <t xml:space="preserve">Fragility</t>
  </si>
  <si>
    <t xml:space="preserve">Frag %</t>
  </si>
  <si>
    <t xml:space="preserve">VALUE</t>
  </si>
  <si>
    <t xml:space="preserve">Mewtwo</t>
  </si>
  <si>
    <t xml:space="preserve">Hyper Beam / Double Edge / Solarbeam / Psychic</t>
  </si>
  <si>
    <t xml:space="preserve">Hyper Beam / Double Edge / Earthquake / Rock Slide</t>
  </si>
  <si>
    <t xml:space="preserve">Mew</t>
  </si>
  <si>
    <t xml:space="preserve">Blizzard / Thunder / Earthquake / Psychic</t>
  </si>
  <si>
    <t xml:space="preserve">Snorlax</t>
  </si>
  <si>
    <t xml:space="preserve">Double Edge / Blizzard / Solarbeam / Earthquake</t>
  </si>
  <si>
    <t xml:space="preserve">Double Edge / Blizzard / Thunder / Wing Attack</t>
  </si>
  <si>
    <t xml:space="preserve">Exeggutor</t>
  </si>
  <si>
    <t xml:space="preserve">Hyper Beam / Double Edge / Egg Bomb / Psychic</t>
  </si>
  <si>
    <t xml:space="preserve">Tauros</t>
  </si>
  <si>
    <t xml:space="preserve">Double Edge / Blizzard / Thunder / Earthquake</t>
  </si>
  <si>
    <t xml:space="preserve">Golem</t>
  </si>
  <si>
    <t xml:space="preserve">Zapdos</t>
  </si>
  <si>
    <t xml:space="preserve">Hyper Beam / Double Edge / Thunder / Drill Peck</t>
  </si>
  <si>
    <t xml:space="preserve">Hydro Pump / Blizzard / Thunder / Psychic</t>
  </si>
  <si>
    <t xml:space="preserve">Double Edge / Hydro Pump / Blizzard / Thunder</t>
  </si>
  <si>
    <t xml:space="preserve">Double Edge / Mega Drain / Thunder / Psychic</t>
  </si>
  <si>
    <t xml:space="preserve">Dragon Rage / Earthquake / Sky Attack / Rock Slide</t>
  </si>
  <si>
    <t xml:space="preserve">Hyper Beam / Blizzard / Thunder / Earthquake</t>
  </si>
  <si>
    <t xml:space="preserve">Kabutops</t>
  </si>
  <si>
    <t xml:space="preserve">Double Edge / Hydro Pump / Cut / Rock Slide</t>
  </si>
  <si>
    <t xml:space="preserve">Wigglytuff</t>
  </si>
  <si>
    <t xml:space="preserve">Double Edge / Blizzard / Thunder / Psychic</t>
  </si>
  <si>
    <t xml:space="preserve">Clefable</t>
  </si>
  <si>
    <t xml:space="preserve">Porygon</t>
  </si>
  <si>
    <t xml:space="preserve">Articuno</t>
  </si>
  <si>
    <t xml:space="preserve">Hyper Beam / Double Edge / Blizzard / Drill Peck</t>
  </si>
  <si>
    <t xml:space="preserve">Venusaur</t>
  </si>
  <si>
    <t xml:space="preserve">Solarbeam / Rock Slide / Earthquake / Sludge</t>
  </si>
  <si>
    <t xml:space="preserve">Double Edge / Hydro Pump / Blizzard / Mega Drain</t>
  </si>
  <si>
    <t xml:space="preserve">Double Edge / Submission / Earthquake / Rock Slide</t>
  </si>
  <si>
    <t xml:space="preserve">Double Edge / Mega Kick / Hi Jump Kick / Rock Slide</t>
  </si>
  <si>
    <t xml:space="preserve">Chansey</t>
  </si>
  <si>
    <t xml:space="preserve">Fire Blast / Blizzard / Thunder / Psychic</t>
  </si>
  <si>
    <t xml:space="preserve">Lickitung</t>
  </si>
  <si>
    <t xml:space="preserve">Hyper Beam / Blizzard / Earthquake / Psychic</t>
  </si>
  <si>
    <t xml:space="preserve">Kangaskhan</t>
  </si>
  <si>
    <t xml:space="preserve">Double Edge / Surf / Blizzard / Earthquake</t>
  </si>
  <si>
    <t xml:space="preserve">Haunter</t>
  </si>
  <si>
    <t xml:space="preserve">Mega Drain / Thunder / Psychic / Lick</t>
  </si>
  <si>
    <t xml:space="preserve">Hyper Beam / Double Edge / Solarbeam / Sludge</t>
  </si>
  <si>
    <t xml:space="preserve">Dodrio</t>
  </si>
  <si>
    <t xml:space="preserve">Hyper Beam / Double Edge / Drill Peck / Jump Kick</t>
  </si>
  <si>
    <t xml:space="preserve">Graveler</t>
  </si>
  <si>
    <t xml:space="preserve">Double Edge / Take Down / Earthquake / Rock Slide</t>
  </si>
  <si>
    <t xml:space="preserve">Magneton</t>
  </si>
  <si>
    <t xml:space="preserve">Hyper Beam / Double Edge / Thunder / Thunderbolt</t>
  </si>
  <si>
    <t xml:space="preserve">Jolteon</t>
  </si>
  <si>
    <t xml:space="preserve">Double Edge / Thunder / Double Kick / Pinissile</t>
  </si>
  <si>
    <t xml:space="preserve">Hyper Beam / Double Edge / Thunder / Psychic</t>
  </si>
  <si>
    <t xml:space="preserve">Blastoise</t>
  </si>
  <si>
    <t xml:space="preserve">Hyper Beam / Hydro Pump / Blizzard / Earthquake</t>
  </si>
  <si>
    <t xml:space="preserve">Hydro Pump / Blizzard / Earthquake / Psychic</t>
  </si>
  <si>
    <t xml:space="preserve">Hyper Beam / Double Edge / Submission / Psychic</t>
  </si>
  <si>
    <t xml:space="preserve">Electabuzz</t>
  </si>
  <si>
    <t xml:space="preserve">Hyper Beam / Double Edge / Blizzard / Psychic</t>
  </si>
  <si>
    <t xml:space="preserve">Gastly</t>
  </si>
  <si>
    <t xml:space="preserve">Rhyhorn</t>
  </si>
  <si>
    <t xml:space="preserve">Fire Blast / Flamethrower / Earthquake / Rock Slide</t>
  </si>
  <si>
    <t xml:space="preserve">Tentacool</t>
  </si>
  <si>
    <t xml:space="preserve">Hyper Beam / Double Edge / Hydro Pump / Blizzard</t>
  </si>
  <si>
    <t xml:space="preserve">Moltres</t>
  </si>
  <si>
    <t xml:space="preserve">Hyper Beam / Double Edge / Fire Blast / Drill Peck</t>
  </si>
  <si>
    <t xml:space="preserve">Golduck</t>
  </si>
  <si>
    <t xml:space="preserve">Double Edge / Hydro Pump / Blizzard / Psychic</t>
  </si>
  <si>
    <t xml:space="preserve">Fire Blast / Mega Drain / Thunder / Sludge</t>
  </si>
  <si>
    <t xml:space="preserve">Hyper Beam / Double Edge / Blizzard / Earthquake</t>
  </si>
  <si>
    <t xml:space="preserve">Double Edge / Skull Bash / Earthquake / Rock Slide</t>
  </si>
  <si>
    <t xml:space="preserve">Hyper Beam / Double Edge / Submission / Thunder</t>
  </si>
  <si>
    <t xml:space="preserve">Raticate</t>
  </si>
  <si>
    <t xml:space="preserve">Hyper Beam / Double Edge / Blizzard / Thunder</t>
  </si>
  <si>
    <t xml:space="preserve">Double Edge / Mega Kick / Submission / Psychic</t>
  </si>
  <si>
    <t xml:space="preserve">Hyper Beam / Double Edge / Surf / Blizzard</t>
  </si>
  <si>
    <t xml:space="preserve">Seaking</t>
  </si>
  <si>
    <t xml:space="preserve">Double Edge / Surf / Blizzard / Drill Peck</t>
  </si>
  <si>
    <t xml:space="preserve">Fire Blast / Flamethrower / Double Edge / Solarbeam</t>
  </si>
  <si>
    <t xml:space="preserve">Seadra</t>
  </si>
  <si>
    <t xml:space="preserve">Double Edge / Hydro Pump / Blizzard / Dragon Rage</t>
  </si>
  <si>
    <t xml:space="preserve">Omastar</t>
  </si>
  <si>
    <t xml:space="preserve">Kingler</t>
  </si>
  <si>
    <t xml:space="preserve">Hyper Beam / Double Edge / Crabhammer / Blizzard</t>
  </si>
  <si>
    <t xml:space="preserve">Sandslash</t>
  </si>
  <si>
    <t xml:space="preserve">Fearow</t>
  </si>
  <si>
    <t xml:space="preserve">Hyper Beam / Double Edge / Sky Attack / Drill Peck</t>
  </si>
  <si>
    <t xml:space="preserve">Magnemite</t>
  </si>
  <si>
    <t xml:space="preserve">Double Edge / Take Down / Thunder / Thunderbolt</t>
  </si>
  <si>
    <t xml:space="preserve">Staryu</t>
  </si>
  <si>
    <t xml:space="preserve">Weezing</t>
  </si>
  <si>
    <t xml:space="preserve">Fire Blast / Flamethrower / Thunder / Sludge</t>
  </si>
  <si>
    <t xml:space="preserve">Fire Blast / Dragon Rage / Earthquake / Wing Attack</t>
  </si>
  <si>
    <t xml:space="preserve">Flareon</t>
  </si>
  <si>
    <t xml:space="preserve">Fire Blast / Flamethrower / Double Edge / Double Kick</t>
  </si>
  <si>
    <t xml:space="preserve">Drowzee</t>
  </si>
  <si>
    <t xml:space="preserve">VALUE = E4 coverage % / (0.25 + fragility %). Legacy bosses hit MUCH harder than vanilla, so fragility numbers are higher across the board. Mewtwo and Mew are listed but are post-game.</t>
  </si>
  <si>
    <t xml:space="preserve">Learnset Matrix — Legacy</t>
  </si>
  <si>
    <t xml:space="preserve">Best damaging-move base power per type, per Pokemon (TM/HM + level-up). Blank = cannot attack with that type at all.</t>
  </si>
  <si>
    <t xml:space="preserve">#</t>
  </si>
  <si>
    <t xml:space="preserve">Atk types</t>
  </si>
  <si>
    <t xml:space="preserve">Clefairy</t>
  </si>
  <si>
    <t xml:space="preserve">Jigglypuff</t>
  </si>
  <si>
    <t xml:space="preserve">Nidorino</t>
  </si>
  <si>
    <t xml:space="preserve">Nidorina</t>
  </si>
  <si>
    <t xml:space="preserve">Cubone</t>
  </si>
  <si>
    <t xml:space="preserve">Slowpoke</t>
  </si>
  <si>
    <t xml:space="preserve">Poliwhirl</t>
  </si>
  <si>
    <t xml:space="preserve">Dragonair</t>
  </si>
  <si>
    <t xml:space="preserve">Charmeleon</t>
  </si>
  <si>
    <t xml:space="preserve">Charmander</t>
  </si>
  <si>
    <t xml:space="preserve">Dratini</t>
  </si>
  <si>
    <t xml:space="preserve">Nidoran</t>
  </si>
  <si>
    <t xml:space="preserve">Nidoran F</t>
  </si>
  <si>
    <t xml:space="preserve">Wartortle</t>
  </si>
  <si>
    <t xml:space="preserve">Zubat</t>
  </si>
  <si>
    <t xml:space="preserve">Rattata</t>
  </si>
  <si>
    <t xml:space="preserve">Squirtle</t>
  </si>
  <si>
    <t xml:space="preserve">Primeape</t>
  </si>
  <si>
    <t xml:space="preserve">Machoke</t>
  </si>
  <si>
    <t xml:space="preserve">Sandshrew</t>
  </si>
  <si>
    <t xml:space="preserve">Grimer</t>
  </si>
  <si>
    <t xml:space="preserve">Butterfree</t>
  </si>
  <si>
    <t xml:space="preserve">Kabuto</t>
  </si>
  <si>
    <t xml:space="preserve">Machop</t>
  </si>
  <si>
    <t xml:space="preserve">Mankey</t>
  </si>
  <si>
    <t xml:space="preserve">Ekans</t>
  </si>
  <si>
    <t xml:space="preserve">Paras</t>
  </si>
  <si>
    <t xml:space="preserve">Poliwag</t>
  </si>
  <si>
    <t xml:space="preserve">Vulpix</t>
  </si>
  <si>
    <t xml:space="preserve">Koffing</t>
  </si>
  <si>
    <t xml:space="preserve">Meowth</t>
  </si>
  <si>
    <t xml:space="preserve">Gloom</t>
  </si>
  <si>
    <t xml:space="preserve">Parasect</t>
  </si>
  <si>
    <t xml:space="preserve">Oddish</t>
  </si>
  <si>
    <t xml:space="preserve">Omanyte</t>
  </si>
  <si>
    <t xml:space="preserve">Beedrill</t>
  </si>
  <si>
    <t xml:space="preserve">Bellsprout</t>
  </si>
  <si>
    <t xml:space="preserve">Diglett</t>
  </si>
  <si>
    <t xml:space="preserve">Venonat</t>
  </si>
  <si>
    <t xml:space="preserve">Krabby</t>
  </si>
  <si>
    <t xml:space="preserve">Weepinbell</t>
  </si>
  <si>
    <t xml:space="preserve">Doduo</t>
  </si>
  <si>
    <t xml:space="preserve">Scyther</t>
  </si>
  <si>
    <t xml:space="preserve">Horsea</t>
  </si>
  <si>
    <t xml:space="preserve">Eevee</t>
  </si>
  <si>
    <t xml:space="preserve">Bulbasaur</t>
  </si>
  <si>
    <t xml:space="preserve">Growlithe</t>
  </si>
  <si>
    <t xml:space="preserve">Shellder</t>
  </si>
  <si>
    <t xml:space="preserve">Exeggcute</t>
  </si>
  <si>
    <t xml:space="preserve">Ponyta</t>
  </si>
  <si>
    <t xml:space="preserve">Pinsir</t>
  </si>
  <si>
    <t xml:space="preserve">Seel</t>
  </si>
  <si>
    <t xml:space="preserve">Farfetchd</t>
  </si>
  <si>
    <t xml:space="preserve">Spearow</t>
  </si>
  <si>
    <t xml:space="preserve">Electrode</t>
  </si>
  <si>
    <t xml:space="preserve">Caterpie</t>
  </si>
  <si>
    <t xml:space="preserve">Pidgey</t>
  </si>
  <si>
    <t xml:space="preserve">Pidgeotto</t>
  </si>
  <si>
    <t xml:space="preserve">Voltorb</t>
  </si>
  <si>
    <t xml:space="preserve">Metapod</t>
  </si>
  <si>
    <t xml:space="preserve">Magikarp</t>
  </si>
  <si>
    <t xml:space="preserve">Kakuna</t>
  </si>
  <si>
    <t xml:space="preserve">Weedle</t>
  </si>
  <si>
    <t xml:space="preserve">Ditto</t>
  </si>
  <si>
    <t xml:space="preserve">Dual-Type Defense — recomputed on Legacy's chart</t>
  </si>
  <si>
    <t xml:space="preserve">Score = 2x(immunities) + resists - weaknesses - 3x(4x weaknesses).</t>
  </si>
  <si>
    <t xml:space="preserve">Typing</t>
  </si>
  <si>
    <t xml:space="preserve">Score</t>
  </si>
  <si>
    <t xml:space="preserve">Immune to</t>
  </si>
  <si>
    <t xml:space="preserve">4x WEAK</t>
  </si>
  <si>
    <t xml:space="preserve">2x weak</t>
  </si>
  <si>
    <t xml:space="preserve">Resists</t>
  </si>
  <si>
    <t xml:space="preserve">Examples</t>
  </si>
  <si>
    <t xml:space="preserve">Ghost/Poison</t>
  </si>
  <si>
    <t xml:space="preserve">Normal, Fighting</t>
  </si>
  <si>
    <t xml:space="preserve">-</t>
  </si>
  <si>
    <t xml:space="preserve">Ground, Psychic, Ghost</t>
  </si>
  <si>
    <t xml:space="preserve">Grass, Poison, Bug</t>
  </si>
  <si>
    <t xml:space="preserve">Gastly, Gengar, Haunter</t>
  </si>
  <si>
    <t xml:space="preserve">Electric/Flying</t>
  </si>
  <si>
    <t xml:space="preserve">Ice, Rock</t>
  </si>
  <si>
    <t xml:space="preserve">Grass, Fighting, Flying, Bug</t>
  </si>
  <si>
    <t xml:space="preserve">Normal/Flying</t>
  </si>
  <si>
    <t xml:space="preserve">Ground, Ghost</t>
  </si>
  <si>
    <t xml:space="preserve">Electric, Ice, Rock</t>
  </si>
  <si>
    <t xml:space="preserve">Grass, Bug</t>
  </si>
  <si>
    <t xml:space="preserve">Dodrio, Doduo, Farfetchd, Fearow</t>
  </si>
  <si>
    <t xml:space="preserve">Rock/Flying</t>
  </si>
  <si>
    <t xml:space="preserve">Water, Electric, Ice, Rock</t>
  </si>
  <si>
    <t xml:space="preserve">Normal, Fire, Poison, Flying, Bug</t>
  </si>
  <si>
    <t xml:space="preserve">Ice, Dragon</t>
  </si>
  <si>
    <t xml:space="preserve">Fire, Water, Electric, Grass</t>
  </si>
  <si>
    <t xml:space="preserve">Dragonair, Dratini</t>
  </si>
  <si>
    <t xml:space="preserve">Poison/Flying</t>
  </si>
  <si>
    <t xml:space="preserve">Electric, Ice, Psychic, Rock</t>
  </si>
  <si>
    <t xml:space="preserve">Grass, Fighting, Poison, Bug</t>
  </si>
  <si>
    <t xml:space="preserve">Golbat, Zubat</t>
  </si>
  <si>
    <t xml:space="preserve">Dragon/Flying</t>
  </si>
  <si>
    <t xml:space="preserve">Rock, Dragon</t>
  </si>
  <si>
    <t xml:space="preserve">Fire, Water, Grass, Fighting, Bug</t>
  </si>
  <si>
    <t xml:space="preserve">Water/Flying</t>
  </si>
  <si>
    <t xml:space="preserve">Fire, Water, Fighting, Bug</t>
  </si>
  <si>
    <t xml:space="preserve">Water/Poison</t>
  </si>
  <si>
    <t xml:space="preserve">Electric, Ground, Psychic</t>
  </si>
  <si>
    <t xml:space="preserve">Fire, Water, Ice, Fighting, Poison</t>
  </si>
  <si>
    <t xml:space="preserve">Tentacool, Tentacruel</t>
  </si>
  <si>
    <t xml:space="preserve">Chansey, Clefable, Clefairy, Ditto</t>
  </si>
  <si>
    <t xml:space="preserve">Electric, Grass</t>
  </si>
  <si>
    <t xml:space="preserve">Fire, Water, Ice</t>
  </si>
  <si>
    <t xml:space="preserve">Blastoise, Goldeen, Golduck, Horsea</t>
  </si>
  <si>
    <t xml:space="preserve">Water/Psychic</t>
  </si>
  <si>
    <t xml:space="preserve">Electric, Grass, Bug, Ghost</t>
  </si>
  <si>
    <t xml:space="preserve">Fire, Water, Ice, Fighting, Psychic</t>
  </si>
  <si>
    <t xml:space="preserve">Slowbro, Slowpoke, Starmie</t>
  </si>
  <si>
    <t xml:space="preserve">Electric, Flying</t>
  </si>
  <si>
    <t xml:space="preserve">Electabuzz, Electrode, Jolteon, Magnemite</t>
  </si>
  <si>
    <t xml:space="preserve">Poison/Ground</t>
  </si>
  <si>
    <t xml:space="preserve">Water, Ice, Ground, Psychic</t>
  </si>
  <si>
    <t xml:space="preserve">Fighting, Poison, Rock</t>
  </si>
  <si>
    <t xml:space="preserve">Nidoking, Nidoqueen</t>
  </si>
  <si>
    <t xml:space="preserve">Ground, Psychic</t>
  </si>
  <si>
    <t xml:space="preserve">Grass, Fighting, Poison</t>
  </si>
  <si>
    <t xml:space="preserve">Arbok, Ekans, Grimer, Koffing</t>
  </si>
  <si>
    <t xml:space="preserve">Water/Fighting</t>
  </si>
  <si>
    <t xml:space="preserve">Electric, Grass, Flying, Psychic</t>
  </si>
  <si>
    <t xml:space="preserve">Fire, Water, Ice, Bug, Rock</t>
  </si>
  <si>
    <t xml:space="preserve">Water, Grass, Ice</t>
  </si>
  <si>
    <t xml:space="preserve">Poison, Rock</t>
  </si>
  <si>
    <t xml:space="preserve">Cubone, Diglett, Dugtrio, Marowak</t>
  </si>
  <si>
    <t xml:space="preserve">Bug, Ghost</t>
  </si>
  <si>
    <t xml:space="preserve">Fighting, Psychic</t>
  </si>
  <si>
    <t xml:space="preserve">Abra, Alakazam, Drowzee, Hypno</t>
  </si>
  <si>
    <t xml:space="preserve">Water, Ground, Rock</t>
  </si>
  <si>
    <t xml:space="preserve">Fire, Grass, Bug</t>
  </si>
  <si>
    <t xml:space="preserve">Arcanine, Charmander, Charmeleon, Flareon</t>
  </si>
  <si>
    <t xml:space="preserve">Flying, Psychic</t>
  </si>
  <si>
    <t xml:space="preserve">Bug, Rock</t>
  </si>
  <si>
    <t xml:space="preserve">Hitmonchan, Hitmonlee, Machamp, Machoke</t>
  </si>
  <si>
    <t xml:space="preserve">Fire/Flying</t>
  </si>
  <si>
    <t xml:space="preserve">Water, Electric, Ice</t>
  </si>
  <si>
    <t xml:space="preserve">Fire, Grass, Fighting, Bug</t>
  </si>
  <si>
    <t xml:space="preserve">Charizard, Moltres</t>
  </si>
  <si>
    <t xml:space="preserve">Grass/Poison</t>
  </si>
  <si>
    <t xml:space="preserve">Fire, Ice, Flying, Psychic, Bug</t>
  </si>
  <si>
    <t xml:space="preserve">Water, Electric, Grass, Fighting</t>
  </si>
  <si>
    <t xml:space="preserve">Bellsprout, Bulbasaur, Gloom, Ivysaur</t>
  </si>
  <si>
    <t xml:space="preserve">Ice/Flying</t>
  </si>
  <si>
    <t xml:space="preserve">Fire, Electric</t>
  </si>
  <si>
    <t xml:space="preserve">Fire, Poison, Flying, Rock</t>
  </si>
  <si>
    <t xml:space="preserve">Grass, Fighting, Ground</t>
  </si>
  <si>
    <t xml:space="preserve">Caterpie, Metapod, Pinsir</t>
  </si>
  <si>
    <t xml:space="preserve">Rock/Water</t>
  </si>
  <si>
    <t xml:space="preserve">Electric, Fighting, Ground</t>
  </si>
  <si>
    <t xml:space="preserve">Normal, Fire, Ice, Poison, Flying</t>
  </si>
  <si>
    <t xml:space="preserve">Kabuto, Kabutops, Omanyte, Omastar</t>
  </si>
  <si>
    <t xml:space="preserve">Fire, Ice, Poison, Flying, Bug</t>
  </si>
  <si>
    <t xml:space="preserve">Water, Electric, Grass, Ground</t>
  </si>
  <si>
    <t xml:space="preserve">Water/Ice</t>
  </si>
  <si>
    <t xml:space="preserve">Electric, Grass, Fighting, Rock</t>
  </si>
  <si>
    <t xml:space="preserve">Water, Ice</t>
  </si>
  <si>
    <t xml:space="preserve">Cloyster, Dewgong, Lapras</t>
  </si>
  <si>
    <t xml:space="preserve">Ground/Rock</t>
  </si>
  <si>
    <t xml:space="preserve">Water, Grass</t>
  </si>
  <si>
    <t xml:space="preserve">Ice, Fighting, Ground</t>
  </si>
  <si>
    <t xml:space="preserve">Normal, Fire, Poison, Flying, Rock</t>
  </si>
  <si>
    <t xml:space="preserve">Rhydon, Rhyhorn</t>
  </si>
  <si>
    <t xml:space="preserve">Bug/Poison</t>
  </si>
  <si>
    <t xml:space="preserve">Fire, Flying, Psychic, Rock</t>
  </si>
  <si>
    <t xml:space="preserve">Grass, Fighting</t>
  </si>
  <si>
    <t xml:space="preserve">Beedrill, Kakuna, Venomoth, Venonat</t>
  </si>
  <si>
    <t xml:space="preserve">Grass/Psychic</t>
  </si>
  <si>
    <t xml:space="preserve">Fire, Ice, Poison, Flying, Ghost</t>
  </si>
  <si>
    <t xml:space="preserve">Water, Electric, Grass, Fighting, Ground, Psychic</t>
  </si>
  <si>
    <t xml:space="preserve">Exeggcute, Exeggutor</t>
  </si>
  <si>
    <t xml:space="preserve">Rock/Ground</t>
  </si>
  <si>
    <t xml:space="preserve">Geodude, Golem, Graveler, Onix</t>
  </si>
  <si>
    <t xml:space="preserve">Ice/Psychic</t>
  </si>
  <si>
    <t xml:space="preserve">Fire, Bug, Rock, Ghost</t>
  </si>
  <si>
    <t xml:space="preserve">Ice, Psychic</t>
  </si>
  <si>
    <t xml:space="preserve">Bug/Flying</t>
  </si>
  <si>
    <t xml:space="preserve">Fire, Electric, Ice, Poison, Flying</t>
  </si>
  <si>
    <t xml:space="preserve">Grass, Fighting, Bug</t>
  </si>
  <si>
    <t xml:space="preserve">Butterfree, Scyther</t>
  </si>
  <si>
    <t xml:space="preserve">Bug/Grass</t>
  </si>
  <si>
    <t xml:space="preserve">Fire, Poison, Flying</t>
  </si>
  <si>
    <t xml:space="preserve">Ice, Bug, Rock</t>
  </si>
  <si>
    <t xml:space="preserve">Water, Electric, Grass, Fighting, Ground</t>
  </si>
  <si>
    <t xml:space="preserve">Paras, Parasect</t>
  </si>
  <si>
    <t xml:space="preserve">Your 11 Pokemon — scored on Legacy data</t>
  </si>
  <si>
    <t xml:space="preserve">Final form = what it becomes. Verdict is based on the numbers, not vibes.</t>
  </si>
  <si>
    <t xml:space="preserve">Yours</t>
  </si>
  <si>
    <t xml:space="preserve">Becomes</t>
  </si>
  <si>
    <t xml:space="preserve">How</t>
  </si>
  <si>
    <t xml:space="preserve">VERDICT</t>
  </si>
  <si>
    <t xml:space="preserve">Notes</t>
  </si>
  <si>
    <t xml:space="preserve">Level 20 — TWO LEVELS AWAY</t>
  </si>
  <si>
    <t xml:space="preserve">CORE</t>
  </si>
  <si>
    <t xml:space="preserve">Highest-value thing you own right now. Learns Waterfall L25, Thrash L35, Hydro Pump L41. Evolve it today.</t>
  </si>
  <si>
    <t xml:space="preserve">Nidoran M</t>
  </si>
  <si>
    <t xml:space="preserve">L16 -&gt; Nidorino, then Moon Stone</t>
  </si>
  <si>
    <t xml:space="preserve">Learns EARTHQUAKE at L40 on its own in Legacy — do not waste a TM. Thrash L25. The relearner means the old evolve-before-L23 panic is gone.</t>
  </si>
  <si>
    <t xml:space="preserve">L25 -&gt; Graveler, L38 -&gt; Golem. NO TRADE</t>
  </si>
  <si>
    <t xml:space="preserve">Legacy removed the trade requirement. 110 Atk / 130 Def, and it learns Dig L21, Rock Slide L40, Earthquake L45 for free. Huge fragility though — it hits hard and dies fast.</t>
  </si>
  <si>
    <t xml:space="preserve">L16 -&gt; Charmeleon, L36 -&gt; Charizard</t>
  </si>
  <si>
    <t xml:space="preserve">Your HM hub: Cut + Fly + Strength. Also gains Fire Punch L19, Wing Attack L36, Flamethrower L42. Spc buffed to 95.</t>
  </si>
  <si>
    <t xml:space="preserve">Moon Stone (get a 2nd one)</t>
  </si>
  <si>
    <t xml:space="preserve">Spc buffed to 95. Learns Body Slam at L35 free. Enormous TM breadth, very low fragility. Your safest body.</t>
  </si>
  <si>
    <t xml:space="preserve">cannot evolve</t>
  </si>
  <si>
    <t xml:space="preserve">KEEP</t>
  </si>
  <si>
    <t xml:space="preserve">Legacy buffed it +65 BST and gave it Thunderpunch L20 / Headbutt L24 / Thunderbolt L30 / Thunder L41. It is a real Pokemon now, not a passenger.</t>
  </si>
  <si>
    <t xml:space="preserve">L18, L36</t>
  </si>
  <si>
    <t xml:space="preserve">BENCH</t>
  </si>
  <si>
    <t xml:space="preserve">Gains Sky Attack + Take Down, but Charizard already carries Fly. Only worth it if you skip Charmander.</t>
  </si>
  <si>
    <t xml:space="preserve">L33</t>
  </si>
  <si>
    <t xml:space="preserve">Gyarados does Water strictly better and gets there sooner.</t>
  </si>
  <si>
    <t xml:space="preserve">Fire Stone</t>
  </si>
  <si>
    <t xml:space="preserve">Gains Flamethrower + Confuse Ray, but Fire is redundant with Charizard, and it costs a Fire Stone.</t>
  </si>
  <si>
    <t xml:space="preserve">L24</t>
  </si>
  <si>
    <t xml:space="preserve">BOX</t>
  </si>
  <si>
    <t xml:space="preserve">Bug/Grass. Still one of the worst typings in the game even after Legacy's buffs.</t>
  </si>
  <si>
    <t xml:space="preserve">final form</t>
  </si>
  <si>
    <t xml:space="preserve">Bug/Poison, and Legacy REMOVED Bug's 2x on Poison — so it lost its one edge. Bottom of the list.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</si>
</sst>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%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B3F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7B3F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B3F00"/>
        <bgColor rgb="FF993366"/>
      </patternFill>
    </fill>
    <fill>
      <patternFill patternType="solid">
        <fgColor rgb="FFF8E5D0"/>
        <bgColor rgb="FFFFF2CC"/>
      </patternFill>
    </fill>
    <fill>
      <patternFill patternType="solid">
        <fgColor rgb="FFFFF2CC"/>
        <bgColor rgb="FFF8E5D0"/>
      </patternFill>
    </fill>
    <fill>
      <patternFill patternType="solid">
        <fgColor rgb="FF404040"/>
        <bgColor rgb="FF3333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8E5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7B3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ont>
        <color rgb="FFFFFFFF"/>
      </font>
      <fill>
        <patternFill>
          <bgColor rgb="FF404040"/>
        </patternFill>
      </fill>
    </dxf>
    <dxf>
      <fill>
        <patternFill>
          <bgColor rgb="FFFFF2CC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A6D088"/>
          <bgColor rgb="FF000000"/>
        </patternFill>
      </fill>
    </dxf>
    <dxf>
      <fill>
        <patternFill patternType="solid">
          <fgColor rgb="FFDEDE93"/>
          <bgColor rgb="FF000000"/>
        </patternFill>
      </fill>
    </dxf>
    <dxf>
      <fill>
        <patternFill patternType="solid">
          <fgColor rgb="FFF4E497"/>
          <bgColor rgb="FF000000"/>
        </patternFill>
      </fill>
    </dxf>
    <dxf>
      <fill>
        <patternFill patternType="solid">
          <fgColor rgb="FFFFEFBB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FEBAA"/>
          <bgColor rgb="FF000000"/>
        </patternFill>
      </fill>
    </dxf>
    <dxf>
      <fill>
        <patternFill patternType="solid">
          <fgColor rgb="FFBDD58D"/>
          <bgColor rgb="FF000000"/>
        </patternFill>
      </fill>
    </dxf>
    <dxf>
      <fill>
        <patternFill patternType="solid">
          <fgColor rgb="FFFFEDB3"/>
          <bgColor rgb="FF000000"/>
        </patternFill>
      </fill>
    </dxf>
    <dxf>
      <fill>
        <patternFill patternType="solid">
          <fgColor rgb="FFD3DB91"/>
          <bgColor rgb="FF000000"/>
        </patternFill>
      </fill>
    </dxf>
    <dxf>
      <fill>
        <patternFill patternType="solid">
          <fgColor rgb="FFE9E195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3CC"/>
          <bgColor rgb="FF000000"/>
        </patternFill>
      </fill>
    </dxf>
    <dxf>
      <fill>
        <patternFill patternType="solid">
          <fgColor rgb="FFFFFBEE"/>
          <bgColor rgb="FF000000"/>
        </patternFill>
      </fill>
    </dxf>
    <dxf>
      <fill>
        <patternFill patternType="solid">
          <fgColor rgb="FFFFF7DD"/>
          <bgColor rgb="FF000000"/>
        </patternFill>
      </fill>
    </dxf>
    <dxf>
      <fill>
        <patternFill patternType="solid">
          <fgColor rgb="FFFFF1C4"/>
          <bgColor rgb="FF000000"/>
        </patternFill>
      </fill>
    </dxf>
    <dxf>
      <fill>
        <patternFill patternType="solid">
          <fgColor rgb="FFFFE9A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8E5D0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B3F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/>
      <c r="B7" s="5"/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</row>
    <row r="10" customFormat="false" ht="15" hidden="false" customHeight="false" outlineLevel="0" collapsed="false">
      <c r="A10" s="4" t="s">
        <v>10</v>
      </c>
      <c r="B10" s="5" t="s">
        <v>11</v>
      </c>
    </row>
    <row r="11" customFormat="false" ht="23.8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23.8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3" t="s">
        <v>20</v>
      </c>
    </row>
    <row r="17" customFormat="false" ht="23.85" hidden="false" customHeight="false" outlineLevel="0" collapsed="false">
      <c r="A17" s="4" t="s">
        <v>21</v>
      </c>
      <c r="B17" s="5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23.85" hidden="false" customHeight="false" outlineLevel="0" collapsed="false">
      <c r="A20" s="4" t="s">
        <v>27</v>
      </c>
      <c r="B20" s="5" t="s">
        <v>28</v>
      </c>
    </row>
    <row r="21" customFormat="false" ht="23.85" hidden="false" customHeight="false" outlineLevel="0" collapsed="false">
      <c r="A21" s="4" t="s">
        <v>29</v>
      </c>
      <c r="B21" s="5" t="s">
        <v>30</v>
      </c>
    </row>
    <row r="22" customFormat="false" ht="15" hidden="false" customHeight="false" outlineLevel="0" collapsed="false">
      <c r="A22" s="4" t="s">
        <v>31</v>
      </c>
      <c r="B22" s="5" t="s">
        <v>32</v>
      </c>
    </row>
    <row r="23" customFormat="false" ht="15" hidden="false" customHeight="false" outlineLevel="0" collapsed="false">
      <c r="A23" s="4"/>
      <c r="B23" s="5"/>
    </row>
    <row r="24" customFormat="false" ht="15" hidden="false" customHeight="false" outlineLevel="0" collapsed="false">
      <c r="A24" s="3" t="s">
        <v>33</v>
      </c>
    </row>
    <row r="25" customFormat="false" ht="15" hidden="false" customHeight="false" outlineLevel="0" collapsed="false">
      <c r="A25" s="4" t="s">
        <v>34</v>
      </c>
      <c r="B25" s="5" t="s">
        <v>35</v>
      </c>
    </row>
    <row r="26" customFormat="false" ht="15" hidden="false" customHeight="false" outlineLevel="0" collapsed="false">
      <c r="A26" s="4" t="s">
        <v>36</v>
      </c>
      <c r="B26" s="5" t="s">
        <v>37</v>
      </c>
    </row>
    <row r="27" customFormat="false" ht="15" hidden="false" customHeight="false" outlineLevel="0" collapsed="false">
      <c r="A27" s="4" t="s">
        <v>38</v>
      </c>
      <c r="B27" s="5" t="s">
        <v>39</v>
      </c>
    </row>
    <row r="28" customFormat="false" ht="15" hidden="false" customHeight="false" outlineLevel="0" collapsed="false">
      <c r="A28" s="4" t="s">
        <v>40</v>
      </c>
      <c r="B28" s="5" t="s">
        <v>41</v>
      </c>
    </row>
    <row r="29" customFormat="false" ht="15" hidden="false" customHeight="false" outlineLevel="0" collapsed="false">
      <c r="A29" s="4" t="s">
        <v>42</v>
      </c>
      <c r="B29" s="5" t="s">
        <v>43</v>
      </c>
    </row>
    <row r="30" customFormat="false" ht="15" hidden="false" customHeight="false" outlineLevel="0" collapsed="false">
      <c r="A30" s="4" t="s">
        <v>44</v>
      </c>
      <c r="B30" s="5" t="s">
        <v>45</v>
      </c>
    </row>
    <row r="31" customFormat="false" ht="15" hidden="false" customHeight="false" outlineLevel="0" collapsed="false">
      <c r="A31" s="4" t="s">
        <v>46</v>
      </c>
      <c r="B31" s="5" t="s">
        <v>47</v>
      </c>
    </row>
    <row r="32" customFormat="false" ht="15" hidden="false" customHeight="false" outlineLevel="0" collapsed="false">
      <c r="A32" s="4" t="s">
        <v>48</v>
      </c>
      <c r="B32" s="5" t="s">
        <v>49</v>
      </c>
    </row>
    <row r="33" customFormat="false" ht="15" hidden="false" customHeight="false" outlineLevel="0" collapsed="false">
      <c r="A33" s="4" t="s">
        <v>50</v>
      </c>
      <c r="B33" s="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74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6" t="s">
        <v>54</v>
      </c>
      <c r="B4" s="6" t="s">
        <v>55</v>
      </c>
      <c r="C4" s="6" t="s">
        <v>56</v>
      </c>
      <c r="D4" s="6" t="s">
        <v>57</v>
      </c>
    </row>
    <row r="5" customFormat="false" ht="43.5" hidden="false" customHeight="true" outlineLevel="0" collapsed="false">
      <c r="A5" s="7" t="s">
        <v>58</v>
      </c>
      <c r="B5" s="8" t="s">
        <v>59</v>
      </c>
      <c r="C5" s="8" t="s">
        <v>60</v>
      </c>
      <c r="D5" s="8" t="s">
        <v>61</v>
      </c>
    </row>
    <row r="6" customFormat="false" ht="43.5" hidden="false" customHeight="true" outlineLevel="0" collapsed="false">
      <c r="A6" s="7" t="s">
        <v>62</v>
      </c>
      <c r="B6" s="8" t="s">
        <v>63</v>
      </c>
      <c r="C6" s="8" t="s">
        <v>64</v>
      </c>
      <c r="D6" s="8" t="s">
        <v>65</v>
      </c>
    </row>
    <row r="7" customFormat="false" ht="43.5" hidden="false" customHeight="true" outlineLevel="0" collapsed="false">
      <c r="A7" s="7" t="s">
        <v>66</v>
      </c>
      <c r="B7" s="8" t="s">
        <v>67</v>
      </c>
      <c r="C7" s="8" t="s">
        <v>68</v>
      </c>
      <c r="D7" s="8" t="s">
        <v>69</v>
      </c>
    </row>
    <row r="8" customFormat="false" ht="43.5" hidden="false" customHeight="true" outlineLevel="0" collapsed="false">
      <c r="A8" s="7" t="s">
        <v>70</v>
      </c>
      <c r="B8" s="8" t="s">
        <v>71</v>
      </c>
      <c r="C8" s="8" t="s">
        <v>72</v>
      </c>
      <c r="D8" s="8" t="s">
        <v>73</v>
      </c>
    </row>
    <row r="9" customFormat="false" ht="43.5" hidden="false" customHeight="true" outlineLevel="0" collapsed="false">
      <c r="A9" s="7" t="s">
        <v>10</v>
      </c>
      <c r="B9" s="8" t="s">
        <v>74</v>
      </c>
      <c r="C9" s="8" t="s">
        <v>75</v>
      </c>
      <c r="D9" s="8" t="s">
        <v>76</v>
      </c>
    </row>
    <row r="10" customFormat="false" ht="43.5" hidden="false" customHeight="true" outlineLevel="0" collapsed="false">
      <c r="A10" s="7" t="s">
        <v>77</v>
      </c>
      <c r="B10" s="8" t="s">
        <v>78</v>
      </c>
      <c r="C10" s="8" t="s">
        <v>79</v>
      </c>
      <c r="D10" s="8" t="s">
        <v>80</v>
      </c>
    </row>
    <row r="11" customFormat="false" ht="43.5" hidden="false" customHeight="true" outlineLevel="0" collapsed="false">
      <c r="A11" s="7" t="s">
        <v>14</v>
      </c>
      <c r="B11" s="8" t="s">
        <v>81</v>
      </c>
      <c r="C11" s="8" t="s">
        <v>82</v>
      </c>
      <c r="D11" s="8" t="s">
        <v>83</v>
      </c>
    </row>
    <row r="12" customFormat="false" ht="43.5" hidden="false" customHeight="true" outlineLevel="0" collapsed="false">
      <c r="A12" s="7" t="s">
        <v>84</v>
      </c>
      <c r="B12" s="8" t="s">
        <v>85</v>
      </c>
      <c r="C12" s="8" t="s">
        <v>86</v>
      </c>
      <c r="D12" s="8" t="s">
        <v>87</v>
      </c>
    </row>
    <row r="13" customFormat="false" ht="43.5" hidden="false" customHeight="true" outlineLevel="0" collapsed="false">
      <c r="A13" s="7" t="s">
        <v>88</v>
      </c>
      <c r="B13" s="8" t="s">
        <v>89</v>
      </c>
      <c r="C13" s="8" t="s">
        <v>90</v>
      </c>
      <c r="D13" s="8" t="s">
        <v>91</v>
      </c>
    </row>
    <row r="14" customFormat="false" ht="43.5" hidden="false" customHeight="true" outlineLevel="0" collapsed="false">
      <c r="A14" s="7" t="s">
        <v>92</v>
      </c>
      <c r="B14" s="8" t="s">
        <v>93</v>
      </c>
      <c r="C14" s="8" t="s">
        <v>94</v>
      </c>
      <c r="D14" s="8" t="s">
        <v>95</v>
      </c>
    </row>
    <row r="15" customFormat="false" ht="43.5" hidden="false" customHeight="true" outlineLevel="0" collapsed="false">
      <c r="A15" s="7" t="s">
        <v>96</v>
      </c>
      <c r="B15" s="8" t="s">
        <v>97</v>
      </c>
      <c r="C15" s="8" t="s">
        <v>98</v>
      </c>
      <c r="D15" s="8" t="s">
        <v>99</v>
      </c>
    </row>
    <row r="16" customFormat="false" ht="43.5" hidden="false" customHeight="true" outlineLevel="0" collapsed="false">
      <c r="A16" s="7" t="s">
        <v>100</v>
      </c>
      <c r="B16" s="8" t="s">
        <v>101</v>
      </c>
      <c r="C16" s="8" t="s">
        <v>102</v>
      </c>
      <c r="D16" s="8" t="s">
        <v>103</v>
      </c>
    </row>
    <row r="17" customFormat="false" ht="43.5" hidden="false" customHeight="true" outlineLevel="0" collapsed="false">
      <c r="A17" s="7" t="s">
        <v>104</v>
      </c>
      <c r="B17" s="8" t="s">
        <v>105</v>
      </c>
      <c r="C17" s="8" t="s">
        <v>106</v>
      </c>
      <c r="D17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6.51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40.25" hidden="false" customHeight="false" outlineLevel="0" collapsed="false">
      <c r="A4" s="9" t="s">
        <v>110</v>
      </c>
      <c r="B4" s="10" t="s">
        <v>111</v>
      </c>
      <c r="C4" s="10" t="s">
        <v>112</v>
      </c>
      <c r="D4" s="10" t="s">
        <v>113</v>
      </c>
      <c r="E4" s="10" t="s">
        <v>114</v>
      </c>
      <c r="F4" s="10" t="s">
        <v>115</v>
      </c>
      <c r="G4" s="10" t="s">
        <v>116</v>
      </c>
      <c r="H4" s="10" t="s">
        <v>117</v>
      </c>
      <c r="I4" s="10" t="s">
        <v>118</v>
      </c>
      <c r="J4" s="10" t="s">
        <v>119</v>
      </c>
      <c r="K4" s="10" t="s">
        <v>120</v>
      </c>
      <c r="L4" s="10" t="s">
        <v>121</v>
      </c>
      <c r="M4" s="10" t="s">
        <v>122</v>
      </c>
      <c r="N4" s="10" t="s">
        <v>123</v>
      </c>
      <c r="O4" s="10" t="s">
        <v>124</v>
      </c>
      <c r="P4" s="10" t="s">
        <v>125</v>
      </c>
    </row>
    <row r="5" customFormat="false" ht="15" hidden="false" customHeight="false" outlineLevel="0" collapsed="false">
      <c r="A5" s="11" t="s">
        <v>111</v>
      </c>
      <c r="B5" s="12" t="n">
        <v>1</v>
      </c>
      <c r="C5" s="12" t="n">
        <v>1</v>
      </c>
      <c r="D5" s="12" t="n">
        <v>1</v>
      </c>
      <c r="E5" s="12" t="n">
        <v>1</v>
      </c>
      <c r="F5" s="12" t="n">
        <v>1</v>
      </c>
      <c r="G5" s="12" t="n">
        <v>1</v>
      </c>
      <c r="H5" s="12" t="n">
        <v>1</v>
      </c>
      <c r="I5" s="12" t="n">
        <v>1</v>
      </c>
      <c r="J5" s="12" t="n">
        <v>1</v>
      </c>
      <c r="K5" s="12" t="n">
        <v>1</v>
      </c>
      <c r="L5" s="12" t="n">
        <v>1</v>
      </c>
      <c r="M5" s="12" t="n">
        <v>1</v>
      </c>
      <c r="N5" s="13" t="n">
        <v>0.5</v>
      </c>
      <c r="O5" s="14" t="n">
        <v>0</v>
      </c>
      <c r="P5" s="12" t="n">
        <v>1</v>
      </c>
    </row>
    <row r="6" customFormat="false" ht="15" hidden="false" customHeight="false" outlineLevel="0" collapsed="false">
      <c r="A6" s="11" t="s">
        <v>112</v>
      </c>
      <c r="B6" s="12" t="n">
        <v>1</v>
      </c>
      <c r="C6" s="13" t="n">
        <v>0.5</v>
      </c>
      <c r="D6" s="13" t="n">
        <v>0.5</v>
      </c>
      <c r="E6" s="12" t="n">
        <v>1</v>
      </c>
      <c r="F6" s="15" t="n">
        <v>2</v>
      </c>
      <c r="G6" s="15" t="n">
        <v>2</v>
      </c>
      <c r="H6" s="12" t="n">
        <v>1</v>
      </c>
      <c r="I6" s="12" t="n">
        <v>1</v>
      </c>
      <c r="J6" s="12" t="n">
        <v>1</v>
      </c>
      <c r="K6" s="12" t="n">
        <v>1</v>
      </c>
      <c r="L6" s="12" t="n">
        <v>1</v>
      </c>
      <c r="M6" s="15" t="n">
        <v>2</v>
      </c>
      <c r="N6" s="13" t="n">
        <v>0.5</v>
      </c>
      <c r="O6" s="12" t="n">
        <v>1</v>
      </c>
      <c r="P6" s="13" t="n">
        <v>0.5</v>
      </c>
    </row>
    <row r="7" customFormat="false" ht="15" hidden="false" customHeight="false" outlineLevel="0" collapsed="false">
      <c r="A7" s="11" t="s">
        <v>113</v>
      </c>
      <c r="B7" s="12" t="n">
        <v>1</v>
      </c>
      <c r="C7" s="15" t="n">
        <v>2</v>
      </c>
      <c r="D7" s="13" t="n">
        <v>0.5</v>
      </c>
      <c r="E7" s="12" t="n">
        <v>1</v>
      </c>
      <c r="F7" s="13" t="n">
        <v>0.5</v>
      </c>
      <c r="G7" s="12" t="n">
        <v>1</v>
      </c>
      <c r="H7" s="12" t="n">
        <v>1</v>
      </c>
      <c r="I7" s="12" t="n">
        <v>1</v>
      </c>
      <c r="J7" s="15" t="n">
        <v>2</v>
      </c>
      <c r="K7" s="12" t="n">
        <v>1</v>
      </c>
      <c r="L7" s="12" t="n">
        <v>1</v>
      </c>
      <c r="M7" s="12" t="n">
        <v>1</v>
      </c>
      <c r="N7" s="15" t="n">
        <v>2</v>
      </c>
      <c r="O7" s="12" t="n">
        <v>1</v>
      </c>
      <c r="P7" s="13" t="n">
        <v>0.5</v>
      </c>
    </row>
    <row r="8" customFormat="false" ht="15" hidden="false" customHeight="false" outlineLevel="0" collapsed="false">
      <c r="A8" s="11" t="s">
        <v>114</v>
      </c>
      <c r="B8" s="12" t="n">
        <v>1</v>
      </c>
      <c r="C8" s="12" t="n">
        <v>1</v>
      </c>
      <c r="D8" s="15" t="n">
        <v>2</v>
      </c>
      <c r="E8" s="13" t="n">
        <v>0.5</v>
      </c>
      <c r="F8" s="13" t="n">
        <v>0.5</v>
      </c>
      <c r="G8" s="12" t="n">
        <v>1</v>
      </c>
      <c r="H8" s="12" t="n">
        <v>1</v>
      </c>
      <c r="I8" s="12" t="n">
        <v>1</v>
      </c>
      <c r="J8" s="14" t="n">
        <v>0</v>
      </c>
      <c r="K8" s="15" t="n">
        <v>2</v>
      </c>
      <c r="L8" s="12" t="n">
        <v>1</v>
      </c>
      <c r="M8" s="12" t="n">
        <v>1</v>
      </c>
      <c r="N8" s="12" t="n">
        <v>1</v>
      </c>
      <c r="O8" s="12" t="n">
        <v>1</v>
      </c>
      <c r="P8" s="13" t="n">
        <v>0.5</v>
      </c>
    </row>
    <row r="9" customFormat="false" ht="15" hidden="false" customHeight="false" outlineLevel="0" collapsed="false">
      <c r="A9" s="11" t="s">
        <v>115</v>
      </c>
      <c r="B9" s="12" t="n">
        <v>1</v>
      </c>
      <c r="C9" s="13" t="n">
        <v>0.5</v>
      </c>
      <c r="D9" s="15" t="n">
        <v>2</v>
      </c>
      <c r="E9" s="12" t="n">
        <v>1</v>
      </c>
      <c r="F9" s="13" t="n">
        <v>0.5</v>
      </c>
      <c r="G9" s="12" t="n">
        <v>1</v>
      </c>
      <c r="H9" s="12" t="n">
        <v>1</v>
      </c>
      <c r="I9" s="13" t="n">
        <v>0.5</v>
      </c>
      <c r="J9" s="15" t="n">
        <v>2</v>
      </c>
      <c r="K9" s="13" t="n">
        <v>0.5</v>
      </c>
      <c r="L9" s="12" t="n">
        <v>1</v>
      </c>
      <c r="M9" s="13" t="n">
        <v>0.5</v>
      </c>
      <c r="N9" s="15" t="n">
        <v>2</v>
      </c>
      <c r="O9" s="12" t="n">
        <v>1</v>
      </c>
      <c r="P9" s="13" t="n">
        <v>0.5</v>
      </c>
    </row>
    <row r="10" customFormat="false" ht="15" hidden="false" customHeight="false" outlineLevel="0" collapsed="false">
      <c r="A10" s="11" t="s">
        <v>116</v>
      </c>
      <c r="B10" s="12" t="n">
        <v>1</v>
      </c>
      <c r="C10" s="12" t="n">
        <v>1</v>
      </c>
      <c r="D10" s="13" t="n">
        <v>0.5</v>
      </c>
      <c r="E10" s="12" t="n">
        <v>1</v>
      </c>
      <c r="F10" s="15" t="n">
        <v>2</v>
      </c>
      <c r="G10" s="13" t="n">
        <v>0.5</v>
      </c>
      <c r="H10" s="12" t="n">
        <v>1</v>
      </c>
      <c r="I10" s="12" t="n">
        <v>1</v>
      </c>
      <c r="J10" s="15" t="n">
        <v>2</v>
      </c>
      <c r="K10" s="15" t="n">
        <v>2</v>
      </c>
      <c r="L10" s="12" t="n">
        <v>1</v>
      </c>
      <c r="M10" s="12" t="n">
        <v>1</v>
      </c>
      <c r="N10" s="12" t="n">
        <v>1</v>
      </c>
      <c r="O10" s="12" t="n">
        <v>1</v>
      </c>
      <c r="P10" s="15" t="n">
        <v>2</v>
      </c>
    </row>
    <row r="11" customFormat="false" ht="15" hidden="false" customHeight="false" outlineLevel="0" collapsed="false">
      <c r="A11" s="11" t="s">
        <v>117</v>
      </c>
      <c r="B11" s="15" t="n">
        <v>2</v>
      </c>
      <c r="C11" s="12" t="n">
        <v>1</v>
      </c>
      <c r="D11" s="12" t="n">
        <v>1</v>
      </c>
      <c r="E11" s="12" t="n">
        <v>1</v>
      </c>
      <c r="F11" s="12" t="n">
        <v>1</v>
      </c>
      <c r="G11" s="15" t="n">
        <v>2</v>
      </c>
      <c r="H11" s="12" t="n">
        <v>1</v>
      </c>
      <c r="I11" s="13" t="n">
        <v>0.5</v>
      </c>
      <c r="J11" s="12" t="n">
        <v>1</v>
      </c>
      <c r="K11" s="13" t="n">
        <v>0.5</v>
      </c>
      <c r="L11" s="13" t="n">
        <v>0.5</v>
      </c>
      <c r="M11" s="13" t="n">
        <v>0.5</v>
      </c>
      <c r="N11" s="15" t="n">
        <v>2</v>
      </c>
      <c r="O11" s="14" t="n">
        <v>0</v>
      </c>
      <c r="P11" s="12" t="n">
        <v>1</v>
      </c>
    </row>
    <row r="12" customFormat="false" ht="15" hidden="false" customHeight="false" outlineLevel="0" collapsed="false">
      <c r="A12" s="11" t="s">
        <v>118</v>
      </c>
      <c r="B12" s="12" t="n">
        <v>1</v>
      </c>
      <c r="C12" s="12" t="n">
        <v>1</v>
      </c>
      <c r="D12" s="12" t="n">
        <v>1</v>
      </c>
      <c r="E12" s="12" t="n">
        <v>1</v>
      </c>
      <c r="F12" s="15" t="n">
        <v>2</v>
      </c>
      <c r="G12" s="12" t="n">
        <v>1</v>
      </c>
      <c r="H12" s="12" t="n">
        <v>1</v>
      </c>
      <c r="I12" s="13" t="n">
        <v>0.5</v>
      </c>
      <c r="J12" s="13" t="n">
        <v>0.5</v>
      </c>
      <c r="K12" s="12" t="n">
        <v>1</v>
      </c>
      <c r="L12" s="12" t="n">
        <v>1</v>
      </c>
      <c r="M12" s="15" t="n">
        <v>2</v>
      </c>
      <c r="N12" s="13" t="n">
        <v>0.5</v>
      </c>
      <c r="O12" s="13" t="n">
        <v>0.5</v>
      </c>
      <c r="P12" s="12" t="n">
        <v>1</v>
      </c>
    </row>
    <row r="13" customFormat="false" ht="15" hidden="false" customHeight="false" outlineLevel="0" collapsed="false">
      <c r="A13" s="11" t="s">
        <v>119</v>
      </c>
      <c r="B13" s="12" t="n">
        <v>1</v>
      </c>
      <c r="C13" s="15" t="n">
        <v>2</v>
      </c>
      <c r="D13" s="12" t="n">
        <v>1</v>
      </c>
      <c r="E13" s="15" t="n">
        <v>2</v>
      </c>
      <c r="F13" s="13" t="n">
        <v>0.5</v>
      </c>
      <c r="G13" s="12" t="n">
        <v>1</v>
      </c>
      <c r="H13" s="12" t="n">
        <v>1</v>
      </c>
      <c r="I13" s="15" t="n">
        <v>2</v>
      </c>
      <c r="J13" s="12" t="n">
        <v>1</v>
      </c>
      <c r="K13" s="14" t="n">
        <v>0</v>
      </c>
      <c r="L13" s="12" t="n">
        <v>1</v>
      </c>
      <c r="M13" s="13" t="n">
        <v>0.5</v>
      </c>
      <c r="N13" s="15" t="n">
        <v>2</v>
      </c>
      <c r="O13" s="12" t="n">
        <v>1</v>
      </c>
      <c r="P13" s="12" t="n">
        <v>1</v>
      </c>
    </row>
    <row r="14" customFormat="false" ht="15" hidden="false" customHeight="false" outlineLevel="0" collapsed="false">
      <c r="A14" s="11" t="s">
        <v>120</v>
      </c>
      <c r="B14" s="12" t="n">
        <v>1</v>
      </c>
      <c r="C14" s="12" t="n">
        <v>1</v>
      </c>
      <c r="D14" s="12" t="n">
        <v>1</v>
      </c>
      <c r="E14" s="13" t="n">
        <v>0.5</v>
      </c>
      <c r="F14" s="15" t="n">
        <v>2</v>
      </c>
      <c r="G14" s="12" t="n">
        <v>1</v>
      </c>
      <c r="H14" s="15" t="n">
        <v>2</v>
      </c>
      <c r="I14" s="12" t="n">
        <v>1</v>
      </c>
      <c r="J14" s="12" t="n">
        <v>1</v>
      </c>
      <c r="K14" s="12" t="n">
        <v>1</v>
      </c>
      <c r="L14" s="12" t="n">
        <v>1</v>
      </c>
      <c r="M14" s="15" t="n">
        <v>2</v>
      </c>
      <c r="N14" s="13" t="n">
        <v>0.5</v>
      </c>
      <c r="O14" s="12" t="n">
        <v>1</v>
      </c>
      <c r="P14" s="12" t="n">
        <v>1</v>
      </c>
    </row>
    <row r="15" customFormat="false" ht="15" hidden="false" customHeight="false" outlineLevel="0" collapsed="false">
      <c r="A15" s="11" t="s">
        <v>121</v>
      </c>
      <c r="B15" s="12" t="n">
        <v>1</v>
      </c>
      <c r="C15" s="12" t="n">
        <v>1</v>
      </c>
      <c r="D15" s="12" t="n">
        <v>1</v>
      </c>
      <c r="E15" s="12" t="n">
        <v>1</v>
      </c>
      <c r="F15" s="12" t="n">
        <v>1</v>
      </c>
      <c r="G15" s="12" t="n">
        <v>1</v>
      </c>
      <c r="H15" s="15" t="n">
        <v>2</v>
      </c>
      <c r="I15" s="15" t="n">
        <v>2</v>
      </c>
      <c r="J15" s="12" t="n">
        <v>1</v>
      </c>
      <c r="K15" s="12" t="n">
        <v>1</v>
      </c>
      <c r="L15" s="13" t="n">
        <v>0.5</v>
      </c>
      <c r="M15" s="12" t="n">
        <v>1</v>
      </c>
      <c r="N15" s="12" t="n">
        <v>1</v>
      </c>
      <c r="O15" s="12" t="n">
        <v>1</v>
      </c>
      <c r="P15" s="12" t="n">
        <v>1</v>
      </c>
    </row>
    <row r="16" customFormat="false" ht="15" hidden="false" customHeight="false" outlineLevel="0" collapsed="false">
      <c r="A16" s="11" t="s">
        <v>122</v>
      </c>
      <c r="B16" s="12" t="n">
        <v>1</v>
      </c>
      <c r="C16" s="13" t="n">
        <v>0.5</v>
      </c>
      <c r="D16" s="12" t="n">
        <v>1</v>
      </c>
      <c r="E16" s="12" t="n">
        <v>1</v>
      </c>
      <c r="F16" s="15" t="n">
        <v>2</v>
      </c>
      <c r="G16" s="12" t="n">
        <v>1</v>
      </c>
      <c r="H16" s="13" t="n">
        <v>0.5</v>
      </c>
      <c r="I16" s="16" t="n">
        <v>1</v>
      </c>
      <c r="J16" s="12" t="n">
        <v>1</v>
      </c>
      <c r="K16" s="13" t="n">
        <v>0.5</v>
      </c>
      <c r="L16" s="15" t="n">
        <v>2</v>
      </c>
      <c r="M16" s="12" t="n">
        <v>1</v>
      </c>
      <c r="N16" s="12" t="n">
        <v>1</v>
      </c>
      <c r="O16" s="13" t="n">
        <v>0.5</v>
      </c>
      <c r="P16" s="12" t="n">
        <v>1</v>
      </c>
    </row>
    <row r="17" customFormat="false" ht="15" hidden="false" customHeight="false" outlineLevel="0" collapsed="false">
      <c r="A17" s="11" t="s">
        <v>123</v>
      </c>
      <c r="B17" s="12" t="n">
        <v>1</v>
      </c>
      <c r="C17" s="15" t="n">
        <v>2</v>
      </c>
      <c r="D17" s="12" t="n">
        <v>1</v>
      </c>
      <c r="E17" s="12" t="n">
        <v>1</v>
      </c>
      <c r="F17" s="12" t="n">
        <v>1</v>
      </c>
      <c r="G17" s="15" t="n">
        <v>2</v>
      </c>
      <c r="H17" s="13" t="n">
        <v>0.5</v>
      </c>
      <c r="I17" s="12" t="n">
        <v>1</v>
      </c>
      <c r="J17" s="13" t="n">
        <v>0.5</v>
      </c>
      <c r="K17" s="15" t="n">
        <v>2</v>
      </c>
      <c r="L17" s="12" t="n">
        <v>1</v>
      </c>
      <c r="M17" s="15" t="n">
        <v>2</v>
      </c>
      <c r="N17" s="12" t="n">
        <v>1</v>
      </c>
      <c r="O17" s="12" t="n">
        <v>1</v>
      </c>
      <c r="P17" s="12" t="n">
        <v>1</v>
      </c>
    </row>
    <row r="18" customFormat="false" ht="15" hidden="false" customHeight="false" outlineLevel="0" collapsed="false">
      <c r="A18" s="11" t="s">
        <v>124</v>
      </c>
      <c r="B18" s="14" t="n">
        <v>0</v>
      </c>
      <c r="C18" s="12" t="n">
        <v>1</v>
      </c>
      <c r="D18" s="12" t="n">
        <v>1</v>
      </c>
      <c r="E18" s="12" t="n">
        <v>1</v>
      </c>
      <c r="F18" s="12" t="n">
        <v>1</v>
      </c>
      <c r="G18" s="12" t="n">
        <v>1</v>
      </c>
      <c r="H18" s="12" t="n">
        <v>1</v>
      </c>
      <c r="I18" s="12" t="n">
        <v>1</v>
      </c>
      <c r="J18" s="12" t="n">
        <v>1</v>
      </c>
      <c r="K18" s="12" t="n">
        <v>1</v>
      </c>
      <c r="L18" s="16" t="n">
        <v>2</v>
      </c>
      <c r="M18" s="12" t="n">
        <v>1</v>
      </c>
      <c r="N18" s="12" t="n">
        <v>1</v>
      </c>
      <c r="O18" s="15" t="n">
        <v>2</v>
      </c>
      <c r="P18" s="12" t="n">
        <v>1</v>
      </c>
    </row>
    <row r="19" customFormat="false" ht="15" hidden="false" customHeight="false" outlineLevel="0" collapsed="false">
      <c r="A19" s="11" t="s">
        <v>125</v>
      </c>
      <c r="B19" s="12" t="n">
        <v>1</v>
      </c>
      <c r="C19" s="12" t="n">
        <v>1</v>
      </c>
      <c r="D19" s="12" t="n">
        <v>1</v>
      </c>
      <c r="E19" s="12" t="n">
        <v>1</v>
      </c>
      <c r="F19" s="12" t="n">
        <v>1</v>
      </c>
      <c r="G19" s="12" t="n">
        <v>1</v>
      </c>
      <c r="H19" s="12" t="n">
        <v>1</v>
      </c>
      <c r="I19" s="12" t="n">
        <v>1</v>
      </c>
      <c r="J19" s="12" t="n">
        <v>1</v>
      </c>
      <c r="K19" s="12" t="n">
        <v>1</v>
      </c>
      <c r="L19" s="12" t="n">
        <v>1</v>
      </c>
      <c r="M19" s="12" t="n">
        <v>1</v>
      </c>
      <c r="N19" s="12" t="n">
        <v>1</v>
      </c>
      <c r="O19" s="12" t="n">
        <v>1</v>
      </c>
      <c r="P19" s="15" t="n">
        <v>2</v>
      </c>
    </row>
    <row r="21" customFormat="false" ht="15" hidden="false" customHeight="false" outlineLevel="0" collapsed="false">
      <c r="A21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5"/>
    <col collapsed="false" customWidth="true" hidden="false" outlineLevel="0" max="6" min="5" style="0" width="10"/>
    <col collapsed="false" customWidth="true" hidden="false" outlineLevel="0" max="21" min="7" style="0" width="7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35.05" hidden="false" customHeight="false" outlineLevel="0" collapsed="false">
      <c r="A4" s="6" t="s">
        <v>129</v>
      </c>
      <c r="B4" s="6" t="s">
        <v>130</v>
      </c>
      <c r="C4" s="6" t="s">
        <v>131</v>
      </c>
      <c r="D4" s="6" t="s">
        <v>132</v>
      </c>
      <c r="E4" s="6" t="s">
        <v>133</v>
      </c>
      <c r="F4" s="6" t="s">
        <v>134</v>
      </c>
      <c r="G4" s="6" t="s">
        <v>111</v>
      </c>
      <c r="H4" s="6" t="s">
        <v>112</v>
      </c>
      <c r="I4" s="6" t="s">
        <v>113</v>
      </c>
      <c r="J4" s="6" t="s">
        <v>114</v>
      </c>
      <c r="K4" s="6" t="s">
        <v>115</v>
      </c>
      <c r="L4" s="6" t="s">
        <v>116</v>
      </c>
      <c r="M4" s="6" t="s">
        <v>117</v>
      </c>
      <c r="N4" s="6" t="s">
        <v>118</v>
      </c>
      <c r="O4" s="6" t="s">
        <v>119</v>
      </c>
      <c r="P4" s="6" t="s">
        <v>120</v>
      </c>
      <c r="Q4" s="6" t="s">
        <v>121</v>
      </c>
      <c r="R4" s="6" t="s">
        <v>122</v>
      </c>
      <c r="S4" s="6" t="s">
        <v>123</v>
      </c>
      <c r="T4" s="6" t="s">
        <v>124</v>
      </c>
      <c r="U4" s="6" t="s">
        <v>125</v>
      </c>
    </row>
    <row r="5" customFormat="false" ht="15" hidden="false" customHeight="false" outlineLevel="0" collapsed="false">
      <c r="A5" s="17" t="s">
        <v>135</v>
      </c>
      <c r="B5" s="17" t="s">
        <v>136</v>
      </c>
      <c r="C5" s="17" t="s">
        <v>137</v>
      </c>
      <c r="D5" s="17" t="n">
        <v>10</v>
      </c>
      <c r="E5" s="17" t="s">
        <v>123</v>
      </c>
      <c r="F5" s="17" t="s">
        <v>119</v>
      </c>
      <c r="G5" s="18" t="n">
        <f aca="false">INDEX('Type Chart'!$B$5:$P$19,MATCH(G$4,'Type Chart'!$A$5:$A$19,0),MATCH($E5,'Type Chart'!$B$4:$P$4,0))*IF($F5="",1,INDEX('Type Chart'!$B$5:$P$19,MATCH(G$4,'Type Chart'!$A$5:$A$19,0),MATCH($F5,'Type Chart'!$B$4:$P$4,0)))</f>
        <v>0.5</v>
      </c>
      <c r="H5" s="18" t="n">
        <f aca="false">INDEX('Type Chart'!$B$5:$P$19,MATCH(H$4,'Type Chart'!$A$5:$A$19,0),MATCH($E5,'Type Chart'!$B$4:$P$4,0))*IF($F5="",1,INDEX('Type Chart'!$B$5:$P$19,MATCH(H$4,'Type Chart'!$A$5:$A$19,0),MATCH($F5,'Type Chart'!$B$4:$P$4,0)))</f>
        <v>0.5</v>
      </c>
      <c r="I5" s="18" t="n">
        <f aca="false">INDEX('Type Chart'!$B$5:$P$19,MATCH(I$4,'Type Chart'!$A$5:$A$19,0),MATCH($E5,'Type Chart'!$B$4:$P$4,0))*IF($F5="",1,INDEX('Type Chart'!$B$5:$P$19,MATCH(I$4,'Type Chart'!$A$5:$A$19,0),MATCH($F5,'Type Chart'!$B$4:$P$4,0)))</f>
        <v>4</v>
      </c>
      <c r="J5" s="18" t="n">
        <f aca="false">INDEX('Type Chart'!$B$5:$P$19,MATCH(J$4,'Type Chart'!$A$5:$A$19,0),MATCH($E5,'Type Chart'!$B$4:$P$4,0))*IF($F5="",1,INDEX('Type Chart'!$B$5:$P$19,MATCH(J$4,'Type Chart'!$A$5:$A$19,0),MATCH($F5,'Type Chart'!$B$4:$P$4,0)))</f>
        <v>0</v>
      </c>
      <c r="K5" s="18" t="n">
        <f aca="false">INDEX('Type Chart'!$B$5:$P$19,MATCH(K$4,'Type Chart'!$A$5:$A$19,0),MATCH($E5,'Type Chart'!$B$4:$P$4,0))*IF($F5="",1,INDEX('Type Chart'!$B$5:$P$19,MATCH(K$4,'Type Chart'!$A$5:$A$19,0),MATCH($F5,'Type Chart'!$B$4:$P$4,0)))</f>
        <v>4</v>
      </c>
      <c r="L5" s="18" t="n">
        <f aca="false">INDEX('Type Chart'!$B$5:$P$19,MATCH(L$4,'Type Chart'!$A$5:$A$19,0),MATCH($E5,'Type Chart'!$B$4:$P$4,0))*IF($F5="",1,INDEX('Type Chart'!$B$5:$P$19,MATCH(L$4,'Type Chart'!$A$5:$A$19,0),MATCH($F5,'Type Chart'!$B$4:$P$4,0)))</f>
        <v>2</v>
      </c>
      <c r="M5" s="18" t="n">
        <f aca="false">INDEX('Type Chart'!$B$5:$P$19,MATCH(M$4,'Type Chart'!$A$5:$A$19,0),MATCH($E5,'Type Chart'!$B$4:$P$4,0))*IF($F5="",1,INDEX('Type Chart'!$B$5:$P$19,MATCH(M$4,'Type Chart'!$A$5:$A$19,0),MATCH($F5,'Type Chart'!$B$4:$P$4,0)))</f>
        <v>2</v>
      </c>
      <c r="N5" s="18" t="n">
        <f aca="false">INDEX('Type Chart'!$B$5:$P$19,MATCH(N$4,'Type Chart'!$A$5:$A$19,0),MATCH($E5,'Type Chart'!$B$4:$P$4,0))*IF($F5="",1,INDEX('Type Chart'!$B$5:$P$19,MATCH(N$4,'Type Chart'!$A$5:$A$19,0),MATCH($F5,'Type Chart'!$B$4:$P$4,0)))</f>
        <v>0.25</v>
      </c>
      <c r="O5" s="18" t="n">
        <f aca="false">INDEX('Type Chart'!$B$5:$P$19,MATCH(O$4,'Type Chart'!$A$5:$A$19,0),MATCH($E5,'Type Chart'!$B$4:$P$4,0))*IF($F5="",1,INDEX('Type Chart'!$B$5:$P$19,MATCH(O$4,'Type Chart'!$A$5:$A$19,0),MATCH($F5,'Type Chart'!$B$4:$P$4,0)))</f>
        <v>2</v>
      </c>
      <c r="P5" s="18" t="n">
        <f aca="false">INDEX('Type Chart'!$B$5:$P$19,MATCH(P$4,'Type Chart'!$A$5:$A$19,0),MATCH($E5,'Type Chart'!$B$4:$P$4,0))*IF($F5="",1,INDEX('Type Chart'!$B$5:$P$19,MATCH(P$4,'Type Chart'!$A$5:$A$19,0),MATCH($F5,'Type Chart'!$B$4:$P$4,0)))</f>
        <v>0.5</v>
      </c>
      <c r="Q5" s="18" t="n">
        <f aca="false">INDEX('Type Chart'!$B$5:$P$19,MATCH(Q$4,'Type Chart'!$A$5:$A$19,0),MATCH($E5,'Type Chart'!$B$4:$P$4,0))*IF($F5="",1,INDEX('Type Chart'!$B$5:$P$19,MATCH(Q$4,'Type Chart'!$A$5:$A$19,0),MATCH($F5,'Type Chart'!$B$4:$P$4,0)))</f>
        <v>1</v>
      </c>
      <c r="R5" s="18" t="n">
        <f aca="false">INDEX('Type Chart'!$B$5:$P$19,MATCH(R$4,'Type Chart'!$A$5:$A$19,0),MATCH($E5,'Type Chart'!$B$4:$P$4,0))*IF($F5="",1,INDEX('Type Chart'!$B$5:$P$19,MATCH(R$4,'Type Chart'!$A$5:$A$19,0),MATCH($F5,'Type Chart'!$B$4:$P$4,0)))</f>
        <v>1</v>
      </c>
      <c r="S5" s="18" t="n">
        <f aca="false">INDEX('Type Chart'!$B$5:$P$19,MATCH(S$4,'Type Chart'!$A$5:$A$19,0),MATCH($E5,'Type Chart'!$B$4:$P$4,0))*IF($F5="",1,INDEX('Type Chart'!$B$5:$P$19,MATCH(S$4,'Type Chart'!$A$5:$A$19,0),MATCH($F5,'Type Chart'!$B$4:$P$4,0)))</f>
        <v>0.5</v>
      </c>
      <c r="T5" s="18" t="n">
        <f aca="false">INDEX('Type Chart'!$B$5:$P$19,MATCH(T$4,'Type Chart'!$A$5:$A$19,0),MATCH($E5,'Type Chart'!$B$4:$P$4,0))*IF($F5="",1,INDEX('Type Chart'!$B$5:$P$19,MATCH(T$4,'Type Chart'!$A$5:$A$19,0),MATCH($F5,'Type Chart'!$B$4:$P$4,0)))</f>
        <v>1</v>
      </c>
      <c r="U5" s="18" t="n">
        <f aca="false">INDEX('Type Chart'!$B$5:$P$19,MATCH(U$4,'Type Chart'!$A$5:$A$19,0),MATCH($E5,'Type Chart'!$B$4:$P$4,0))*IF($F5="",1,INDEX('Type Chart'!$B$5:$P$19,MATCH(U$4,'Type Chart'!$A$5:$A$19,0),MATCH($F5,'Type Chart'!$B$4:$P$4,0)))</f>
        <v>1</v>
      </c>
    </row>
    <row r="6" customFormat="false" ht="15" hidden="false" customHeight="false" outlineLevel="0" collapsed="false">
      <c r="A6" s="17" t="s">
        <v>135</v>
      </c>
      <c r="B6" s="17" t="s">
        <v>136</v>
      </c>
      <c r="C6" s="17" t="s">
        <v>88</v>
      </c>
      <c r="D6" s="17" t="n">
        <v>12</v>
      </c>
      <c r="E6" s="17" t="s">
        <v>123</v>
      </c>
      <c r="F6" s="17" t="s">
        <v>119</v>
      </c>
      <c r="G6" s="18" t="n">
        <f aca="false">INDEX('Type Chart'!$B$5:$P$19,MATCH(G$4,'Type Chart'!$A$5:$A$19,0),MATCH($E6,'Type Chart'!$B$4:$P$4,0))*IF($F6="",1,INDEX('Type Chart'!$B$5:$P$19,MATCH(G$4,'Type Chart'!$A$5:$A$19,0),MATCH($F6,'Type Chart'!$B$4:$P$4,0)))</f>
        <v>0.5</v>
      </c>
      <c r="H6" s="18" t="n">
        <f aca="false">INDEX('Type Chart'!$B$5:$P$19,MATCH(H$4,'Type Chart'!$A$5:$A$19,0),MATCH($E6,'Type Chart'!$B$4:$P$4,0))*IF($F6="",1,INDEX('Type Chart'!$B$5:$P$19,MATCH(H$4,'Type Chart'!$A$5:$A$19,0),MATCH($F6,'Type Chart'!$B$4:$P$4,0)))</f>
        <v>0.5</v>
      </c>
      <c r="I6" s="18" t="n">
        <f aca="false">INDEX('Type Chart'!$B$5:$P$19,MATCH(I$4,'Type Chart'!$A$5:$A$19,0),MATCH($E6,'Type Chart'!$B$4:$P$4,0))*IF($F6="",1,INDEX('Type Chart'!$B$5:$P$19,MATCH(I$4,'Type Chart'!$A$5:$A$19,0),MATCH($F6,'Type Chart'!$B$4:$P$4,0)))</f>
        <v>4</v>
      </c>
      <c r="J6" s="18" t="n">
        <f aca="false">INDEX('Type Chart'!$B$5:$P$19,MATCH(J$4,'Type Chart'!$A$5:$A$19,0),MATCH($E6,'Type Chart'!$B$4:$P$4,0))*IF($F6="",1,INDEX('Type Chart'!$B$5:$P$19,MATCH(J$4,'Type Chart'!$A$5:$A$19,0),MATCH($F6,'Type Chart'!$B$4:$P$4,0)))</f>
        <v>0</v>
      </c>
      <c r="K6" s="18" t="n">
        <f aca="false">INDEX('Type Chart'!$B$5:$P$19,MATCH(K$4,'Type Chart'!$A$5:$A$19,0),MATCH($E6,'Type Chart'!$B$4:$P$4,0))*IF($F6="",1,INDEX('Type Chart'!$B$5:$P$19,MATCH(K$4,'Type Chart'!$A$5:$A$19,0),MATCH($F6,'Type Chart'!$B$4:$P$4,0)))</f>
        <v>4</v>
      </c>
      <c r="L6" s="18" t="n">
        <f aca="false">INDEX('Type Chart'!$B$5:$P$19,MATCH(L$4,'Type Chart'!$A$5:$A$19,0),MATCH($E6,'Type Chart'!$B$4:$P$4,0))*IF($F6="",1,INDEX('Type Chart'!$B$5:$P$19,MATCH(L$4,'Type Chart'!$A$5:$A$19,0),MATCH($F6,'Type Chart'!$B$4:$P$4,0)))</f>
        <v>2</v>
      </c>
      <c r="M6" s="18" t="n">
        <f aca="false">INDEX('Type Chart'!$B$5:$P$19,MATCH(M$4,'Type Chart'!$A$5:$A$19,0),MATCH($E6,'Type Chart'!$B$4:$P$4,0))*IF($F6="",1,INDEX('Type Chart'!$B$5:$P$19,MATCH(M$4,'Type Chart'!$A$5:$A$19,0),MATCH($F6,'Type Chart'!$B$4:$P$4,0)))</f>
        <v>2</v>
      </c>
      <c r="N6" s="18" t="n">
        <f aca="false">INDEX('Type Chart'!$B$5:$P$19,MATCH(N$4,'Type Chart'!$A$5:$A$19,0),MATCH($E6,'Type Chart'!$B$4:$P$4,0))*IF($F6="",1,INDEX('Type Chart'!$B$5:$P$19,MATCH(N$4,'Type Chart'!$A$5:$A$19,0),MATCH($F6,'Type Chart'!$B$4:$P$4,0)))</f>
        <v>0.25</v>
      </c>
      <c r="O6" s="18" t="n">
        <f aca="false">INDEX('Type Chart'!$B$5:$P$19,MATCH(O$4,'Type Chart'!$A$5:$A$19,0),MATCH($E6,'Type Chart'!$B$4:$P$4,0))*IF($F6="",1,INDEX('Type Chart'!$B$5:$P$19,MATCH(O$4,'Type Chart'!$A$5:$A$19,0),MATCH($F6,'Type Chart'!$B$4:$P$4,0)))</f>
        <v>2</v>
      </c>
      <c r="P6" s="18" t="n">
        <f aca="false">INDEX('Type Chart'!$B$5:$P$19,MATCH(P$4,'Type Chart'!$A$5:$A$19,0),MATCH($E6,'Type Chart'!$B$4:$P$4,0))*IF($F6="",1,INDEX('Type Chart'!$B$5:$P$19,MATCH(P$4,'Type Chart'!$A$5:$A$19,0),MATCH($F6,'Type Chart'!$B$4:$P$4,0)))</f>
        <v>0.5</v>
      </c>
      <c r="Q6" s="18" t="n">
        <f aca="false">INDEX('Type Chart'!$B$5:$P$19,MATCH(Q$4,'Type Chart'!$A$5:$A$19,0),MATCH($E6,'Type Chart'!$B$4:$P$4,0))*IF($F6="",1,INDEX('Type Chart'!$B$5:$P$19,MATCH(Q$4,'Type Chart'!$A$5:$A$19,0),MATCH($F6,'Type Chart'!$B$4:$P$4,0)))</f>
        <v>1</v>
      </c>
      <c r="R6" s="18" t="n">
        <f aca="false">INDEX('Type Chart'!$B$5:$P$19,MATCH(R$4,'Type Chart'!$A$5:$A$19,0),MATCH($E6,'Type Chart'!$B$4:$P$4,0))*IF($F6="",1,INDEX('Type Chart'!$B$5:$P$19,MATCH(R$4,'Type Chart'!$A$5:$A$19,0),MATCH($F6,'Type Chart'!$B$4:$P$4,0)))</f>
        <v>1</v>
      </c>
      <c r="S6" s="18" t="n">
        <f aca="false">INDEX('Type Chart'!$B$5:$P$19,MATCH(S$4,'Type Chart'!$A$5:$A$19,0),MATCH($E6,'Type Chart'!$B$4:$P$4,0))*IF($F6="",1,INDEX('Type Chart'!$B$5:$P$19,MATCH(S$4,'Type Chart'!$A$5:$A$19,0),MATCH($F6,'Type Chart'!$B$4:$P$4,0)))</f>
        <v>0.5</v>
      </c>
      <c r="T6" s="18" t="n">
        <f aca="false">INDEX('Type Chart'!$B$5:$P$19,MATCH(T$4,'Type Chart'!$A$5:$A$19,0),MATCH($E6,'Type Chart'!$B$4:$P$4,0))*IF($F6="",1,INDEX('Type Chart'!$B$5:$P$19,MATCH(T$4,'Type Chart'!$A$5:$A$19,0),MATCH($F6,'Type Chart'!$B$4:$P$4,0)))</f>
        <v>1</v>
      </c>
      <c r="U6" s="18" t="n">
        <f aca="false">INDEX('Type Chart'!$B$5:$P$19,MATCH(U$4,'Type Chart'!$A$5:$A$19,0),MATCH($E6,'Type Chart'!$B$4:$P$4,0))*IF($F6="",1,INDEX('Type Chart'!$B$5:$P$19,MATCH(U$4,'Type Chart'!$A$5:$A$19,0),MATCH($F6,'Type Chart'!$B$4:$P$4,0)))</f>
        <v>1</v>
      </c>
    </row>
    <row r="7" customFormat="false" ht="15" hidden="false" customHeight="false" outlineLevel="0" collapsed="false">
      <c r="A7" s="17" t="s">
        <v>138</v>
      </c>
      <c r="B7" s="17" t="s">
        <v>139</v>
      </c>
      <c r="C7" s="17" t="s">
        <v>140</v>
      </c>
      <c r="D7" s="17" t="n">
        <v>19</v>
      </c>
      <c r="E7" s="17" t="s">
        <v>113</v>
      </c>
      <c r="F7" s="17"/>
      <c r="G7" s="18" t="n">
        <f aca="false">INDEX('Type Chart'!$B$5:$P$19,MATCH(G$4,'Type Chart'!$A$5:$A$19,0),MATCH($E7,'Type Chart'!$B$4:$P$4,0))*IF($F7="",1,INDEX('Type Chart'!$B$5:$P$19,MATCH(G$4,'Type Chart'!$A$5:$A$19,0),MATCH($F7,'Type Chart'!$B$4:$P$4,0)))</f>
        <v>1</v>
      </c>
      <c r="H7" s="18" t="n">
        <f aca="false">INDEX('Type Chart'!$B$5:$P$19,MATCH(H$4,'Type Chart'!$A$5:$A$19,0),MATCH($E7,'Type Chart'!$B$4:$P$4,0))*IF($F7="",1,INDEX('Type Chart'!$B$5:$P$19,MATCH(H$4,'Type Chart'!$A$5:$A$19,0),MATCH($F7,'Type Chart'!$B$4:$P$4,0)))</f>
        <v>0.5</v>
      </c>
      <c r="I7" s="18" t="n">
        <f aca="false">INDEX('Type Chart'!$B$5:$P$19,MATCH(I$4,'Type Chart'!$A$5:$A$19,0),MATCH($E7,'Type Chart'!$B$4:$P$4,0))*IF($F7="",1,INDEX('Type Chart'!$B$5:$P$19,MATCH(I$4,'Type Chart'!$A$5:$A$19,0),MATCH($F7,'Type Chart'!$B$4:$P$4,0)))</f>
        <v>0.5</v>
      </c>
      <c r="J7" s="18" t="n">
        <f aca="false">INDEX('Type Chart'!$B$5:$P$19,MATCH(J$4,'Type Chart'!$A$5:$A$19,0),MATCH($E7,'Type Chart'!$B$4:$P$4,0))*IF($F7="",1,INDEX('Type Chart'!$B$5:$P$19,MATCH(J$4,'Type Chart'!$A$5:$A$19,0),MATCH($F7,'Type Chart'!$B$4:$P$4,0)))</f>
        <v>2</v>
      </c>
      <c r="K7" s="18" t="n">
        <f aca="false">INDEX('Type Chart'!$B$5:$P$19,MATCH(K$4,'Type Chart'!$A$5:$A$19,0),MATCH($E7,'Type Chart'!$B$4:$P$4,0))*IF($F7="",1,INDEX('Type Chart'!$B$5:$P$19,MATCH(K$4,'Type Chart'!$A$5:$A$19,0),MATCH($F7,'Type Chart'!$B$4:$P$4,0)))</f>
        <v>2</v>
      </c>
      <c r="L7" s="18" t="n">
        <f aca="false">INDEX('Type Chart'!$B$5:$P$19,MATCH(L$4,'Type Chart'!$A$5:$A$19,0),MATCH($E7,'Type Chart'!$B$4:$P$4,0))*IF($F7="",1,INDEX('Type Chart'!$B$5:$P$19,MATCH(L$4,'Type Chart'!$A$5:$A$19,0),MATCH($F7,'Type Chart'!$B$4:$P$4,0)))</f>
        <v>0.5</v>
      </c>
      <c r="M7" s="18" t="n">
        <f aca="false">INDEX('Type Chart'!$B$5:$P$19,MATCH(M$4,'Type Chart'!$A$5:$A$19,0),MATCH($E7,'Type Chart'!$B$4:$P$4,0))*IF($F7="",1,INDEX('Type Chart'!$B$5:$P$19,MATCH(M$4,'Type Chart'!$A$5:$A$19,0),MATCH($F7,'Type Chart'!$B$4:$P$4,0)))</f>
        <v>1</v>
      </c>
      <c r="N7" s="18" t="n">
        <f aca="false">INDEX('Type Chart'!$B$5:$P$19,MATCH(N$4,'Type Chart'!$A$5:$A$19,0),MATCH($E7,'Type Chart'!$B$4:$P$4,0))*IF($F7="",1,INDEX('Type Chart'!$B$5:$P$19,MATCH(N$4,'Type Chart'!$A$5:$A$19,0),MATCH($F7,'Type Chart'!$B$4:$P$4,0)))</f>
        <v>1</v>
      </c>
      <c r="O7" s="18" t="n">
        <f aca="false">INDEX('Type Chart'!$B$5:$P$19,MATCH(O$4,'Type Chart'!$A$5:$A$19,0),MATCH($E7,'Type Chart'!$B$4:$P$4,0))*IF($F7="",1,INDEX('Type Chart'!$B$5:$P$19,MATCH(O$4,'Type Chart'!$A$5:$A$19,0),MATCH($F7,'Type Chart'!$B$4:$P$4,0)))</f>
        <v>1</v>
      </c>
      <c r="P7" s="18" t="n">
        <f aca="false">INDEX('Type Chart'!$B$5:$P$19,MATCH(P$4,'Type Chart'!$A$5:$A$19,0),MATCH($E7,'Type Chart'!$B$4:$P$4,0))*IF($F7="",1,INDEX('Type Chart'!$B$5:$P$19,MATCH(P$4,'Type Chart'!$A$5:$A$19,0),MATCH($F7,'Type Chart'!$B$4:$P$4,0)))</f>
        <v>1</v>
      </c>
      <c r="Q7" s="18" t="n">
        <f aca="false">INDEX('Type Chart'!$B$5:$P$19,MATCH(Q$4,'Type Chart'!$A$5:$A$19,0),MATCH($E7,'Type Chart'!$B$4:$P$4,0))*IF($F7="",1,INDEX('Type Chart'!$B$5:$P$19,MATCH(Q$4,'Type Chart'!$A$5:$A$19,0),MATCH($F7,'Type Chart'!$B$4:$P$4,0)))</f>
        <v>1</v>
      </c>
      <c r="R7" s="18" t="n">
        <f aca="false">INDEX('Type Chart'!$B$5:$P$19,MATCH(R$4,'Type Chart'!$A$5:$A$19,0),MATCH($E7,'Type Chart'!$B$4:$P$4,0))*IF($F7="",1,INDEX('Type Chart'!$B$5:$P$19,MATCH(R$4,'Type Chart'!$A$5:$A$19,0),MATCH($F7,'Type Chart'!$B$4:$P$4,0)))</f>
        <v>1</v>
      </c>
      <c r="S7" s="18" t="n">
        <f aca="false">INDEX('Type Chart'!$B$5:$P$19,MATCH(S$4,'Type Chart'!$A$5:$A$19,0),MATCH($E7,'Type Chart'!$B$4:$P$4,0))*IF($F7="",1,INDEX('Type Chart'!$B$5:$P$19,MATCH(S$4,'Type Chart'!$A$5:$A$19,0),MATCH($F7,'Type Chart'!$B$4:$P$4,0)))</f>
        <v>1</v>
      </c>
      <c r="T7" s="18" t="n">
        <f aca="false">INDEX('Type Chart'!$B$5:$P$19,MATCH(T$4,'Type Chart'!$A$5:$A$19,0),MATCH($E7,'Type Chart'!$B$4:$P$4,0))*IF($F7="",1,INDEX('Type Chart'!$B$5:$P$19,MATCH(T$4,'Type Chart'!$A$5:$A$19,0),MATCH($F7,'Type Chart'!$B$4:$P$4,0)))</f>
        <v>1</v>
      </c>
      <c r="U7" s="18" t="n">
        <f aca="false">INDEX('Type Chart'!$B$5:$P$19,MATCH(U$4,'Type Chart'!$A$5:$A$19,0),MATCH($E7,'Type Chart'!$B$4:$P$4,0))*IF($F7="",1,INDEX('Type Chart'!$B$5:$P$19,MATCH(U$4,'Type Chart'!$A$5:$A$19,0),MATCH($F7,'Type Chart'!$B$4:$P$4,0)))</f>
        <v>1</v>
      </c>
    </row>
    <row r="8" customFormat="false" ht="15" hidden="false" customHeight="false" outlineLevel="0" collapsed="false">
      <c r="A8" s="17" t="s">
        <v>138</v>
      </c>
      <c r="B8" s="17" t="s">
        <v>139</v>
      </c>
      <c r="C8" s="17" t="s">
        <v>141</v>
      </c>
      <c r="D8" s="17" t="n">
        <v>18</v>
      </c>
      <c r="E8" s="17" t="s">
        <v>113</v>
      </c>
      <c r="F8" s="17"/>
      <c r="G8" s="18" t="n">
        <f aca="false">INDEX('Type Chart'!$B$5:$P$19,MATCH(G$4,'Type Chart'!$A$5:$A$19,0),MATCH($E8,'Type Chart'!$B$4:$P$4,0))*IF($F8="",1,INDEX('Type Chart'!$B$5:$P$19,MATCH(G$4,'Type Chart'!$A$5:$A$19,0),MATCH($F8,'Type Chart'!$B$4:$P$4,0)))</f>
        <v>1</v>
      </c>
      <c r="H8" s="18" t="n">
        <f aca="false">INDEX('Type Chart'!$B$5:$P$19,MATCH(H$4,'Type Chart'!$A$5:$A$19,0),MATCH($E8,'Type Chart'!$B$4:$P$4,0))*IF($F8="",1,INDEX('Type Chart'!$B$5:$P$19,MATCH(H$4,'Type Chart'!$A$5:$A$19,0),MATCH($F8,'Type Chart'!$B$4:$P$4,0)))</f>
        <v>0.5</v>
      </c>
      <c r="I8" s="18" t="n">
        <f aca="false">INDEX('Type Chart'!$B$5:$P$19,MATCH(I$4,'Type Chart'!$A$5:$A$19,0),MATCH($E8,'Type Chart'!$B$4:$P$4,0))*IF($F8="",1,INDEX('Type Chart'!$B$5:$P$19,MATCH(I$4,'Type Chart'!$A$5:$A$19,0),MATCH($F8,'Type Chart'!$B$4:$P$4,0)))</f>
        <v>0.5</v>
      </c>
      <c r="J8" s="18" t="n">
        <f aca="false">INDEX('Type Chart'!$B$5:$P$19,MATCH(J$4,'Type Chart'!$A$5:$A$19,0),MATCH($E8,'Type Chart'!$B$4:$P$4,0))*IF($F8="",1,INDEX('Type Chart'!$B$5:$P$19,MATCH(J$4,'Type Chart'!$A$5:$A$19,0),MATCH($F8,'Type Chart'!$B$4:$P$4,0)))</f>
        <v>2</v>
      </c>
      <c r="K8" s="18" t="n">
        <f aca="false">INDEX('Type Chart'!$B$5:$P$19,MATCH(K$4,'Type Chart'!$A$5:$A$19,0),MATCH($E8,'Type Chart'!$B$4:$P$4,0))*IF($F8="",1,INDEX('Type Chart'!$B$5:$P$19,MATCH(K$4,'Type Chart'!$A$5:$A$19,0),MATCH($F8,'Type Chart'!$B$4:$P$4,0)))</f>
        <v>2</v>
      </c>
      <c r="L8" s="18" t="n">
        <f aca="false">INDEX('Type Chart'!$B$5:$P$19,MATCH(L$4,'Type Chart'!$A$5:$A$19,0),MATCH($E8,'Type Chart'!$B$4:$P$4,0))*IF($F8="",1,INDEX('Type Chart'!$B$5:$P$19,MATCH(L$4,'Type Chart'!$A$5:$A$19,0),MATCH($F8,'Type Chart'!$B$4:$P$4,0)))</f>
        <v>0.5</v>
      </c>
      <c r="M8" s="18" t="n">
        <f aca="false">INDEX('Type Chart'!$B$5:$P$19,MATCH(M$4,'Type Chart'!$A$5:$A$19,0),MATCH($E8,'Type Chart'!$B$4:$P$4,0))*IF($F8="",1,INDEX('Type Chart'!$B$5:$P$19,MATCH(M$4,'Type Chart'!$A$5:$A$19,0),MATCH($F8,'Type Chart'!$B$4:$P$4,0)))</f>
        <v>1</v>
      </c>
      <c r="N8" s="18" t="n">
        <f aca="false">INDEX('Type Chart'!$B$5:$P$19,MATCH(N$4,'Type Chart'!$A$5:$A$19,0),MATCH($E8,'Type Chart'!$B$4:$P$4,0))*IF($F8="",1,INDEX('Type Chart'!$B$5:$P$19,MATCH(N$4,'Type Chart'!$A$5:$A$19,0),MATCH($F8,'Type Chart'!$B$4:$P$4,0)))</f>
        <v>1</v>
      </c>
      <c r="O8" s="18" t="n">
        <f aca="false">INDEX('Type Chart'!$B$5:$P$19,MATCH(O$4,'Type Chart'!$A$5:$A$19,0),MATCH($E8,'Type Chart'!$B$4:$P$4,0))*IF($F8="",1,INDEX('Type Chart'!$B$5:$P$19,MATCH(O$4,'Type Chart'!$A$5:$A$19,0),MATCH($F8,'Type Chart'!$B$4:$P$4,0)))</f>
        <v>1</v>
      </c>
      <c r="P8" s="18" t="n">
        <f aca="false">INDEX('Type Chart'!$B$5:$P$19,MATCH(P$4,'Type Chart'!$A$5:$A$19,0),MATCH($E8,'Type Chart'!$B$4:$P$4,0))*IF($F8="",1,INDEX('Type Chart'!$B$5:$P$19,MATCH(P$4,'Type Chart'!$A$5:$A$19,0),MATCH($F8,'Type Chart'!$B$4:$P$4,0)))</f>
        <v>1</v>
      </c>
      <c r="Q8" s="18" t="n">
        <f aca="false">INDEX('Type Chart'!$B$5:$P$19,MATCH(Q$4,'Type Chart'!$A$5:$A$19,0),MATCH($E8,'Type Chart'!$B$4:$P$4,0))*IF($F8="",1,INDEX('Type Chart'!$B$5:$P$19,MATCH(Q$4,'Type Chart'!$A$5:$A$19,0),MATCH($F8,'Type Chart'!$B$4:$P$4,0)))</f>
        <v>1</v>
      </c>
      <c r="R8" s="18" t="n">
        <f aca="false">INDEX('Type Chart'!$B$5:$P$19,MATCH(R$4,'Type Chart'!$A$5:$A$19,0),MATCH($E8,'Type Chart'!$B$4:$P$4,0))*IF($F8="",1,INDEX('Type Chart'!$B$5:$P$19,MATCH(R$4,'Type Chart'!$A$5:$A$19,0),MATCH($F8,'Type Chart'!$B$4:$P$4,0)))</f>
        <v>1</v>
      </c>
      <c r="S8" s="18" t="n">
        <f aca="false">INDEX('Type Chart'!$B$5:$P$19,MATCH(S$4,'Type Chart'!$A$5:$A$19,0),MATCH($E8,'Type Chart'!$B$4:$P$4,0))*IF($F8="",1,INDEX('Type Chart'!$B$5:$P$19,MATCH(S$4,'Type Chart'!$A$5:$A$19,0),MATCH($F8,'Type Chart'!$B$4:$P$4,0)))</f>
        <v>1</v>
      </c>
      <c r="T8" s="18" t="n">
        <f aca="false">INDEX('Type Chart'!$B$5:$P$19,MATCH(T$4,'Type Chart'!$A$5:$A$19,0),MATCH($E8,'Type Chart'!$B$4:$P$4,0))*IF($F8="",1,INDEX('Type Chart'!$B$5:$P$19,MATCH(T$4,'Type Chart'!$A$5:$A$19,0),MATCH($F8,'Type Chart'!$B$4:$P$4,0)))</f>
        <v>1</v>
      </c>
      <c r="U8" s="18" t="n">
        <f aca="false">INDEX('Type Chart'!$B$5:$P$19,MATCH(U$4,'Type Chart'!$A$5:$A$19,0),MATCH($E8,'Type Chart'!$B$4:$P$4,0))*IF($F8="",1,INDEX('Type Chart'!$B$5:$P$19,MATCH(U$4,'Type Chart'!$A$5:$A$19,0),MATCH($F8,'Type Chart'!$B$4:$P$4,0)))</f>
        <v>1</v>
      </c>
    </row>
    <row r="9" customFormat="false" ht="15" hidden="false" customHeight="false" outlineLevel="0" collapsed="false">
      <c r="A9" s="17" t="s">
        <v>138</v>
      </c>
      <c r="B9" s="17" t="s">
        <v>139</v>
      </c>
      <c r="C9" s="17" t="s">
        <v>142</v>
      </c>
      <c r="D9" s="17" t="n">
        <v>21</v>
      </c>
      <c r="E9" s="17" t="s">
        <v>113</v>
      </c>
      <c r="F9" s="17" t="s">
        <v>121</v>
      </c>
      <c r="G9" s="18" t="n">
        <f aca="false">INDEX('Type Chart'!$B$5:$P$19,MATCH(G$4,'Type Chart'!$A$5:$A$19,0),MATCH($E9,'Type Chart'!$B$4:$P$4,0))*IF($F9="",1,INDEX('Type Chart'!$B$5:$P$19,MATCH(G$4,'Type Chart'!$A$5:$A$19,0),MATCH($F9,'Type Chart'!$B$4:$P$4,0)))</f>
        <v>1</v>
      </c>
      <c r="H9" s="18" t="n">
        <f aca="false">INDEX('Type Chart'!$B$5:$P$19,MATCH(H$4,'Type Chart'!$A$5:$A$19,0),MATCH($E9,'Type Chart'!$B$4:$P$4,0))*IF($F9="",1,INDEX('Type Chart'!$B$5:$P$19,MATCH(H$4,'Type Chart'!$A$5:$A$19,0),MATCH($F9,'Type Chart'!$B$4:$P$4,0)))</f>
        <v>0.5</v>
      </c>
      <c r="I9" s="18" t="n">
        <f aca="false">INDEX('Type Chart'!$B$5:$P$19,MATCH(I$4,'Type Chart'!$A$5:$A$19,0),MATCH($E9,'Type Chart'!$B$4:$P$4,0))*IF($F9="",1,INDEX('Type Chart'!$B$5:$P$19,MATCH(I$4,'Type Chart'!$A$5:$A$19,0),MATCH($F9,'Type Chart'!$B$4:$P$4,0)))</f>
        <v>0.5</v>
      </c>
      <c r="J9" s="18" t="n">
        <f aca="false">INDEX('Type Chart'!$B$5:$P$19,MATCH(J$4,'Type Chart'!$A$5:$A$19,0),MATCH($E9,'Type Chart'!$B$4:$P$4,0))*IF($F9="",1,INDEX('Type Chart'!$B$5:$P$19,MATCH(J$4,'Type Chart'!$A$5:$A$19,0),MATCH($F9,'Type Chart'!$B$4:$P$4,0)))</f>
        <v>2</v>
      </c>
      <c r="K9" s="18" t="n">
        <f aca="false">INDEX('Type Chart'!$B$5:$P$19,MATCH(K$4,'Type Chart'!$A$5:$A$19,0),MATCH($E9,'Type Chart'!$B$4:$P$4,0))*IF($F9="",1,INDEX('Type Chart'!$B$5:$P$19,MATCH(K$4,'Type Chart'!$A$5:$A$19,0),MATCH($F9,'Type Chart'!$B$4:$P$4,0)))</f>
        <v>2</v>
      </c>
      <c r="L9" s="18" t="n">
        <f aca="false">INDEX('Type Chart'!$B$5:$P$19,MATCH(L$4,'Type Chart'!$A$5:$A$19,0),MATCH($E9,'Type Chart'!$B$4:$P$4,0))*IF($F9="",1,INDEX('Type Chart'!$B$5:$P$19,MATCH(L$4,'Type Chart'!$A$5:$A$19,0),MATCH($F9,'Type Chart'!$B$4:$P$4,0)))</f>
        <v>0.5</v>
      </c>
      <c r="M9" s="18" t="n">
        <f aca="false">INDEX('Type Chart'!$B$5:$P$19,MATCH(M$4,'Type Chart'!$A$5:$A$19,0),MATCH($E9,'Type Chart'!$B$4:$P$4,0))*IF($F9="",1,INDEX('Type Chart'!$B$5:$P$19,MATCH(M$4,'Type Chart'!$A$5:$A$19,0),MATCH($F9,'Type Chart'!$B$4:$P$4,0)))</f>
        <v>0.5</v>
      </c>
      <c r="N9" s="18" t="n">
        <f aca="false">INDEX('Type Chart'!$B$5:$P$19,MATCH(N$4,'Type Chart'!$A$5:$A$19,0),MATCH($E9,'Type Chart'!$B$4:$P$4,0))*IF($F9="",1,INDEX('Type Chart'!$B$5:$P$19,MATCH(N$4,'Type Chart'!$A$5:$A$19,0),MATCH($F9,'Type Chart'!$B$4:$P$4,0)))</f>
        <v>1</v>
      </c>
      <c r="O9" s="18" t="n">
        <f aca="false">INDEX('Type Chart'!$B$5:$P$19,MATCH(O$4,'Type Chart'!$A$5:$A$19,0),MATCH($E9,'Type Chart'!$B$4:$P$4,0))*IF($F9="",1,INDEX('Type Chart'!$B$5:$P$19,MATCH(O$4,'Type Chart'!$A$5:$A$19,0),MATCH($F9,'Type Chart'!$B$4:$P$4,0)))</f>
        <v>1</v>
      </c>
      <c r="P9" s="18" t="n">
        <f aca="false">INDEX('Type Chart'!$B$5:$P$19,MATCH(P$4,'Type Chart'!$A$5:$A$19,0),MATCH($E9,'Type Chart'!$B$4:$P$4,0))*IF($F9="",1,INDEX('Type Chart'!$B$5:$P$19,MATCH(P$4,'Type Chart'!$A$5:$A$19,0),MATCH($F9,'Type Chart'!$B$4:$P$4,0)))</f>
        <v>1</v>
      </c>
      <c r="Q9" s="18" t="n">
        <f aca="false">INDEX('Type Chart'!$B$5:$P$19,MATCH(Q$4,'Type Chart'!$A$5:$A$19,0),MATCH($E9,'Type Chart'!$B$4:$P$4,0))*IF($F9="",1,INDEX('Type Chart'!$B$5:$P$19,MATCH(Q$4,'Type Chart'!$A$5:$A$19,0),MATCH($F9,'Type Chart'!$B$4:$P$4,0)))</f>
        <v>0.5</v>
      </c>
      <c r="R9" s="18" t="n">
        <f aca="false">INDEX('Type Chart'!$B$5:$P$19,MATCH(R$4,'Type Chart'!$A$5:$A$19,0),MATCH($E9,'Type Chart'!$B$4:$P$4,0))*IF($F9="",1,INDEX('Type Chart'!$B$5:$P$19,MATCH(R$4,'Type Chart'!$A$5:$A$19,0),MATCH($F9,'Type Chart'!$B$4:$P$4,0)))</f>
        <v>2</v>
      </c>
      <c r="S9" s="18" t="n">
        <f aca="false">INDEX('Type Chart'!$B$5:$P$19,MATCH(S$4,'Type Chart'!$A$5:$A$19,0),MATCH($E9,'Type Chart'!$B$4:$P$4,0))*IF($F9="",1,INDEX('Type Chart'!$B$5:$P$19,MATCH(S$4,'Type Chart'!$A$5:$A$19,0),MATCH($F9,'Type Chart'!$B$4:$P$4,0)))</f>
        <v>1</v>
      </c>
      <c r="T9" s="18" t="n">
        <f aca="false">INDEX('Type Chart'!$B$5:$P$19,MATCH(T$4,'Type Chart'!$A$5:$A$19,0),MATCH($E9,'Type Chart'!$B$4:$P$4,0))*IF($F9="",1,INDEX('Type Chart'!$B$5:$P$19,MATCH(T$4,'Type Chart'!$A$5:$A$19,0),MATCH($F9,'Type Chart'!$B$4:$P$4,0)))</f>
        <v>2</v>
      </c>
      <c r="U9" s="18" t="n">
        <f aca="false">INDEX('Type Chart'!$B$5:$P$19,MATCH(U$4,'Type Chart'!$A$5:$A$19,0),MATCH($E9,'Type Chart'!$B$4:$P$4,0))*IF($F9="",1,INDEX('Type Chart'!$B$5:$P$19,MATCH(U$4,'Type Chart'!$A$5:$A$19,0),MATCH($F9,'Type Chart'!$B$4:$P$4,0)))</f>
        <v>1</v>
      </c>
    </row>
    <row r="10" customFormat="false" ht="15" hidden="false" customHeight="false" outlineLevel="0" collapsed="false">
      <c r="A10" s="17" t="s">
        <v>143</v>
      </c>
      <c r="B10" s="17" t="s">
        <v>144</v>
      </c>
      <c r="C10" s="17" t="s">
        <v>145</v>
      </c>
      <c r="D10" s="17" t="n">
        <v>29</v>
      </c>
      <c r="E10" s="17" t="s">
        <v>114</v>
      </c>
      <c r="F10" s="17"/>
      <c r="G10" s="18" t="n">
        <f aca="false">INDEX('Type Chart'!$B$5:$P$19,MATCH(G$4,'Type Chart'!$A$5:$A$19,0),MATCH($E10,'Type Chart'!$B$4:$P$4,0))*IF($F10="",1,INDEX('Type Chart'!$B$5:$P$19,MATCH(G$4,'Type Chart'!$A$5:$A$19,0),MATCH($F10,'Type Chart'!$B$4:$P$4,0)))</f>
        <v>1</v>
      </c>
      <c r="H10" s="18" t="n">
        <f aca="false">INDEX('Type Chart'!$B$5:$P$19,MATCH(H$4,'Type Chart'!$A$5:$A$19,0),MATCH($E10,'Type Chart'!$B$4:$P$4,0))*IF($F10="",1,INDEX('Type Chart'!$B$5:$P$19,MATCH(H$4,'Type Chart'!$A$5:$A$19,0),MATCH($F10,'Type Chart'!$B$4:$P$4,0)))</f>
        <v>1</v>
      </c>
      <c r="I10" s="18" t="n">
        <f aca="false">INDEX('Type Chart'!$B$5:$P$19,MATCH(I$4,'Type Chart'!$A$5:$A$19,0),MATCH($E10,'Type Chart'!$B$4:$P$4,0))*IF($F10="",1,INDEX('Type Chart'!$B$5:$P$19,MATCH(I$4,'Type Chart'!$A$5:$A$19,0),MATCH($F10,'Type Chart'!$B$4:$P$4,0)))</f>
        <v>1</v>
      </c>
      <c r="J10" s="18" t="n">
        <f aca="false">INDEX('Type Chart'!$B$5:$P$19,MATCH(J$4,'Type Chart'!$A$5:$A$19,0),MATCH($E10,'Type Chart'!$B$4:$P$4,0))*IF($F10="",1,INDEX('Type Chart'!$B$5:$P$19,MATCH(J$4,'Type Chart'!$A$5:$A$19,0),MATCH($F10,'Type Chart'!$B$4:$P$4,0)))</f>
        <v>0.5</v>
      </c>
      <c r="K10" s="18" t="n">
        <f aca="false">INDEX('Type Chart'!$B$5:$P$19,MATCH(K$4,'Type Chart'!$A$5:$A$19,0),MATCH($E10,'Type Chart'!$B$4:$P$4,0))*IF($F10="",1,INDEX('Type Chart'!$B$5:$P$19,MATCH(K$4,'Type Chart'!$A$5:$A$19,0),MATCH($F10,'Type Chart'!$B$4:$P$4,0)))</f>
        <v>1</v>
      </c>
      <c r="L10" s="18" t="n">
        <f aca="false">INDEX('Type Chart'!$B$5:$P$19,MATCH(L$4,'Type Chart'!$A$5:$A$19,0),MATCH($E10,'Type Chart'!$B$4:$P$4,0))*IF($F10="",1,INDEX('Type Chart'!$B$5:$P$19,MATCH(L$4,'Type Chart'!$A$5:$A$19,0),MATCH($F10,'Type Chart'!$B$4:$P$4,0)))</f>
        <v>1</v>
      </c>
      <c r="M10" s="18" t="n">
        <f aca="false">INDEX('Type Chart'!$B$5:$P$19,MATCH(M$4,'Type Chart'!$A$5:$A$19,0),MATCH($E10,'Type Chart'!$B$4:$P$4,0))*IF($F10="",1,INDEX('Type Chart'!$B$5:$P$19,MATCH(M$4,'Type Chart'!$A$5:$A$19,0),MATCH($F10,'Type Chart'!$B$4:$P$4,0)))</f>
        <v>1</v>
      </c>
      <c r="N10" s="18" t="n">
        <f aca="false">INDEX('Type Chart'!$B$5:$P$19,MATCH(N$4,'Type Chart'!$A$5:$A$19,0),MATCH($E10,'Type Chart'!$B$4:$P$4,0))*IF($F10="",1,INDEX('Type Chart'!$B$5:$P$19,MATCH(N$4,'Type Chart'!$A$5:$A$19,0),MATCH($F10,'Type Chart'!$B$4:$P$4,0)))</f>
        <v>1</v>
      </c>
      <c r="O10" s="18" t="n">
        <f aca="false">INDEX('Type Chart'!$B$5:$P$19,MATCH(O$4,'Type Chart'!$A$5:$A$19,0),MATCH($E10,'Type Chart'!$B$4:$P$4,0))*IF($F10="",1,INDEX('Type Chart'!$B$5:$P$19,MATCH(O$4,'Type Chart'!$A$5:$A$19,0),MATCH($F10,'Type Chart'!$B$4:$P$4,0)))</f>
        <v>2</v>
      </c>
      <c r="P10" s="18" t="n">
        <f aca="false">INDEX('Type Chart'!$B$5:$P$19,MATCH(P$4,'Type Chart'!$A$5:$A$19,0),MATCH($E10,'Type Chart'!$B$4:$P$4,0))*IF($F10="",1,INDEX('Type Chart'!$B$5:$P$19,MATCH(P$4,'Type Chart'!$A$5:$A$19,0),MATCH($F10,'Type Chart'!$B$4:$P$4,0)))</f>
        <v>0.5</v>
      </c>
      <c r="Q10" s="18" t="n">
        <f aca="false">INDEX('Type Chart'!$B$5:$P$19,MATCH(Q$4,'Type Chart'!$A$5:$A$19,0),MATCH($E10,'Type Chart'!$B$4:$P$4,0))*IF($F10="",1,INDEX('Type Chart'!$B$5:$P$19,MATCH(Q$4,'Type Chart'!$A$5:$A$19,0),MATCH($F10,'Type Chart'!$B$4:$P$4,0)))</f>
        <v>1</v>
      </c>
      <c r="R10" s="18" t="n">
        <f aca="false">INDEX('Type Chart'!$B$5:$P$19,MATCH(R$4,'Type Chart'!$A$5:$A$19,0),MATCH($E10,'Type Chart'!$B$4:$P$4,0))*IF($F10="",1,INDEX('Type Chart'!$B$5:$P$19,MATCH(R$4,'Type Chart'!$A$5:$A$19,0),MATCH($F10,'Type Chart'!$B$4:$P$4,0)))</f>
        <v>1</v>
      </c>
      <c r="S10" s="18" t="n">
        <f aca="false">INDEX('Type Chart'!$B$5:$P$19,MATCH(S$4,'Type Chart'!$A$5:$A$19,0),MATCH($E10,'Type Chart'!$B$4:$P$4,0))*IF($F10="",1,INDEX('Type Chart'!$B$5:$P$19,MATCH(S$4,'Type Chart'!$A$5:$A$19,0),MATCH($F10,'Type Chart'!$B$4:$P$4,0)))</f>
        <v>1</v>
      </c>
      <c r="T10" s="18" t="n">
        <f aca="false">INDEX('Type Chart'!$B$5:$P$19,MATCH(T$4,'Type Chart'!$A$5:$A$19,0),MATCH($E10,'Type Chart'!$B$4:$P$4,0))*IF($F10="",1,INDEX('Type Chart'!$B$5:$P$19,MATCH(T$4,'Type Chart'!$A$5:$A$19,0),MATCH($F10,'Type Chart'!$B$4:$P$4,0)))</f>
        <v>1</v>
      </c>
      <c r="U10" s="18" t="n">
        <f aca="false">INDEX('Type Chart'!$B$5:$P$19,MATCH(U$4,'Type Chart'!$A$5:$A$19,0),MATCH($E10,'Type Chart'!$B$4:$P$4,0))*IF($F10="",1,INDEX('Type Chart'!$B$5:$P$19,MATCH(U$4,'Type Chart'!$A$5:$A$19,0),MATCH($F10,'Type Chart'!$B$4:$P$4,0)))</f>
        <v>1</v>
      </c>
    </row>
    <row r="11" customFormat="false" ht="15" hidden="false" customHeight="false" outlineLevel="0" collapsed="false">
      <c r="A11" s="17" t="s">
        <v>146</v>
      </c>
      <c r="B11" s="17" t="s">
        <v>147</v>
      </c>
      <c r="C11" s="17" t="s">
        <v>148</v>
      </c>
      <c r="D11" s="17" t="n">
        <v>33</v>
      </c>
      <c r="E11" s="17" t="s">
        <v>115</v>
      </c>
      <c r="F11" s="17"/>
      <c r="G11" s="18" t="n">
        <f aca="false">INDEX('Type Chart'!$B$5:$P$19,MATCH(G$4,'Type Chart'!$A$5:$A$19,0),MATCH($E11,'Type Chart'!$B$4:$P$4,0))*IF($F11="",1,INDEX('Type Chart'!$B$5:$P$19,MATCH(G$4,'Type Chart'!$A$5:$A$19,0),MATCH($F11,'Type Chart'!$B$4:$P$4,0)))</f>
        <v>1</v>
      </c>
      <c r="H11" s="18" t="n">
        <f aca="false">INDEX('Type Chart'!$B$5:$P$19,MATCH(H$4,'Type Chart'!$A$5:$A$19,0),MATCH($E11,'Type Chart'!$B$4:$P$4,0))*IF($F11="",1,INDEX('Type Chart'!$B$5:$P$19,MATCH(H$4,'Type Chart'!$A$5:$A$19,0),MATCH($F11,'Type Chart'!$B$4:$P$4,0)))</f>
        <v>2</v>
      </c>
      <c r="I11" s="18" t="n">
        <f aca="false">INDEX('Type Chart'!$B$5:$P$19,MATCH(I$4,'Type Chart'!$A$5:$A$19,0),MATCH($E11,'Type Chart'!$B$4:$P$4,0))*IF($F11="",1,INDEX('Type Chart'!$B$5:$P$19,MATCH(I$4,'Type Chart'!$A$5:$A$19,0),MATCH($F11,'Type Chart'!$B$4:$P$4,0)))</f>
        <v>0.5</v>
      </c>
      <c r="J11" s="18" t="n">
        <f aca="false">INDEX('Type Chart'!$B$5:$P$19,MATCH(J$4,'Type Chart'!$A$5:$A$19,0),MATCH($E11,'Type Chart'!$B$4:$P$4,0))*IF($F11="",1,INDEX('Type Chart'!$B$5:$P$19,MATCH(J$4,'Type Chart'!$A$5:$A$19,0),MATCH($F11,'Type Chart'!$B$4:$P$4,0)))</f>
        <v>0.5</v>
      </c>
      <c r="K11" s="18" t="n">
        <f aca="false">INDEX('Type Chart'!$B$5:$P$19,MATCH(K$4,'Type Chart'!$A$5:$A$19,0),MATCH($E11,'Type Chart'!$B$4:$P$4,0))*IF($F11="",1,INDEX('Type Chart'!$B$5:$P$19,MATCH(K$4,'Type Chart'!$A$5:$A$19,0),MATCH($F11,'Type Chart'!$B$4:$P$4,0)))</f>
        <v>0.5</v>
      </c>
      <c r="L11" s="18" t="n">
        <f aca="false">INDEX('Type Chart'!$B$5:$P$19,MATCH(L$4,'Type Chart'!$A$5:$A$19,0),MATCH($E11,'Type Chart'!$B$4:$P$4,0))*IF($F11="",1,INDEX('Type Chart'!$B$5:$P$19,MATCH(L$4,'Type Chart'!$A$5:$A$19,0),MATCH($F11,'Type Chart'!$B$4:$P$4,0)))</f>
        <v>2</v>
      </c>
      <c r="M11" s="18" t="n">
        <f aca="false">INDEX('Type Chart'!$B$5:$P$19,MATCH(M$4,'Type Chart'!$A$5:$A$19,0),MATCH($E11,'Type Chart'!$B$4:$P$4,0))*IF($F11="",1,INDEX('Type Chart'!$B$5:$P$19,MATCH(M$4,'Type Chart'!$A$5:$A$19,0),MATCH($F11,'Type Chart'!$B$4:$P$4,0)))</f>
        <v>1</v>
      </c>
      <c r="N11" s="18" t="n">
        <f aca="false">INDEX('Type Chart'!$B$5:$P$19,MATCH(N$4,'Type Chart'!$A$5:$A$19,0),MATCH($E11,'Type Chart'!$B$4:$P$4,0))*IF($F11="",1,INDEX('Type Chart'!$B$5:$P$19,MATCH(N$4,'Type Chart'!$A$5:$A$19,0),MATCH($F11,'Type Chart'!$B$4:$P$4,0)))</f>
        <v>2</v>
      </c>
      <c r="O11" s="18" t="n">
        <f aca="false">INDEX('Type Chart'!$B$5:$P$19,MATCH(O$4,'Type Chart'!$A$5:$A$19,0),MATCH($E11,'Type Chart'!$B$4:$P$4,0))*IF($F11="",1,INDEX('Type Chart'!$B$5:$P$19,MATCH(O$4,'Type Chart'!$A$5:$A$19,0),MATCH($F11,'Type Chart'!$B$4:$P$4,0)))</f>
        <v>0.5</v>
      </c>
      <c r="P11" s="18" t="n">
        <f aca="false">INDEX('Type Chart'!$B$5:$P$19,MATCH(P$4,'Type Chart'!$A$5:$A$19,0),MATCH($E11,'Type Chart'!$B$4:$P$4,0))*IF($F11="",1,INDEX('Type Chart'!$B$5:$P$19,MATCH(P$4,'Type Chart'!$A$5:$A$19,0),MATCH($F11,'Type Chart'!$B$4:$P$4,0)))</f>
        <v>2</v>
      </c>
      <c r="Q11" s="18" t="n">
        <f aca="false">INDEX('Type Chart'!$B$5:$P$19,MATCH(Q$4,'Type Chart'!$A$5:$A$19,0),MATCH($E11,'Type Chart'!$B$4:$P$4,0))*IF($F11="",1,INDEX('Type Chart'!$B$5:$P$19,MATCH(Q$4,'Type Chart'!$A$5:$A$19,0),MATCH($F11,'Type Chart'!$B$4:$P$4,0)))</f>
        <v>1</v>
      </c>
      <c r="R11" s="18" t="n">
        <f aca="false">INDEX('Type Chart'!$B$5:$P$19,MATCH(R$4,'Type Chart'!$A$5:$A$19,0),MATCH($E11,'Type Chart'!$B$4:$P$4,0))*IF($F11="",1,INDEX('Type Chart'!$B$5:$P$19,MATCH(R$4,'Type Chart'!$A$5:$A$19,0),MATCH($F11,'Type Chart'!$B$4:$P$4,0)))</f>
        <v>2</v>
      </c>
      <c r="S11" s="18" t="n">
        <f aca="false">INDEX('Type Chart'!$B$5:$P$19,MATCH(S$4,'Type Chart'!$A$5:$A$19,0),MATCH($E11,'Type Chart'!$B$4:$P$4,0))*IF($F11="",1,INDEX('Type Chart'!$B$5:$P$19,MATCH(S$4,'Type Chart'!$A$5:$A$19,0),MATCH($F11,'Type Chart'!$B$4:$P$4,0)))</f>
        <v>1</v>
      </c>
      <c r="T11" s="18" t="n">
        <f aca="false">INDEX('Type Chart'!$B$5:$P$19,MATCH(T$4,'Type Chart'!$A$5:$A$19,0),MATCH($E11,'Type Chart'!$B$4:$P$4,0))*IF($F11="",1,INDEX('Type Chart'!$B$5:$P$19,MATCH(T$4,'Type Chart'!$A$5:$A$19,0),MATCH($F11,'Type Chart'!$B$4:$P$4,0)))</f>
        <v>1</v>
      </c>
      <c r="U11" s="18" t="n">
        <f aca="false">INDEX('Type Chart'!$B$5:$P$19,MATCH(U$4,'Type Chart'!$A$5:$A$19,0),MATCH($E11,'Type Chart'!$B$4:$P$4,0))*IF($F11="",1,INDEX('Type Chart'!$B$5:$P$19,MATCH(U$4,'Type Chart'!$A$5:$A$19,0),MATCH($F11,'Type Chart'!$B$4:$P$4,0)))</f>
        <v>1</v>
      </c>
    </row>
    <row r="12" customFormat="false" ht="15" hidden="false" customHeight="false" outlineLevel="0" collapsed="false">
      <c r="A12" s="17" t="s">
        <v>146</v>
      </c>
      <c r="B12" s="17" t="s">
        <v>147</v>
      </c>
      <c r="C12" s="17" t="s">
        <v>149</v>
      </c>
      <c r="D12" s="17" t="n">
        <v>34</v>
      </c>
      <c r="E12" s="17" t="s">
        <v>115</v>
      </c>
      <c r="F12" s="17" t="s">
        <v>118</v>
      </c>
      <c r="G12" s="18" t="n">
        <f aca="false">INDEX('Type Chart'!$B$5:$P$19,MATCH(G$4,'Type Chart'!$A$5:$A$19,0),MATCH($E12,'Type Chart'!$B$4:$P$4,0))*IF($F12="",1,INDEX('Type Chart'!$B$5:$P$19,MATCH(G$4,'Type Chart'!$A$5:$A$19,0),MATCH($F12,'Type Chart'!$B$4:$P$4,0)))</f>
        <v>1</v>
      </c>
      <c r="H12" s="18" t="n">
        <f aca="false">INDEX('Type Chart'!$B$5:$P$19,MATCH(H$4,'Type Chart'!$A$5:$A$19,0),MATCH($E12,'Type Chart'!$B$4:$P$4,0))*IF($F12="",1,INDEX('Type Chart'!$B$5:$P$19,MATCH(H$4,'Type Chart'!$A$5:$A$19,0),MATCH($F12,'Type Chart'!$B$4:$P$4,0)))</f>
        <v>2</v>
      </c>
      <c r="I12" s="18" t="n">
        <f aca="false">INDEX('Type Chart'!$B$5:$P$19,MATCH(I$4,'Type Chart'!$A$5:$A$19,0),MATCH($E12,'Type Chart'!$B$4:$P$4,0))*IF($F12="",1,INDEX('Type Chart'!$B$5:$P$19,MATCH(I$4,'Type Chart'!$A$5:$A$19,0),MATCH($F12,'Type Chart'!$B$4:$P$4,0)))</f>
        <v>0.5</v>
      </c>
      <c r="J12" s="18" t="n">
        <f aca="false">INDEX('Type Chart'!$B$5:$P$19,MATCH(J$4,'Type Chart'!$A$5:$A$19,0),MATCH($E12,'Type Chart'!$B$4:$P$4,0))*IF($F12="",1,INDEX('Type Chart'!$B$5:$P$19,MATCH(J$4,'Type Chart'!$A$5:$A$19,0),MATCH($F12,'Type Chart'!$B$4:$P$4,0)))</f>
        <v>0.5</v>
      </c>
      <c r="K12" s="18" t="n">
        <f aca="false">INDEX('Type Chart'!$B$5:$P$19,MATCH(K$4,'Type Chart'!$A$5:$A$19,0),MATCH($E12,'Type Chart'!$B$4:$P$4,0))*IF($F12="",1,INDEX('Type Chart'!$B$5:$P$19,MATCH(K$4,'Type Chart'!$A$5:$A$19,0),MATCH($F12,'Type Chart'!$B$4:$P$4,0)))</f>
        <v>0.25</v>
      </c>
      <c r="L12" s="18" t="n">
        <f aca="false">INDEX('Type Chart'!$B$5:$P$19,MATCH(L$4,'Type Chart'!$A$5:$A$19,0),MATCH($E12,'Type Chart'!$B$4:$P$4,0))*IF($F12="",1,INDEX('Type Chart'!$B$5:$P$19,MATCH(L$4,'Type Chart'!$A$5:$A$19,0),MATCH($F12,'Type Chart'!$B$4:$P$4,0)))</f>
        <v>2</v>
      </c>
      <c r="M12" s="18" t="n">
        <f aca="false">INDEX('Type Chart'!$B$5:$P$19,MATCH(M$4,'Type Chart'!$A$5:$A$19,0),MATCH($E12,'Type Chart'!$B$4:$P$4,0))*IF($F12="",1,INDEX('Type Chart'!$B$5:$P$19,MATCH(M$4,'Type Chart'!$A$5:$A$19,0),MATCH($F12,'Type Chart'!$B$4:$P$4,0)))</f>
        <v>0.5</v>
      </c>
      <c r="N12" s="18" t="n">
        <f aca="false">INDEX('Type Chart'!$B$5:$P$19,MATCH(N$4,'Type Chart'!$A$5:$A$19,0),MATCH($E12,'Type Chart'!$B$4:$P$4,0))*IF($F12="",1,INDEX('Type Chart'!$B$5:$P$19,MATCH(N$4,'Type Chart'!$A$5:$A$19,0),MATCH($F12,'Type Chart'!$B$4:$P$4,0)))</f>
        <v>1</v>
      </c>
      <c r="O12" s="18" t="n">
        <f aca="false">INDEX('Type Chart'!$B$5:$P$19,MATCH(O$4,'Type Chart'!$A$5:$A$19,0),MATCH($E12,'Type Chart'!$B$4:$P$4,0))*IF($F12="",1,INDEX('Type Chart'!$B$5:$P$19,MATCH(O$4,'Type Chart'!$A$5:$A$19,0),MATCH($F12,'Type Chart'!$B$4:$P$4,0)))</f>
        <v>1</v>
      </c>
      <c r="P12" s="18" t="n">
        <f aca="false">INDEX('Type Chart'!$B$5:$P$19,MATCH(P$4,'Type Chart'!$A$5:$A$19,0),MATCH($E12,'Type Chart'!$B$4:$P$4,0))*IF($F12="",1,INDEX('Type Chart'!$B$5:$P$19,MATCH(P$4,'Type Chart'!$A$5:$A$19,0),MATCH($F12,'Type Chart'!$B$4:$P$4,0)))</f>
        <v>2</v>
      </c>
      <c r="Q12" s="18" t="n">
        <f aca="false">INDEX('Type Chart'!$B$5:$P$19,MATCH(Q$4,'Type Chart'!$A$5:$A$19,0),MATCH($E12,'Type Chart'!$B$4:$P$4,0))*IF($F12="",1,INDEX('Type Chart'!$B$5:$P$19,MATCH(Q$4,'Type Chart'!$A$5:$A$19,0),MATCH($F12,'Type Chart'!$B$4:$P$4,0)))</f>
        <v>2</v>
      </c>
      <c r="R12" s="18" t="n">
        <f aca="false">INDEX('Type Chart'!$B$5:$P$19,MATCH(R$4,'Type Chart'!$A$5:$A$19,0),MATCH($E12,'Type Chart'!$B$4:$P$4,0))*IF($F12="",1,INDEX('Type Chart'!$B$5:$P$19,MATCH(R$4,'Type Chart'!$A$5:$A$19,0),MATCH($F12,'Type Chart'!$B$4:$P$4,0)))</f>
        <v>2</v>
      </c>
      <c r="S12" s="18" t="n">
        <f aca="false">INDEX('Type Chart'!$B$5:$P$19,MATCH(S$4,'Type Chart'!$A$5:$A$19,0),MATCH($E12,'Type Chart'!$B$4:$P$4,0))*IF($F12="",1,INDEX('Type Chart'!$B$5:$P$19,MATCH(S$4,'Type Chart'!$A$5:$A$19,0),MATCH($F12,'Type Chart'!$B$4:$P$4,0)))</f>
        <v>1</v>
      </c>
      <c r="T12" s="18" t="n">
        <f aca="false">INDEX('Type Chart'!$B$5:$P$19,MATCH(T$4,'Type Chart'!$A$5:$A$19,0),MATCH($E12,'Type Chart'!$B$4:$P$4,0))*IF($F12="",1,INDEX('Type Chart'!$B$5:$P$19,MATCH(T$4,'Type Chart'!$A$5:$A$19,0),MATCH($F12,'Type Chart'!$B$4:$P$4,0)))</f>
        <v>1</v>
      </c>
      <c r="U12" s="18" t="n">
        <f aca="false">INDEX('Type Chart'!$B$5:$P$19,MATCH(U$4,'Type Chart'!$A$5:$A$19,0),MATCH($E12,'Type Chart'!$B$4:$P$4,0))*IF($F12="",1,INDEX('Type Chart'!$B$5:$P$19,MATCH(U$4,'Type Chart'!$A$5:$A$19,0),MATCH($F12,'Type Chart'!$B$4:$P$4,0)))</f>
        <v>1</v>
      </c>
    </row>
    <row r="13" customFormat="false" ht="15" hidden="false" customHeight="false" outlineLevel="0" collapsed="false">
      <c r="A13" s="17" t="s">
        <v>146</v>
      </c>
      <c r="B13" s="17" t="s">
        <v>147</v>
      </c>
      <c r="C13" s="17" t="s">
        <v>150</v>
      </c>
      <c r="D13" s="17" t="n">
        <v>31</v>
      </c>
      <c r="E13" s="17" t="s">
        <v>115</v>
      </c>
      <c r="F13" s="17" t="s">
        <v>118</v>
      </c>
      <c r="G13" s="18" t="n">
        <f aca="false">INDEX('Type Chart'!$B$5:$P$19,MATCH(G$4,'Type Chart'!$A$5:$A$19,0),MATCH($E13,'Type Chart'!$B$4:$P$4,0))*IF($F13="",1,INDEX('Type Chart'!$B$5:$P$19,MATCH(G$4,'Type Chart'!$A$5:$A$19,0),MATCH($F13,'Type Chart'!$B$4:$P$4,0)))</f>
        <v>1</v>
      </c>
      <c r="H13" s="18" t="n">
        <f aca="false">INDEX('Type Chart'!$B$5:$P$19,MATCH(H$4,'Type Chart'!$A$5:$A$19,0),MATCH($E13,'Type Chart'!$B$4:$P$4,0))*IF($F13="",1,INDEX('Type Chart'!$B$5:$P$19,MATCH(H$4,'Type Chart'!$A$5:$A$19,0),MATCH($F13,'Type Chart'!$B$4:$P$4,0)))</f>
        <v>2</v>
      </c>
      <c r="I13" s="18" t="n">
        <f aca="false">INDEX('Type Chart'!$B$5:$P$19,MATCH(I$4,'Type Chart'!$A$5:$A$19,0),MATCH($E13,'Type Chart'!$B$4:$P$4,0))*IF($F13="",1,INDEX('Type Chart'!$B$5:$P$19,MATCH(I$4,'Type Chart'!$A$5:$A$19,0),MATCH($F13,'Type Chart'!$B$4:$P$4,0)))</f>
        <v>0.5</v>
      </c>
      <c r="J13" s="18" t="n">
        <f aca="false">INDEX('Type Chart'!$B$5:$P$19,MATCH(J$4,'Type Chart'!$A$5:$A$19,0),MATCH($E13,'Type Chart'!$B$4:$P$4,0))*IF($F13="",1,INDEX('Type Chart'!$B$5:$P$19,MATCH(J$4,'Type Chart'!$A$5:$A$19,0),MATCH($F13,'Type Chart'!$B$4:$P$4,0)))</f>
        <v>0.5</v>
      </c>
      <c r="K13" s="18" t="n">
        <f aca="false">INDEX('Type Chart'!$B$5:$P$19,MATCH(K$4,'Type Chart'!$A$5:$A$19,0),MATCH($E13,'Type Chart'!$B$4:$P$4,0))*IF($F13="",1,INDEX('Type Chart'!$B$5:$P$19,MATCH(K$4,'Type Chart'!$A$5:$A$19,0),MATCH($F13,'Type Chart'!$B$4:$P$4,0)))</f>
        <v>0.25</v>
      </c>
      <c r="L13" s="18" t="n">
        <f aca="false">INDEX('Type Chart'!$B$5:$P$19,MATCH(L$4,'Type Chart'!$A$5:$A$19,0),MATCH($E13,'Type Chart'!$B$4:$P$4,0))*IF($F13="",1,INDEX('Type Chart'!$B$5:$P$19,MATCH(L$4,'Type Chart'!$A$5:$A$19,0),MATCH($F13,'Type Chart'!$B$4:$P$4,0)))</f>
        <v>2</v>
      </c>
      <c r="M13" s="18" t="n">
        <f aca="false">INDEX('Type Chart'!$B$5:$P$19,MATCH(M$4,'Type Chart'!$A$5:$A$19,0),MATCH($E13,'Type Chart'!$B$4:$P$4,0))*IF($F13="",1,INDEX('Type Chart'!$B$5:$P$19,MATCH(M$4,'Type Chart'!$A$5:$A$19,0),MATCH($F13,'Type Chart'!$B$4:$P$4,0)))</f>
        <v>0.5</v>
      </c>
      <c r="N13" s="18" t="n">
        <f aca="false">INDEX('Type Chart'!$B$5:$P$19,MATCH(N$4,'Type Chart'!$A$5:$A$19,0),MATCH($E13,'Type Chart'!$B$4:$P$4,0))*IF($F13="",1,INDEX('Type Chart'!$B$5:$P$19,MATCH(N$4,'Type Chart'!$A$5:$A$19,0),MATCH($F13,'Type Chart'!$B$4:$P$4,0)))</f>
        <v>1</v>
      </c>
      <c r="O13" s="18" t="n">
        <f aca="false">INDEX('Type Chart'!$B$5:$P$19,MATCH(O$4,'Type Chart'!$A$5:$A$19,0),MATCH($E13,'Type Chart'!$B$4:$P$4,0))*IF($F13="",1,INDEX('Type Chart'!$B$5:$P$19,MATCH(O$4,'Type Chart'!$A$5:$A$19,0),MATCH($F13,'Type Chart'!$B$4:$P$4,0)))</f>
        <v>1</v>
      </c>
      <c r="P13" s="18" t="n">
        <f aca="false">INDEX('Type Chart'!$B$5:$P$19,MATCH(P$4,'Type Chart'!$A$5:$A$19,0),MATCH($E13,'Type Chart'!$B$4:$P$4,0))*IF($F13="",1,INDEX('Type Chart'!$B$5:$P$19,MATCH(P$4,'Type Chart'!$A$5:$A$19,0),MATCH($F13,'Type Chart'!$B$4:$P$4,0)))</f>
        <v>2</v>
      </c>
      <c r="Q13" s="18" t="n">
        <f aca="false">INDEX('Type Chart'!$B$5:$P$19,MATCH(Q$4,'Type Chart'!$A$5:$A$19,0),MATCH($E13,'Type Chart'!$B$4:$P$4,0))*IF($F13="",1,INDEX('Type Chart'!$B$5:$P$19,MATCH(Q$4,'Type Chart'!$A$5:$A$19,0),MATCH($F13,'Type Chart'!$B$4:$P$4,0)))</f>
        <v>2</v>
      </c>
      <c r="R13" s="18" t="n">
        <f aca="false">INDEX('Type Chart'!$B$5:$P$19,MATCH(R$4,'Type Chart'!$A$5:$A$19,0),MATCH($E13,'Type Chart'!$B$4:$P$4,0))*IF($F13="",1,INDEX('Type Chart'!$B$5:$P$19,MATCH(R$4,'Type Chart'!$A$5:$A$19,0),MATCH($F13,'Type Chart'!$B$4:$P$4,0)))</f>
        <v>2</v>
      </c>
      <c r="S13" s="18" t="n">
        <f aca="false">INDEX('Type Chart'!$B$5:$P$19,MATCH(S$4,'Type Chart'!$A$5:$A$19,0),MATCH($E13,'Type Chart'!$B$4:$P$4,0))*IF($F13="",1,INDEX('Type Chart'!$B$5:$P$19,MATCH(S$4,'Type Chart'!$A$5:$A$19,0),MATCH($F13,'Type Chart'!$B$4:$P$4,0)))</f>
        <v>1</v>
      </c>
      <c r="T13" s="18" t="n">
        <f aca="false">INDEX('Type Chart'!$B$5:$P$19,MATCH(T$4,'Type Chart'!$A$5:$A$19,0),MATCH($E13,'Type Chart'!$B$4:$P$4,0))*IF($F13="",1,INDEX('Type Chart'!$B$5:$P$19,MATCH(T$4,'Type Chart'!$A$5:$A$19,0),MATCH($F13,'Type Chart'!$B$4:$P$4,0)))</f>
        <v>1</v>
      </c>
      <c r="U13" s="18" t="n">
        <f aca="false">INDEX('Type Chart'!$B$5:$P$19,MATCH(U$4,'Type Chart'!$A$5:$A$19,0),MATCH($E13,'Type Chart'!$B$4:$P$4,0))*IF($F13="",1,INDEX('Type Chart'!$B$5:$P$19,MATCH(U$4,'Type Chart'!$A$5:$A$19,0),MATCH($F13,'Type Chart'!$B$4:$P$4,0)))</f>
        <v>1</v>
      </c>
    </row>
    <row r="14" customFormat="false" ht="15" hidden="false" customHeight="false" outlineLevel="0" collapsed="false">
      <c r="A14" s="17" t="s">
        <v>146</v>
      </c>
      <c r="B14" s="17" t="s">
        <v>147</v>
      </c>
      <c r="C14" s="17" t="s">
        <v>151</v>
      </c>
      <c r="D14" s="17" t="n">
        <v>35</v>
      </c>
      <c r="E14" s="17" t="s">
        <v>115</v>
      </c>
      <c r="F14" s="17" t="s">
        <v>118</v>
      </c>
      <c r="G14" s="18" t="n">
        <f aca="false">INDEX('Type Chart'!$B$5:$P$19,MATCH(G$4,'Type Chart'!$A$5:$A$19,0),MATCH($E14,'Type Chart'!$B$4:$P$4,0))*IF($F14="",1,INDEX('Type Chart'!$B$5:$P$19,MATCH(G$4,'Type Chart'!$A$5:$A$19,0),MATCH($F14,'Type Chart'!$B$4:$P$4,0)))</f>
        <v>1</v>
      </c>
      <c r="H14" s="18" t="n">
        <f aca="false">INDEX('Type Chart'!$B$5:$P$19,MATCH(H$4,'Type Chart'!$A$5:$A$19,0),MATCH($E14,'Type Chart'!$B$4:$P$4,0))*IF($F14="",1,INDEX('Type Chart'!$B$5:$P$19,MATCH(H$4,'Type Chart'!$A$5:$A$19,0),MATCH($F14,'Type Chart'!$B$4:$P$4,0)))</f>
        <v>2</v>
      </c>
      <c r="I14" s="18" t="n">
        <f aca="false">INDEX('Type Chart'!$B$5:$P$19,MATCH(I$4,'Type Chart'!$A$5:$A$19,0),MATCH($E14,'Type Chart'!$B$4:$P$4,0))*IF($F14="",1,INDEX('Type Chart'!$B$5:$P$19,MATCH(I$4,'Type Chart'!$A$5:$A$19,0),MATCH($F14,'Type Chart'!$B$4:$P$4,0)))</f>
        <v>0.5</v>
      </c>
      <c r="J14" s="18" t="n">
        <f aca="false">INDEX('Type Chart'!$B$5:$P$19,MATCH(J$4,'Type Chart'!$A$5:$A$19,0),MATCH($E14,'Type Chart'!$B$4:$P$4,0))*IF($F14="",1,INDEX('Type Chart'!$B$5:$P$19,MATCH(J$4,'Type Chart'!$A$5:$A$19,0),MATCH($F14,'Type Chart'!$B$4:$P$4,0)))</f>
        <v>0.5</v>
      </c>
      <c r="K14" s="18" t="n">
        <f aca="false">INDEX('Type Chart'!$B$5:$P$19,MATCH(K$4,'Type Chart'!$A$5:$A$19,0),MATCH($E14,'Type Chart'!$B$4:$P$4,0))*IF($F14="",1,INDEX('Type Chart'!$B$5:$P$19,MATCH(K$4,'Type Chart'!$A$5:$A$19,0),MATCH($F14,'Type Chart'!$B$4:$P$4,0)))</f>
        <v>0.25</v>
      </c>
      <c r="L14" s="18" t="n">
        <f aca="false">INDEX('Type Chart'!$B$5:$P$19,MATCH(L$4,'Type Chart'!$A$5:$A$19,0),MATCH($E14,'Type Chart'!$B$4:$P$4,0))*IF($F14="",1,INDEX('Type Chart'!$B$5:$P$19,MATCH(L$4,'Type Chart'!$A$5:$A$19,0),MATCH($F14,'Type Chart'!$B$4:$P$4,0)))</f>
        <v>2</v>
      </c>
      <c r="M14" s="18" t="n">
        <f aca="false">INDEX('Type Chart'!$B$5:$P$19,MATCH(M$4,'Type Chart'!$A$5:$A$19,0),MATCH($E14,'Type Chart'!$B$4:$P$4,0))*IF($F14="",1,INDEX('Type Chart'!$B$5:$P$19,MATCH(M$4,'Type Chart'!$A$5:$A$19,0),MATCH($F14,'Type Chart'!$B$4:$P$4,0)))</f>
        <v>0.5</v>
      </c>
      <c r="N14" s="18" t="n">
        <f aca="false">INDEX('Type Chart'!$B$5:$P$19,MATCH(N$4,'Type Chart'!$A$5:$A$19,0),MATCH($E14,'Type Chart'!$B$4:$P$4,0))*IF($F14="",1,INDEX('Type Chart'!$B$5:$P$19,MATCH(N$4,'Type Chart'!$A$5:$A$19,0),MATCH($F14,'Type Chart'!$B$4:$P$4,0)))</f>
        <v>1</v>
      </c>
      <c r="O14" s="18" t="n">
        <f aca="false">INDEX('Type Chart'!$B$5:$P$19,MATCH(O$4,'Type Chart'!$A$5:$A$19,0),MATCH($E14,'Type Chart'!$B$4:$P$4,0))*IF($F14="",1,INDEX('Type Chart'!$B$5:$P$19,MATCH(O$4,'Type Chart'!$A$5:$A$19,0),MATCH($F14,'Type Chart'!$B$4:$P$4,0)))</f>
        <v>1</v>
      </c>
      <c r="P14" s="18" t="n">
        <f aca="false">INDEX('Type Chart'!$B$5:$P$19,MATCH(P$4,'Type Chart'!$A$5:$A$19,0),MATCH($E14,'Type Chart'!$B$4:$P$4,0))*IF($F14="",1,INDEX('Type Chart'!$B$5:$P$19,MATCH(P$4,'Type Chart'!$A$5:$A$19,0),MATCH($F14,'Type Chart'!$B$4:$P$4,0)))</f>
        <v>2</v>
      </c>
      <c r="Q14" s="18" t="n">
        <f aca="false">INDEX('Type Chart'!$B$5:$P$19,MATCH(Q$4,'Type Chart'!$A$5:$A$19,0),MATCH($E14,'Type Chart'!$B$4:$P$4,0))*IF($F14="",1,INDEX('Type Chart'!$B$5:$P$19,MATCH(Q$4,'Type Chart'!$A$5:$A$19,0),MATCH($F14,'Type Chart'!$B$4:$P$4,0)))</f>
        <v>2</v>
      </c>
      <c r="R14" s="18" t="n">
        <f aca="false">INDEX('Type Chart'!$B$5:$P$19,MATCH(R$4,'Type Chart'!$A$5:$A$19,0),MATCH($E14,'Type Chart'!$B$4:$P$4,0))*IF($F14="",1,INDEX('Type Chart'!$B$5:$P$19,MATCH(R$4,'Type Chart'!$A$5:$A$19,0),MATCH($F14,'Type Chart'!$B$4:$P$4,0)))</f>
        <v>2</v>
      </c>
      <c r="S14" s="18" t="n">
        <f aca="false">INDEX('Type Chart'!$B$5:$P$19,MATCH(S$4,'Type Chart'!$A$5:$A$19,0),MATCH($E14,'Type Chart'!$B$4:$P$4,0))*IF($F14="",1,INDEX('Type Chart'!$B$5:$P$19,MATCH(S$4,'Type Chart'!$A$5:$A$19,0),MATCH($F14,'Type Chart'!$B$4:$P$4,0)))</f>
        <v>1</v>
      </c>
      <c r="T14" s="18" t="n">
        <f aca="false">INDEX('Type Chart'!$B$5:$P$19,MATCH(T$4,'Type Chart'!$A$5:$A$19,0),MATCH($E14,'Type Chart'!$B$4:$P$4,0))*IF($F14="",1,INDEX('Type Chart'!$B$5:$P$19,MATCH(T$4,'Type Chart'!$A$5:$A$19,0),MATCH($F14,'Type Chart'!$B$4:$P$4,0)))</f>
        <v>1</v>
      </c>
      <c r="U14" s="18" t="n">
        <f aca="false">INDEX('Type Chart'!$B$5:$P$19,MATCH(U$4,'Type Chart'!$A$5:$A$19,0),MATCH($E14,'Type Chart'!$B$4:$P$4,0))*IF($F14="",1,INDEX('Type Chart'!$B$5:$P$19,MATCH(U$4,'Type Chart'!$A$5:$A$19,0),MATCH($F14,'Type Chart'!$B$4:$P$4,0)))</f>
        <v>1</v>
      </c>
    </row>
    <row r="15" customFormat="false" ht="15" hidden="false" customHeight="false" outlineLevel="0" collapsed="false">
      <c r="A15" s="17" t="s">
        <v>152</v>
      </c>
      <c r="B15" s="17" t="s">
        <v>153</v>
      </c>
      <c r="C15" s="17" t="s">
        <v>154</v>
      </c>
      <c r="D15" s="17" t="n">
        <v>42</v>
      </c>
      <c r="E15" s="17" t="s">
        <v>118</v>
      </c>
      <c r="F15" s="17" t="s">
        <v>120</v>
      </c>
      <c r="G15" s="18" t="n">
        <f aca="false">INDEX('Type Chart'!$B$5:$P$19,MATCH(G$4,'Type Chart'!$A$5:$A$19,0),MATCH($E15,'Type Chart'!$B$4:$P$4,0))*IF($F15="",1,INDEX('Type Chart'!$B$5:$P$19,MATCH(G$4,'Type Chart'!$A$5:$A$19,0),MATCH($F15,'Type Chart'!$B$4:$P$4,0)))</f>
        <v>1</v>
      </c>
      <c r="H15" s="18" t="n">
        <f aca="false">INDEX('Type Chart'!$B$5:$P$19,MATCH(H$4,'Type Chart'!$A$5:$A$19,0),MATCH($E15,'Type Chart'!$B$4:$P$4,0))*IF($F15="",1,INDEX('Type Chart'!$B$5:$P$19,MATCH(H$4,'Type Chart'!$A$5:$A$19,0),MATCH($F15,'Type Chart'!$B$4:$P$4,0)))</f>
        <v>1</v>
      </c>
      <c r="I15" s="18" t="n">
        <f aca="false">INDEX('Type Chart'!$B$5:$P$19,MATCH(I$4,'Type Chart'!$A$5:$A$19,0),MATCH($E15,'Type Chart'!$B$4:$P$4,0))*IF($F15="",1,INDEX('Type Chart'!$B$5:$P$19,MATCH(I$4,'Type Chart'!$A$5:$A$19,0),MATCH($F15,'Type Chart'!$B$4:$P$4,0)))</f>
        <v>1</v>
      </c>
      <c r="J15" s="18" t="n">
        <f aca="false">INDEX('Type Chart'!$B$5:$P$19,MATCH(J$4,'Type Chart'!$A$5:$A$19,0),MATCH($E15,'Type Chart'!$B$4:$P$4,0))*IF($F15="",1,INDEX('Type Chart'!$B$5:$P$19,MATCH(J$4,'Type Chart'!$A$5:$A$19,0),MATCH($F15,'Type Chart'!$B$4:$P$4,0)))</f>
        <v>2</v>
      </c>
      <c r="K15" s="18" t="n">
        <f aca="false">INDEX('Type Chart'!$B$5:$P$19,MATCH(K$4,'Type Chart'!$A$5:$A$19,0),MATCH($E15,'Type Chart'!$B$4:$P$4,0))*IF($F15="",1,INDEX('Type Chart'!$B$5:$P$19,MATCH(K$4,'Type Chart'!$A$5:$A$19,0),MATCH($F15,'Type Chart'!$B$4:$P$4,0)))</f>
        <v>0.25</v>
      </c>
      <c r="L15" s="18" t="n">
        <f aca="false">INDEX('Type Chart'!$B$5:$P$19,MATCH(L$4,'Type Chart'!$A$5:$A$19,0),MATCH($E15,'Type Chart'!$B$4:$P$4,0))*IF($F15="",1,INDEX('Type Chart'!$B$5:$P$19,MATCH(L$4,'Type Chart'!$A$5:$A$19,0),MATCH($F15,'Type Chart'!$B$4:$P$4,0)))</f>
        <v>2</v>
      </c>
      <c r="M15" s="18" t="n">
        <f aca="false">INDEX('Type Chart'!$B$5:$P$19,MATCH(M$4,'Type Chart'!$A$5:$A$19,0),MATCH($E15,'Type Chart'!$B$4:$P$4,0))*IF($F15="",1,INDEX('Type Chart'!$B$5:$P$19,MATCH(M$4,'Type Chart'!$A$5:$A$19,0),MATCH($F15,'Type Chart'!$B$4:$P$4,0)))</f>
        <v>0.25</v>
      </c>
      <c r="N15" s="18" t="n">
        <f aca="false">INDEX('Type Chart'!$B$5:$P$19,MATCH(N$4,'Type Chart'!$A$5:$A$19,0),MATCH($E15,'Type Chart'!$B$4:$P$4,0))*IF($F15="",1,INDEX('Type Chart'!$B$5:$P$19,MATCH(N$4,'Type Chart'!$A$5:$A$19,0),MATCH($F15,'Type Chart'!$B$4:$P$4,0)))</f>
        <v>0.5</v>
      </c>
      <c r="O15" s="18" t="n">
        <f aca="false">INDEX('Type Chart'!$B$5:$P$19,MATCH(O$4,'Type Chart'!$A$5:$A$19,0),MATCH($E15,'Type Chart'!$B$4:$P$4,0))*IF($F15="",1,INDEX('Type Chart'!$B$5:$P$19,MATCH(O$4,'Type Chart'!$A$5:$A$19,0),MATCH($F15,'Type Chart'!$B$4:$P$4,0)))</f>
        <v>0</v>
      </c>
      <c r="P15" s="18" t="n">
        <f aca="false">INDEX('Type Chart'!$B$5:$P$19,MATCH(P$4,'Type Chart'!$A$5:$A$19,0),MATCH($E15,'Type Chart'!$B$4:$P$4,0))*IF($F15="",1,INDEX('Type Chart'!$B$5:$P$19,MATCH(P$4,'Type Chart'!$A$5:$A$19,0),MATCH($F15,'Type Chart'!$B$4:$P$4,0)))</f>
        <v>1</v>
      </c>
      <c r="Q15" s="18" t="n">
        <f aca="false">INDEX('Type Chart'!$B$5:$P$19,MATCH(Q$4,'Type Chart'!$A$5:$A$19,0),MATCH($E15,'Type Chart'!$B$4:$P$4,0))*IF($F15="",1,INDEX('Type Chart'!$B$5:$P$19,MATCH(Q$4,'Type Chart'!$A$5:$A$19,0),MATCH($F15,'Type Chart'!$B$4:$P$4,0)))</f>
        <v>2</v>
      </c>
      <c r="R15" s="18" t="n">
        <f aca="false">INDEX('Type Chart'!$B$5:$P$19,MATCH(R$4,'Type Chart'!$A$5:$A$19,0),MATCH($E15,'Type Chart'!$B$4:$P$4,0))*IF($F15="",1,INDEX('Type Chart'!$B$5:$P$19,MATCH(R$4,'Type Chart'!$A$5:$A$19,0),MATCH($F15,'Type Chart'!$B$4:$P$4,0)))</f>
        <v>0.5</v>
      </c>
      <c r="S15" s="18" t="n">
        <f aca="false">INDEX('Type Chart'!$B$5:$P$19,MATCH(S$4,'Type Chart'!$A$5:$A$19,0),MATCH($E15,'Type Chart'!$B$4:$P$4,0))*IF($F15="",1,INDEX('Type Chart'!$B$5:$P$19,MATCH(S$4,'Type Chart'!$A$5:$A$19,0),MATCH($F15,'Type Chart'!$B$4:$P$4,0)))</f>
        <v>2</v>
      </c>
      <c r="T15" s="18" t="n">
        <f aca="false">INDEX('Type Chart'!$B$5:$P$19,MATCH(T$4,'Type Chart'!$A$5:$A$19,0),MATCH($E15,'Type Chart'!$B$4:$P$4,0))*IF($F15="",1,INDEX('Type Chart'!$B$5:$P$19,MATCH(T$4,'Type Chart'!$A$5:$A$19,0),MATCH($F15,'Type Chart'!$B$4:$P$4,0)))</f>
        <v>1</v>
      </c>
      <c r="U15" s="18" t="n">
        <f aca="false">INDEX('Type Chart'!$B$5:$P$19,MATCH(U$4,'Type Chart'!$A$5:$A$19,0),MATCH($E15,'Type Chart'!$B$4:$P$4,0))*IF($F15="",1,INDEX('Type Chart'!$B$5:$P$19,MATCH(U$4,'Type Chart'!$A$5:$A$19,0),MATCH($F15,'Type Chart'!$B$4:$P$4,0)))</f>
        <v>1</v>
      </c>
    </row>
    <row r="16" customFormat="false" ht="15" hidden="false" customHeight="false" outlineLevel="0" collapsed="false">
      <c r="A16" s="17" t="s">
        <v>152</v>
      </c>
      <c r="B16" s="17" t="s">
        <v>153</v>
      </c>
      <c r="C16" s="17" t="s">
        <v>155</v>
      </c>
      <c r="D16" s="17" t="n">
        <v>42</v>
      </c>
      <c r="E16" s="17" t="s">
        <v>118</v>
      </c>
      <c r="F16" s="17"/>
      <c r="G16" s="18" t="n">
        <f aca="false">INDEX('Type Chart'!$B$5:$P$19,MATCH(G$4,'Type Chart'!$A$5:$A$19,0),MATCH($E16,'Type Chart'!$B$4:$P$4,0))*IF($F16="",1,INDEX('Type Chart'!$B$5:$P$19,MATCH(G$4,'Type Chart'!$A$5:$A$19,0),MATCH($F16,'Type Chart'!$B$4:$P$4,0)))</f>
        <v>1</v>
      </c>
      <c r="H16" s="18" t="n">
        <f aca="false">INDEX('Type Chart'!$B$5:$P$19,MATCH(H$4,'Type Chart'!$A$5:$A$19,0),MATCH($E16,'Type Chart'!$B$4:$P$4,0))*IF($F16="",1,INDEX('Type Chart'!$B$5:$P$19,MATCH(H$4,'Type Chart'!$A$5:$A$19,0),MATCH($F16,'Type Chart'!$B$4:$P$4,0)))</f>
        <v>1</v>
      </c>
      <c r="I16" s="18" t="n">
        <f aca="false">INDEX('Type Chart'!$B$5:$P$19,MATCH(I$4,'Type Chart'!$A$5:$A$19,0),MATCH($E16,'Type Chart'!$B$4:$P$4,0))*IF($F16="",1,INDEX('Type Chart'!$B$5:$P$19,MATCH(I$4,'Type Chart'!$A$5:$A$19,0),MATCH($F16,'Type Chart'!$B$4:$P$4,0)))</f>
        <v>1</v>
      </c>
      <c r="J16" s="18" t="n">
        <f aca="false">INDEX('Type Chart'!$B$5:$P$19,MATCH(J$4,'Type Chart'!$A$5:$A$19,0),MATCH($E16,'Type Chart'!$B$4:$P$4,0))*IF($F16="",1,INDEX('Type Chart'!$B$5:$P$19,MATCH(J$4,'Type Chart'!$A$5:$A$19,0),MATCH($F16,'Type Chart'!$B$4:$P$4,0)))</f>
        <v>1</v>
      </c>
      <c r="K16" s="18" t="n">
        <f aca="false">INDEX('Type Chart'!$B$5:$P$19,MATCH(K$4,'Type Chart'!$A$5:$A$19,0),MATCH($E16,'Type Chart'!$B$4:$P$4,0))*IF($F16="",1,INDEX('Type Chart'!$B$5:$P$19,MATCH(K$4,'Type Chart'!$A$5:$A$19,0),MATCH($F16,'Type Chart'!$B$4:$P$4,0)))</f>
        <v>0.5</v>
      </c>
      <c r="L16" s="18" t="n">
        <f aca="false">INDEX('Type Chart'!$B$5:$P$19,MATCH(L$4,'Type Chart'!$A$5:$A$19,0),MATCH($E16,'Type Chart'!$B$4:$P$4,0))*IF($F16="",1,INDEX('Type Chart'!$B$5:$P$19,MATCH(L$4,'Type Chart'!$A$5:$A$19,0),MATCH($F16,'Type Chart'!$B$4:$P$4,0)))</f>
        <v>1</v>
      </c>
      <c r="M16" s="18" t="n">
        <f aca="false">INDEX('Type Chart'!$B$5:$P$19,MATCH(M$4,'Type Chart'!$A$5:$A$19,0),MATCH($E16,'Type Chart'!$B$4:$P$4,0))*IF($F16="",1,INDEX('Type Chart'!$B$5:$P$19,MATCH(M$4,'Type Chart'!$A$5:$A$19,0),MATCH($F16,'Type Chart'!$B$4:$P$4,0)))</f>
        <v>0.5</v>
      </c>
      <c r="N16" s="18" t="n">
        <f aca="false">INDEX('Type Chart'!$B$5:$P$19,MATCH(N$4,'Type Chart'!$A$5:$A$19,0),MATCH($E16,'Type Chart'!$B$4:$P$4,0))*IF($F16="",1,INDEX('Type Chart'!$B$5:$P$19,MATCH(N$4,'Type Chart'!$A$5:$A$19,0),MATCH($F16,'Type Chart'!$B$4:$P$4,0)))</f>
        <v>0.5</v>
      </c>
      <c r="O16" s="18" t="n">
        <f aca="false">INDEX('Type Chart'!$B$5:$P$19,MATCH(O$4,'Type Chart'!$A$5:$A$19,0),MATCH($E16,'Type Chart'!$B$4:$P$4,0))*IF($F16="",1,INDEX('Type Chart'!$B$5:$P$19,MATCH(O$4,'Type Chart'!$A$5:$A$19,0),MATCH($F16,'Type Chart'!$B$4:$P$4,0)))</f>
        <v>2</v>
      </c>
      <c r="P16" s="18" t="n">
        <f aca="false">INDEX('Type Chart'!$B$5:$P$19,MATCH(P$4,'Type Chart'!$A$5:$A$19,0),MATCH($E16,'Type Chart'!$B$4:$P$4,0))*IF($F16="",1,INDEX('Type Chart'!$B$5:$P$19,MATCH(P$4,'Type Chart'!$A$5:$A$19,0),MATCH($F16,'Type Chart'!$B$4:$P$4,0)))</f>
        <v>1</v>
      </c>
      <c r="Q16" s="18" t="n">
        <f aca="false">INDEX('Type Chart'!$B$5:$P$19,MATCH(Q$4,'Type Chart'!$A$5:$A$19,0),MATCH($E16,'Type Chart'!$B$4:$P$4,0))*IF($F16="",1,INDEX('Type Chart'!$B$5:$P$19,MATCH(Q$4,'Type Chart'!$A$5:$A$19,0),MATCH($F16,'Type Chart'!$B$4:$P$4,0)))</f>
        <v>2</v>
      </c>
      <c r="R16" s="18" t="n">
        <f aca="false">INDEX('Type Chart'!$B$5:$P$19,MATCH(R$4,'Type Chart'!$A$5:$A$19,0),MATCH($E16,'Type Chart'!$B$4:$P$4,0))*IF($F16="",1,INDEX('Type Chart'!$B$5:$P$19,MATCH(R$4,'Type Chart'!$A$5:$A$19,0),MATCH($F16,'Type Chart'!$B$4:$P$4,0)))</f>
        <v>1</v>
      </c>
      <c r="S16" s="18" t="n">
        <f aca="false">INDEX('Type Chart'!$B$5:$P$19,MATCH(S$4,'Type Chart'!$A$5:$A$19,0),MATCH($E16,'Type Chart'!$B$4:$P$4,0))*IF($F16="",1,INDEX('Type Chart'!$B$5:$P$19,MATCH(S$4,'Type Chart'!$A$5:$A$19,0),MATCH($F16,'Type Chart'!$B$4:$P$4,0)))</f>
        <v>1</v>
      </c>
      <c r="T16" s="18" t="n">
        <f aca="false">INDEX('Type Chart'!$B$5:$P$19,MATCH(T$4,'Type Chart'!$A$5:$A$19,0),MATCH($E16,'Type Chart'!$B$4:$P$4,0))*IF($F16="",1,INDEX('Type Chart'!$B$5:$P$19,MATCH(T$4,'Type Chart'!$A$5:$A$19,0),MATCH($F16,'Type Chart'!$B$4:$P$4,0)))</f>
        <v>1</v>
      </c>
      <c r="U16" s="18" t="n">
        <f aca="false">INDEX('Type Chart'!$B$5:$P$19,MATCH(U$4,'Type Chart'!$A$5:$A$19,0),MATCH($E16,'Type Chart'!$B$4:$P$4,0))*IF($F16="",1,INDEX('Type Chart'!$B$5:$P$19,MATCH(U$4,'Type Chart'!$A$5:$A$19,0),MATCH($F16,'Type Chart'!$B$4:$P$4,0)))</f>
        <v>1</v>
      </c>
    </row>
    <row r="17" customFormat="false" ht="15" hidden="false" customHeight="false" outlineLevel="0" collapsed="false">
      <c r="A17" s="17" t="s">
        <v>152</v>
      </c>
      <c r="B17" s="17" t="s">
        <v>153</v>
      </c>
      <c r="C17" s="17" t="s">
        <v>156</v>
      </c>
      <c r="D17" s="17" t="n">
        <v>41</v>
      </c>
      <c r="E17" s="17" t="s">
        <v>113</v>
      </c>
      <c r="F17" s="17" t="s">
        <v>118</v>
      </c>
      <c r="G17" s="18" t="n">
        <f aca="false">INDEX('Type Chart'!$B$5:$P$19,MATCH(G$4,'Type Chart'!$A$5:$A$19,0),MATCH($E17,'Type Chart'!$B$4:$P$4,0))*IF($F17="",1,INDEX('Type Chart'!$B$5:$P$19,MATCH(G$4,'Type Chart'!$A$5:$A$19,0),MATCH($F17,'Type Chart'!$B$4:$P$4,0)))</f>
        <v>1</v>
      </c>
      <c r="H17" s="18" t="n">
        <f aca="false">INDEX('Type Chart'!$B$5:$P$19,MATCH(H$4,'Type Chart'!$A$5:$A$19,0),MATCH($E17,'Type Chart'!$B$4:$P$4,0))*IF($F17="",1,INDEX('Type Chart'!$B$5:$P$19,MATCH(H$4,'Type Chart'!$A$5:$A$19,0),MATCH($F17,'Type Chart'!$B$4:$P$4,0)))</f>
        <v>0.5</v>
      </c>
      <c r="I17" s="18" t="n">
        <f aca="false">INDEX('Type Chart'!$B$5:$P$19,MATCH(I$4,'Type Chart'!$A$5:$A$19,0),MATCH($E17,'Type Chart'!$B$4:$P$4,0))*IF($F17="",1,INDEX('Type Chart'!$B$5:$P$19,MATCH(I$4,'Type Chart'!$A$5:$A$19,0),MATCH($F17,'Type Chart'!$B$4:$P$4,0)))</f>
        <v>0.5</v>
      </c>
      <c r="J17" s="18" t="n">
        <f aca="false">INDEX('Type Chart'!$B$5:$P$19,MATCH(J$4,'Type Chart'!$A$5:$A$19,0),MATCH($E17,'Type Chart'!$B$4:$P$4,0))*IF($F17="",1,INDEX('Type Chart'!$B$5:$P$19,MATCH(J$4,'Type Chart'!$A$5:$A$19,0),MATCH($F17,'Type Chart'!$B$4:$P$4,0)))</f>
        <v>2</v>
      </c>
      <c r="K17" s="18" t="n">
        <f aca="false">INDEX('Type Chart'!$B$5:$P$19,MATCH(K$4,'Type Chart'!$A$5:$A$19,0),MATCH($E17,'Type Chart'!$B$4:$P$4,0))*IF($F17="",1,INDEX('Type Chart'!$B$5:$P$19,MATCH(K$4,'Type Chart'!$A$5:$A$19,0),MATCH($F17,'Type Chart'!$B$4:$P$4,0)))</f>
        <v>1</v>
      </c>
      <c r="L17" s="18" t="n">
        <f aca="false">INDEX('Type Chart'!$B$5:$P$19,MATCH(L$4,'Type Chart'!$A$5:$A$19,0),MATCH($E17,'Type Chart'!$B$4:$P$4,0))*IF($F17="",1,INDEX('Type Chart'!$B$5:$P$19,MATCH(L$4,'Type Chart'!$A$5:$A$19,0),MATCH($F17,'Type Chart'!$B$4:$P$4,0)))</f>
        <v>0.5</v>
      </c>
      <c r="M17" s="18" t="n">
        <f aca="false">INDEX('Type Chart'!$B$5:$P$19,MATCH(M$4,'Type Chart'!$A$5:$A$19,0),MATCH($E17,'Type Chart'!$B$4:$P$4,0))*IF($F17="",1,INDEX('Type Chart'!$B$5:$P$19,MATCH(M$4,'Type Chart'!$A$5:$A$19,0),MATCH($F17,'Type Chart'!$B$4:$P$4,0)))</f>
        <v>0.5</v>
      </c>
      <c r="N17" s="18" t="n">
        <f aca="false">INDEX('Type Chart'!$B$5:$P$19,MATCH(N$4,'Type Chart'!$A$5:$A$19,0),MATCH($E17,'Type Chart'!$B$4:$P$4,0))*IF($F17="",1,INDEX('Type Chart'!$B$5:$P$19,MATCH(N$4,'Type Chart'!$A$5:$A$19,0),MATCH($F17,'Type Chart'!$B$4:$P$4,0)))</f>
        <v>0.5</v>
      </c>
      <c r="O17" s="18" t="n">
        <f aca="false">INDEX('Type Chart'!$B$5:$P$19,MATCH(O$4,'Type Chart'!$A$5:$A$19,0),MATCH($E17,'Type Chart'!$B$4:$P$4,0))*IF($F17="",1,INDEX('Type Chart'!$B$5:$P$19,MATCH(O$4,'Type Chart'!$A$5:$A$19,0),MATCH($F17,'Type Chart'!$B$4:$P$4,0)))</f>
        <v>2</v>
      </c>
      <c r="P17" s="18" t="n">
        <f aca="false">INDEX('Type Chart'!$B$5:$P$19,MATCH(P$4,'Type Chart'!$A$5:$A$19,0),MATCH($E17,'Type Chart'!$B$4:$P$4,0))*IF($F17="",1,INDEX('Type Chart'!$B$5:$P$19,MATCH(P$4,'Type Chart'!$A$5:$A$19,0),MATCH($F17,'Type Chart'!$B$4:$P$4,0)))</f>
        <v>1</v>
      </c>
      <c r="Q17" s="18" t="n">
        <f aca="false">INDEX('Type Chart'!$B$5:$P$19,MATCH(Q$4,'Type Chart'!$A$5:$A$19,0),MATCH($E17,'Type Chart'!$B$4:$P$4,0))*IF($F17="",1,INDEX('Type Chart'!$B$5:$P$19,MATCH(Q$4,'Type Chart'!$A$5:$A$19,0),MATCH($F17,'Type Chart'!$B$4:$P$4,0)))</f>
        <v>2</v>
      </c>
      <c r="R17" s="18" t="n">
        <f aca="false">INDEX('Type Chart'!$B$5:$P$19,MATCH(R$4,'Type Chart'!$A$5:$A$19,0),MATCH($E17,'Type Chart'!$B$4:$P$4,0))*IF($F17="",1,INDEX('Type Chart'!$B$5:$P$19,MATCH(R$4,'Type Chart'!$A$5:$A$19,0),MATCH($F17,'Type Chart'!$B$4:$P$4,0)))</f>
        <v>1</v>
      </c>
      <c r="S17" s="18" t="n">
        <f aca="false">INDEX('Type Chart'!$B$5:$P$19,MATCH(S$4,'Type Chart'!$A$5:$A$19,0),MATCH($E17,'Type Chart'!$B$4:$P$4,0))*IF($F17="",1,INDEX('Type Chart'!$B$5:$P$19,MATCH(S$4,'Type Chart'!$A$5:$A$19,0),MATCH($F17,'Type Chart'!$B$4:$P$4,0)))</f>
        <v>1</v>
      </c>
      <c r="T17" s="18" t="n">
        <f aca="false">INDEX('Type Chart'!$B$5:$P$19,MATCH(T$4,'Type Chart'!$A$5:$A$19,0),MATCH($E17,'Type Chart'!$B$4:$P$4,0))*IF($F17="",1,INDEX('Type Chart'!$B$5:$P$19,MATCH(T$4,'Type Chart'!$A$5:$A$19,0),MATCH($F17,'Type Chart'!$B$4:$P$4,0)))</f>
        <v>1</v>
      </c>
      <c r="U17" s="18" t="n">
        <f aca="false">INDEX('Type Chart'!$B$5:$P$19,MATCH(U$4,'Type Chart'!$A$5:$A$19,0),MATCH($E17,'Type Chart'!$B$4:$P$4,0))*IF($F17="",1,INDEX('Type Chart'!$B$5:$P$19,MATCH(U$4,'Type Chart'!$A$5:$A$19,0),MATCH($F17,'Type Chart'!$B$4:$P$4,0)))</f>
        <v>1</v>
      </c>
    </row>
    <row r="18" customFormat="false" ht="15" hidden="false" customHeight="false" outlineLevel="0" collapsed="false">
      <c r="A18" s="17" t="s">
        <v>152</v>
      </c>
      <c r="B18" s="17" t="s">
        <v>153</v>
      </c>
      <c r="C18" s="17" t="s">
        <v>157</v>
      </c>
      <c r="D18" s="17" t="n">
        <v>43</v>
      </c>
      <c r="E18" s="17" t="s">
        <v>122</v>
      </c>
      <c r="F18" s="17" t="s">
        <v>118</v>
      </c>
      <c r="G18" s="18" t="n">
        <f aca="false">INDEX('Type Chart'!$B$5:$P$19,MATCH(G$4,'Type Chart'!$A$5:$A$19,0),MATCH($E18,'Type Chart'!$B$4:$P$4,0))*IF($F18="",1,INDEX('Type Chart'!$B$5:$P$19,MATCH(G$4,'Type Chart'!$A$5:$A$19,0),MATCH($F18,'Type Chart'!$B$4:$P$4,0)))</f>
        <v>1</v>
      </c>
      <c r="H18" s="18" t="n">
        <f aca="false">INDEX('Type Chart'!$B$5:$P$19,MATCH(H$4,'Type Chart'!$A$5:$A$19,0),MATCH($E18,'Type Chart'!$B$4:$P$4,0))*IF($F18="",1,INDEX('Type Chart'!$B$5:$P$19,MATCH(H$4,'Type Chart'!$A$5:$A$19,0),MATCH($F18,'Type Chart'!$B$4:$P$4,0)))</f>
        <v>2</v>
      </c>
      <c r="I18" s="18" t="n">
        <f aca="false">INDEX('Type Chart'!$B$5:$P$19,MATCH(I$4,'Type Chart'!$A$5:$A$19,0),MATCH($E18,'Type Chart'!$B$4:$P$4,0))*IF($F18="",1,INDEX('Type Chart'!$B$5:$P$19,MATCH(I$4,'Type Chart'!$A$5:$A$19,0),MATCH($F18,'Type Chart'!$B$4:$P$4,0)))</f>
        <v>1</v>
      </c>
      <c r="J18" s="18" t="n">
        <f aca="false">INDEX('Type Chart'!$B$5:$P$19,MATCH(J$4,'Type Chart'!$A$5:$A$19,0),MATCH($E18,'Type Chart'!$B$4:$P$4,0))*IF($F18="",1,INDEX('Type Chart'!$B$5:$P$19,MATCH(J$4,'Type Chart'!$A$5:$A$19,0),MATCH($F18,'Type Chart'!$B$4:$P$4,0)))</f>
        <v>1</v>
      </c>
      <c r="K18" s="18" t="n">
        <f aca="false">INDEX('Type Chart'!$B$5:$P$19,MATCH(K$4,'Type Chart'!$A$5:$A$19,0),MATCH($E18,'Type Chart'!$B$4:$P$4,0))*IF($F18="",1,INDEX('Type Chart'!$B$5:$P$19,MATCH(K$4,'Type Chart'!$A$5:$A$19,0),MATCH($F18,'Type Chart'!$B$4:$P$4,0)))</f>
        <v>0.25</v>
      </c>
      <c r="L18" s="18" t="n">
        <f aca="false">INDEX('Type Chart'!$B$5:$P$19,MATCH(L$4,'Type Chart'!$A$5:$A$19,0),MATCH($E18,'Type Chart'!$B$4:$P$4,0))*IF($F18="",1,INDEX('Type Chart'!$B$5:$P$19,MATCH(L$4,'Type Chart'!$A$5:$A$19,0),MATCH($F18,'Type Chart'!$B$4:$P$4,0)))</f>
        <v>1</v>
      </c>
      <c r="M18" s="18" t="n">
        <f aca="false">INDEX('Type Chart'!$B$5:$P$19,MATCH(M$4,'Type Chart'!$A$5:$A$19,0),MATCH($E18,'Type Chart'!$B$4:$P$4,0))*IF($F18="",1,INDEX('Type Chart'!$B$5:$P$19,MATCH(M$4,'Type Chart'!$A$5:$A$19,0),MATCH($F18,'Type Chart'!$B$4:$P$4,0)))</f>
        <v>0.25</v>
      </c>
      <c r="N18" s="18" t="n">
        <f aca="false">INDEX('Type Chart'!$B$5:$P$19,MATCH(N$4,'Type Chart'!$A$5:$A$19,0),MATCH($E18,'Type Chart'!$B$4:$P$4,0))*IF($F18="",1,INDEX('Type Chart'!$B$5:$P$19,MATCH(N$4,'Type Chart'!$A$5:$A$19,0),MATCH($F18,'Type Chart'!$B$4:$P$4,0)))</f>
        <v>1</v>
      </c>
      <c r="O18" s="18" t="n">
        <f aca="false">INDEX('Type Chart'!$B$5:$P$19,MATCH(O$4,'Type Chart'!$A$5:$A$19,0),MATCH($E18,'Type Chart'!$B$4:$P$4,0))*IF($F18="",1,INDEX('Type Chart'!$B$5:$P$19,MATCH(O$4,'Type Chart'!$A$5:$A$19,0),MATCH($F18,'Type Chart'!$B$4:$P$4,0)))</f>
        <v>1</v>
      </c>
      <c r="P18" s="18" t="n">
        <f aca="false">INDEX('Type Chart'!$B$5:$P$19,MATCH(P$4,'Type Chart'!$A$5:$A$19,0),MATCH($E18,'Type Chart'!$B$4:$P$4,0))*IF($F18="",1,INDEX('Type Chart'!$B$5:$P$19,MATCH(P$4,'Type Chart'!$A$5:$A$19,0),MATCH($F18,'Type Chart'!$B$4:$P$4,0)))</f>
        <v>2</v>
      </c>
      <c r="Q18" s="18" t="n">
        <f aca="false">INDEX('Type Chart'!$B$5:$P$19,MATCH(Q$4,'Type Chart'!$A$5:$A$19,0),MATCH($E18,'Type Chart'!$B$4:$P$4,0))*IF($F18="",1,INDEX('Type Chart'!$B$5:$P$19,MATCH(Q$4,'Type Chart'!$A$5:$A$19,0),MATCH($F18,'Type Chart'!$B$4:$P$4,0)))</f>
        <v>2</v>
      </c>
      <c r="R18" s="18" t="n">
        <f aca="false">INDEX('Type Chart'!$B$5:$P$19,MATCH(R$4,'Type Chart'!$A$5:$A$19,0),MATCH($E18,'Type Chart'!$B$4:$P$4,0))*IF($F18="",1,INDEX('Type Chart'!$B$5:$P$19,MATCH(R$4,'Type Chart'!$A$5:$A$19,0),MATCH($F18,'Type Chart'!$B$4:$P$4,0)))</f>
        <v>1</v>
      </c>
      <c r="S18" s="18" t="n">
        <f aca="false">INDEX('Type Chart'!$B$5:$P$19,MATCH(S$4,'Type Chart'!$A$5:$A$19,0),MATCH($E18,'Type Chart'!$B$4:$P$4,0))*IF($F18="",1,INDEX('Type Chart'!$B$5:$P$19,MATCH(S$4,'Type Chart'!$A$5:$A$19,0),MATCH($F18,'Type Chart'!$B$4:$P$4,0)))</f>
        <v>2</v>
      </c>
      <c r="T18" s="18" t="n">
        <f aca="false">INDEX('Type Chart'!$B$5:$P$19,MATCH(T$4,'Type Chart'!$A$5:$A$19,0),MATCH($E18,'Type Chart'!$B$4:$P$4,0))*IF($F18="",1,INDEX('Type Chart'!$B$5:$P$19,MATCH(T$4,'Type Chart'!$A$5:$A$19,0),MATCH($F18,'Type Chart'!$B$4:$P$4,0)))</f>
        <v>1</v>
      </c>
      <c r="U18" s="18" t="n">
        <f aca="false">INDEX('Type Chart'!$B$5:$P$19,MATCH(U$4,'Type Chart'!$A$5:$A$19,0),MATCH($E18,'Type Chart'!$B$4:$P$4,0))*IF($F18="",1,INDEX('Type Chart'!$B$5:$P$19,MATCH(U$4,'Type Chart'!$A$5:$A$19,0),MATCH($F18,'Type Chart'!$B$4:$P$4,0)))</f>
        <v>1</v>
      </c>
    </row>
    <row r="19" customFormat="false" ht="15" hidden="false" customHeight="false" outlineLevel="0" collapsed="false">
      <c r="A19" s="17" t="s">
        <v>158</v>
      </c>
      <c r="B19" s="17" t="s">
        <v>159</v>
      </c>
      <c r="C19" s="17" t="s">
        <v>160</v>
      </c>
      <c r="D19" s="17" t="n">
        <v>50</v>
      </c>
      <c r="E19" s="17" t="s">
        <v>121</v>
      </c>
      <c r="F19" s="17"/>
      <c r="G19" s="18" t="n">
        <f aca="false">INDEX('Type Chart'!$B$5:$P$19,MATCH(G$4,'Type Chart'!$A$5:$A$19,0),MATCH($E19,'Type Chart'!$B$4:$P$4,0))*IF($F19="",1,INDEX('Type Chart'!$B$5:$P$19,MATCH(G$4,'Type Chart'!$A$5:$A$19,0),MATCH($F19,'Type Chart'!$B$4:$P$4,0)))</f>
        <v>1</v>
      </c>
      <c r="H19" s="18" t="n">
        <f aca="false">INDEX('Type Chart'!$B$5:$P$19,MATCH(H$4,'Type Chart'!$A$5:$A$19,0),MATCH($E19,'Type Chart'!$B$4:$P$4,0))*IF($F19="",1,INDEX('Type Chart'!$B$5:$P$19,MATCH(H$4,'Type Chart'!$A$5:$A$19,0),MATCH($F19,'Type Chart'!$B$4:$P$4,0)))</f>
        <v>1</v>
      </c>
      <c r="I19" s="18" t="n">
        <f aca="false">INDEX('Type Chart'!$B$5:$P$19,MATCH(I$4,'Type Chart'!$A$5:$A$19,0),MATCH($E19,'Type Chart'!$B$4:$P$4,0))*IF($F19="",1,INDEX('Type Chart'!$B$5:$P$19,MATCH(I$4,'Type Chart'!$A$5:$A$19,0),MATCH($F19,'Type Chart'!$B$4:$P$4,0)))</f>
        <v>1</v>
      </c>
      <c r="J19" s="18" t="n">
        <f aca="false">INDEX('Type Chart'!$B$5:$P$19,MATCH(J$4,'Type Chart'!$A$5:$A$19,0),MATCH($E19,'Type Chart'!$B$4:$P$4,0))*IF($F19="",1,INDEX('Type Chart'!$B$5:$P$19,MATCH(J$4,'Type Chart'!$A$5:$A$19,0),MATCH($F19,'Type Chart'!$B$4:$P$4,0)))</f>
        <v>1</v>
      </c>
      <c r="K19" s="18" t="n">
        <f aca="false">INDEX('Type Chart'!$B$5:$P$19,MATCH(K$4,'Type Chart'!$A$5:$A$19,0),MATCH($E19,'Type Chart'!$B$4:$P$4,0))*IF($F19="",1,INDEX('Type Chart'!$B$5:$P$19,MATCH(K$4,'Type Chart'!$A$5:$A$19,0),MATCH($F19,'Type Chart'!$B$4:$P$4,0)))</f>
        <v>1</v>
      </c>
      <c r="L19" s="18" t="n">
        <f aca="false">INDEX('Type Chart'!$B$5:$P$19,MATCH(L$4,'Type Chart'!$A$5:$A$19,0),MATCH($E19,'Type Chart'!$B$4:$P$4,0))*IF($F19="",1,INDEX('Type Chart'!$B$5:$P$19,MATCH(L$4,'Type Chart'!$A$5:$A$19,0),MATCH($F19,'Type Chart'!$B$4:$P$4,0)))</f>
        <v>1</v>
      </c>
      <c r="M19" s="18" t="n">
        <f aca="false">INDEX('Type Chart'!$B$5:$P$19,MATCH(M$4,'Type Chart'!$A$5:$A$19,0),MATCH($E19,'Type Chart'!$B$4:$P$4,0))*IF($F19="",1,INDEX('Type Chart'!$B$5:$P$19,MATCH(M$4,'Type Chart'!$A$5:$A$19,0),MATCH($F19,'Type Chart'!$B$4:$P$4,0)))</f>
        <v>0.5</v>
      </c>
      <c r="N19" s="18" t="n">
        <f aca="false">INDEX('Type Chart'!$B$5:$P$19,MATCH(N$4,'Type Chart'!$A$5:$A$19,0),MATCH($E19,'Type Chart'!$B$4:$P$4,0))*IF($F19="",1,INDEX('Type Chart'!$B$5:$P$19,MATCH(N$4,'Type Chart'!$A$5:$A$19,0),MATCH($F19,'Type Chart'!$B$4:$P$4,0)))</f>
        <v>1</v>
      </c>
      <c r="O19" s="18" t="n">
        <f aca="false">INDEX('Type Chart'!$B$5:$P$19,MATCH(O$4,'Type Chart'!$A$5:$A$19,0),MATCH($E19,'Type Chart'!$B$4:$P$4,0))*IF($F19="",1,INDEX('Type Chart'!$B$5:$P$19,MATCH(O$4,'Type Chart'!$A$5:$A$19,0),MATCH($F19,'Type Chart'!$B$4:$P$4,0)))</f>
        <v>1</v>
      </c>
      <c r="P19" s="18" t="n">
        <f aca="false">INDEX('Type Chart'!$B$5:$P$19,MATCH(P$4,'Type Chart'!$A$5:$A$19,0),MATCH($E19,'Type Chart'!$B$4:$P$4,0))*IF($F19="",1,INDEX('Type Chart'!$B$5:$P$19,MATCH(P$4,'Type Chart'!$A$5:$A$19,0),MATCH($F19,'Type Chart'!$B$4:$P$4,0)))</f>
        <v>1</v>
      </c>
      <c r="Q19" s="18" t="n">
        <f aca="false">INDEX('Type Chart'!$B$5:$P$19,MATCH(Q$4,'Type Chart'!$A$5:$A$19,0),MATCH($E19,'Type Chart'!$B$4:$P$4,0))*IF($F19="",1,INDEX('Type Chart'!$B$5:$P$19,MATCH(Q$4,'Type Chart'!$A$5:$A$19,0),MATCH($F19,'Type Chart'!$B$4:$P$4,0)))</f>
        <v>0.5</v>
      </c>
      <c r="R19" s="18" t="n">
        <f aca="false">INDEX('Type Chart'!$B$5:$P$19,MATCH(R$4,'Type Chart'!$A$5:$A$19,0),MATCH($E19,'Type Chart'!$B$4:$P$4,0))*IF($F19="",1,INDEX('Type Chart'!$B$5:$P$19,MATCH(R$4,'Type Chart'!$A$5:$A$19,0),MATCH($F19,'Type Chart'!$B$4:$P$4,0)))</f>
        <v>2</v>
      </c>
      <c r="S19" s="18" t="n">
        <f aca="false">INDEX('Type Chart'!$B$5:$P$19,MATCH(S$4,'Type Chart'!$A$5:$A$19,0),MATCH($E19,'Type Chart'!$B$4:$P$4,0))*IF($F19="",1,INDEX('Type Chart'!$B$5:$P$19,MATCH(S$4,'Type Chart'!$A$5:$A$19,0),MATCH($F19,'Type Chart'!$B$4:$P$4,0)))</f>
        <v>1</v>
      </c>
      <c r="T19" s="18" t="n">
        <f aca="false">INDEX('Type Chart'!$B$5:$P$19,MATCH(T$4,'Type Chart'!$A$5:$A$19,0),MATCH($E19,'Type Chart'!$B$4:$P$4,0))*IF($F19="",1,INDEX('Type Chart'!$B$5:$P$19,MATCH(T$4,'Type Chart'!$A$5:$A$19,0),MATCH($F19,'Type Chart'!$B$4:$P$4,0)))</f>
        <v>2</v>
      </c>
      <c r="U19" s="18" t="n">
        <f aca="false">INDEX('Type Chart'!$B$5:$P$19,MATCH(U$4,'Type Chart'!$A$5:$A$19,0),MATCH($E19,'Type Chart'!$B$4:$P$4,0))*IF($F19="",1,INDEX('Type Chart'!$B$5:$P$19,MATCH(U$4,'Type Chart'!$A$5:$A$19,0),MATCH($F19,'Type Chart'!$B$4:$P$4,0)))</f>
        <v>1</v>
      </c>
    </row>
    <row r="20" customFormat="false" ht="15" hidden="false" customHeight="false" outlineLevel="0" collapsed="false">
      <c r="A20" s="17" t="s">
        <v>158</v>
      </c>
      <c r="B20" s="17" t="s">
        <v>159</v>
      </c>
      <c r="C20" s="17" t="s">
        <v>161</v>
      </c>
      <c r="D20" s="17" t="n">
        <v>48</v>
      </c>
      <c r="E20" s="17" t="s">
        <v>121</v>
      </c>
      <c r="F20" s="17"/>
      <c r="G20" s="18" t="n">
        <f aca="false">INDEX('Type Chart'!$B$5:$P$19,MATCH(G$4,'Type Chart'!$A$5:$A$19,0),MATCH($E20,'Type Chart'!$B$4:$P$4,0))*IF($F20="",1,INDEX('Type Chart'!$B$5:$P$19,MATCH(G$4,'Type Chart'!$A$5:$A$19,0),MATCH($F20,'Type Chart'!$B$4:$P$4,0)))</f>
        <v>1</v>
      </c>
      <c r="H20" s="18" t="n">
        <f aca="false">INDEX('Type Chart'!$B$5:$P$19,MATCH(H$4,'Type Chart'!$A$5:$A$19,0),MATCH($E20,'Type Chart'!$B$4:$P$4,0))*IF($F20="",1,INDEX('Type Chart'!$B$5:$P$19,MATCH(H$4,'Type Chart'!$A$5:$A$19,0),MATCH($F20,'Type Chart'!$B$4:$P$4,0)))</f>
        <v>1</v>
      </c>
      <c r="I20" s="18" t="n">
        <f aca="false">INDEX('Type Chart'!$B$5:$P$19,MATCH(I$4,'Type Chart'!$A$5:$A$19,0),MATCH($E20,'Type Chart'!$B$4:$P$4,0))*IF($F20="",1,INDEX('Type Chart'!$B$5:$P$19,MATCH(I$4,'Type Chart'!$A$5:$A$19,0),MATCH($F20,'Type Chart'!$B$4:$P$4,0)))</f>
        <v>1</v>
      </c>
      <c r="J20" s="18" t="n">
        <f aca="false">INDEX('Type Chart'!$B$5:$P$19,MATCH(J$4,'Type Chart'!$A$5:$A$19,0),MATCH($E20,'Type Chart'!$B$4:$P$4,0))*IF($F20="",1,INDEX('Type Chart'!$B$5:$P$19,MATCH(J$4,'Type Chart'!$A$5:$A$19,0),MATCH($F20,'Type Chart'!$B$4:$P$4,0)))</f>
        <v>1</v>
      </c>
      <c r="K20" s="18" t="n">
        <f aca="false">INDEX('Type Chart'!$B$5:$P$19,MATCH(K$4,'Type Chart'!$A$5:$A$19,0),MATCH($E20,'Type Chart'!$B$4:$P$4,0))*IF($F20="",1,INDEX('Type Chart'!$B$5:$P$19,MATCH(K$4,'Type Chart'!$A$5:$A$19,0),MATCH($F20,'Type Chart'!$B$4:$P$4,0)))</f>
        <v>1</v>
      </c>
      <c r="L20" s="18" t="n">
        <f aca="false">INDEX('Type Chart'!$B$5:$P$19,MATCH(L$4,'Type Chart'!$A$5:$A$19,0),MATCH($E20,'Type Chart'!$B$4:$P$4,0))*IF($F20="",1,INDEX('Type Chart'!$B$5:$P$19,MATCH(L$4,'Type Chart'!$A$5:$A$19,0),MATCH($F20,'Type Chart'!$B$4:$P$4,0)))</f>
        <v>1</v>
      </c>
      <c r="M20" s="18" t="n">
        <f aca="false">INDEX('Type Chart'!$B$5:$P$19,MATCH(M$4,'Type Chart'!$A$5:$A$19,0),MATCH($E20,'Type Chart'!$B$4:$P$4,0))*IF($F20="",1,INDEX('Type Chart'!$B$5:$P$19,MATCH(M$4,'Type Chart'!$A$5:$A$19,0),MATCH($F20,'Type Chart'!$B$4:$P$4,0)))</f>
        <v>0.5</v>
      </c>
      <c r="N20" s="18" t="n">
        <f aca="false">INDEX('Type Chart'!$B$5:$P$19,MATCH(N$4,'Type Chart'!$A$5:$A$19,0),MATCH($E20,'Type Chart'!$B$4:$P$4,0))*IF($F20="",1,INDEX('Type Chart'!$B$5:$P$19,MATCH(N$4,'Type Chart'!$A$5:$A$19,0),MATCH($F20,'Type Chart'!$B$4:$P$4,0)))</f>
        <v>1</v>
      </c>
      <c r="O20" s="18" t="n">
        <f aca="false">INDEX('Type Chart'!$B$5:$P$19,MATCH(O$4,'Type Chart'!$A$5:$A$19,0),MATCH($E20,'Type Chart'!$B$4:$P$4,0))*IF($F20="",1,INDEX('Type Chart'!$B$5:$P$19,MATCH(O$4,'Type Chart'!$A$5:$A$19,0),MATCH($F20,'Type Chart'!$B$4:$P$4,0)))</f>
        <v>1</v>
      </c>
      <c r="P20" s="18" t="n">
        <f aca="false">INDEX('Type Chart'!$B$5:$P$19,MATCH(P$4,'Type Chart'!$A$5:$A$19,0),MATCH($E20,'Type Chart'!$B$4:$P$4,0))*IF($F20="",1,INDEX('Type Chart'!$B$5:$P$19,MATCH(P$4,'Type Chart'!$A$5:$A$19,0),MATCH($F20,'Type Chart'!$B$4:$P$4,0)))</f>
        <v>1</v>
      </c>
      <c r="Q20" s="18" t="n">
        <f aca="false">INDEX('Type Chart'!$B$5:$P$19,MATCH(Q$4,'Type Chart'!$A$5:$A$19,0),MATCH($E20,'Type Chart'!$B$4:$P$4,0))*IF($F20="",1,INDEX('Type Chart'!$B$5:$P$19,MATCH(Q$4,'Type Chart'!$A$5:$A$19,0),MATCH($F20,'Type Chart'!$B$4:$P$4,0)))</f>
        <v>0.5</v>
      </c>
      <c r="R20" s="18" t="n">
        <f aca="false">INDEX('Type Chart'!$B$5:$P$19,MATCH(R$4,'Type Chart'!$A$5:$A$19,0),MATCH($E20,'Type Chart'!$B$4:$P$4,0))*IF($F20="",1,INDEX('Type Chart'!$B$5:$P$19,MATCH(R$4,'Type Chart'!$A$5:$A$19,0),MATCH($F20,'Type Chart'!$B$4:$P$4,0)))</f>
        <v>2</v>
      </c>
      <c r="S20" s="18" t="n">
        <f aca="false">INDEX('Type Chart'!$B$5:$P$19,MATCH(S$4,'Type Chart'!$A$5:$A$19,0),MATCH($E20,'Type Chart'!$B$4:$P$4,0))*IF($F20="",1,INDEX('Type Chart'!$B$5:$P$19,MATCH(S$4,'Type Chart'!$A$5:$A$19,0),MATCH($F20,'Type Chart'!$B$4:$P$4,0)))</f>
        <v>1</v>
      </c>
      <c r="T20" s="18" t="n">
        <f aca="false">INDEX('Type Chart'!$B$5:$P$19,MATCH(T$4,'Type Chart'!$A$5:$A$19,0),MATCH($E20,'Type Chart'!$B$4:$P$4,0))*IF($F20="",1,INDEX('Type Chart'!$B$5:$P$19,MATCH(T$4,'Type Chart'!$A$5:$A$19,0),MATCH($F20,'Type Chart'!$B$4:$P$4,0)))</f>
        <v>2</v>
      </c>
      <c r="U20" s="18" t="n">
        <f aca="false">INDEX('Type Chart'!$B$5:$P$19,MATCH(U$4,'Type Chart'!$A$5:$A$19,0),MATCH($E20,'Type Chart'!$B$4:$P$4,0))*IF($F20="",1,INDEX('Type Chart'!$B$5:$P$19,MATCH(U$4,'Type Chart'!$A$5:$A$19,0),MATCH($F20,'Type Chart'!$B$4:$P$4,0)))</f>
        <v>1</v>
      </c>
    </row>
    <row r="21" customFormat="false" ht="15" hidden="false" customHeight="false" outlineLevel="0" collapsed="false">
      <c r="A21" s="17" t="s">
        <v>158</v>
      </c>
      <c r="B21" s="17" t="s">
        <v>159</v>
      </c>
      <c r="C21" s="17" t="s">
        <v>162</v>
      </c>
      <c r="D21" s="17" t="n">
        <v>49</v>
      </c>
      <c r="E21" s="17" t="s">
        <v>121</v>
      </c>
      <c r="F21" s="17"/>
      <c r="G21" s="18" t="n">
        <f aca="false">INDEX('Type Chart'!$B$5:$P$19,MATCH(G$4,'Type Chart'!$A$5:$A$19,0),MATCH($E21,'Type Chart'!$B$4:$P$4,0))*IF($F21="",1,INDEX('Type Chart'!$B$5:$P$19,MATCH(G$4,'Type Chart'!$A$5:$A$19,0),MATCH($F21,'Type Chart'!$B$4:$P$4,0)))</f>
        <v>1</v>
      </c>
      <c r="H21" s="18" t="n">
        <f aca="false">INDEX('Type Chart'!$B$5:$P$19,MATCH(H$4,'Type Chart'!$A$5:$A$19,0),MATCH($E21,'Type Chart'!$B$4:$P$4,0))*IF($F21="",1,INDEX('Type Chart'!$B$5:$P$19,MATCH(H$4,'Type Chart'!$A$5:$A$19,0),MATCH($F21,'Type Chart'!$B$4:$P$4,0)))</f>
        <v>1</v>
      </c>
      <c r="I21" s="18" t="n">
        <f aca="false">INDEX('Type Chart'!$B$5:$P$19,MATCH(I$4,'Type Chart'!$A$5:$A$19,0),MATCH($E21,'Type Chart'!$B$4:$P$4,0))*IF($F21="",1,INDEX('Type Chart'!$B$5:$P$19,MATCH(I$4,'Type Chart'!$A$5:$A$19,0),MATCH($F21,'Type Chart'!$B$4:$P$4,0)))</f>
        <v>1</v>
      </c>
      <c r="J21" s="18" t="n">
        <f aca="false">INDEX('Type Chart'!$B$5:$P$19,MATCH(J$4,'Type Chart'!$A$5:$A$19,0),MATCH($E21,'Type Chart'!$B$4:$P$4,0))*IF($F21="",1,INDEX('Type Chart'!$B$5:$P$19,MATCH(J$4,'Type Chart'!$A$5:$A$19,0),MATCH($F21,'Type Chart'!$B$4:$P$4,0)))</f>
        <v>1</v>
      </c>
      <c r="K21" s="18" t="n">
        <f aca="false">INDEX('Type Chart'!$B$5:$P$19,MATCH(K$4,'Type Chart'!$A$5:$A$19,0),MATCH($E21,'Type Chart'!$B$4:$P$4,0))*IF($F21="",1,INDEX('Type Chart'!$B$5:$P$19,MATCH(K$4,'Type Chart'!$A$5:$A$19,0),MATCH($F21,'Type Chart'!$B$4:$P$4,0)))</f>
        <v>1</v>
      </c>
      <c r="L21" s="18" t="n">
        <f aca="false">INDEX('Type Chart'!$B$5:$P$19,MATCH(L$4,'Type Chart'!$A$5:$A$19,0),MATCH($E21,'Type Chart'!$B$4:$P$4,0))*IF($F21="",1,INDEX('Type Chart'!$B$5:$P$19,MATCH(L$4,'Type Chart'!$A$5:$A$19,0),MATCH($F21,'Type Chart'!$B$4:$P$4,0)))</f>
        <v>1</v>
      </c>
      <c r="M21" s="18" t="n">
        <f aca="false">INDEX('Type Chart'!$B$5:$P$19,MATCH(M$4,'Type Chart'!$A$5:$A$19,0),MATCH($E21,'Type Chart'!$B$4:$P$4,0))*IF($F21="",1,INDEX('Type Chart'!$B$5:$P$19,MATCH(M$4,'Type Chart'!$A$5:$A$19,0),MATCH($F21,'Type Chart'!$B$4:$P$4,0)))</f>
        <v>0.5</v>
      </c>
      <c r="N21" s="18" t="n">
        <f aca="false">INDEX('Type Chart'!$B$5:$P$19,MATCH(N$4,'Type Chart'!$A$5:$A$19,0),MATCH($E21,'Type Chart'!$B$4:$P$4,0))*IF($F21="",1,INDEX('Type Chart'!$B$5:$P$19,MATCH(N$4,'Type Chart'!$A$5:$A$19,0),MATCH($F21,'Type Chart'!$B$4:$P$4,0)))</f>
        <v>1</v>
      </c>
      <c r="O21" s="18" t="n">
        <f aca="false">INDEX('Type Chart'!$B$5:$P$19,MATCH(O$4,'Type Chart'!$A$5:$A$19,0),MATCH($E21,'Type Chart'!$B$4:$P$4,0))*IF($F21="",1,INDEX('Type Chart'!$B$5:$P$19,MATCH(O$4,'Type Chart'!$A$5:$A$19,0),MATCH($F21,'Type Chart'!$B$4:$P$4,0)))</f>
        <v>1</v>
      </c>
      <c r="P21" s="18" t="n">
        <f aca="false">INDEX('Type Chart'!$B$5:$P$19,MATCH(P$4,'Type Chart'!$A$5:$A$19,0),MATCH($E21,'Type Chart'!$B$4:$P$4,0))*IF($F21="",1,INDEX('Type Chart'!$B$5:$P$19,MATCH(P$4,'Type Chart'!$A$5:$A$19,0),MATCH($F21,'Type Chart'!$B$4:$P$4,0)))</f>
        <v>1</v>
      </c>
      <c r="Q21" s="18" t="n">
        <f aca="false">INDEX('Type Chart'!$B$5:$P$19,MATCH(Q$4,'Type Chart'!$A$5:$A$19,0),MATCH($E21,'Type Chart'!$B$4:$P$4,0))*IF($F21="",1,INDEX('Type Chart'!$B$5:$P$19,MATCH(Q$4,'Type Chart'!$A$5:$A$19,0),MATCH($F21,'Type Chart'!$B$4:$P$4,0)))</f>
        <v>0.5</v>
      </c>
      <c r="R21" s="18" t="n">
        <f aca="false">INDEX('Type Chart'!$B$5:$P$19,MATCH(R$4,'Type Chart'!$A$5:$A$19,0),MATCH($E21,'Type Chart'!$B$4:$P$4,0))*IF($F21="",1,INDEX('Type Chart'!$B$5:$P$19,MATCH(R$4,'Type Chart'!$A$5:$A$19,0),MATCH($F21,'Type Chart'!$B$4:$P$4,0)))</f>
        <v>2</v>
      </c>
      <c r="S21" s="18" t="n">
        <f aca="false">INDEX('Type Chart'!$B$5:$P$19,MATCH(S$4,'Type Chart'!$A$5:$A$19,0),MATCH($E21,'Type Chart'!$B$4:$P$4,0))*IF($F21="",1,INDEX('Type Chart'!$B$5:$P$19,MATCH(S$4,'Type Chart'!$A$5:$A$19,0),MATCH($F21,'Type Chart'!$B$4:$P$4,0)))</f>
        <v>1</v>
      </c>
      <c r="T21" s="18" t="n">
        <f aca="false">INDEX('Type Chart'!$B$5:$P$19,MATCH(T$4,'Type Chart'!$A$5:$A$19,0),MATCH($E21,'Type Chart'!$B$4:$P$4,0))*IF($F21="",1,INDEX('Type Chart'!$B$5:$P$19,MATCH(T$4,'Type Chart'!$A$5:$A$19,0),MATCH($F21,'Type Chart'!$B$4:$P$4,0)))</f>
        <v>2</v>
      </c>
      <c r="U21" s="18" t="n">
        <f aca="false">INDEX('Type Chart'!$B$5:$P$19,MATCH(U$4,'Type Chart'!$A$5:$A$19,0),MATCH($E21,'Type Chart'!$B$4:$P$4,0))*IF($F21="",1,INDEX('Type Chart'!$B$5:$P$19,MATCH(U$4,'Type Chart'!$A$5:$A$19,0),MATCH($F21,'Type Chart'!$B$4:$P$4,0)))</f>
        <v>1</v>
      </c>
    </row>
    <row r="22" customFormat="false" ht="15" hidden="false" customHeight="false" outlineLevel="0" collapsed="false">
      <c r="A22" s="17" t="s">
        <v>158</v>
      </c>
      <c r="B22" s="17" t="s">
        <v>159</v>
      </c>
      <c r="C22" s="17" t="s">
        <v>163</v>
      </c>
      <c r="D22" s="17" t="n">
        <v>50</v>
      </c>
      <c r="E22" s="17" t="s">
        <v>121</v>
      </c>
      <c r="F22" s="17"/>
      <c r="G22" s="18" t="n">
        <f aca="false">INDEX('Type Chart'!$B$5:$P$19,MATCH(G$4,'Type Chart'!$A$5:$A$19,0),MATCH($E22,'Type Chart'!$B$4:$P$4,0))*IF($F22="",1,INDEX('Type Chart'!$B$5:$P$19,MATCH(G$4,'Type Chart'!$A$5:$A$19,0),MATCH($F22,'Type Chart'!$B$4:$P$4,0)))</f>
        <v>1</v>
      </c>
      <c r="H22" s="18" t="n">
        <f aca="false">INDEX('Type Chart'!$B$5:$P$19,MATCH(H$4,'Type Chart'!$A$5:$A$19,0),MATCH($E22,'Type Chart'!$B$4:$P$4,0))*IF($F22="",1,INDEX('Type Chart'!$B$5:$P$19,MATCH(H$4,'Type Chart'!$A$5:$A$19,0),MATCH($F22,'Type Chart'!$B$4:$P$4,0)))</f>
        <v>1</v>
      </c>
      <c r="I22" s="18" t="n">
        <f aca="false">INDEX('Type Chart'!$B$5:$P$19,MATCH(I$4,'Type Chart'!$A$5:$A$19,0),MATCH($E22,'Type Chart'!$B$4:$P$4,0))*IF($F22="",1,INDEX('Type Chart'!$B$5:$P$19,MATCH(I$4,'Type Chart'!$A$5:$A$19,0),MATCH($F22,'Type Chart'!$B$4:$P$4,0)))</f>
        <v>1</v>
      </c>
      <c r="J22" s="18" t="n">
        <f aca="false">INDEX('Type Chart'!$B$5:$P$19,MATCH(J$4,'Type Chart'!$A$5:$A$19,0),MATCH($E22,'Type Chart'!$B$4:$P$4,0))*IF($F22="",1,INDEX('Type Chart'!$B$5:$P$19,MATCH(J$4,'Type Chart'!$A$5:$A$19,0),MATCH($F22,'Type Chart'!$B$4:$P$4,0)))</f>
        <v>1</v>
      </c>
      <c r="K22" s="18" t="n">
        <f aca="false">INDEX('Type Chart'!$B$5:$P$19,MATCH(K$4,'Type Chart'!$A$5:$A$19,0),MATCH($E22,'Type Chart'!$B$4:$P$4,0))*IF($F22="",1,INDEX('Type Chart'!$B$5:$P$19,MATCH(K$4,'Type Chart'!$A$5:$A$19,0),MATCH($F22,'Type Chart'!$B$4:$P$4,0)))</f>
        <v>1</v>
      </c>
      <c r="L22" s="18" t="n">
        <f aca="false">INDEX('Type Chart'!$B$5:$P$19,MATCH(L$4,'Type Chart'!$A$5:$A$19,0),MATCH($E22,'Type Chart'!$B$4:$P$4,0))*IF($F22="",1,INDEX('Type Chart'!$B$5:$P$19,MATCH(L$4,'Type Chart'!$A$5:$A$19,0),MATCH($F22,'Type Chart'!$B$4:$P$4,0)))</f>
        <v>1</v>
      </c>
      <c r="M22" s="18" t="n">
        <f aca="false">INDEX('Type Chart'!$B$5:$P$19,MATCH(M$4,'Type Chart'!$A$5:$A$19,0),MATCH($E22,'Type Chart'!$B$4:$P$4,0))*IF($F22="",1,INDEX('Type Chart'!$B$5:$P$19,MATCH(M$4,'Type Chart'!$A$5:$A$19,0),MATCH($F22,'Type Chart'!$B$4:$P$4,0)))</f>
        <v>0.5</v>
      </c>
      <c r="N22" s="18" t="n">
        <f aca="false">INDEX('Type Chart'!$B$5:$P$19,MATCH(N$4,'Type Chart'!$A$5:$A$19,0),MATCH($E22,'Type Chart'!$B$4:$P$4,0))*IF($F22="",1,INDEX('Type Chart'!$B$5:$P$19,MATCH(N$4,'Type Chart'!$A$5:$A$19,0),MATCH($F22,'Type Chart'!$B$4:$P$4,0)))</f>
        <v>1</v>
      </c>
      <c r="O22" s="18" t="n">
        <f aca="false">INDEX('Type Chart'!$B$5:$P$19,MATCH(O$4,'Type Chart'!$A$5:$A$19,0),MATCH($E22,'Type Chart'!$B$4:$P$4,0))*IF($F22="",1,INDEX('Type Chart'!$B$5:$P$19,MATCH(O$4,'Type Chart'!$A$5:$A$19,0),MATCH($F22,'Type Chart'!$B$4:$P$4,0)))</f>
        <v>1</v>
      </c>
      <c r="P22" s="18" t="n">
        <f aca="false">INDEX('Type Chart'!$B$5:$P$19,MATCH(P$4,'Type Chart'!$A$5:$A$19,0),MATCH($E22,'Type Chart'!$B$4:$P$4,0))*IF($F22="",1,INDEX('Type Chart'!$B$5:$P$19,MATCH(P$4,'Type Chart'!$A$5:$A$19,0),MATCH($F22,'Type Chart'!$B$4:$P$4,0)))</f>
        <v>1</v>
      </c>
      <c r="Q22" s="18" t="n">
        <f aca="false">INDEX('Type Chart'!$B$5:$P$19,MATCH(Q$4,'Type Chart'!$A$5:$A$19,0),MATCH($E22,'Type Chart'!$B$4:$P$4,0))*IF($F22="",1,INDEX('Type Chart'!$B$5:$P$19,MATCH(Q$4,'Type Chart'!$A$5:$A$19,0),MATCH($F22,'Type Chart'!$B$4:$P$4,0)))</f>
        <v>0.5</v>
      </c>
      <c r="R22" s="18" t="n">
        <f aca="false">INDEX('Type Chart'!$B$5:$P$19,MATCH(R$4,'Type Chart'!$A$5:$A$19,0),MATCH($E22,'Type Chart'!$B$4:$P$4,0))*IF($F22="",1,INDEX('Type Chart'!$B$5:$P$19,MATCH(R$4,'Type Chart'!$A$5:$A$19,0),MATCH($F22,'Type Chart'!$B$4:$P$4,0)))</f>
        <v>2</v>
      </c>
      <c r="S22" s="18" t="n">
        <f aca="false">INDEX('Type Chart'!$B$5:$P$19,MATCH(S$4,'Type Chart'!$A$5:$A$19,0),MATCH($E22,'Type Chart'!$B$4:$P$4,0))*IF($F22="",1,INDEX('Type Chart'!$B$5:$P$19,MATCH(S$4,'Type Chart'!$A$5:$A$19,0),MATCH($F22,'Type Chart'!$B$4:$P$4,0)))</f>
        <v>1</v>
      </c>
      <c r="T22" s="18" t="n">
        <f aca="false">INDEX('Type Chart'!$B$5:$P$19,MATCH(T$4,'Type Chart'!$A$5:$A$19,0),MATCH($E22,'Type Chart'!$B$4:$P$4,0))*IF($F22="",1,INDEX('Type Chart'!$B$5:$P$19,MATCH(T$4,'Type Chart'!$A$5:$A$19,0),MATCH($F22,'Type Chart'!$B$4:$P$4,0)))</f>
        <v>2</v>
      </c>
      <c r="U22" s="18" t="n">
        <f aca="false">INDEX('Type Chart'!$B$5:$P$19,MATCH(U$4,'Type Chart'!$A$5:$A$19,0),MATCH($E22,'Type Chart'!$B$4:$P$4,0))*IF($F22="",1,INDEX('Type Chart'!$B$5:$P$19,MATCH(U$4,'Type Chart'!$A$5:$A$19,0),MATCH($F22,'Type Chart'!$B$4:$P$4,0)))</f>
        <v>1</v>
      </c>
    </row>
    <row r="23" customFormat="false" ht="15" hidden="false" customHeight="false" outlineLevel="0" collapsed="false">
      <c r="A23" s="17" t="s">
        <v>158</v>
      </c>
      <c r="B23" s="17" t="s">
        <v>159</v>
      </c>
      <c r="C23" s="17" t="s">
        <v>164</v>
      </c>
      <c r="D23" s="17" t="n">
        <v>50</v>
      </c>
      <c r="E23" s="17" t="s">
        <v>121</v>
      </c>
      <c r="F23" s="17"/>
      <c r="G23" s="18" t="n">
        <f aca="false">INDEX('Type Chart'!$B$5:$P$19,MATCH(G$4,'Type Chart'!$A$5:$A$19,0),MATCH($E23,'Type Chart'!$B$4:$P$4,0))*IF($F23="",1,INDEX('Type Chart'!$B$5:$P$19,MATCH(G$4,'Type Chart'!$A$5:$A$19,0),MATCH($F23,'Type Chart'!$B$4:$P$4,0)))</f>
        <v>1</v>
      </c>
      <c r="H23" s="18" t="n">
        <f aca="false">INDEX('Type Chart'!$B$5:$P$19,MATCH(H$4,'Type Chart'!$A$5:$A$19,0),MATCH($E23,'Type Chart'!$B$4:$P$4,0))*IF($F23="",1,INDEX('Type Chart'!$B$5:$P$19,MATCH(H$4,'Type Chart'!$A$5:$A$19,0),MATCH($F23,'Type Chart'!$B$4:$P$4,0)))</f>
        <v>1</v>
      </c>
      <c r="I23" s="18" t="n">
        <f aca="false">INDEX('Type Chart'!$B$5:$P$19,MATCH(I$4,'Type Chart'!$A$5:$A$19,0),MATCH($E23,'Type Chart'!$B$4:$P$4,0))*IF($F23="",1,INDEX('Type Chart'!$B$5:$P$19,MATCH(I$4,'Type Chart'!$A$5:$A$19,0),MATCH($F23,'Type Chart'!$B$4:$P$4,0)))</f>
        <v>1</v>
      </c>
      <c r="J23" s="18" t="n">
        <f aca="false">INDEX('Type Chart'!$B$5:$P$19,MATCH(J$4,'Type Chart'!$A$5:$A$19,0),MATCH($E23,'Type Chart'!$B$4:$P$4,0))*IF($F23="",1,INDEX('Type Chart'!$B$5:$P$19,MATCH(J$4,'Type Chart'!$A$5:$A$19,0),MATCH($F23,'Type Chart'!$B$4:$P$4,0)))</f>
        <v>1</v>
      </c>
      <c r="K23" s="18" t="n">
        <f aca="false">INDEX('Type Chart'!$B$5:$P$19,MATCH(K$4,'Type Chart'!$A$5:$A$19,0),MATCH($E23,'Type Chart'!$B$4:$P$4,0))*IF($F23="",1,INDEX('Type Chart'!$B$5:$P$19,MATCH(K$4,'Type Chart'!$A$5:$A$19,0),MATCH($F23,'Type Chart'!$B$4:$P$4,0)))</f>
        <v>1</v>
      </c>
      <c r="L23" s="18" t="n">
        <f aca="false">INDEX('Type Chart'!$B$5:$P$19,MATCH(L$4,'Type Chart'!$A$5:$A$19,0),MATCH($E23,'Type Chart'!$B$4:$P$4,0))*IF($F23="",1,INDEX('Type Chart'!$B$5:$P$19,MATCH(L$4,'Type Chart'!$A$5:$A$19,0),MATCH($F23,'Type Chart'!$B$4:$P$4,0)))</f>
        <v>1</v>
      </c>
      <c r="M23" s="18" t="n">
        <f aca="false">INDEX('Type Chart'!$B$5:$P$19,MATCH(M$4,'Type Chart'!$A$5:$A$19,0),MATCH($E23,'Type Chart'!$B$4:$P$4,0))*IF($F23="",1,INDEX('Type Chart'!$B$5:$P$19,MATCH(M$4,'Type Chart'!$A$5:$A$19,0),MATCH($F23,'Type Chart'!$B$4:$P$4,0)))</f>
        <v>0.5</v>
      </c>
      <c r="N23" s="18" t="n">
        <f aca="false">INDEX('Type Chart'!$B$5:$P$19,MATCH(N$4,'Type Chart'!$A$5:$A$19,0),MATCH($E23,'Type Chart'!$B$4:$P$4,0))*IF($F23="",1,INDEX('Type Chart'!$B$5:$P$19,MATCH(N$4,'Type Chart'!$A$5:$A$19,0),MATCH($F23,'Type Chart'!$B$4:$P$4,0)))</f>
        <v>1</v>
      </c>
      <c r="O23" s="18" t="n">
        <f aca="false">INDEX('Type Chart'!$B$5:$P$19,MATCH(O$4,'Type Chart'!$A$5:$A$19,0),MATCH($E23,'Type Chart'!$B$4:$P$4,0))*IF($F23="",1,INDEX('Type Chart'!$B$5:$P$19,MATCH(O$4,'Type Chart'!$A$5:$A$19,0),MATCH($F23,'Type Chart'!$B$4:$P$4,0)))</f>
        <v>1</v>
      </c>
      <c r="P23" s="18" t="n">
        <f aca="false">INDEX('Type Chart'!$B$5:$P$19,MATCH(P$4,'Type Chart'!$A$5:$A$19,0),MATCH($E23,'Type Chart'!$B$4:$P$4,0))*IF($F23="",1,INDEX('Type Chart'!$B$5:$P$19,MATCH(P$4,'Type Chart'!$A$5:$A$19,0),MATCH($F23,'Type Chart'!$B$4:$P$4,0)))</f>
        <v>1</v>
      </c>
      <c r="Q23" s="18" t="n">
        <f aca="false">INDEX('Type Chart'!$B$5:$P$19,MATCH(Q$4,'Type Chart'!$A$5:$A$19,0),MATCH($E23,'Type Chart'!$B$4:$P$4,0))*IF($F23="",1,INDEX('Type Chart'!$B$5:$P$19,MATCH(Q$4,'Type Chart'!$A$5:$A$19,0),MATCH($F23,'Type Chart'!$B$4:$P$4,0)))</f>
        <v>0.5</v>
      </c>
      <c r="R23" s="18" t="n">
        <f aca="false">INDEX('Type Chart'!$B$5:$P$19,MATCH(R$4,'Type Chart'!$A$5:$A$19,0),MATCH($E23,'Type Chart'!$B$4:$P$4,0))*IF($F23="",1,INDEX('Type Chart'!$B$5:$P$19,MATCH(R$4,'Type Chart'!$A$5:$A$19,0),MATCH($F23,'Type Chart'!$B$4:$P$4,0)))</f>
        <v>2</v>
      </c>
      <c r="S23" s="18" t="n">
        <f aca="false">INDEX('Type Chart'!$B$5:$P$19,MATCH(S$4,'Type Chart'!$A$5:$A$19,0),MATCH($E23,'Type Chart'!$B$4:$P$4,0))*IF($F23="",1,INDEX('Type Chart'!$B$5:$P$19,MATCH(S$4,'Type Chart'!$A$5:$A$19,0),MATCH($F23,'Type Chart'!$B$4:$P$4,0)))</f>
        <v>1</v>
      </c>
      <c r="T23" s="18" t="n">
        <f aca="false">INDEX('Type Chart'!$B$5:$P$19,MATCH(T$4,'Type Chart'!$A$5:$A$19,0),MATCH($E23,'Type Chart'!$B$4:$P$4,0))*IF($F23="",1,INDEX('Type Chart'!$B$5:$P$19,MATCH(T$4,'Type Chart'!$A$5:$A$19,0),MATCH($F23,'Type Chart'!$B$4:$P$4,0)))</f>
        <v>2</v>
      </c>
      <c r="U23" s="18" t="n">
        <f aca="false">INDEX('Type Chart'!$B$5:$P$19,MATCH(U$4,'Type Chart'!$A$5:$A$19,0),MATCH($E23,'Type Chart'!$B$4:$P$4,0))*IF($F23="",1,INDEX('Type Chart'!$B$5:$P$19,MATCH(U$4,'Type Chart'!$A$5:$A$19,0),MATCH($F23,'Type Chart'!$B$4:$P$4,0)))</f>
        <v>1</v>
      </c>
    </row>
    <row r="24" customFormat="false" ht="15" hidden="false" customHeight="false" outlineLevel="0" collapsed="false">
      <c r="A24" s="17" t="s">
        <v>165</v>
      </c>
      <c r="B24" s="17" t="s">
        <v>166</v>
      </c>
      <c r="C24" s="17" t="s">
        <v>167</v>
      </c>
      <c r="D24" s="17" t="n">
        <v>52</v>
      </c>
      <c r="E24" s="17" t="s">
        <v>112</v>
      </c>
      <c r="F24" s="17"/>
      <c r="G24" s="18" t="n">
        <f aca="false">INDEX('Type Chart'!$B$5:$P$19,MATCH(G$4,'Type Chart'!$A$5:$A$19,0),MATCH($E24,'Type Chart'!$B$4:$P$4,0))*IF($F24="",1,INDEX('Type Chart'!$B$5:$P$19,MATCH(G$4,'Type Chart'!$A$5:$A$19,0),MATCH($F24,'Type Chart'!$B$4:$P$4,0)))</f>
        <v>1</v>
      </c>
      <c r="H24" s="18" t="n">
        <f aca="false">INDEX('Type Chart'!$B$5:$P$19,MATCH(H$4,'Type Chart'!$A$5:$A$19,0),MATCH($E24,'Type Chart'!$B$4:$P$4,0))*IF($F24="",1,INDEX('Type Chart'!$B$5:$P$19,MATCH(H$4,'Type Chart'!$A$5:$A$19,0),MATCH($F24,'Type Chart'!$B$4:$P$4,0)))</f>
        <v>0.5</v>
      </c>
      <c r="I24" s="18" t="n">
        <f aca="false">INDEX('Type Chart'!$B$5:$P$19,MATCH(I$4,'Type Chart'!$A$5:$A$19,0),MATCH($E24,'Type Chart'!$B$4:$P$4,0))*IF($F24="",1,INDEX('Type Chart'!$B$5:$P$19,MATCH(I$4,'Type Chart'!$A$5:$A$19,0),MATCH($F24,'Type Chart'!$B$4:$P$4,0)))</f>
        <v>2</v>
      </c>
      <c r="J24" s="18" t="n">
        <f aca="false">INDEX('Type Chart'!$B$5:$P$19,MATCH(J$4,'Type Chart'!$A$5:$A$19,0),MATCH($E24,'Type Chart'!$B$4:$P$4,0))*IF($F24="",1,INDEX('Type Chart'!$B$5:$P$19,MATCH(J$4,'Type Chart'!$A$5:$A$19,0),MATCH($F24,'Type Chart'!$B$4:$P$4,0)))</f>
        <v>1</v>
      </c>
      <c r="K24" s="18" t="n">
        <f aca="false">INDEX('Type Chart'!$B$5:$P$19,MATCH(K$4,'Type Chart'!$A$5:$A$19,0),MATCH($E24,'Type Chart'!$B$4:$P$4,0))*IF($F24="",1,INDEX('Type Chart'!$B$5:$P$19,MATCH(K$4,'Type Chart'!$A$5:$A$19,0),MATCH($F24,'Type Chart'!$B$4:$P$4,0)))</f>
        <v>0.5</v>
      </c>
      <c r="L24" s="18" t="n">
        <f aca="false">INDEX('Type Chart'!$B$5:$P$19,MATCH(L$4,'Type Chart'!$A$5:$A$19,0),MATCH($E24,'Type Chart'!$B$4:$P$4,0))*IF($F24="",1,INDEX('Type Chart'!$B$5:$P$19,MATCH(L$4,'Type Chart'!$A$5:$A$19,0),MATCH($F24,'Type Chart'!$B$4:$P$4,0)))</f>
        <v>1</v>
      </c>
      <c r="M24" s="18" t="n">
        <f aca="false">INDEX('Type Chart'!$B$5:$P$19,MATCH(M$4,'Type Chart'!$A$5:$A$19,0),MATCH($E24,'Type Chart'!$B$4:$P$4,0))*IF($F24="",1,INDEX('Type Chart'!$B$5:$P$19,MATCH(M$4,'Type Chart'!$A$5:$A$19,0),MATCH($F24,'Type Chart'!$B$4:$P$4,0)))</f>
        <v>1</v>
      </c>
      <c r="N24" s="18" t="n">
        <f aca="false">INDEX('Type Chart'!$B$5:$P$19,MATCH(N$4,'Type Chart'!$A$5:$A$19,0),MATCH($E24,'Type Chart'!$B$4:$P$4,0))*IF($F24="",1,INDEX('Type Chart'!$B$5:$P$19,MATCH(N$4,'Type Chart'!$A$5:$A$19,0),MATCH($F24,'Type Chart'!$B$4:$P$4,0)))</f>
        <v>1</v>
      </c>
      <c r="O24" s="18" t="n">
        <f aca="false">INDEX('Type Chart'!$B$5:$P$19,MATCH(O$4,'Type Chart'!$A$5:$A$19,0),MATCH($E24,'Type Chart'!$B$4:$P$4,0))*IF($F24="",1,INDEX('Type Chart'!$B$5:$P$19,MATCH(O$4,'Type Chart'!$A$5:$A$19,0),MATCH($F24,'Type Chart'!$B$4:$P$4,0)))</f>
        <v>2</v>
      </c>
      <c r="P24" s="18" t="n">
        <f aca="false">INDEX('Type Chart'!$B$5:$P$19,MATCH(P$4,'Type Chart'!$A$5:$A$19,0),MATCH($E24,'Type Chart'!$B$4:$P$4,0))*IF($F24="",1,INDEX('Type Chart'!$B$5:$P$19,MATCH(P$4,'Type Chart'!$A$5:$A$19,0),MATCH($F24,'Type Chart'!$B$4:$P$4,0)))</f>
        <v>1</v>
      </c>
      <c r="Q24" s="18" t="n">
        <f aca="false">INDEX('Type Chart'!$B$5:$P$19,MATCH(Q$4,'Type Chart'!$A$5:$A$19,0),MATCH($E24,'Type Chart'!$B$4:$P$4,0))*IF($F24="",1,INDEX('Type Chart'!$B$5:$P$19,MATCH(Q$4,'Type Chart'!$A$5:$A$19,0),MATCH($F24,'Type Chart'!$B$4:$P$4,0)))</f>
        <v>1</v>
      </c>
      <c r="R24" s="18" t="n">
        <f aca="false">INDEX('Type Chart'!$B$5:$P$19,MATCH(R$4,'Type Chart'!$A$5:$A$19,0),MATCH($E24,'Type Chart'!$B$4:$P$4,0))*IF($F24="",1,INDEX('Type Chart'!$B$5:$P$19,MATCH(R$4,'Type Chart'!$A$5:$A$19,0),MATCH($F24,'Type Chart'!$B$4:$P$4,0)))</f>
        <v>0.5</v>
      </c>
      <c r="S24" s="18" t="n">
        <f aca="false">INDEX('Type Chart'!$B$5:$P$19,MATCH(S$4,'Type Chart'!$A$5:$A$19,0),MATCH($E24,'Type Chart'!$B$4:$P$4,0))*IF($F24="",1,INDEX('Type Chart'!$B$5:$P$19,MATCH(S$4,'Type Chart'!$A$5:$A$19,0),MATCH($F24,'Type Chart'!$B$4:$P$4,0)))</f>
        <v>2</v>
      </c>
      <c r="T24" s="18" t="n">
        <f aca="false">INDEX('Type Chart'!$B$5:$P$19,MATCH(T$4,'Type Chart'!$A$5:$A$19,0),MATCH($E24,'Type Chart'!$B$4:$P$4,0))*IF($F24="",1,INDEX('Type Chart'!$B$5:$P$19,MATCH(T$4,'Type Chart'!$A$5:$A$19,0),MATCH($F24,'Type Chart'!$B$4:$P$4,0)))</f>
        <v>1</v>
      </c>
      <c r="U24" s="18" t="n">
        <f aca="false">INDEX('Type Chart'!$B$5:$P$19,MATCH(U$4,'Type Chart'!$A$5:$A$19,0),MATCH($E24,'Type Chart'!$B$4:$P$4,0))*IF($F24="",1,INDEX('Type Chart'!$B$5:$P$19,MATCH(U$4,'Type Chart'!$A$5:$A$19,0),MATCH($F24,'Type Chart'!$B$4:$P$4,0)))</f>
        <v>1</v>
      </c>
    </row>
    <row r="25" customFormat="false" ht="15" hidden="false" customHeight="false" outlineLevel="0" collapsed="false">
      <c r="A25" s="17" t="s">
        <v>165</v>
      </c>
      <c r="B25" s="17" t="s">
        <v>166</v>
      </c>
      <c r="C25" s="17" t="s">
        <v>168</v>
      </c>
      <c r="D25" s="17" t="n">
        <v>51</v>
      </c>
      <c r="E25" s="17" t="s">
        <v>112</v>
      </c>
      <c r="F25" s="17" t="s">
        <v>120</v>
      </c>
      <c r="G25" s="18" t="n">
        <f aca="false">INDEX('Type Chart'!$B$5:$P$19,MATCH(G$4,'Type Chart'!$A$5:$A$19,0),MATCH($E25,'Type Chart'!$B$4:$P$4,0))*IF($F25="",1,INDEX('Type Chart'!$B$5:$P$19,MATCH(G$4,'Type Chart'!$A$5:$A$19,0),MATCH($F25,'Type Chart'!$B$4:$P$4,0)))</f>
        <v>1</v>
      </c>
      <c r="H25" s="18" t="n">
        <f aca="false">INDEX('Type Chart'!$B$5:$P$19,MATCH(H$4,'Type Chart'!$A$5:$A$19,0),MATCH($E25,'Type Chart'!$B$4:$P$4,0))*IF($F25="",1,INDEX('Type Chart'!$B$5:$P$19,MATCH(H$4,'Type Chart'!$A$5:$A$19,0),MATCH($F25,'Type Chart'!$B$4:$P$4,0)))</f>
        <v>0.5</v>
      </c>
      <c r="I25" s="18" t="n">
        <f aca="false">INDEX('Type Chart'!$B$5:$P$19,MATCH(I$4,'Type Chart'!$A$5:$A$19,0),MATCH($E25,'Type Chart'!$B$4:$P$4,0))*IF($F25="",1,INDEX('Type Chart'!$B$5:$P$19,MATCH(I$4,'Type Chart'!$A$5:$A$19,0),MATCH($F25,'Type Chart'!$B$4:$P$4,0)))</f>
        <v>2</v>
      </c>
      <c r="J25" s="18" t="n">
        <f aca="false">INDEX('Type Chart'!$B$5:$P$19,MATCH(J$4,'Type Chart'!$A$5:$A$19,0),MATCH($E25,'Type Chart'!$B$4:$P$4,0))*IF($F25="",1,INDEX('Type Chart'!$B$5:$P$19,MATCH(J$4,'Type Chart'!$A$5:$A$19,0),MATCH($F25,'Type Chart'!$B$4:$P$4,0)))</f>
        <v>2</v>
      </c>
      <c r="K25" s="18" t="n">
        <f aca="false">INDEX('Type Chart'!$B$5:$P$19,MATCH(K$4,'Type Chart'!$A$5:$A$19,0),MATCH($E25,'Type Chart'!$B$4:$P$4,0))*IF($F25="",1,INDEX('Type Chart'!$B$5:$P$19,MATCH(K$4,'Type Chart'!$A$5:$A$19,0),MATCH($F25,'Type Chart'!$B$4:$P$4,0)))</f>
        <v>0.25</v>
      </c>
      <c r="L25" s="18" t="n">
        <f aca="false">INDEX('Type Chart'!$B$5:$P$19,MATCH(L$4,'Type Chart'!$A$5:$A$19,0),MATCH($E25,'Type Chart'!$B$4:$P$4,0))*IF($F25="",1,INDEX('Type Chart'!$B$5:$P$19,MATCH(L$4,'Type Chart'!$A$5:$A$19,0),MATCH($F25,'Type Chart'!$B$4:$P$4,0)))</f>
        <v>2</v>
      </c>
      <c r="M25" s="18" t="n">
        <f aca="false">INDEX('Type Chart'!$B$5:$P$19,MATCH(M$4,'Type Chart'!$A$5:$A$19,0),MATCH($E25,'Type Chart'!$B$4:$P$4,0))*IF($F25="",1,INDEX('Type Chart'!$B$5:$P$19,MATCH(M$4,'Type Chart'!$A$5:$A$19,0),MATCH($F25,'Type Chart'!$B$4:$P$4,0)))</f>
        <v>0.5</v>
      </c>
      <c r="N25" s="18" t="n">
        <f aca="false">INDEX('Type Chart'!$B$5:$P$19,MATCH(N$4,'Type Chart'!$A$5:$A$19,0),MATCH($E25,'Type Chart'!$B$4:$P$4,0))*IF($F25="",1,INDEX('Type Chart'!$B$5:$P$19,MATCH(N$4,'Type Chart'!$A$5:$A$19,0),MATCH($F25,'Type Chart'!$B$4:$P$4,0)))</f>
        <v>1</v>
      </c>
      <c r="O25" s="18" t="n">
        <f aca="false">INDEX('Type Chart'!$B$5:$P$19,MATCH(O$4,'Type Chart'!$A$5:$A$19,0),MATCH($E25,'Type Chart'!$B$4:$P$4,0))*IF($F25="",1,INDEX('Type Chart'!$B$5:$P$19,MATCH(O$4,'Type Chart'!$A$5:$A$19,0),MATCH($F25,'Type Chart'!$B$4:$P$4,0)))</f>
        <v>0</v>
      </c>
      <c r="P25" s="18" t="n">
        <f aca="false">INDEX('Type Chart'!$B$5:$P$19,MATCH(P$4,'Type Chart'!$A$5:$A$19,0),MATCH($E25,'Type Chart'!$B$4:$P$4,0))*IF($F25="",1,INDEX('Type Chart'!$B$5:$P$19,MATCH(P$4,'Type Chart'!$A$5:$A$19,0),MATCH($F25,'Type Chart'!$B$4:$P$4,0)))</f>
        <v>1</v>
      </c>
      <c r="Q25" s="18" t="n">
        <f aca="false">INDEX('Type Chart'!$B$5:$P$19,MATCH(Q$4,'Type Chart'!$A$5:$A$19,0),MATCH($E25,'Type Chart'!$B$4:$P$4,0))*IF($F25="",1,INDEX('Type Chart'!$B$5:$P$19,MATCH(Q$4,'Type Chart'!$A$5:$A$19,0),MATCH($F25,'Type Chart'!$B$4:$P$4,0)))</f>
        <v>1</v>
      </c>
      <c r="R25" s="18" t="n">
        <f aca="false">INDEX('Type Chart'!$B$5:$P$19,MATCH(R$4,'Type Chart'!$A$5:$A$19,0),MATCH($E25,'Type Chart'!$B$4:$P$4,0))*IF($F25="",1,INDEX('Type Chart'!$B$5:$P$19,MATCH(R$4,'Type Chart'!$A$5:$A$19,0),MATCH($F25,'Type Chart'!$B$4:$P$4,0)))</f>
        <v>0.25</v>
      </c>
      <c r="S25" s="18" t="n">
        <f aca="false">INDEX('Type Chart'!$B$5:$P$19,MATCH(S$4,'Type Chart'!$A$5:$A$19,0),MATCH($E25,'Type Chart'!$B$4:$P$4,0))*IF($F25="",1,INDEX('Type Chart'!$B$5:$P$19,MATCH(S$4,'Type Chart'!$A$5:$A$19,0),MATCH($F25,'Type Chart'!$B$4:$P$4,0)))</f>
        <v>4</v>
      </c>
      <c r="T25" s="18" t="n">
        <f aca="false">INDEX('Type Chart'!$B$5:$P$19,MATCH(T$4,'Type Chart'!$A$5:$A$19,0),MATCH($E25,'Type Chart'!$B$4:$P$4,0))*IF($F25="",1,INDEX('Type Chart'!$B$5:$P$19,MATCH(T$4,'Type Chart'!$A$5:$A$19,0),MATCH($F25,'Type Chart'!$B$4:$P$4,0)))</f>
        <v>1</v>
      </c>
      <c r="U25" s="18" t="n">
        <f aca="false">INDEX('Type Chart'!$B$5:$P$19,MATCH(U$4,'Type Chart'!$A$5:$A$19,0),MATCH($E25,'Type Chart'!$B$4:$P$4,0))*IF($F25="",1,INDEX('Type Chart'!$B$5:$P$19,MATCH(U$4,'Type Chart'!$A$5:$A$19,0),MATCH($F25,'Type Chart'!$B$4:$P$4,0)))</f>
        <v>1</v>
      </c>
    </row>
    <row r="26" customFormat="false" ht="15" hidden="false" customHeight="false" outlineLevel="0" collapsed="false">
      <c r="A26" s="17" t="s">
        <v>165</v>
      </c>
      <c r="B26" s="17" t="s">
        <v>166</v>
      </c>
      <c r="C26" s="17" t="s">
        <v>169</v>
      </c>
      <c r="D26" s="17" t="n">
        <v>51</v>
      </c>
      <c r="E26" s="17" t="s">
        <v>112</v>
      </c>
      <c r="F26" s="17"/>
      <c r="G26" s="18" t="n">
        <f aca="false">INDEX('Type Chart'!$B$5:$P$19,MATCH(G$4,'Type Chart'!$A$5:$A$19,0),MATCH($E26,'Type Chart'!$B$4:$P$4,0))*IF($F26="",1,INDEX('Type Chart'!$B$5:$P$19,MATCH(G$4,'Type Chart'!$A$5:$A$19,0),MATCH($F26,'Type Chart'!$B$4:$P$4,0)))</f>
        <v>1</v>
      </c>
      <c r="H26" s="18" t="n">
        <f aca="false">INDEX('Type Chart'!$B$5:$P$19,MATCH(H$4,'Type Chart'!$A$5:$A$19,0),MATCH($E26,'Type Chart'!$B$4:$P$4,0))*IF($F26="",1,INDEX('Type Chart'!$B$5:$P$19,MATCH(H$4,'Type Chart'!$A$5:$A$19,0),MATCH($F26,'Type Chart'!$B$4:$P$4,0)))</f>
        <v>0.5</v>
      </c>
      <c r="I26" s="18" t="n">
        <f aca="false">INDEX('Type Chart'!$B$5:$P$19,MATCH(I$4,'Type Chart'!$A$5:$A$19,0),MATCH($E26,'Type Chart'!$B$4:$P$4,0))*IF($F26="",1,INDEX('Type Chart'!$B$5:$P$19,MATCH(I$4,'Type Chart'!$A$5:$A$19,0),MATCH($F26,'Type Chart'!$B$4:$P$4,0)))</f>
        <v>2</v>
      </c>
      <c r="J26" s="18" t="n">
        <f aca="false">INDEX('Type Chart'!$B$5:$P$19,MATCH(J$4,'Type Chart'!$A$5:$A$19,0),MATCH($E26,'Type Chart'!$B$4:$P$4,0))*IF($F26="",1,INDEX('Type Chart'!$B$5:$P$19,MATCH(J$4,'Type Chart'!$A$5:$A$19,0),MATCH($F26,'Type Chart'!$B$4:$P$4,0)))</f>
        <v>1</v>
      </c>
      <c r="K26" s="18" t="n">
        <f aca="false">INDEX('Type Chart'!$B$5:$P$19,MATCH(K$4,'Type Chart'!$A$5:$A$19,0),MATCH($E26,'Type Chart'!$B$4:$P$4,0))*IF($F26="",1,INDEX('Type Chart'!$B$5:$P$19,MATCH(K$4,'Type Chart'!$A$5:$A$19,0),MATCH($F26,'Type Chart'!$B$4:$P$4,0)))</f>
        <v>0.5</v>
      </c>
      <c r="L26" s="18" t="n">
        <f aca="false">INDEX('Type Chart'!$B$5:$P$19,MATCH(L$4,'Type Chart'!$A$5:$A$19,0),MATCH($E26,'Type Chart'!$B$4:$P$4,0))*IF($F26="",1,INDEX('Type Chart'!$B$5:$P$19,MATCH(L$4,'Type Chart'!$A$5:$A$19,0),MATCH($F26,'Type Chart'!$B$4:$P$4,0)))</f>
        <v>1</v>
      </c>
      <c r="M26" s="18" t="n">
        <f aca="false">INDEX('Type Chart'!$B$5:$P$19,MATCH(M$4,'Type Chart'!$A$5:$A$19,0),MATCH($E26,'Type Chart'!$B$4:$P$4,0))*IF($F26="",1,INDEX('Type Chart'!$B$5:$P$19,MATCH(M$4,'Type Chart'!$A$5:$A$19,0),MATCH($F26,'Type Chart'!$B$4:$P$4,0)))</f>
        <v>1</v>
      </c>
      <c r="N26" s="18" t="n">
        <f aca="false">INDEX('Type Chart'!$B$5:$P$19,MATCH(N$4,'Type Chart'!$A$5:$A$19,0),MATCH($E26,'Type Chart'!$B$4:$P$4,0))*IF($F26="",1,INDEX('Type Chart'!$B$5:$P$19,MATCH(N$4,'Type Chart'!$A$5:$A$19,0),MATCH($F26,'Type Chart'!$B$4:$P$4,0)))</f>
        <v>1</v>
      </c>
      <c r="O26" s="18" t="n">
        <f aca="false">INDEX('Type Chart'!$B$5:$P$19,MATCH(O$4,'Type Chart'!$A$5:$A$19,0),MATCH($E26,'Type Chart'!$B$4:$P$4,0))*IF($F26="",1,INDEX('Type Chart'!$B$5:$P$19,MATCH(O$4,'Type Chart'!$A$5:$A$19,0),MATCH($F26,'Type Chart'!$B$4:$P$4,0)))</f>
        <v>2</v>
      </c>
      <c r="P26" s="18" t="n">
        <f aca="false">INDEX('Type Chart'!$B$5:$P$19,MATCH(P$4,'Type Chart'!$A$5:$A$19,0),MATCH($E26,'Type Chart'!$B$4:$P$4,0))*IF($F26="",1,INDEX('Type Chart'!$B$5:$P$19,MATCH(P$4,'Type Chart'!$A$5:$A$19,0),MATCH($F26,'Type Chart'!$B$4:$P$4,0)))</f>
        <v>1</v>
      </c>
      <c r="Q26" s="18" t="n">
        <f aca="false">INDEX('Type Chart'!$B$5:$P$19,MATCH(Q$4,'Type Chart'!$A$5:$A$19,0),MATCH($E26,'Type Chart'!$B$4:$P$4,0))*IF($F26="",1,INDEX('Type Chart'!$B$5:$P$19,MATCH(Q$4,'Type Chart'!$A$5:$A$19,0),MATCH($F26,'Type Chart'!$B$4:$P$4,0)))</f>
        <v>1</v>
      </c>
      <c r="R26" s="18" t="n">
        <f aca="false">INDEX('Type Chart'!$B$5:$P$19,MATCH(R$4,'Type Chart'!$A$5:$A$19,0),MATCH($E26,'Type Chart'!$B$4:$P$4,0))*IF($F26="",1,INDEX('Type Chart'!$B$5:$P$19,MATCH(R$4,'Type Chart'!$A$5:$A$19,0),MATCH($F26,'Type Chart'!$B$4:$P$4,0)))</f>
        <v>0.5</v>
      </c>
      <c r="S26" s="18" t="n">
        <f aca="false">INDEX('Type Chart'!$B$5:$P$19,MATCH(S$4,'Type Chart'!$A$5:$A$19,0),MATCH($E26,'Type Chart'!$B$4:$P$4,0))*IF($F26="",1,INDEX('Type Chart'!$B$5:$P$19,MATCH(S$4,'Type Chart'!$A$5:$A$19,0),MATCH($F26,'Type Chart'!$B$4:$P$4,0)))</f>
        <v>2</v>
      </c>
      <c r="T26" s="18" t="n">
        <f aca="false">INDEX('Type Chart'!$B$5:$P$19,MATCH(T$4,'Type Chart'!$A$5:$A$19,0),MATCH($E26,'Type Chart'!$B$4:$P$4,0))*IF($F26="",1,INDEX('Type Chart'!$B$5:$P$19,MATCH(T$4,'Type Chart'!$A$5:$A$19,0),MATCH($F26,'Type Chart'!$B$4:$P$4,0)))</f>
        <v>1</v>
      </c>
      <c r="U26" s="18" t="n">
        <f aca="false">INDEX('Type Chart'!$B$5:$P$19,MATCH(U$4,'Type Chart'!$A$5:$A$19,0),MATCH($E26,'Type Chart'!$B$4:$P$4,0))*IF($F26="",1,INDEX('Type Chart'!$B$5:$P$19,MATCH(U$4,'Type Chart'!$A$5:$A$19,0),MATCH($F26,'Type Chart'!$B$4:$P$4,0)))</f>
        <v>1</v>
      </c>
    </row>
    <row r="27" customFormat="false" ht="15" hidden="false" customHeight="false" outlineLevel="0" collapsed="false">
      <c r="A27" s="17" t="s">
        <v>165</v>
      </c>
      <c r="B27" s="17" t="s">
        <v>166</v>
      </c>
      <c r="C27" s="17" t="s">
        <v>170</v>
      </c>
      <c r="D27" s="17" t="n">
        <v>52</v>
      </c>
      <c r="E27" s="17" t="s">
        <v>112</v>
      </c>
      <c r="F27" s="17"/>
      <c r="G27" s="18" t="n">
        <f aca="false">INDEX('Type Chart'!$B$5:$P$19,MATCH(G$4,'Type Chart'!$A$5:$A$19,0),MATCH($E27,'Type Chart'!$B$4:$P$4,0))*IF($F27="",1,INDEX('Type Chart'!$B$5:$P$19,MATCH(G$4,'Type Chart'!$A$5:$A$19,0),MATCH($F27,'Type Chart'!$B$4:$P$4,0)))</f>
        <v>1</v>
      </c>
      <c r="H27" s="18" t="n">
        <f aca="false">INDEX('Type Chart'!$B$5:$P$19,MATCH(H$4,'Type Chart'!$A$5:$A$19,0),MATCH($E27,'Type Chart'!$B$4:$P$4,0))*IF($F27="",1,INDEX('Type Chart'!$B$5:$P$19,MATCH(H$4,'Type Chart'!$A$5:$A$19,0),MATCH($F27,'Type Chart'!$B$4:$P$4,0)))</f>
        <v>0.5</v>
      </c>
      <c r="I27" s="18" t="n">
        <f aca="false">INDEX('Type Chart'!$B$5:$P$19,MATCH(I$4,'Type Chart'!$A$5:$A$19,0),MATCH($E27,'Type Chart'!$B$4:$P$4,0))*IF($F27="",1,INDEX('Type Chart'!$B$5:$P$19,MATCH(I$4,'Type Chart'!$A$5:$A$19,0),MATCH($F27,'Type Chart'!$B$4:$P$4,0)))</f>
        <v>2</v>
      </c>
      <c r="J27" s="18" t="n">
        <f aca="false">INDEX('Type Chart'!$B$5:$P$19,MATCH(J$4,'Type Chart'!$A$5:$A$19,0),MATCH($E27,'Type Chart'!$B$4:$P$4,0))*IF($F27="",1,INDEX('Type Chart'!$B$5:$P$19,MATCH(J$4,'Type Chart'!$A$5:$A$19,0),MATCH($F27,'Type Chart'!$B$4:$P$4,0)))</f>
        <v>1</v>
      </c>
      <c r="K27" s="18" t="n">
        <f aca="false">INDEX('Type Chart'!$B$5:$P$19,MATCH(K$4,'Type Chart'!$A$5:$A$19,0),MATCH($E27,'Type Chart'!$B$4:$P$4,0))*IF($F27="",1,INDEX('Type Chart'!$B$5:$P$19,MATCH(K$4,'Type Chart'!$A$5:$A$19,0),MATCH($F27,'Type Chart'!$B$4:$P$4,0)))</f>
        <v>0.5</v>
      </c>
      <c r="L27" s="18" t="n">
        <f aca="false">INDEX('Type Chart'!$B$5:$P$19,MATCH(L$4,'Type Chart'!$A$5:$A$19,0),MATCH($E27,'Type Chart'!$B$4:$P$4,0))*IF($F27="",1,INDEX('Type Chart'!$B$5:$P$19,MATCH(L$4,'Type Chart'!$A$5:$A$19,0),MATCH($F27,'Type Chart'!$B$4:$P$4,0)))</f>
        <v>1</v>
      </c>
      <c r="M27" s="18" t="n">
        <f aca="false">INDEX('Type Chart'!$B$5:$P$19,MATCH(M$4,'Type Chart'!$A$5:$A$19,0),MATCH($E27,'Type Chart'!$B$4:$P$4,0))*IF($F27="",1,INDEX('Type Chart'!$B$5:$P$19,MATCH(M$4,'Type Chart'!$A$5:$A$19,0),MATCH($F27,'Type Chart'!$B$4:$P$4,0)))</f>
        <v>1</v>
      </c>
      <c r="N27" s="18" t="n">
        <f aca="false">INDEX('Type Chart'!$B$5:$P$19,MATCH(N$4,'Type Chart'!$A$5:$A$19,0),MATCH($E27,'Type Chart'!$B$4:$P$4,0))*IF($F27="",1,INDEX('Type Chart'!$B$5:$P$19,MATCH(N$4,'Type Chart'!$A$5:$A$19,0),MATCH($F27,'Type Chart'!$B$4:$P$4,0)))</f>
        <v>1</v>
      </c>
      <c r="O27" s="18" t="n">
        <f aca="false">INDEX('Type Chart'!$B$5:$P$19,MATCH(O$4,'Type Chart'!$A$5:$A$19,0),MATCH($E27,'Type Chart'!$B$4:$P$4,0))*IF($F27="",1,INDEX('Type Chart'!$B$5:$P$19,MATCH(O$4,'Type Chart'!$A$5:$A$19,0),MATCH($F27,'Type Chart'!$B$4:$P$4,0)))</f>
        <v>2</v>
      </c>
      <c r="P27" s="18" t="n">
        <f aca="false">INDEX('Type Chart'!$B$5:$P$19,MATCH(P$4,'Type Chart'!$A$5:$A$19,0),MATCH($E27,'Type Chart'!$B$4:$P$4,0))*IF($F27="",1,INDEX('Type Chart'!$B$5:$P$19,MATCH(P$4,'Type Chart'!$A$5:$A$19,0),MATCH($F27,'Type Chart'!$B$4:$P$4,0)))</f>
        <v>1</v>
      </c>
      <c r="Q27" s="18" t="n">
        <f aca="false">INDEX('Type Chart'!$B$5:$P$19,MATCH(Q$4,'Type Chart'!$A$5:$A$19,0),MATCH($E27,'Type Chart'!$B$4:$P$4,0))*IF($F27="",1,INDEX('Type Chart'!$B$5:$P$19,MATCH(Q$4,'Type Chart'!$A$5:$A$19,0),MATCH($F27,'Type Chart'!$B$4:$P$4,0)))</f>
        <v>1</v>
      </c>
      <c r="R27" s="18" t="n">
        <f aca="false">INDEX('Type Chart'!$B$5:$P$19,MATCH(R$4,'Type Chart'!$A$5:$A$19,0),MATCH($E27,'Type Chart'!$B$4:$P$4,0))*IF($F27="",1,INDEX('Type Chart'!$B$5:$P$19,MATCH(R$4,'Type Chart'!$A$5:$A$19,0),MATCH($F27,'Type Chart'!$B$4:$P$4,0)))</f>
        <v>0.5</v>
      </c>
      <c r="S27" s="18" t="n">
        <f aca="false">INDEX('Type Chart'!$B$5:$P$19,MATCH(S$4,'Type Chart'!$A$5:$A$19,0),MATCH($E27,'Type Chart'!$B$4:$P$4,0))*IF($F27="",1,INDEX('Type Chart'!$B$5:$P$19,MATCH(S$4,'Type Chart'!$A$5:$A$19,0),MATCH($F27,'Type Chart'!$B$4:$P$4,0)))</f>
        <v>2</v>
      </c>
      <c r="T27" s="18" t="n">
        <f aca="false">INDEX('Type Chart'!$B$5:$P$19,MATCH(T$4,'Type Chart'!$A$5:$A$19,0),MATCH($E27,'Type Chart'!$B$4:$P$4,0))*IF($F27="",1,INDEX('Type Chart'!$B$5:$P$19,MATCH(T$4,'Type Chart'!$A$5:$A$19,0),MATCH($F27,'Type Chart'!$B$4:$P$4,0)))</f>
        <v>1</v>
      </c>
      <c r="U27" s="18" t="n">
        <f aca="false">INDEX('Type Chart'!$B$5:$P$19,MATCH(U$4,'Type Chart'!$A$5:$A$19,0),MATCH($E27,'Type Chart'!$B$4:$P$4,0))*IF($F27="",1,INDEX('Type Chart'!$B$5:$P$19,MATCH(U$4,'Type Chart'!$A$5:$A$19,0),MATCH($F27,'Type Chart'!$B$4:$P$4,0)))</f>
        <v>1</v>
      </c>
    </row>
    <row r="28" customFormat="false" ht="15" hidden="false" customHeight="false" outlineLevel="0" collapsed="false">
      <c r="A28" s="17" t="s">
        <v>165</v>
      </c>
      <c r="B28" s="17" t="s">
        <v>166</v>
      </c>
      <c r="C28" s="17" t="s">
        <v>171</v>
      </c>
      <c r="D28" s="17" t="n">
        <v>53</v>
      </c>
      <c r="E28" s="17" t="s">
        <v>112</v>
      </c>
      <c r="F28" s="17"/>
      <c r="G28" s="18" t="n">
        <f aca="false">INDEX('Type Chart'!$B$5:$P$19,MATCH(G$4,'Type Chart'!$A$5:$A$19,0),MATCH($E28,'Type Chart'!$B$4:$P$4,0))*IF($F28="",1,INDEX('Type Chart'!$B$5:$P$19,MATCH(G$4,'Type Chart'!$A$5:$A$19,0),MATCH($F28,'Type Chart'!$B$4:$P$4,0)))</f>
        <v>1</v>
      </c>
      <c r="H28" s="18" t="n">
        <f aca="false">INDEX('Type Chart'!$B$5:$P$19,MATCH(H$4,'Type Chart'!$A$5:$A$19,0),MATCH($E28,'Type Chart'!$B$4:$P$4,0))*IF($F28="",1,INDEX('Type Chart'!$B$5:$P$19,MATCH(H$4,'Type Chart'!$A$5:$A$19,0),MATCH($F28,'Type Chart'!$B$4:$P$4,0)))</f>
        <v>0.5</v>
      </c>
      <c r="I28" s="18" t="n">
        <f aca="false">INDEX('Type Chart'!$B$5:$P$19,MATCH(I$4,'Type Chart'!$A$5:$A$19,0),MATCH($E28,'Type Chart'!$B$4:$P$4,0))*IF($F28="",1,INDEX('Type Chart'!$B$5:$P$19,MATCH(I$4,'Type Chart'!$A$5:$A$19,0),MATCH($F28,'Type Chart'!$B$4:$P$4,0)))</f>
        <v>2</v>
      </c>
      <c r="J28" s="18" t="n">
        <f aca="false">INDEX('Type Chart'!$B$5:$P$19,MATCH(J$4,'Type Chart'!$A$5:$A$19,0),MATCH($E28,'Type Chart'!$B$4:$P$4,0))*IF($F28="",1,INDEX('Type Chart'!$B$5:$P$19,MATCH(J$4,'Type Chart'!$A$5:$A$19,0),MATCH($F28,'Type Chart'!$B$4:$P$4,0)))</f>
        <v>1</v>
      </c>
      <c r="K28" s="18" t="n">
        <f aca="false">INDEX('Type Chart'!$B$5:$P$19,MATCH(K$4,'Type Chart'!$A$5:$A$19,0),MATCH($E28,'Type Chart'!$B$4:$P$4,0))*IF($F28="",1,INDEX('Type Chart'!$B$5:$P$19,MATCH(K$4,'Type Chart'!$A$5:$A$19,0),MATCH($F28,'Type Chart'!$B$4:$P$4,0)))</f>
        <v>0.5</v>
      </c>
      <c r="L28" s="18" t="n">
        <f aca="false">INDEX('Type Chart'!$B$5:$P$19,MATCH(L$4,'Type Chart'!$A$5:$A$19,0),MATCH($E28,'Type Chart'!$B$4:$P$4,0))*IF($F28="",1,INDEX('Type Chart'!$B$5:$P$19,MATCH(L$4,'Type Chart'!$A$5:$A$19,0),MATCH($F28,'Type Chart'!$B$4:$P$4,0)))</f>
        <v>1</v>
      </c>
      <c r="M28" s="18" t="n">
        <f aca="false">INDEX('Type Chart'!$B$5:$P$19,MATCH(M$4,'Type Chart'!$A$5:$A$19,0),MATCH($E28,'Type Chart'!$B$4:$P$4,0))*IF($F28="",1,INDEX('Type Chart'!$B$5:$P$19,MATCH(M$4,'Type Chart'!$A$5:$A$19,0),MATCH($F28,'Type Chart'!$B$4:$P$4,0)))</f>
        <v>1</v>
      </c>
      <c r="N28" s="18" t="n">
        <f aca="false">INDEX('Type Chart'!$B$5:$P$19,MATCH(N$4,'Type Chart'!$A$5:$A$19,0),MATCH($E28,'Type Chart'!$B$4:$P$4,0))*IF($F28="",1,INDEX('Type Chart'!$B$5:$P$19,MATCH(N$4,'Type Chart'!$A$5:$A$19,0),MATCH($F28,'Type Chart'!$B$4:$P$4,0)))</f>
        <v>1</v>
      </c>
      <c r="O28" s="18" t="n">
        <f aca="false">INDEX('Type Chart'!$B$5:$P$19,MATCH(O$4,'Type Chart'!$A$5:$A$19,0),MATCH($E28,'Type Chart'!$B$4:$P$4,0))*IF($F28="",1,INDEX('Type Chart'!$B$5:$P$19,MATCH(O$4,'Type Chart'!$A$5:$A$19,0),MATCH($F28,'Type Chart'!$B$4:$P$4,0)))</f>
        <v>2</v>
      </c>
      <c r="P28" s="18" t="n">
        <f aca="false">INDEX('Type Chart'!$B$5:$P$19,MATCH(P$4,'Type Chart'!$A$5:$A$19,0),MATCH($E28,'Type Chart'!$B$4:$P$4,0))*IF($F28="",1,INDEX('Type Chart'!$B$5:$P$19,MATCH(P$4,'Type Chart'!$A$5:$A$19,0),MATCH($F28,'Type Chart'!$B$4:$P$4,0)))</f>
        <v>1</v>
      </c>
      <c r="Q28" s="18" t="n">
        <f aca="false">INDEX('Type Chart'!$B$5:$P$19,MATCH(Q$4,'Type Chart'!$A$5:$A$19,0),MATCH($E28,'Type Chart'!$B$4:$P$4,0))*IF($F28="",1,INDEX('Type Chart'!$B$5:$P$19,MATCH(Q$4,'Type Chart'!$A$5:$A$19,0),MATCH($F28,'Type Chart'!$B$4:$P$4,0)))</f>
        <v>1</v>
      </c>
      <c r="R28" s="18" t="n">
        <f aca="false">INDEX('Type Chart'!$B$5:$P$19,MATCH(R$4,'Type Chart'!$A$5:$A$19,0),MATCH($E28,'Type Chart'!$B$4:$P$4,0))*IF($F28="",1,INDEX('Type Chart'!$B$5:$P$19,MATCH(R$4,'Type Chart'!$A$5:$A$19,0),MATCH($F28,'Type Chart'!$B$4:$P$4,0)))</f>
        <v>0.5</v>
      </c>
      <c r="S28" s="18" t="n">
        <f aca="false">INDEX('Type Chart'!$B$5:$P$19,MATCH(S$4,'Type Chart'!$A$5:$A$19,0),MATCH($E28,'Type Chart'!$B$4:$P$4,0))*IF($F28="",1,INDEX('Type Chart'!$B$5:$P$19,MATCH(S$4,'Type Chart'!$A$5:$A$19,0),MATCH($F28,'Type Chart'!$B$4:$P$4,0)))</f>
        <v>2</v>
      </c>
      <c r="T28" s="18" t="n">
        <f aca="false">INDEX('Type Chart'!$B$5:$P$19,MATCH(T$4,'Type Chart'!$A$5:$A$19,0),MATCH($E28,'Type Chart'!$B$4:$P$4,0))*IF($F28="",1,INDEX('Type Chart'!$B$5:$P$19,MATCH(T$4,'Type Chart'!$A$5:$A$19,0),MATCH($F28,'Type Chart'!$B$4:$P$4,0)))</f>
        <v>1</v>
      </c>
      <c r="U28" s="18" t="n">
        <f aca="false">INDEX('Type Chart'!$B$5:$P$19,MATCH(U$4,'Type Chart'!$A$5:$A$19,0),MATCH($E28,'Type Chart'!$B$4:$P$4,0))*IF($F28="",1,INDEX('Type Chart'!$B$5:$P$19,MATCH(U$4,'Type Chart'!$A$5:$A$19,0),MATCH($F28,'Type Chart'!$B$4:$P$4,0)))</f>
        <v>1</v>
      </c>
    </row>
    <row r="29" customFormat="false" ht="15" hidden="false" customHeight="false" outlineLevel="0" collapsed="false">
      <c r="A29" s="17" t="s">
        <v>172</v>
      </c>
      <c r="B29" s="17" t="s">
        <v>173</v>
      </c>
      <c r="C29" s="17" t="s">
        <v>174</v>
      </c>
      <c r="D29" s="17" t="n">
        <v>53</v>
      </c>
      <c r="E29" s="17" t="s">
        <v>119</v>
      </c>
      <c r="F29" s="17"/>
      <c r="G29" s="18" t="n">
        <f aca="false">INDEX('Type Chart'!$B$5:$P$19,MATCH(G$4,'Type Chart'!$A$5:$A$19,0),MATCH($E29,'Type Chart'!$B$4:$P$4,0))*IF($F29="",1,INDEX('Type Chart'!$B$5:$P$19,MATCH(G$4,'Type Chart'!$A$5:$A$19,0),MATCH($F29,'Type Chart'!$B$4:$P$4,0)))</f>
        <v>1</v>
      </c>
      <c r="H29" s="18" t="n">
        <f aca="false">INDEX('Type Chart'!$B$5:$P$19,MATCH(H$4,'Type Chart'!$A$5:$A$19,0),MATCH($E29,'Type Chart'!$B$4:$P$4,0))*IF($F29="",1,INDEX('Type Chart'!$B$5:$P$19,MATCH(H$4,'Type Chart'!$A$5:$A$19,0),MATCH($F29,'Type Chart'!$B$4:$P$4,0)))</f>
        <v>1</v>
      </c>
      <c r="I29" s="18" t="n">
        <f aca="false">INDEX('Type Chart'!$B$5:$P$19,MATCH(I$4,'Type Chart'!$A$5:$A$19,0),MATCH($E29,'Type Chart'!$B$4:$P$4,0))*IF($F29="",1,INDEX('Type Chart'!$B$5:$P$19,MATCH(I$4,'Type Chart'!$A$5:$A$19,0),MATCH($F29,'Type Chart'!$B$4:$P$4,0)))</f>
        <v>2</v>
      </c>
      <c r="J29" s="18" t="n">
        <f aca="false">INDEX('Type Chart'!$B$5:$P$19,MATCH(J$4,'Type Chart'!$A$5:$A$19,0),MATCH($E29,'Type Chart'!$B$4:$P$4,0))*IF($F29="",1,INDEX('Type Chart'!$B$5:$P$19,MATCH(J$4,'Type Chart'!$A$5:$A$19,0),MATCH($F29,'Type Chart'!$B$4:$P$4,0)))</f>
        <v>0</v>
      </c>
      <c r="K29" s="18" t="n">
        <f aca="false">INDEX('Type Chart'!$B$5:$P$19,MATCH(K$4,'Type Chart'!$A$5:$A$19,0),MATCH($E29,'Type Chart'!$B$4:$P$4,0))*IF($F29="",1,INDEX('Type Chart'!$B$5:$P$19,MATCH(K$4,'Type Chart'!$A$5:$A$19,0),MATCH($F29,'Type Chart'!$B$4:$P$4,0)))</f>
        <v>2</v>
      </c>
      <c r="L29" s="18" t="n">
        <f aca="false">INDEX('Type Chart'!$B$5:$P$19,MATCH(L$4,'Type Chart'!$A$5:$A$19,0),MATCH($E29,'Type Chart'!$B$4:$P$4,0))*IF($F29="",1,INDEX('Type Chart'!$B$5:$P$19,MATCH(L$4,'Type Chart'!$A$5:$A$19,0),MATCH($F29,'Type Chart'!$B$4:$P$4,0)))</f>
        <v>2</v>
      </c>
      <c r="M29" s="18" t="n">
        <f aca="false">INDEX('Type Chart'!$B$5:$P$19,MATCH(M$4,'Type Chart'!$A$5:$A$19,0),MATCH($E29,'Type Chart'!$B$4:$P$4,0))*IF($F29="",1,INDEX('Type Chart'!$B$5:$P$19,MATCH(M$4,'Type Chart'!$A$5:$A$19,0),MATCH($F29,'Type Chart'!$B$4:$P$4,0)))</f>
        <v>1</v>
      </c>
      <c r="N29" s="18" t="n">
        <f aca="false">INDEX('Type Chart'!$B$5:$P$19,MATCH(N$4,'Type Chart'!$A$5:$A$19,0),MATCH($E29,'Type Chart'!$B$4:$P$4,0))*IF($F29="",1,INDEX('Type Chart'!$B$5:$P$19,MATCH(N$4,'Type Chart'!$A$5:$A$19,0),MATCH($F29,'Type Chart'!$B$4:$P$4,0)))</f>
        <v>0.5</v>
      </c>
      <c r="O29" s="18" t="n">
        <f aca="false">INDEX('Type Chart'!$B$5:$P$19,MATCH(O$4,'Type Chart'!$A$5:$A$19,0),MATCH($E29,'Type Chart'!$B$4:$P$4,0))*IF($F29="",1,INDEX('Type Chart'!$B$5:$P$19,MATCH(O$4,'Type Chart'!$A$5:$A$19,0),MATCH($F29,'Type Chart'!$B$4:$P$4,0)))</f>
        <v>1</v>
      </c>
      <c r="P29" s="18" t="n">
        <f aca="false">INDEX('Type Chart'!$B$5:$P$19,MATCH(P$4,'Type Chart'!$A$5:$A$19,0),MATCH($E29,'Type Chart'!$B$4:$P$4,0))*IF($F29="",1,INDEX('Type Chart'!$B$5:$P$19,MATCH(P$4,'Type Chart'!$A$5:$A$19,0),MATCH($F29,'Type Chart'!$B$4:$P$4,0)))</f>
        <v>1</v>
      </c>
      <c r="Q29" s="18" t="n">
        <f aca="false">INDEX('Type Chart'!$B$5:$P$19,MATCH(Q$4,'Type Chart'!$A$5:$A$19,0),MATCH($E29,'Type Chart'!$B$4:$P$4,0))*IF($F29="",1,INDEX('Type Chart'!$B$5:$P$19,MATCH(Q$4,'Type Chart'!$A$5:$A$19,0),MATCH($F29,'Type Chart'!$B$4:$P$4,0)))</f>
        <v>1</v>
      </c>
      <c r="R29" s="18" t="n">
        <f aca="false">INDEX('Type Chart'!$B$5:$P$19,MATCH(R$4,'Type Chart'!$A$5:$A$19,0),MATCH($E29,'Type Chart'!$B$4:$P$4,0))*IF($F29="",1,INDEX('Type Chart'!$B$5:$P$19,MATCH(R$4,'Type Chart'!$A$5:$A$19,0),MATCH($F29,'Type Chart'!$B$4:$P$4,0)))</f>
        <v>1</v>
      </c>
      <c r="S29" s="18" t="n">
        <f aca="false">INDEX('Type Chart'!$B$5:$P$19,MATCH(S$4,'Type Chart'!$A$5:$A$19,0),MATCH($E29,'Type Chart'!$B$4:$P$4,0))*IF($F29="",1,INDEX('Type Chart'!$B$5:$P$19,MATCH(S$4,'Type Chart'!$A$5:$A$19,0),MATCH($F29,'Type Chart'!$B$4:$P$4,0)))</f>
        <v>0.5</v>
      </c>
      <c r="T29" s="18" t="n">
        <f aca="false">INDEX('Type Chart'!$B$5:$P$19,MATCH(T$4,'Type Chart'!$A$5:$A$19,0),MATCH($E29,'Type Chart'!$B$4:$P$4,0))*IF($F29="",1,INDEX('Type Chart'!$B$5:$P$19,MATCH(T$4,'Type Chart'!$A$5:$A$19,0),MATCH($F29,'Type Chart'!$B$4:$P$4,0)))</f>
        <v>1</v>
      </c>
      <c r="U29" s="18" t="n">
        <f aca="false">INDEX('Type Chart'!$B$5:$P$19,MATCH(U$4,'Type Chart'!$A$5:$A$19,0),MATCH($E29,'Type Chart'!$B$4:$P$4,0))*IF($F29="",1,INDEX('Type Chart'!$B$5:$P$19,MATCH(U$4,'Type Chart'!$A$5:$A$19,0),MATCH($F29,'Type Chart'!$B$4:$P$4,0)))</f>
        <v>1</v>
      </c>
    </row>
    <row r="30" customFormat="false" ht="15" hidden="false" customHeight="false" outlineLevel="0" collapsed="false">
      <c r="A30" s="17" t="s">
        <v>172</v>
      </c>
      <c r="B30" s="17" t="s">
        <v>173</v>
      </c>
      <c r="C30" s="17" t="s">
        <v>175</v>
      </c>
      <c r="D30" s="17" t="n">
        <v>54</v>
      </c>
      <c r="E30" s="17" t="s">
        <v>118</v>
      </c>
      <c r="F30" s="17" t="s">
        <v>119</v>
      </c>
      <c r="G30" s="18" t="n">
        <f aca="false">INDEX('Type Chart'!$B$5:$P$19,MATCH(G$4,'Type Chart'!$A$5:$A$19,0),MATCH($E30,'Type Chart'!$B$4:$P$4,0))*IF($F30="",1,INDEX('Type Chart'!$B$5:$P$19,MATCH(G$4,'Type Chart'!$A$5:$A$19,0),MATCH($F30,'Type Chart'!$B$4:$P$4,0)))</f>
        <v>1</v>
      </c>
      <c r="H30" s="18" t="n">
        <f aca="false">INDEX('Type Chart'!$B$5:$P$19,MATCH(H$4,'Type Chart'!$A$5:$A$19,0),MATCH($E30,'Type Chart'!$B$4:$P$4,0))*IF($F30="",1,INDEX('Type Chart'!$B$5:$P$19,MATCH(H$4,'Type Chart'!$A$5:$A$19,0),MATCH($F30,'Type Chart'!$B$4:$P$4,0)))</f>
        <v>1</v>
      </c>
      <c r="I30" s="18" t="n">
        <f aca="false">INDEX('Type Chart'!$B$5:$P$19,MATCH(I$4,'Type Chart'!$A$5:$A$19,0),MATCH($E30,'Type Chart'!$B$4:$P$4,0))*IF($F30="",1,INDEX('Type Chart'!$B$5:$P$19,MATCH(I$4,'Type Chart'!$A$5:$A$19,0),MATCH($F30,'Type Chart'!$B$4:$P$4,0)))</f>
        <v>2</v>
      </c>
      <c r="J30" s="18" t="n">
        <f aca="false">INDEX('Type Chart'!$B$5:$P$19,MATCH(J$4,'Type Chart'!$A$5:$A$19,0),MATCH($E30,'Type Chart'!$B$4:$P$4,0))*IF($F30="",1,INDEX('Type Chart'!$B$5:$P$19,MATCH(J$4,'Type Chart'!$A$5:$A$19,0),MATCH($F30,'Type Chart'!$B$4:$P$4,0)))</f>
        <v>0</v>
      </c>
      <c r="K30" s="18" t="n">
        <f aca="false">INDEX('Type Chart'!$B$5:$P$19,MATCH(K$4,'Type Chart'!$A$5:$A$19,0),MATCH($E30,'Type Chart'!$B$4:$P$4,0))*IF($F30="",1,INDEX('Type Chart'!$B$5:$P$19,MATCH(K$4,'Type Chart'!$A$5:$A$19,0),MATCH($F30,'Type Chart'!$B$4:$P$4,0)))</f>
        <v>1</v>
      </c>
      <c r="L30" s="18" t="n">
        <f aca="false">INDEX('Type Chart'!$B$5:$P$19,MATCH(L$4,'Type Chart'!$A$5:$A$19,0),MATCH($E30,'Type Chart'!$B$4:$P$4,0))*IF($F30="",1,INDEX('Type Chart'!$B$5:$P$19,MATCH(L$4,'Type Chart'!$A$5:$A$19,0),MATCH($F30,'Type Chart'!$B$4:$P$4,0)))</f>
        <v>2</v>
      </c>
      <c r="M30" s="18" t="n">
        <f aca="false">INDEX('Type Chart'!$B$5:$P$19,MATCH(M$4,'Type Chart'!$A$5:$A$19,0),MATCH($E30,'Type Chart'!$B$4:$P$4,0))*IF($F30="",1,INDEX('Type Chart'!$B$5:$P$19,MATCH(M$4,'Type Chart'!$A$5:$A$19,0),MATCH($F30,'Type Chart'!$B$4:$P$4,0)))</f>
        <v>0.5</v>
      </c>
      <c r="N30" s="18" t="n">
        <f aca="false">INDEX('Type Chart'!$B$5:$P$19,MATCH(N$4,'Type Chart'!$A$5:$A$19,0),MATCH($E30,'Type Chart'!$B$4:$P$4,0))*IF($F30="",1,INDEX('Type Chart'!$B$5:$P$19,MATCH(N$4,'Type Chart'!$A$5:$A$19,0),MATCH($F30,'Type Chart'!$B$4:$P$4,0)))</f>
        <v>0.25</v>
      </c>
      <c r="O30" s="18" t="n">
        <f aca="false">INDEX('Type Chart'!$B$5:$P$19,MATCH(O$4,'Type Chart'!$A$5:$A$19,0),MATCH($E30,'Type Chart'!$B$4:$P$4,0))*IF($F30="",1,INDEX('Type Chart'!$B$5:$P$19,MATCH(O$4,'Type Chart'!$A$5:$A$19,0),MATCH($F30,'Type Chart'!$B$4:$P$4,0)))</f>
        <v>2</v>
      </c>
      <c r="P30" s="18" t="n">
        <f aca="false">INDEX('Type Chart'!$B$5:$P$19,MATCH(P$4,'Type Chart'!$A$5:$A$19,0),MATCH($E30,'Type Chart'!$B$4:$P$4,0))*IF($F30="",1,INDEX('Type Chart'!$B$5:$P$19,MATCH(P$4,'Type Chart'!$A$5:$A$19,0),MATCH($F30,'Type Chart'!$B$4:$P$4,0)))</f>
        <v>1</v>
      </c>
      <c r="Q30" s="18" t="n">
        <f aca="false">INDEX('Type Chart'!$B$5:$P$19,MATCH(Q$4,'Type Chart'!$A$5:$A$19,0),MATCH($E30,'Type Chart'!$B$4:$P$4,0))*IF($F30="",1,INDEX('Type Chart'!$B$5:$P$19,MATCH(Q$4,'Type Chart'!$A$5:$A$19,0),MATCH($F30,'Type Chart'!$B$4:$P$4,0)))</f>
        <v>2</v>
      </c>
      <c r="R30" s="18" t="n">
        <f aca="false">INDEX('Type Chart'!$B$5:$P$19,MATCH(R$4,'Type Chart'!$A$5:$A$19,0),MATCH($E30,'Type Chart'!$B$4:$P$4,0))*IF($F30="",1,INDEX('Type Chart'!$B$5:$P$19,MATCH(R$4,'Type Chart'!$A$5:$A$19,0),MATCH($F30,'Type Chart'!$B$4:$P$4,0)))</f>
        <v>1</v>
      </c>
      <c r="S30" s="18" t="n">
        <f aca="false">INDEX('Type Chart'!$B$5:$P$19,MATCH(S$4,'Type Chart'!$A$5:$A$19,0),MATCH($E30,'Type Chart'!$B$4:$P$4,0))*IF($F30="",1,INDEX('Type Chart'!$B$5:$P$19,MATCH(S$4,'Type Chart'!$A$5:$A$19,0),MATCH($F30,'Type Chart'!$B$4:$P$4,0)))</f>
        <v>0.5</v>
      </c>
      <c r="T30" s="18" t="n">
        <f aca="false">INDEX('Type Chart'!$B$5:$P$19,MATCH(T$4,'Type Chart'!$A$5:$A$19,0),MATCH($E30,'Type Chart'!$B$4:$P$4,0))*IF($F30="",1,INDEX('Type Chart'!$B$5:$P$19,MATCH(T$4,'Type Chart'!$A$5:$A$19,0),MATCH($F30,'Type Chart'!$B$4:$P$4,0)))</f>
        <v>1</v>
      </c>
      <c r="U30" s="18" t="n">
        <f aca="false">INDEX('Type Chart'!$B$5:$P$19,MATCH(U$4,'Type Chart'!$A$5:$A$19,0),MATCH($E30,'Type Chart'!$B$4:$P$4,0))*IF($F30="",1,INDEX('Type Chart'!$B$5:$P$19,MATCH(U$4,'Type Chart'!$A$5:$A$19,0),MATCH($F30,'Type Chart'!$B$4:$P$4,0)))</f>
        <v>1</v>
      </c>
    </row>
    <row r="31" customFormat="false" ht="15" hidden="false" customHeight="false" outlineLevel="0" collapsed="false">
      <c r="A31" s="17" t="s">
        <v>172</v>
      </c>
      <c r="B31" s="17" t="s">
        <v>173</v>
      </c>
      <c r="C31" s="17" t="s">
        <v>176</v>
      </c>
      <c r="D31" s="17" t="n">
        <v>55</v>
      </c>
      <c r="E31" s="17" t="s">
        <v>111</v>
      </c>
      <c r="F31" s="17"/>
      <c r="G31" s="18" t="n">
        <f aca="false">INDEX('Type Chart'!$B$5:$P$19,MATCH(G$4,'Type Chart'!$A$5:$A$19,0),MATCH($E31,'Type Chart'!$B$4:$P$4,0))*IF($F31="",1,INDEX('Type Chart'!$B$5:$P$19,MATCH(G$4,'Type Chart'!$A$5:$A$19,0),MATCH($F31,'Type Chart'!$B$4:$P$4,0)))</f>
        <v>1</v>
      </c>
      <c r="H31" s="18" t="n">
        <f aca="false">INDEX('Type Chart'!$B$5:$P$19,MATCH(H$4,'Type Chart'!$A$5:$A$19,0),MATCH($E31,'Type Chart'!$B$4:$P$4,0))*IF($F31="",1,INDEX('Type Chart'!$B$5:$P$19,MATCH(H$4,'Type Chart'!$A$5:$A$19,0),MATCH($F31,'Type Chart'!$B$4:$P$4,0)))</f>
        <v>1</v>
      </c>
      <c r="I31" s="18" t="n">
        <f aca="false">INDEX('Type Chart'!$B$5:$P$19,MATCH(I$4,'Type Chart'!$A$5:$A$19,0),MATCH($E31,'Type Chart'!$B$4:$P$4,0))*IF($F31="",1,INDEX('Type Chart'!$B$5:$P$19,MATCH(I$4,'Type Chart'!$A$5:$A$19,0),MATCH($F31,'Type Chart'!$B$4:$P$4,0)))</f>
        <v>1</v>
      </c>
      <c r="J31" s="18" t="n">
        <f aca="false">INDEX('Type Chart'!$B$5:$P$19,MATCH(J$4,'Type Chart'!$A$5:$A$19,0),MATCH($E31,'Type Chart'!$B$4:$P$4,0))*IF($F31="",1,INDEX('Type Chart'!$B$5:$P$19,MATCH(J$4,'Type Chart'!$A$5:$A$19,0),MATCH($F31,'Type Chart'!$B$4:$P$4,0)))</f>
        <v>1</v>
      </c>
      <c r="K31" s="18" t="n">
        <f aca="false">INDEX('Type Chart'!$B$5:$P$19,MATCH(K$4,'Type Chart'!$A$5:$A$19,0),MATCH($E31,'Type Chart'!$B$4:$P$4,0))*IF($F31="",1,INDEX('Type Chart'!$B$5:$P$19,MATCH(K$4,'Type Chart'!$A$5:$A$19,0),MATCH($F31,'Type Chart'!$B$4:$P$4,0)))</f>
        <v>1</v>
      </c>
      <c r="L31" s="18" t="n">
        <f aca="false">INDEX('Type Chart'!$B$5:$P$19,MATCH(L$4,'Type Chart'!$A$5:$A$19,0),MATCH($E31,'Type Chart'!$B$4:$P$4,0))*IF($F31="",1,INDEX('Type Chart'!$B$5:$P$19,MATCH(L$4,'Type Chart'!$A$5:$A$19,0),MATCH($F31,'Type Chart'!$B$4:$P$4,0)))</f>
        <v>1</v>
      </c>
      <c r="M31" s="18" t="n">
        <f aca="false">INDEX('Type Chart'!$B$5:$P$19,MATCH(M$4,'Type Chart'!$A$5:$A$19,0),MATCH($E31,'Type Chart'!$B$4:$P$4,0))*IF($F31="",1,INDEX('Type Chart'!$B$5:$P$19,MATCH(M$4,'Type Chart'!$A$5:$A$19,0),MATCH($F31,'Type Chart'!$B$4:$P$4,0)))</f>
        <v>2</v>
      </c>
      <c r="N31" s="18" t="n">
        <f aca="false">INDEX('Type Chart'!$B$5:$P$19,MATCH(N$4,'Type Chart'!$A$5:$A$19,0),MATCH($E31,'Type Chart'!$B$4:$P$4,0))*IF($F31="",1,INDEX('Type Chart'!$B$5:$P$19,MATCH(N$4,'Type Chart'!$A$5:$A$19,0),MATCH($F31,'Type Chart'!$B$4:$P$4,0)))</f>
        <v>1</v>
      </c>
      <c r="O31" s="18" t="n">
        <f aca="false">INDEX('Type Chart'!$B$5:$P$19,MATCH(O$4,'Type Chart'!$A$5:$A$19,0),MATCH($E31,'Type Chart'!$B$4:$P$4,0))*IF($F31="",1,INDEX('Type Chart'!$B$5:$P$19,MATCH(O$4,'Type Chart'!$A$5:$A$19,0),MATCH($F31,'Type Chart'!$B$4:$P$4,0)))</f>
        <v>1</v>
      </c>
      <c r="P31" s="18" t="n">
        <f aca="false">INDEX('Type Chart'!$B$5:$P$19,MATCH(P$4,'Type Chart'!$A$5:$A$19,0),MATCH($E31,'Type Chart'!$B$4:$P$4,0))*IF($F31="",1,INDEX('Type Chart'!$B$5:$P$19,MATCH(P$4,'Type Chart'!$A$5:$A$19,0),MATCH($F31,'Type Chart'!$B$4:$P$4,0)))</f>
        <v>1</v>
      </c>
      <c r="Q31" s="18" t="n">
        <f aca="false">INDEX('Type Chart'!$B$5:$P$19,MATCH(Q$4,'Type Chart'!$A$5:$A$19,0),MATCH($E31,'Type Chart'!$B$4:$P$4,0))*IF($F31="",1,INDEX('Type Chart'!$B$5:$P$19,MATCH(Q$4,'Type Chart'!$A$5:$A$19,0),MATCH($F31,'Type Chart'!$B$4:$P$4,0)))</f>
        <v>1</v>
      </c>
      <c r="R31" s="18" t="n">
        <f aca="false">INDEX('Type Chart'!$B$5:$P$19,MATCH(R$4,'Type Chart'!$A$5:$A$19,0),MATCH($E31,'Type Chart'!$B$4:$P$4,0))*IF($F31="",1,INDEX('Type Chart'!$B$5:$P$19,MATCH(R$4,'Type Chart'!$A$5:$A$19,0),MATCH($F31,'Type Chart'!$B$4:$P$4,0)))</f>
        <v>1</v>
      </c>
      <c r="S31" s="18" t="n">
        <f aca="false">INDEX('Type Chart'!$B$5:$P$19,MATCH(S$4,'Type Chart'!$A$5:$A$19,0),MATCH($E31,'Type Chart'!$B$4:$P$4,0))*IF($F31="",1,INDEX('Type Chart'!$B$5:$P$19,MATCH(S$4,'Type Chart'!$A$5:$A$19,0),MATCH($F31,'Type Chart'!$B$4:$P$4,0)))</f>
        <v>1</v>
      </c>
      <c r="T31" s="18" t="n">
        <f aca="false">INDEX('Type Chart'!$B$5:$P$19,MATCH(T$4,'Type Chart'!$A$5:$A$19,0),MATCH($E31,'Type Chart'!$B$4:$P$4,0))*IF($F31="",1,INDEX('Type Chart'!$B$5:$P$19,MATCH(T$4,'Type Chart'!$A$5:$A$19,0),MATCH($F31,'Type Chart'!$B$4:$P$4,0)))</f>
        <v>0</v>
      </c>
      <c r="U31" s="18" t="n">
        <f aca="false">INDEX('Type Chart'!$B$5:$P$19,MATCH(U$4,'Type Chart'!$A$5:$A$19,0),MATCH($E31,'Type Chart'!$B$4:$P$4,0))*IF($F31="",1,INDEX('Type Chart'!$B$5:$P$19,MATCH(U$4,'Type Chart'!$A$5:$A$19,0),MATCH($F31,'Type Chart'!$B$4:$P$4,0)))</f>
        <v>1</v>
      </c>
    </row>
    <row r="32" customFormat="false" ht="15" hidden="false" customHeight="false" outlineLevel="0" collapsed="false">
      <c r="A32" s="17" t="s">
        <v>172</v>
      </c>
      <c r="B32" s="17" t="s">
        <v>173</v>
      </c>
      <c r="C32" s="17" t="s">
        <v>177</v>
      </c>
      <c r="D32" s="17" t="n">
        <v>54</v>
      </c>
      <c r="E32" s="17" t="s">
        <v>118</v>
      </c>
      <c r="F32" s="17" t="s">
        <v>119</v>
      </c>
      <c r="G32" s="18" t="n">
        <f aca="false">INDEX('Type Chart'!$B$5:$P$19,MATCH(G$4,'Type Chart'!$A$5:$A$19,0),MATCH($E32,'Type Chart'!$B$4:$P$4,0))*IF($F32="",1,INDEX('Type Chart'!$B$5:$P$19,MATCH(G$4,'Type Chart'!$A$5:$A$19,0),MATCH($F32,'Type Chart'!$B$4:$P$4,0)))</f>
        <v>1</v>
      </c>
      <c r="H32" s="18" t="n">
        <f aca="false">INDEX('Type Chart'!$B$5:$P$19,MATCH(H$4,'Type Chart'!$A$5:$A$19,0),MATCH($E32,'Type Chart'!$B$4:$P$4,0))*IF($F32="",1,INDEX('Type Chart'!$B$5:$P$19,MATCH(H$4,'Type Chart'!$A$5:$A$19,0),MATCH($F32,'Type Chart'!$B$4:$P$4,0)))</f>
        <v>1</v>
      </c>
      <c r="I32" s="18" t="n">
        <f aca="false">INDEX('Type Chart'!$B$5:$P$19,MATCH(I$4,'Type Chart'!$A$5:$A$19,0),MATCH($E32,'Type Chart'!$B$4:$P$4,0))*IF($F32="",1,INDEX('Type Chart'!$B$5:$P$19,MATCH(I$4,'Type Chart'!$A$5:$A$19,0),MATCH($F32,'Type Chart'!$B$4:$P$4,0)))</f>
        <v>2</v>
      </c>
      <c r="J32" s="18" t="n">
        <f aca="false">INDEX('Type Chart'!$B$5:$P$19,MATCH(J$4,'Type Chart'!$A$5:$A$19,0),MATCH($E32,'Type Chart'!$B$4:$P$4,0))*IF($F32="",1,INDEX('Type Chart'!$B$5:$P$19,MATCH(J$4,'Type Chart'!$A$5:$A$19,0),MATCH($F32,'Type Chart'!$B$4:$P$4,0)))</f>
        <v>0</v>
      </c>
      <c r="K32" s="18" t="n">
        <f aca="false">INDEX('Type Chart'!$B$5:$P$19,MATCH(K$4,'Type Chart'!$A$5:$A$19,0),MATCH($E32,'Type Chart'!$B$4:$P$4,0))*IF($F32="",1,INDEX('Type Chart'!$B$5:$P$19,MATCH(K$4,'Type Chart'!$A$5:$A$19,0),MATCH($F32,'Type Chart'!$B$4:$P$4,0)))</f>
        <v>1</v>
      </c>
      <c r="L32" s="18" t="n">
        <f aca="false">INDEX('Type Chart'!$B$5:$P$19,MATCH(L$4,'Type Chart'!$A$5:$A$19,0),MATCH($E32,'Type Chart'!$B$4:$P$4,0))*IF($F32="",1,INDEX('Type Chart'!$B$5:$P$19,MATCH(L$4,'Type Chart'!$A$5:$A$19,0),MATCH($F32,'Type Chart'!$B$4:$P$4,0)))</f>
        <v>2</v>
      </c>
      <c r="M32" s="18" t="n">
        <f aca="false">INDEX('Type Chart'!$B$5:$P$19,MATCH(M$4,'Type Chart'!$A$5:$A$19,0),MATCH($E32,'Type Chart'!$B$4:$P$4,0))*IF($F32="",1,INDEX('Type Chart'!$B$5:$P$19,MATCH(M$4,'Type Chart'!$A$5:$A$19,0),MATCH($F32,'Type Chart'!$B$4:$P$4,0)))</f>
        <v>0.5</v>
      </c>
      <c r="N32" s="18" t="n">
        <f aca="false">INDEX('Type Chart'!$B$5:$P$19,MATCH(N$4,'Type Chart'!$A$5:$A$19,0),MATCH($E32,'Type Chart'!$B$4:$P$4,0))*IF($F32="",1,INDEX('Type Chart'!$B$5:$P$19,MATCH(N$4,'Type Chart'!$A$5:$A$19,0),MATCH($F32,'Type Chart'!$B$4:$P$4,0)))</f>
        <v>0.25</v>
      </c>
      <c r="O32" s="18" t="n">
        <f aca="false">INDEX('Type Chart'!$B$5:$P$19,MATCH(O$4,'Type Chart'!$A$5:$A$19,0),MATCH($E32,'Type Chart'!$B$4:$P$4,0))*IF($F32="",1,INDEX('Type Chart'!$B$5:$P$19,MATCH(O$4,'Type Chart'!$A$5:$A$19,0),MATCH($F32,'Type Chart'!$B$4:$P$4,0)))</f>
        <v>2</v>
      </c>
      <c r="P32" s="18" t="n">
        <f aca="false">INDEX('Type Chart'!$B$5:$P$19,MATCH(P$4,'Type Chart'!$A$5:$A$19,0),MATCH($E32,'Type Chart'!$B$4:$P$4,0))*IF($F32="",1,INDEX('Type Chart'!$B$5:$P$19,MATCH(P$4,'Type Chart'!$A$5:$A$19,0),MATCH($F32,'Type Chart'!$B$4:$P$4,0)))</f>
        <v>1</v>
      </c>
      <c r="Q32" s="18" t="n">
        <f aca="false">INDEX('Type Chart'!$B$5:$P$19,MATCH(Q$4,'Type Chart'!$A$5:$A$19,0),MATCH($E32,'Type Chart'!$B$4:$P$4,0))*IF($F32="",1,INDEX('Type Chart'!$B$5:$P$19,MATCH(Q$4,'Type Chart'!$A$5:$A$19,0),MATCH($F32,'Type Chart'!$B$4:$P$4,0)))</f>
        <v>2</v>
      </c>
      <c r="R32" s="18" t="n">
        <f aca="false">INDEX('Type Chart'!$B$5:$P$19,MATCH(R$4,'Type Chart'!$A$5:$A$19,0),MATCH($E32,'Type Chart'!$B$4:$P$4,0))*IF($F32="",1,INDEX('Type Chart'!$B$5:$P$19,MATCH(R$4,'Type Chart'!$A$5:$A$19,0),MATCH($F32,'Type Chart'!$B$4:$P$4,0)))</f>
        <v>1</v>
      </c>
      <c r="S32" s="18" t="n">
        <f aca="false">INDEX('Type Chart'!$B$5:$P$19,MATCH(S$4,'Type Chart'!$A$5:$A$19,0),MATCH($E32,'Type Chart'!$B$4:$P$4,0))*IF($F32="",1,INDEX('Type Chart'!$B$5:$P$19,MATCH(S$4,'Type Chart'!$A$5:$A$19,0),MATCH($F32,'Type Chart'!$B$4:$P$4,0)))</f>
        <v>0.5</v>
      </c>
      <c r="T32" s="18" t="n">
        <f aca="false">INDEX('Type Chart'!$B$5:$P$19,MATCH(T$4,'Type Chart'!$A$5:$A$19,0),MATCH($E32,'Type Chart'!$B$4:$P$4,0))*IF($F32="",1,INDEX('Type Chart'!$B$5:$P$19,MATCH(T$4,'Type Chart'!$A$5:$A$19,0),MATCH($F32,'Type Chart'!$B$4:$P$4,0)))</f>
        <v>1</v>
      </c>
      <c r="U32" s="18" t="n">
        <f aca="false">INDEX('Type Chart'!$B$5:$P$19,MATCH(U$4,'Type Chart'!$A$5:$A$19,0),MATCH($E32,'Type Chart'!$B$4:$P$4,0))*IF($F32="",1,INDEX('Type Chart'!$B$5:$P$19,MATCH(U$4,'Type Chart'!$A$5:$A$19,0),MATCH($F32,'Type Chart'!$B$4:$P$4,0)))</f>
        <v>1</v>
      </c>
    </row>
    <row r="33" customFormat="false" ht="15" hidden="false" customHeight="false" outlineLevel="0" collapsed="false">
      <c r="A33" s="17" t="s">
        <v>172</v>
      </c>
      <c r="B33" s="17" t="s">
        <v>173</v>
      </c>
      <c r="C33" s="17" t="s">
        <v>178</v>
      </c>
      <c r="D33" s="17" t="n">
        <v>55</v>
      </c>
      <c r="E33" s="17" t="s">
        <v>119</v>
      </c>
      <c r="F33" s="17" t="s">
        <v>123</v>
      </c>
      <c r="G33" s="18" t="n">
        <f aca="false">INDEX('Type Chart'!$B$5:$P$19,MATCH(G$4,'Type Chart'!$A$5:$A$19,0),MATCH($E33,'Type Chart'!$B$4:$P$4,0))*IF($F33="",1,INDEX('Type Chart'!$B$5:$P$19,MATCH(G$4,'Type Chart'!$A$5:$A$19,0),MATCH($F33,'Type Chart'!$B$4:$P$4,0)))</f>
        <v>0.5</v>
      </c>
      <c r="H33" s="18" t="n">
        <f aca="false">INDEX('Type Chart'!$B$5:$P$19,MATCH(H$4,'Type Chart'!$A$5:$A$19,0),MATCH($E33,'Type Chart'!$B$4:$P$4,0))*IF($F33="",1,INDEX('Type Chart'!$B$5:$P$19,MATCH(H$4,'Type Chart'!$A$5:$A$19,0),MATCH($F33,'Type Chart'!$B$4:$P$4,0)))</f>
        <v>0.5</v>
      </c>
      <c r="I33" s="18" t="n">
        <f aca="false">INDEX('Type Chart'!$B$5:$P$19,MATCH(I$4,'Type Chart'!$A$5:$A$19,0),MATCH($E33,'Type Chart'!$B$4:$P$4,0))*IF($F33="",1,INDEX('Type Chart'!$B$5:$P$19,MATCH(I$4,'Type Chart'!$A$5:$A$19,0),MATCH($F33,'Type Chart'!$B$4:$P$4,0)))</f>
        <v>4</v>
      </c>
      <c r="J33" s="18" t="n">
        <f aca="false">INDEX('Type Chart'!$B$5:$P$19,MATCH(J$4,'Type Chart'!$A$5:$A$19,0),MATCH($E33,'Type Chart'!$B$4:$P$4,0))*IF($F33="",1,INDEX('Type Chart'!$B$5:$P$19,MATCH(J$4,'Type Chart'!$A$5:$A$19,0),MATCH($F33,'Type Chart'!$B$4:$P$4,0)))</f>
        <v>0</v>
      </c>
      <c r="K33" s="18" t="n">
        <f aca="false">INDEX('Type Chart'!$B$5:$P$19,MATCH(K$4,'Type Chart'!$A$5:$A$19,0),MATCH($E33,'Type Chart'!$B$4:$P$4,0))*IF($F33="",1,INDEX('Type Chart'!$B$5:$P$19,MATCH(K$4,'Type Chart'!$A$5:$A$19,0),MATCH($F33,'Type Chart'!$B$4:$P$4,0)))</f>
        <v>4</v>
      </c>
      <c r="L33" s="18" t="n">
        <f aca="false">INDEX('Type Chart'!$B$5:$P$19,MATCH(L$4,'Type Chart'!$A$5:$A$19,0),MATCH($E33,'Type Chart'!$B$4:$P$4,0))*IF($F33="",1,INDEX('Type Chart'!$B$5:$P$19,MATCH(L$4,'Type Chart'!$A$5:$A$19,0),MATCH($F33,'Type Chart'!$B$4:$P$4,0)))</f>
        <v>2</v>
      </c>
      <c r="M33" s="18" t="n">
        <f aca="false">INDEX('Type Chart'!$B$5:$P$19,MATCH(M$4,'Type Chart'!$A$5:$A$19,0),MATCH($E33,'Type Chart'!$B$4:$P$4,0))*IF($F33="",1,INDEX('Type Chart'!$B$5:$P$19,MATCH(M$4,'Type Chart'!$A$5:$A$19,0),MATCH($F33,'Type Chart'!$B$4:$P$4,0)))</f>
        <v>2</v>
      </c>
      <c r="N33" s="18" t="n">
        <f aca="false">INDEX('Type Chart'!$B$5:$P$19,MATCH(N$4,'Type Chart'!$A$5:$A$19,0),MATCH($E33,'Type Chart'!$B$4:$P$4,0))*IF($F33="",1,INDEX('Type Chart'!$B$5:$P$19,MATCH(N$4,'Type Chart'!$A$5:$A$19,0),MATCH($F33,'Type Chart'!$B$4:$P$4,0)))</f>
        <v>0.25</v>
      </c>
      <c r="O33" s="18" t="n">
        <f aca="false">INDEX('Type Chart'!$B$5:$P$19,MATCH(O$4,'Type Chart'!$A$5:$A$19,0),MATCH($E33,'Type Chart'!$B$4:$P$4,0))*IF($F33="",1,INDEX('Type Chart'!$B$5:$P$19,MATCH(O$4,'Type Chart'!$A$5:$A$19,0),MATCH($F33,'Type Chart'!$B$4:$P$4,0)))</f>
        <v>2</v>
      </c>
      <c r="P33" s="18" t="n">
        <f aca="false">INDEX('Type Chart'!$B$5:$P$19,MATCH(P$4,'Type Chart'!$A$5:$A$19,0),MATCH($E33,'Type Chart'!$B$4:$P$4,0))*IF($F33="",1,INDEX('Type Chart'!$B$5:$P$19,MATCH(P$4,'Type Chart'!$A$5:$A$19,0),MATCH($F33,'Type Chart'!$B$4:$P$4,0)))</f>
        <v>0.5</v>
      </c>
      <c r="Q33" s="18" t="n">
        <f aca="false">INDEX('Type Chart'!$B$5:$P$19,MATCH(Q$4,'Type Chart'!$A$5:$A$19,0),MATCH($E33,'Type Chart'!$B$4:$P$4,0))*IF($F33="",1,INDEX('Type Chart'!$B$5:$P$19,MATCH(Q$4,'Type Chart'!$A$5:$A$19,0),MATCH($F33,'Type Chart'!$B$4:$P$4,0)))</f>
        <v>1</v>
      </c>
      <c r="R33" s="18" t="n">
        <f aca="false">INDEX('Type Chart'!$B$5:$P$19,MATCH(R$4,'Type Chart'!$A$5:$A$19,0),MATCH($E33,'Type Chart'!$B$4:$P$4,0))*IF($F33="",1,INDEX('Type Chart'!$B$5:$P$19,MATCH(R$4,'Type Chart'!$A$5:$A$19,0),MATCH($F33,'Type Chart'!$B$4:$P$4,0)))</f>
        <v>1</v>
      </c>
      <c r="S33" s="18" t="n">
        <f aca="false">INDEX('Type Chart'!$B$5:$P$19,MATCH(S$4,'Type Chart'!$A$5:$A$19,0),MATCH($E33,'Type Chart'!$B$4:$P$4,0))*IF($F33="",1,INDEX('Type Chart'!$B$5:$P$19,MATCH(S$4,'Type Chart'!$A$5:$A$19,0),MATCH($F33,'Type Chart'!$B$4:$P$4,0)))</f>
        <v>0.5</v>
      </c>
      <c r="T33" s="18" t="n">
        <f aca="false">INDEX('Type Chart'!$B$5:$P$19,MATCH(T$4,'Type Chart'!$A$5:$A$19,0),MATCH($E33,'Type Chart'!$B$4:$P$4,0))*IF($F33="",1,INDEX('Type Chart'!$B$5:$P$19,MATCH(T$4,'Type Chart'!$A$5:$A$19,0),MATCH($F33,'Type Chart'!$B$4:$P$4,0)))</f>
        <v>1</v>
      </c>
      <c r="U33" s="18" t="n">
        <f aca="false">INDEX('Type Chart'!$B$5:$P$19,MATCH(U$4,'Type Chart'!$A$5:$A$19,0),MATCH($E33,'Type Chart'!$B$4:$P$4,0))*IF($F33="",1,INDEX('Type Chart'!$B$5:$P$19,MATCH(U$4,'Type Chart'!$A$5:$A$19,0),MATCH($F33,'Type Chart'!$B$4:$P$4,0)))</f>
        <v>1</v>
      </c>
    </row>
    <row r="34" customFormat="false" ht="15" hidden="false" customHeight="false" outlineLevel="0" collapsed="false">
      <c r="A34" s="17" t="s">
        <v>179</v>
      </c>
      <c r="B34" s="17" t="s">
        <v>180</v>
      </c>
      <c r="C34" s="17" t="s">
        <v>181</v>
      </c>
      <c r="D34" s="17" t="n">
        <v>56</v>
      </c>
      <c r="E34" s="17" t="s">
        <v>113</v>
      </c>
      <c r="F34" s="17" t="s">
        <v>121</v>
      </c>
      <c r="G34" s="18" t="n">
        <f aca="false">INDEX('Type Chart'!$B$5:$P$19,MATCH(G$4,'Type Chart'!$A$5:$A$19,0),MATCH($E34,'Type Chart'!$B$4:$P$4,0))*IF($F34="",1,INDEX('Type Chart'!$B$5:$P$19,MATCH(G$4,'Type Chart'!$A$5:$A$19,0),MATCH($F34,'Type Chart'!$B$4:$P$4,0)))</f>
        <v>1</v>
      </c>
      <c r="H34" s="18" t="n">
        <f aca="false">INDEX('Type Chart'!$B$5:$P$19,MATCH(H$4,'Type Chart'!$A$5:$A$19,0),MATCH($E34,'Type Chart'!$B$4:$P$4,0))*IF($F34="",1,INDEX('Type Chart'!$B$5:$P$19,MATCH(H$4,'Type Chart'!$A$5:$A$19,0),MATCH($F34,'Type Chart'!$B$4:$P$4,0)))</f>
        <v>0.5</v>
      </c>
      <c r="I34" s="18" t="n">
        <f aca="false">INDEX('Type Chart'!$B$5:$P$19,MATCH(I$4,'Type Chart'!$A$5:$A$19,0),MATCH($E34,'Type Chart'!$B$4:$P$4,0))*IF($F34="",1,INDEX('Type Chart'!$B$5:$P$19,MATCH(I$4,'Type Chart'!$A$5:$A$19,0),MATCH($F34,'Type Chart'!$B$4:$P$4,0)))</f>
        <v>0.5</v>
      </c>
      <c r="J34" s="18" t="n">
        <f aca="false">INDEX('Type Chart'!$B$5:$P$19,MATCH(J$4,'Type Chart'!$A$5:$A$19,0),MATCH($E34,'Type Chart'!$B$4:$P$4,0))*IF($F34="",1,INDEX('Type Chart'!$B$5:$P$19,MATCH(J$4,'Type Chart'!$A$5:$A$19,0),MATCH($F34,'Type Chart'!$B$4:$P$4,0)))</f>
        <v>2</v>
      </c>
      <c r="K34" s="18" t="n">
        <f aca="false">INDEX('Type Chart'!$B$5:$P$19,MATCH(K$4,'Type Chart'!$A$5:$A$19,0),MATCH($E34,'Type Chart'!$B$4:$P$4,0))*IF($F34="",1,INDEX('Type Chart'!$B$5:$P$19,MATCH(K$4,'Type Chart'!$A$5:$A$19,0),MATCH($F34,'Type Chart'!$B$4:$P$4,0)))</f>
        <v>2</v>
      </c>
      <c r="L34" s="18" t="n">
        <f aca="false">INDEX('Type Chart'!$B$5:$P$19,MATCH(L$4,'Type Chart'!$A$5:$A$19,0),MATCH($E34,'Type Chart'!$B$4:$P$4,0))*IF($F34="",1,INDEX('Type Chart'!$B$5:$P$19,MATCH(L$4,'Type Chart'!$A$5:$A$19,0),MATCH($F34,'Type Chart'!$B$4:$P$4,0)))</f>
        <v>0.5</v>
      </c>
      <c r="M34" s="18" t="n">
        <f aca="false">INDEX('Type Chart'!$B$5:$P$19,MATCH(M$4,'Type Chart'!$A$5:$A$19,0),MATCH($E34,'Type Chart'!$B$4:$P$4,0))*IF($F34="",1,INDEX('Type Chart'!$B$5:$P$19,MATCH(M$4,'Type Chart'!$A$5:$A$19,0),MATCH($F34,'Type Chart'!$B$4:$P$4,0)))</f>
        <v>0.5</v>
      </c>
      <c r="N34" s="18" t="n">
        <f aca="false">INDEX('Type Chart'!$B$5:$P$19,MATCH(N$4,'Type Chart'!$A$5:$A$19,0),MATCH($E34,'Type Chart'!$B$4:$P$4,0))*IF($F34="",1,INDEX('Type Chart'!$B$5:$P$19,MATCH(N$4,'Type Chart'!$A$5:$A$19,0),MATCH($F34,'Type Chart'!$B$4:$P$4,0)))</f>
        <v>1</v>
      </c>
      <c r="O34" s="18" t="n">
        <f aca="false">INDEX('Type Chart'!$B$5:$P$19,MATCH(O$4,'Type Chart'!$A$5:$A$19,0),MATCH($E34,'Type Chart'!$B$4:$P$4,0))*IF($F34="",1,INDEX('Type Chart'!$B$5:$P$19,MATCH(O$4,'Type Chart'!$A$5:$A$19,0),MATCH($F34,'Type Chart'!$B$4:$P$4,0)))</f>
        <v>1</v>
      </c>
      <c r="P34" s="18" t="n">
        <f aca="false">INDEX('Type Chart'!$B$5:$P$19,MATCH(P$4,'Type Chart'!$A$5:$A$19,0),MATCH($E34,'Type Chart'!$B$4:$P$4,0))*IF($F34="",1,INDEX('Type Chart'!$B$5:$P$19,MATCH(P$4,'Type Chart'!$A$5:$A$19,0),MATCH($F34,'Type Chart'!$B$4:$P$4,0)))</f>
        <v>1</v>
      </c>
      <c r="Q34" s="18" t="n">
        <f aca="false">INDEX('Type Chart'!$B$5:$P$19,MATCH(Q$4,'Type Chart'!$A$5:$A$19,0),MATCH($E34,'Type Chart'!$B$4:$P$4,0))*IF($F34="",1,INDEX('Type Chart'!$B$5:$P$19,MATCH(Q$4,'Type Chart'!$A$5:$A$19,0),MATCH($F34,'Type Chart'!$B$4:$P$4,0)))</f>
        <v>0.5</v>
      </c>
      <c r="R34" s="18" t="n">
        <f aca="false">INDEX('Type Chart'!$B$5:$P$19,MATCH(R$4,'Type Chart'!$A$5:$A$19,0),MATCH($E34,'Type Chart'!$B$4:$P$4,0))*IF($F34="",1,INDEX('Type Chart'!$B$5:$P$19,MATCH(R$4,'Type Chart'!$A$5:$A$19,0),MATCH($F34,'Type Chart'!$B$4:$P$4,0)))</f>
        <v>2</v>
      </c>
      <c r="S34" s="18" t="n">
        <f aca="false">INDEX('Type Chart'!$B$5:$P$19,MATCH(S$4,'Type Chart'!$A$5:$A$19,0),MATCH($E34,'Type Chart'!$B$4:$P$4,0))*IF($F34="",1,INDEX('Type Chart'!$B$5:$P$19,MATCH(S$4,'Type Chart'!$A$5:$A$19,0),MATCH($F34,'Type Chart'!$B$4:$P$4,0)))</f>
        <v>1</v>
      </c>
      <c r="T34" s="18" t="n">
        <f aca="false">INDEX('Type Chart'!$B$5:$P$19,MATCH(T$4,'Type Chart'!$A$5:$A$19,0),MATCH($E34,'Type Chart'!$B$4:$P$4,0))*IF($F34="",1,INDEX('Type Chart'!$B$5:$P$19,MATCH(T$4,'Type Chart'!$A$5:$A$19,0),MATCH($F34,'Type Chart'!$B$4:$P$4,0)))</f>
        <v>2</v>
      </c>
      <c r="U34" s="18" t="n">
        <f aca="false">INDEX('Type Chart'!$B$5:$P$19,MATCH(U$4,'Type Chart'!$A$5:$A$19,0),MATCH($E34,'Type Chart'!$B$4:$P$4,0))*IF($F34="",1,INDEX('Type Chart'!$B$5:$P$19,MATCH(U$4,'Type Chart'!$A$5:$A$19,0),MATCH($F34,'Type Chart'!$B$4:$P$4,0)))</f>
        <v>1</v>
      </c>
    </row>
    <row r="35" customFormat="false" ht="15" hidden="false" customHeight="false" outlineLevel="0" collapsed="false">
      <c r="A35" s="17" t="s">
        <v>179</v>
      </c>
      <c r="B35" s="17" t="s">
        <v>180</v>
      </c>
      <c r="C35" s="17" t="s">
        <v>182</v>
      </c>
      <c r="D35" s="17" t="n">
        <v>55</v>
      </c>
      <c r="E35" s="17" t="s">
        <v>113</v>
      </c>
      <c r="F35" s="17" t="s">
        <v>116</v>
      </c>
      <c r="G35" s="18" t="n">
        <f aca="false">INDEX('Type Chart'!$B$5:$P$19,MATCH(G$4,'Type Chart'!$A$5:$A$19,0),MATCH($E35,'Type Chart'!$B$4:$P$4,0))*IF($F35="",1,INDEX('Type Chart'!$B$5:$P$19,MATCH(G$4,'Type Chart'!$A$5:$A$19,0),MATCH($F35,'Type Chart'!$B$4:$P$4,0)))</f>
        <v>1</v>
      </c>
      <c r="H35" s="18" t="n">
        <f aca="false">INDEX('Type Chart'!$B$5:$P$19,MATCH(H$4,'Type Chart'!$A$5:$A$19,0),MATCH($E35,'Type Chart'!$B$4:$P$4,0))*IF($F35="",1,INDEX('Type Chart'!$B$5:$P$19,MATCH(H$4,'Type Chart'!$A$5:$A$19,0),MATCH($F35,'Type Chart'!$B$4:$P$4,0)))</f>
        <v>1</v>
      </c>
      <c r="I35" s="18" t="n">
        <f aca="false">INDEX('Type Chart'!$B$5:$P$19,MATCH(I$4,'Type Chart'!$A$5:$A$19,0),MATCH($E35,'Type Chart'!$B$4:$P$4,0))*IF($F35="",1,INDEX('Type Chart'!$B$5:$P$19,MATCH(I$4,'Type Chart'!$A$5:$A$19,0),MATCH($F35,'Type Chart'!$B$4:$P$4,0)))</f>
        <v>0.5</v>
      </c>
      <c r="J35" s="18" t="n">
        <f aca="false">INDEX('Type Chart'!$B$5:$P$19,MATCH(J$4,'Type Chart'!$A$5:$A$19,0),MATCH($E35,'Type Chart'!$B$4:$P$4,0))*IF($F35="",1,INDEX('Type Chart'!$B$5:$P$19,MATCH(J$4,'Type Chart'!$A$5:$A$19,0),MATCH($F35,'Type Chart'!$B$4:$P$4,0)))</f>
        <v>2</v>
      </c>
      <c r="K35" s="18" t="n">
        <f aca="false">INDEX('Type Chart'!$B$5:$P$19,MATCH(K$4,'Type Chart'!$A$5:$A$19,0),MATCH($E35,'Type Chart'!$B$4:$P$4,0))*IF($F35="",1,INDEX('Type Chart'!$B$5:$P$19,MATCH(K$4,'Type Chart'!$A$5:$A$19,0),MATCH($F35,'Type Chart'!$B$4:$P$4,0)))</f>
        <v>2</v>
      </c>
      <c r="L35" s="18" t="n">
        <f aca="false">INDEX('Type Chart'!$B$5:$P$19,MATCH(L$4,'Type Chart'!$A$5:$A$19,0),MATCH($E35,'Type Chart'!$B$4:$P$4,0))*IF($F35="",1,INDEX('Type Chart'!$B$5:$P$19,MATCH(L$4,'Type Chart'!$A$5:$A$19,0),MATCH($F35,'Type Chart'!$B$4:$P$4,0)))</f>
        <v>0.25</v>
      </c>
      <c r="M35" s="18" t="n">
        <f aca="false">INDEX('Type Chart'!$B$5:$P$19,MATCH(M$4,'Type Chart'!$A$5:$A$19,0),MATCH($E35,'Type Chart'!$B$4:$P$4,0))*IF($F35="",1,INDEX('Type Chart'!$B$5:$P$19,MATCH(M$4,'Type Chart'!$A$5:$A$19,0),MATCH($F35,'Type Chart'!$B$4:$P$4,0)))</f>
        <v>2</v>
      </c>
      <c r="N35" s="18" t="n">
        <f aca="false">INDEX('Type Chart'!$B$5:$P$19,MATCH(N$4,'Type Chart'!$A$5:$A$19,0),MATCH($E35,'Type Chart'!$B$4:$P$4,0))*IF($F35="",1,INDEX('Type Chart'!$B$5:$P$19,MATCH(N$4,'Type Chart'!$A$5:$A$19,0),MATCH($F35,'Type Chart'!$B$4:$P$4,0)))</f>
        <v>1</v>
      </c>
      <c r="O35" s="18" t="n">
        <f aca="false">INDEX('Type Chart'!$B$5:$P$19,MATCH(O$4,'Type Chart'!$A$5:$A$19,0),MATCH($E35,'Type Chart'!$B$4:$P$4,0))*IF($F35="",1,INDEX('Type Chart'!$B$5:$P$19,MATCH(O$4,'Type Chart'!$A$5:$A$19,0),MATCH($F35,'Type Chart'!$B$4:$P$4,0)))</f>
        <v>1</v>
      </c>
      <c r="P35" s="18" t="n">
        <f aca="false">INDEX('Type Chart'!$B$5:$P$19,MATCH(P$4,'Type Chart'!$A$5:$A$19,0),MATCH($E35,'Type Chart'!$B$4:$P$4,0))*IF($F35="",1,INDEX('Type Chart'!$B$5:$P$19,MATCH(P$4,'Type Chart'!$A$5:$A$19,0),MATCH($F35,'Type Chart'!$B$4:$P$4,0)))</f>
        <v>1</v>
      </c>
      <c r="Q35" s="18" t="n">
        <f aca="false">INDEX('Type Chart'!$B$5:$P$19,MATCH(Q$4,'Type Chart'!$A$5:$A$19,0),MATCH($E35,'Type Chart'!$B$4:$P$4,0))*IF($F35="",1,INDEX('Type Chart'!$B$5:$P$19,MATCH(Q$4,'Type Chart'!$A$5:$A$19,0),MATCH($F35,'Type Chart'!$B$4:$P$4,0)))</f>
        <v>1</v>
      </c>
      <c r="R35" s="18" t="n">
        <f aca="false">INDEX('Type Chart'!$B$5:$P$19,MATCH(R$4,'Type Chart'!$A$5:$A$19,0),MATCH($E35,'Type Chart'!$B$4:$P$4,0))*IF($F35="",1,INDEX('Type Chart'!$B$5:$P$19,MATCH(R$4,'Type Chart'!$A$5:$A$19,0),MATCH($F35,'Type Chart'!$B$4:$P$4,0)))</f>
        <v>1</v>
      </c>
      <c r="S35" s="18" t="n">
        <f aca="false">INDEX('Type Chart'!$B$5:$P$19,MATCH(S$4,'Type Chart'!$A$5:$A$19,0),MATCH($E35,'Type Chart'!$B$4:$P$4,0))*IF($F35="",1,INDEX('Type Chart'!$B$5:$P$19,MATCH(S$4,'Type Chart'!$A$5:$A$19,0),MATCH($F35,'Type Chart'!$B$4:$P$4,0)))</f>
        <v>2</v>
      </c>
      <c r="T35" s="18" t="n">
        <f aca="false">INDEX('Type Chart'!$B$5:$P$19,MATCH(T$4,'Type Chart'!$A$5:$A$19,0),MATCH($E35,'Type Chart'!$B$4:$P$4,0))*IF($F35="",1,INDEX('Type Chart'!$B$5:$P$19,MATCH(T$4,'Type Chart'!$A$5:$A$19,0),MATCH($F35,'Type Chart'!$B$4:$P$4,0)))</f>
        <v>1</v>
      </c>
      <c r="U35" s="18" t="n">
        <f aca="false">INDEX('Type Chart'!$B$5:$P$19,MATCH(U$4,'Type Chart'!$A$5:$A$19,0),MATCH($E35,'Type Chart'!$B$4:$P$4,0))*IF($F35="",1,INDEX('Type Chart'!$B$5:$P$19,MATCH(U$4,'Type Chart'!$A$5:$A$19,0),MATCH($F35,'Type Chart'!$B$4:$P$4,0)))</f>
        <v>1</v>
      </c>
    </row>
    <row r="36" customFormat="false" ht="15" hidden="false" customHeight="false" outlineLevel="0" collapsed="false">
      <c r="A36" s="17" t="s">
        <v>179</v>
      </c>
      <c r="B36" s="17" t="s">
        <v>180</v>
      </c>
      <c r="C36" s="17" t="s">
        <v>183</v>
      </c>
      <c r="D36" s="17" t="n">
        <v>55</v>
      </c>
      <c r="E36" s="17" t="s">
        <v>113</v>
      </c>
      <c r="F36" s="17" t="s">
        <v>116</v>
      </c>
      <c r="G36" s="18" t="n">
        <f aca="false">INDEX('Type Chart'!$B$5:$P$19,MATCH(G$4,'Type Chart'!$A$5:$A$19,0),MATCH($E36,'Type Chart'!$B$4:$P$4,0))*IF($F36="",1,INDEX('Type Chart'!$B$5:$P$19,MATCH(G$4,'Type Chart'!$A$5:$A$19,0),MATCH($F36,'Type Chart'!$B$4:$P$4,0)))</f>
        <v>1</v>
      </c>
      <c r="H36" s="18" t="n">
        <f aca="false">INDEX('Type Chart'!$B$5:$P$19,MATCH(H$4,'Type Chart'!$A$5:$A$19,0),MATCH($E36,'Type Chart'!$B$4:$P$4,0))*IF($F36="",1,INDEX('Type Chart'!$B$5:$P$19,MATCH(H$4,'Type Chart'!$A$5:$A$19,0),MATCH($F36,'Type Chart'!$B$4:$P$4,0)))</f>
        <v>1</v>
      </c>
      <c r="I36" s="18" t="n">
        <f aca="false">INDEX('Type Chart'!$B$5:$P$19,MATCH(I$4,'Type Chart'!$A$5:$A$19,0),MATCH($E36,'Type Chart'!$B$4:$P$4,0))*IF($F36="",1,INDEX('Type Chart'!$B$5:$P$19,MATCH(I$4,'Type Chart'!$A$5:$A$19,0),MATCH($F36,'Type Chart'!$B$4:$P$4,0)))</f>
        <v>0.5</v>
      </c>
      <c r="J36" s="18" t="n">
        <f aca="false">INDEX('Type Chart'!$B$5:$P$19,MATCH(J$4,'Type Chart'!$A$5:$A$19,0),MATCH($E36,'Type Chart'!$B$4:$P$4,0))*IF($F36="",1,INDEX('Type Chart'!$B$5:$P$19,MATCH(J$4,'Type Chart'!$A$5:$A$19,0),MATCH($F36,'Type Chart'!$B$4:$P$4,0)))</f>
        <v>2</v>
      </c>
      <c r="K36" s="18" t="n">
        <f aca="false">INDEX('Type Chart'!$B$5:$P$19,MATCH(K$4,'Type Chart'!$A$5:$A$19,0),MATCH($E36,'Type Chart'!$B$4:$P$4,0))*IF($F36="",1,INDEX('Type Chart'!$B$5:$P$19,MATCH(K$4,'Type Chart'!$A$5:$A$19,0),MATCH($F36,'Type Chart'!$B$4:$P$4,0)))</f>
        <v>2</v>
      </c>
      <c r="L36" s="18" t="n">
        <f aca="false">INDEX('Type Chart'!$B$5:$P$19,MATCH(L$4,'Type Chart'!$A$5:$A$19,0),MATCH($E36,'Type Chart'!$B$4:$P$4,0))*IF($F36="",1,INDEX('Type Chart'!$B$5:$P$19,MATCH(L$4,'Type Chart'!$A$5:$A$19,0),MATCH($F36,'Type Chart'!$B$4:$P$4,0)))</f>
        <v>0.25</v>
      </c>
      <c r="M36" s="18" t="n">
        <f aca="false">INDEX('Type Chart'!$B$5:$P$19,MATCH(M$4,'Type Chart'!$A$5:$A$19,0),MATCH($E36,'Type Chart'!$B$4:$P$4,0))*IF($F36="",1,INDEX('Type Chart'!$B$5:$P$19,MATCH(M$4,'Type Chart'!$A$5:$A$19,0),MATCH($F36,'Type Chart'!$B$4:$P$4,0)))</f>
        <v>2</v>
      </c>
      <c r="N36" s="18" t="n">
        <f aca="false">INDEX('Type Chart'!$B$5:$P$19,MATCH(N$4,'Type Chart'!$A$5:$A$19,0),MATCH($E36,'Type Chart'!$B$4:$P$4,0))*IF($F36="",1,INDEX('Type Chart'!$B$5:$P$19,MATCH(N$4,'Type Chart'!$A$5:$A$19,0),MATCH($F36,'Type Chart'!$B$4:$P$4,0)))</f>
        <v>1</v>
      </c>
      <c r="O36" s="18" t="n">
        <f aca="false">INDEX('Type Chart'!$B$5:$P$19,MATCH(O$4,'Type Chart'!$A$5:$A$19,0),MATCH($E36,'Type Chart'!$B$4:$P$4,0))*IF($F36="",1,INDEX('Type Chart'!$B$5:$P$19,MATCH(O$4,'Type Chart'!$A$5:$A$19,0),MATCH($F36,'Type Chart'!$B$4:$P$4,0)))</f>
        <v>1</v>
      </c>
      <c r="P36" s="18" t="n">
        <f aca="false">INDEX('Type Chart'!$B$5:$P$19,MATCH(P$4,'Type Chart'!$A$5:$A$19,0),MATCH($E36,'Type Chart'!$B$4:$P$4,0))*IF($F36="",1,INDEX('Type Chart'!$B$5:$P$19,MATCH(P$4,'Type Chart'!$A$5:$A$19,0),MATCH($F36,'Type Chart'!$B$4:$P$4,0)))</f>
        <v>1</v>
      </c>
      <c r="Q36" s="18" t="n">
        <f aca="false">INDEX('Type Chart'!$B$5:$P$19,MATCH(Q$4,'Type Chart'!$A$5:$A$19,0),MATCH($E36,'Type Chart'!$B$4:$P$4,0))*IF($F36="",1,INDEX('Type Chart'!$B$5:$P$19,MATCH(Q$4,'Type Chart'!$A$5:$A$19,0),MATCH($F36,'Type Chart'!$B$4:$P$4,0)))</f>
        <v>1</v>
      </c>
      <c r="R36" s="18" t="n">
        <f aca="false">INDEX('Type Chart'!$B$5:$P$19,MATCH(R$4,'Type Chart'!$A$5:$A$19,0),MATCH($E36,'Type Chart'!$B$4:$P$4,0))*IF($F36="",1,INDEX('Type Chart'!$B$5:$P$19,MATCH(R$4,'Type Chart'!$A$5:$A$19,0),MATCH($F36,'Type Chart'!$B$4:$P$4,0)))</f>
        <v>1</v>
      </c>
      <c r="S36" s="18" t="n">
        <f aca="false">INDEX('Type Chart'!$B$5:$P$19,MATCH(S$4,'Type Chart'!$A$5:$A$19,0),MATCH($E36,'Type Chart'!$B$4:$P$4,0))*IF($F36="",1,INDEX('Type Chart'!$B$5:$P$19,MATCH(S$4,'Type Chart'!$A$5:$A$19,0),MATCH($F36,'Type Chart'!$B$4:$P$4,0)))</f>
        <v>2</v>
      </c>
      <c r="T36" s="18" t="n">
        <f aca="false">INDEX('Type Chart'!$B$5:$P$19,MATCH(T$4,'Type Chart'!$A$5:$A$19,0),MATCH($E36,'Type Chart'!$B$4:$P$4,0))*IF($F36="",1,INDEX('Type Chart'!$B$5:$P$19,MATCH(T$4,'Type Chart'!$A$5:$A$19,0),MATCH($F36,'Type Chart'!$B$4:$P$4,0)))</f>
        <v>1</v>
      </c>
      <c r="U36" s="18" t="n">
        <f aca="false">INDEX('Type Chart'!$B$5:$P$19,MATCH(U$4,'Type Chart'!$A$5:$A$19,0),MATCH($E36,'Type Chart'!$B$4:$P$4,0))*IF($F36="",1,INDEX('Type Chart'!$B$5:$P$19,MATCH(U$4,'Type Chart'!$A$5:$A$19,0),MATCH($F36,'Type Chart'!$B$4:$P$4,0)))</f>
        <v>1</v>
      </c>
    </row>
    <row r="37" customFormat="false" ht="15" hidden="false" customHeight="false" outlineLevel="0" collapsed="false">
      <c r="A37" s="17" t="s">
        <v>179</v>
      </c>
      <c r="B37" s="17" t="s">
        <v>180</v>
      </c>
      <c r="C37" s="17" t="s">
        <v>184</v>
      </c>
      <c r="D37" s="17" t="n">
        <v>56</v>
      </c>
      <c r="E37" s="17" t="s">
        <v>116</v>
      </c>
      <c r="F37" s="17" t="s">
        <v>121</v>
      </c>
      <c r="G37" s="18" t="n">
        <f aca="false">INDEX('Type Chart'!$B$5:$P$19,MATCH(G$4,'Type Chart'!$A$5:$A$19,0),MATCH($E37,'Type Chart'!$B$4:$P$4,0))*IF($F37="",1,INDEX('Type Chart'!$B$5:$P$19,MATCH(G$4,'Type Chart'!$A$5:$A$19,0),MATCH($F37,'Type Chart'!$B$4:$P$4,0)))</f>
        <v>1</v>
      </c>
      <c r="H37" s="18" t="n">
        <f aca="false">INDEX('Type Chart'!$B$5:$P$19,MATCH(H$4,'Type Chart'!$A$5:$A$19,0),MATCH($E37,'Type Chart'!$B$4:$P$4,0))*IF($F37="",1,INDEX('Type Chart'!$B$5:$P$19,MATCH(H$4,'Type Chart'!$A$5:$A$19,0),MATCH($F37,'Type Chart'!$B$4:$P$4,0)))</f>
        <v>2</v>
      </c>
      <c r="I37" s="18" t="n">
        <f aca="false">INDEX('Type Chart'!$B$5:$P$19,MATCH(I$4,'Type Chart'!$A$5:$A$19,0),MATCH($E37,'Type Chart'!$B$4:$P$4,0))*IF($F37="",1,INDEX('Type Chart'!$B$5:$P$19,MATCH(I$4,'Type Chart'!$A$5:$A$19,0),MATCH($F37,'Type Chart'!$B$4:$P$4,0)))</f>
        <v>1</v>
      </c>
      <c r="J37" s="18" t="n">
        <f aca="false">INDEX('Type Chart'!$B$5:$P$19,MATCH(J$4,'Type Chart'!$A$5:$A$19,0),MATCH($E37,'Type Chart'!$B$4:$P$4,0))*IF($F37="",1,INDEX('Type Chart'!$B$5:$P$19,MATCH(J$4,'Type Chart'!$A$5:$A$19,0),MATCH($F37,'Type Chart'!$B$4:$P$4,0)))</f>
        <v>1</v>
      </c>
      <c r="K37" s="18" t="n">
        <f aca="false">INDEX('Type Chart'!$B$5:$P$19,MATCH(K$4,'Type Chart'!$A$5:$A$19,0),MATCH($E37,'Type Chart'!$B$4:$P$4,0))*IF($F37="",1,INDEX('Type Chart'!$B$5:$P$19,MATCH(K$4,'Type Chart'!$A$5:$A$19,0),MATCH($F37,'Type Chart'!$B$4:$P$4,0)))</f>
        <v>1</v>
      </c>
      <c r="L37" s="18" t="n">
        <f aca="false">INDEX('Type Chart'!$B$5:$P$19,MATCH(L$4,'Type Chart'!$A$5:$A$19,0),MATCH($E37,'Type Chart'!$B$4:$P$4,0))*IF($F37="",1,INDEX('Type Chart'!$B$5:$P$19,MATCH(L$4,'Type Chart'!$A$5:$A$19,0),MATCH($F37,'Type Chart'!$B$4:$P$4,0)))</f>
        <v>0.5</v>
      </c>
      <c r="M37" s="18" t="n">
        <f aca="false">INDEX('Type Chart'!$B$5:$P$19,MATCH(M$4,'Type Chart'!$A$5:$A$19,0),MATCH($E37,'Type Chart'!$B$4:$P$4,0))*IF($F37="",1,INDEX('Type Chart'!$B$5:$P$19,MATCH(M$4,'Type Chart'!$A$5:$A$19,0),MATCH($F37,'Type Chart'!$B$4:$P$4,0)))</f>
        <v>1</v>
      </c>
      <c r="N37" s="18" t="n">
        <f aca="false">INDEX('Type Chart'!$B$5:$P$19,MATCH(N$4,'Type Chart'!$A$5:$A$19,0),MATCH($E37,'Type Chart'!$B$4:$P$4,0))*IF($F37="",1,INDEX('Type Chart'!$B$5:$P$19,MATCH(N$4,'Type Chart'!$A$5:$A$19,0),MATCH($F37,'Type Chart'!$B$4:$P$4,0)))</f>
        <v>1</v>
      </c>
      <c r="O37" s="18" t="n">
        <f aca="false">INDEX('Type Chart'!$B$5:$P$19,MATCH(O$4,'Type Chart'!$A$5:$A$19,0),MATCH($E37,'Type Chart'!$B$4:$P$4,0))*IF($F37="",1,INDEX('Type Chart'!$B$5:$P$19,MATCH(O$4,'Type Chart'!$A$5:$A$19,0),MATCH($F37,'Type Chart'!$B$4:$P$4,0)))</f>
        <v>1</v>
      </c>
      <c r="P37" s="18" t="n">
        <f aca="false">INDEX('Type Chart'!$B$5:$P$19,MATCH(P$4,'Type Chart'!$A$5:$A$19,0),MATCH($E37,'Type Chart'!$B$4:$P$4,0))*IF($F37="",1,INDEX('Type Chart'!$B$5:$P$19,MATCH(P$4,'Type Chart'!$A$5:$A$19,0),MATCH($F37,'Type Chart'!$B$4:$P$4,0)))</f>
        <v>1</v>
      </c>
      <c r="Q37" s="18" t="n">
        <f aca="false">INDEX('Type Chart'!$B$5:$P$19,MATCH(Q$4,'Type Chart'!$A$5:$A$19,0),MATCH($E37,'Type Chart'!$B$4:$P$4,0))*IF($F37="",1,INDEX('Type Chart'!$B$5:$P$19,MATCH(Q$4,'Type Chart'!$A$5:$A$19,0),MATCH($F37,'Type Chart'!$B$4:$P$4,0)))</f>
        <v>0.5</v>
      </c>
      <c r="R37" s="18" t="n">
        <f aca="false">INDEX('Type Chart'!$B$5:$P$19,MATCH(R$4,'Type Chart'!$A$5:$A$19,0),MATCH($E37,'Type Chart'!$B$4:$P$4,0))*IF($F37="",1,INDEX('Type Chart'!$B$5:$P$19,MATCH(R$4,'Type Chart'!$A$5:$A$19,0),MATCH($F37,'Type Chart'!$B$4:$P$4,0)))</f>
        <v>2</v>
      </c>
      <c r="S37" s="18" t="n">
        <f aca="false">INDEX('Type Chart'!$B$5:$P$19,MATCH(S$4,'Type Chart'!$A$5:$A$19,0),MATCH($E37,'Type Chart'!$B$4:$P$4,0))*IF($F37="",1,INDEX('Type Chart'!$B$5:$P$19,MATCH(S$4,'Type Chart'!$A$5:$A$19,0),MATCH($F37,'Type Chart'!$B$4:$P$4,0)))</f>
        <v>2</v>
      </c>
      <c r="T37" s="18" t="n">
        <f aca="false">INDEX('Type Chart'!$B$5:$P$19,MATCH(T$4,'Type Chart'!$A$5:$A$19,0),MATCH($E37,'Type Chart'!$B$4:$P$4,0))*IF($F37="",1,INDEX('Type Chart'!$B$5:$P$19,MATCH(T$4,'Type Chart'!$A$5:$A$19,0),MATCH($F37,'Type Chart'!$B$4:$P$4,0)))</f>
        <v>2</v>
      </c>
      <c r="U37" s="18" t="n">
        <f aca="false">INDEX('Type Chart'!$B$5:$P$19,MATCH(U$4,'Type Chart'!$A$5:$A$19,0),MATCH($E37,'Type Chart'!$B$4:$P$4,0))*IF($F37="",1,INDEX('Type Chart'!$B$5:$P$19,MATCH(U$4,'Type Chart'!$A$5:$A$19,0),MATCH($F37,'Type Chart'!$B$4:$P$4,0)))</f>
        <v>1</v>
      </c>
    </row>
    <row r="38" customFormat="false" ht="15" hidden="false" customHeight="false" outlineLevel="0" collapsed="false">
      <c r="A38" s="17" t="s">
        <v>179</v>
      </c>
      <c r="B38" s="17" t="s">
        <v>180</v>
      </c>
      <c r="C38" s="17" t="s">
        <v>185</v>
      </c>
      <c r="D38" s="17" t="n">
        <v>57</v>
      </c>
      <c r="E38" s="17" t="s">
        <v>113</v>
      </c>
      <c r="F38" s="17" t="s">
        <v>116</v>
      </c>
      <c r="G38" s="18" t="n">
        <f aca="false">INDEX('Type Chart'!$B$5:$P$19,MATCH(G$4,'Type Chart'!$A$5:$A$19,0),MATCH($E38,'Type Chart'!$B$4:$P$4,0))*IF($F38="",1,INDEX('Type Chart'!$B$5:$P$19,MATCH(G$4,'Type Chart'!$A$5:$A$19,0),MATCH($F38,'Type Chart'!$B$4:$P$4,0)))</f>
        <v>1</v>
      </c>
      <c r="H38" s="18" t="n">
        <f aca="false">INDEX('Type Chart'!$B$5:$P$19,MATCH(H$4,'Type Chart'!$A$5:$A$19,0),MATCH($E38,'Type Chart'!$B$4:$P$4,0))*IF($F38="",1,INDEX('Type Chart'!$B$5:$P$19,MATCH(H$4,'Type Chart'!$A$5:$A$19,0),MATCH($F38,'Type Chart'!$B$4:$P$4,0)))</f>
        <v>1</v>
      </c>
      <c r="I38" s="18" t="n">
        <f aca="false">INDEX('Type Chart'!$B$5:$P$19,MATCH(I$4,'Type Chart'!$A$5:$A$19,0),MATCH($E38,'Type Chart'!$B$4:$P$4,0))*IF($F38="",1,INDEX('Type Chart'!$B$5:$P$19,MATCH(I$4,'Type Chart'!$A$5:$A$19,0),MATCH($F38,'Type Chart'!$B$4:$P$4,0)))</f>
        <v>0.5</v>
      </c>
      <c r="J38" s="18" t="n">
        <f aca="false">INDEX('Type Chart'!$B$5:$P$19,MATCH(J$4,'Type Chart'!$A$5:$A$19,0),MATCH($E38,'Type Chart'!$B$4:$P$4,0))*IF($F38="",1,INDEX('Type Chart'!$B$5:$P$19,MATCH(J$4,'Type Chart'!$A$5:$A$19,0),MATCH($F38,'Type Chart'!$B$4:$P$4,0)))</f>
        <v>2</v>
      </c>
      <c r="K38" s="18" t="n">
        <f aca="false">INDEX('Type Chart'!$B$5:$P$19,MATCH(K$4,'Type Chart'!$A$5:$A$19,0),MATCH($E38,'Type Chart'!$B$4:$P$4,0))*IF($F38="",1,INDEX('Type Chart'!$B$5:$P$19,MATCH(K$4,'Type Chart'!$A$5:$A$19,0),MATCH($F38,'Type Chart'!$B$4:$P$4,0)))</f>
        <v>2</v>
      </c>
      <c r="L38" s="18" t="n">
        <f aca="false">INDEX('Type Chart'!$B$5:$P$19,MATCH(L$4,'Type Chart'!$A$5:$A$19,0),MATCH($E38,'Type Chart'!$B$4:$P$4,0))*IF($F38="",1,INDEX('Type Chart'!$B$5:$P$19,MATCH(L$4,'Type Chart'!$A$5:$A$19,0),MATCH($F38,'Type Chart'!$B$4:$P$4,0)))</f>
        <v>0.25</v>
      </c>
      <c r="M38" s="18" t="n">
        <f aca="false">INDEX('Type Chart'!$B$5:$P$19,MATCH(M$4,'Type Chart'!$A$5:$A$19,0),MATCH($E38,'Type Chart'!$B$4:$P$4,0))*IF($F38="",1,INDEX('Type Chart'!$B$5:$P$19,MATCH(M$4,'Type Chart'!$A$5:$A$19,0),MATCH($F38,'Type Chart'!$B$4:$P$4,0)))</f>
        <v>2</v>
      </c>
      <c r="N38" s="18" t="n">
        <f aca="false">INDEX('Type Chart'!$B$5:$P$19,MATCH(N$4,'Type Chart'!$A$5:$A$19,0),MATCH($E38,'Type Chart'!$B$4:$P$4,0))*IF($F38="",1,INDEX('Type Chart'!$B$5:$P$19,MATCH(N$4,'Type Chart'!$A$5:$A$19,0),MATCH($F38,'Type Chart'!$B$4:$P$4,0)))</f>
        <v>1</v>
      </c>
      <c r="O38" s="18" t="n">
        <f aca="false">INDEX('Type Chart'!$B$5:$P$19,MATCH(O$4,'Type Chart'!$A$5:$A$19,0),MATCH($E38,'Type Chart'!$B$4:$P$4,0))*IF($F38="",1,INDEX('Type Chart'!$B$5:$P$19,MATCH(O$4,'Type Chart'!$A$5:$A$19,0),MATCH($F38,'Type Chart'!$B$4:$P$4,0)))</f>
        <v>1</v>
      </c>
      <c r="P38" s="18" t="n">
        <f aca="false">INDEX('Type Chart'!$B$5:$P$19,MATCH(P$4,'Type Chart'!$A$5:$A$19,0),MATCH($E38,'Type Chart'!$B$4:$P$4,0))*IF($F38="",1,INDEX('Type Chart'!$B$5:$P$19,MATCH(P$4,'Type Chart'!$A$5:$A$19,0),MATCH($F38,'Type Chart'!$B$4:$P$4,0)))</f>
        <v>1</v>
      </c>
      <c r="Q38" s="18" t="n">
        <f aca="false">INDEX('Type Chart'!$B$5:$P$19,MATCH(Q$4,'Type Chart'!$A$5:$A$19,0),MATCH($E38,'Type Chart'!$B$4:$P$4,0))*IF($F38="",1,INDEX('Type Chart'!$B$5:$P$19,MATCH(Q$4,'Type Chart'!$A$5:$A$19,0),MATCH($F38,'Type Chart'!$B$4:$P$4,0)))</f>
        <v>1</v>
      </c>
      <c r="R38" s="18" t="n">
        <f aca="false">INDEX('Type Chart'!$B$5:$P$19,MATCH(R$4,'Type Chart'!$A$5:$A$19,0),MATCH($E38,'Type Chart'!$B$4:$P$4,0))*IF($F38="",1,INDEX('Type Chart'!$B$5:$P$19,MATCH(R$4,'Type Chart'!$A$5:$A$19,0),MATCH($F38,'Type Chart'!$B$4:$P$4,0)))</f>
        <v>1</v>
      </c>
      <c r="S38" s="18" t="n">
        <f aca="false">INDEX('Type Chart'!$B$5:$P$19,MATCH(S$4,'Type Chart'!$A$5:$A$19,0),MATCH($E38,'Type Chart'!$B$4:$P$4,0))*IF($F38="",1,INDEX('Type Chart'!$B$5:$P$19,MATCH(S$4,'Type Chart'!$A$5:$A$19,0),MATCH($F38,'Type Chart'!$B$4:$P$4,0)))</f>
        <v>2</v>
      </c>
      <c r="T38" s="18" t="n">
        <f aca="false">INDEX('Type Chart'!$B$5:$P$19,MATCH(T$4,'Type Chart'!$A$5:$A$19,0),MATCH($E38,'Type Chart'!$B$4:$P$4,0))*IF($F38="",1,INDEX('Type Chart'!$B$5:$P$19,MATCH(T$4,'Type Chart'!$A$5:$A$19,0),MATCH($F38,'Type Chart'!$B$4:$P$4,0)))</f>
        <v>1</v>
      </c>
      <c r="U38" s="18" t="n">
        <f aca="false">INDEX('Type Chart'!$B$5:$P$19,MATCH(U$4,'Type Chart'!$A$5:$A$19,0),MATCH($E38,'Type Chart'!$B$4:$P$4,0))*IF($F38="",1,INDEX('Type Chart'!$B$5:$P$19,MATCH(U$4,'Type Chart'!$A$5:$A$19,0),MATCH($F38,'Type Chart'!$B$4:$P$4,0)))</f>
        <v>1</v>
      </c>
    </row>
    <row r="39" customFormat="false" ht="15" hidden="false" customHeight="false" outlineLevel="0" collapsed="false">
      <c r="A39" s="17" t="s">
        <v>186</v>
      </c>
      <c r="B39" s="17" t="s">
        <v>180</v>
      </c>
      <c r="C39" s="17" t="s">
        <v>187</v>
      </c>
      <c r="D39" s="17" t="n">
        <v>57</v>
      </c>
      <c r="E39" s="17" t="s">
        <v>117</v>
      </c>
      <c r="F39" s="17"/>
      <c r="G39" s="18" t="n">
        <f aca="false">INDEX('Type Chart'!$B$5:$P$19,MATCH(G$4,'Type Chart'!$A$5:$A$19,0),MATCH($E39,'Type Chart'!$B$4:$P$4,0))*IF($F39="",1,INDEX('Type Chart'!$B$5:$P$19,MATCH(G$4,'Type Chart'!$A$5:$A$19,0),MATCH($F39,'Type Chart'!$B$4:$P$4,0)))</f>
        <v>1</v>
      </c>
      <c r="H39" s="18" t="n">
        <f aca="false">INDEX('Type Chart'!$B$5:$P$19,MATCH(H$4,'Type Chart'!$A$5:$A$19,0),MATCH($E39,'Type Chart'!$B$4:$P$4,0))*IF($F39="",1,INDEX('Type Chart'!$B$5:$P$19,MATCH(H$4,'Type Chart'!$A$5:$A$19,0),MATCH($F39,'Type Chart'!$B$4:$P$4,0)))</f>
        <v>1</v>
      </c>
      <c r="I39" s="18" t="n">
        <f aca="false">INDEX('Type Chart'!$B$5:$P$19,MATCH(I$4,'Type Chart'!$A$5:$A$19,0),MATCH($E39,'Type Chart'!$B$4:$P$4,0))*IF($F39="",1,INDEX('Type Chart'!$B$5:$P$19,MATCH(I$4,'Type Chart'!$A$5:$A$19,0),MATCH($F39,'Type Chart'!$B$4:$P$4,0)))</f>
        <v>1</v>
      </c>
      <c r="J39" s="18" t="n">
        <f aca="false">INDEX('Type Chart'!$B$5:$P$19,MATCH(J$4,'Type Chart'!$A$5:$A$19,0),MATCH($E39,'Type Chart'!$B$4:$P$4,0))*IF($F39="",1,INDEX('Type Chart'!$B$5:$P$19,MATCH(J$4,'Type Chart'!$A$5:$A$19,0),MATCH($F39,'Type Chart'!$B$4:$P$4,0)))</f>
        <v>1</v>
      </c>
      <c r="K39" s="18" t="n">
        <f aca="false">INDEX('Type Chart'!$B$5:$P$19,MATCH(K$4,'Type Chart'!$A$5:$A$19,0),MATCH($E39,'Type Chart'!$B$4:$P$4,0))*IF($F39="",1,INDEX('Type Chart'!$B$5:$P$19,MATCH(K$4,'Type Chart'!$A$5:$A$19,0),MATCH($F39,'Type Chart'!$B$4:$P$4,0)))</f>
        <v>1</v>
      </c>
      <c r="L39" s="18" t="n">
        <f aca="false">INDEX('Type Chart'!$B$5:$P$19,MATCH(L$4,'Type Chart'!$A$5:$A$19,0),MATCH($E39,'Type Chart'!$B$4:$P$4,0))*IF($F39="",1,INDEX('Type Chart'!$B$5:$P$19,MATCH(L$4,'Type Chart'!$A$5:$A$19,0),MATCH($F39,'Type Chart'!$B$4:$P$4,0)))</f>
        <v>1</v>
      </c>
      <c r="M39" s="18" t="n">
        <f aca="false">INDEX('Type Chart'!$B$5:$P$19,MATCH(M$4,'Type Chart'!$A$5:$A$19,0),MATCH($E39,'Type Chart'!$B$4:$P$4,0))*IF($F39="",1,INDEX('Type Chart'!$B$5:$P$19,MATCH(M$4,'Type Chart'!$A$5:$A$19,0),MATCH($F39,'Type Chart'!$B$4:$P$4,0)))</f>
        <v>1</v>
      </c>
      <c r="N39" s="18" t="n">
        <f aca="false">INDEX('Type Chart'!$B$5:$P$19,MATCH(N$4,'Type Chart'!$A$5:$A$19,0),MATCH($E39,'Type Chart'!$B$4:$P$4,0))*IF($F39="",1,INDEX('Type Chart'!$B$5:$P$19,MATCH(N$4,'Type Chart'!$A$5:$A$19,0),MATCH($F39,'Type Chart'!$B$4:$P$4,0)))</f>
        <v>1</v>
      </c>
      <c r="O39" s="18" t="n">
        <f aca="false">INDEX('Type Chart'!$B$5:$P$19,MATCH(O$4,'Type Chart'!$A$5:$A$19,0),MATCH($E39,'Type Chart'!$B$4:$P$4,0))*IF($F39="",1,INDEX('Type Chart'!$B$5:$P$19,MATCH(O$4,'Type Chart'!$A$5:$A$19,0),MATCH($F39,'Type Chart'!$B$4:$P$4,0)))</f>
        <v>1</v>
      </c>
      <c r="P39" s="18" t="n">
        <f aca="false">INDEX('Type Chart'!$B$5:$P$19,MATCH(P$4,'Type Chart'!$A$5:$A$19,0),MATCH($E39,'Type Chart'!$B$4:$P$4,0))*IF($F39="",1,INDEX('Type Chart'!$B$5:$P$19,MATCH(P$4,'Type Chart'!$A$5:$A$19,0),MATCH($F39,'Type Chart'!$B$4:$P$4,0)))</f>
        <v>2</v>
      </c>
      <c r="Q39" s="18" t="n">
        <f aca="false">INDEX('Type Chart'!$B$5:$P$19,MATCH(Q$4,'Type Chart'!$A$5:$A$19,0),MATCH($E39,'Type Chart'!$B$4:$P$4,0))*IF($F39="",1,INDEX('Type Chart'!$B$5:$P$19,MATCH(Q$4,'Type Chart'!$A$5:$A$19,0),MATCH($F39,'Type Chart'!$B$4:$P$4,0)))</f>
        <v>2</v>
      </c>
      <c r="R39" s="18" t="n">
        <f aca="false">INDEX('Type Chart'!$B$5:$P$19,MATCH(R$4,'Type Chart'!$A$5:$A$19,0),MATCH($E39,'Type Chart'!$B$4:$P$4,0))*IF($F39="",1,INDEX('Type Chart'!$B$5:$P$19,MATCH(R$4,'Type Chart'!$A$5:$A$19,0),MATCH($F39,'Type Chart'!$B$4:$P$4,0)))</f>
        <v>0.5</v>
      </c>
      <c r="S39" s="18" t="n">
        <f aca="false">INDEX('Type Chart'!$B$5:$P$19,MATCH(S$4,'Type Chart'!$A$5:$A$19,0),MATCH($E39,'Type Chart'!$B$4:$P$4,0))*IF($F39="",1,INDEX('Type Chart'!$B$5:$P$19,MATCH(S$4,'Type Chart'!$A$5:$A$19,0),MATCH($F39,'Type Chart'!$B$4:$P$4,0)))</f>
        <v>0.5</v>
      </c>
      <c r="T39" s="18" t="n">
        <f aca="false">INDEX('Type Chart'!$B$5:$P$19,MATCH(T$4,'Type Chart'!$A$5:$A$19,0),MATCH($E39,'Type Chart'!$B$4:$P$4,0))*IF($F39="",1,INDEX('Type Chart'!$B$5:$P$19,MATCH(T$4,'Type Chart'!$A$5:$A$19,0),MATCH($F39,'Type Chart'!$B$4:$P$4,0)))</f>
        <v>1</v>
      </c>
      <c r="U39" s="18" t="n">
        <f aca="false">INDEX('Type Chart'!$B$5:$P$19,MATCH(U$4,'Type Chart'!$A$5:$A$19,0),MATCH($E39,'Type Chart'!$B$4:$P$4,0))*IF($F39="",1,INDEX('Type Chart'!$B$5:$P$19,MATCH(U$4,'Type Chart'!$A$5:$A$19,0),MATCH($F39,'Type Chart'!$B$4:$P$4,0)))</f>
        <v>1</v>
      </c>
    </row>
    <row r="40" customFormat="false" ht="15" hidden="false" customHeight="false" outlineLevel="0" collapsed="false">
      <c r="A40" s="17" t="s">
        <v>186</v>
      </c>
      <c r="B40" s="17" t="s">
        <v>180</v>
      </c>
      <c r="C40" s="17" t="s">
        <v>188</v>
      </c>
      <c r="D40" s="17" t="n">
        <v>56</v>
      </c>
      <c r="E40" s="17" t="s">
        <v>113</v>
      </c>
      <c r="F40" s="17" t="s">
        <v>117</v>
      </c>
      <c r="G40" s="18" t="n">
        <f aca="false">INDEX('Type Chart'!$B$5:$P$19,MATCH(G$4,'Type Chart'!$A$5:$A$19,0),MATCH($E40,'Type Chart'!$B$4:$P$4,0))*IF($F40="",1,INDEX('Type Chart'!$B$5:$P$19,MATCH(G$4,'Type Chart'!$A$5:$A$19,0),MATCH($F40,'Type Chart'!$B$4:$P$4,0)))</f>
        <v>1</v>
      </c>
      <c r="H40" s="18" t="n">
        <f aca="false">INDEX('Type Chart'!$B$5:$P$19,MATCH(H$4,'Type Chart'!$A$5:$A$19,0),MATCH($E40,'Type Chart'!$B$4:$P$4,0))*IF($F40="",1,INDEX('Type Chart'!$B$5:$P$19,MATCH(H$4,'Type Chart'!$A$5:$A$19,0),MATCH($F40,'Type Chart'!$B$4:$P$4,0)))</f>
        <v>0.5</v>
      </c>
      <c r="I40" s="18" t="n">
        <f aca="false">INDEX('Type Chart'!$B$5:$P$19,MATCH(I$4,'Type Chart'!$A$5:$A$19,0),MATCH($E40,'Type Chart'!$B$4:$P$4,0))*IF($F40="",1,INDEX('Type Chart'!$B$5:$P$19,MATCH(I$4,'Type Chart'!$A$5:$A$19,0),MATCH($F40,'Type Chart'!$B$4:$P$4,0)))</f>
        <v>0.5</v>
      </c>
      <c r="J40" s="18" t="n">
        <f aca="false">INDEX('Type Chart'!$B$5:$P$19,MATCH(J$4,'Type Chart'!$A$5:$A$19,0),MATCH($E40,'Type Chart'!$B$4:$P$4,0))*IF($F40="",1,INDEX('Type Chart'!$B$5:$P$19,MATCH(J$4,'Type Chart'!$A$5:$A$19,0),MATCH($F40,'Type Chart'!$B$4:$P$4,0)))</f>
        <v>2</v>
      </c>
      <c r="K40" s="18" t="n">
        <f aca="false">INDEX('Type Chart'!$B$5:$P$19,MATCH(K$4,'Type Chart'!$A$5:$A$19,0),MATCH($E40,'Type Chart'!$B$4:$P$4,0))*IF($F40="",1,INDEX('Type Chart'!$B$5:$P$19,MATCH(K$4,'Type Chart'!$A$5:$A$19,0),MATCH($F40,'Type Chart'!$B$4:$P$4,0)))</f>
        <v>2</v>
      </c>
      <c r="L40" s="18" t="n">
        <f aca="false">INDEX('Type Chart'!$B$5:$P$19,MATCH(L$4,'Type Chart'!$A$5:$A$19,0),MATCH($E40,'Type Chart'!$B$4:$P$4,0))*IF($F40="",1,INDEX('Type Chart'!$B$5:$P$19,MATCH(L$4,'Type Chart'!$A$5:$A$19,0),MATCH($F40,'Type Chart'!$B$4:$P$4,0)))</f>
        <v>0.5</v>
      </c>
      <c r="M40" s="18" t="n">
        <f aca="false">INDEX('Type Chart'!$B$5:$P$19,MATCH(M$4,'Type Chart'!$A$5:$A$19,0),MATCH($E40,'Type Chart'!$B$4:$P$4,0))*IF($F40="",1,INDEX('Type Chart'!$B$5:$P$19,MATCH(M$4,'Type Chart'!$A$5:$A$19,0),MATCH($F40,'Type Chart'!$B$4:$P$4,0)))</f>
        <v>1</v>
      </c>
      <c r="N40" s="18" t="n">
        <f aca="false">INDEX('Type Chart'!$B$5:$P$19,MATCH(N$4,'Type Chart'!$A$5:$A$19,0),MATCH($E40,'Type Chart'!$B$4:$P$4,0))*IF($F40="",1,INDEX('Type Chart'!$B$5:$P$19,MATCH(N$4,'Type Chart'!$A$5:$A$19,0),MATCH($F40,'Type Chart'!$B$4:$P$4,0)))</f>
        <v>1</v>
      </c>
      <c r="O40" s="18" t="n">
        <f aca="false">INDEX('Type Chart'!$B$5:$P$19,MATCH(O$4,'Type Chart'!$A$5:$A$19,0),MATCH($E40,'Type Chart'!$B$4:$P$4,0))*IF($F40="",1,INDEX('Type Chart'!$B$5:$P$19,MATCH(O$4,'Type Chart'!$A$5:$A$19,0),MATCH($F40,'Type Chart'!$B$4:$P$4,0)))</f>
        <v>1</v>
      </c>
      <c r="P40" s="18" t="n">
        <f aca="false">INDEX('Type Chart'!$B$5:$P$19,MATCH(P$4,'Type Chart'!$A$5:$A$19,0),MATCH($E40,'Type Chart'!$B$4:$P$4,0))*IF($F40="",1,INDEX('Type Chart'!$B$5:$P$19,MATCH(P$4,'Type Chart'!$A$5:$A$19,0),MATCH($F40,'Type Chart'!$B$4:$P$4,0)))</f>
        <v>2</v>
      </c>
      <c r="Q40" s="18" t="n">
        <f aca="false">INDEX('Type Chart'!$B$5:$P$19,MATCH(Q$4,'Type Chart'!$A$5:$A$19,0),MATCH($E40,'Type Chart'!$B$4:$P$4,0))*IF($F40="",1,INDEX('Type Chart'!$B$5:$P$19,MATCH(Q$4,'Type Chart'!$A$5:$A$19,0),MATCH($F40,'Type Chart'!$B$4:$P$4,0)))</f>
        <v>2</v>
      </c>
      <c r="R40" s="18" t="n">
        <f aca="false">INDEX('Type Chart'!$B$5:$P$19,MATCH(R$4,'Type Chart'!$A$5:$A$19,0),MATCH($E40,'Type Chart'!$B$4:$P$4,0))*IF($F40="",1,INDEX('Type Chart'!$B$5:$P$19,MATCH(R$4,'Type Chart'!$A$5:$A$19,0),MATCH($F40,'Type Chart'!$B$4:$P$4,0)))</f>
        <v>0.5</v>
      </c>
      <c r="S40" s="18" t="n">
        <f aca="false">INDEX('Type Chart'!$B$5:$P$19,MATCH(S$4,'Type Chart'!$A$5:$A$19,0),MATCH($E40,'Type Chart'!$B$4:$P$4,0))*IF($F40="",1,INDEX('Type Chart'!$B$5:$P$19,MATCH(S$4,'Type Chart'!$A$5:$A$19,0),MATCH($F40,'Type Chart'!$B$4:$P$4,0)))</f>
        <v>0.5</v>
      </c>
      <c r="T40" s="18" t="n">
        <f aca="false">INDEX('Type Chart'!$B$5:$P$19,MATCH(T$4,'Type Chart'!$A$5:$A$19,0),MATCH($E40,'Type Chart'!$B$4:$P$4,0))*IF($F40="",1,INDEX('Type Chart'!$B$5:$P$19,MATCH(T$4,'Type Chart'!$A$5:$A$19,0),MATCH($F40,'Type Chart'!$B$4:$P$4,0)))</f>
        <v>1</v>
      </c>
      <c r="U40" s="18" t="n">
        <f aca="false">INDEX('Type Chart'!$B$5:$P$19,MATCH(U$4,'Type Chart'!$A$5:$A$19,0),MATCH($E40,'Type Chart'!$B$4:$P$4,0))*IF($F40="",1,INDEX('Type Chart'!$B$5:$P$19,MATCH(U$4,'Type Chart'!$A$5:$A$19,0),MATCH($F40,'Type Chart'!$B$4:$P$4,0)))</f>
        <v>1</v>
      </c>
    </row>
    <row r="41" customFormat="false" ht="15" hidden="false" customHeight="false" outlineLevel="0" collapsed="false">
      <c r="A41" s="17" t="s">
        <v>186</v>
      </c>
      <c r="B41" s="17" t="s">
        <v>180</v>
      </c>
      <c r="C41" s="17" t="s">
        <v>189</v>
      </c>
      <c r="D41" s="17" t="n">
        <v>57</v>
      </c>
      <c r="E41" s="17" t="s">
        <v>117</v>
      </c>
      <c r="F41" s="17"/>
      <c r="G41" s="18" t="n">
        <f aca="false">INDEX('Type Chart'!$B$5:$P$19,MATCH(G$4,'Type Chart'!$A$5:$A$19,0),MATCH($E41,'Type Chart'!$B$4:$P$4,0))*IF($F41="",1,INDEX('Type Chart'!$B$5:$P$19,MATCH(G$4,'Type Chart'!$A$5:$A$19,0),MATCH($F41,'Type Chart'!$B$4:$P$4,0)))</f>
        <v>1</v>
      </c>
      <c r="H41" s="18" t="n">
        <f aca="false">INDEX('Type Chart'!$B$5:$P$19,MATCH(H$4,'Type Chart'!$A$5:$A$19,0),MATCH($E41,'Type Chart'!$B$4:$P$4,0))*IF($F41="",1,INDEX('Type Chart'!$B$5:$P$19,MATCH(H$4,'Type Chart'!$A$5:$A$19,0),MATCH($F41,'Type Chart'!$B$4:$P$4,0)))</f>
        <v>1</v>
      </c>
      <c r="I41" s="18" t="n">
        <f aca="false">INDEX('Type Chart'!$B$5:$P$19,MATCH(I$4,'Type Chart'!$A$5:$A$19,0),MATCH($E41,'Type Chart'!$B$4:$P$4,0))*IF($F41="",1,INDEX('Type Chart'!$B$5:$P$19,MATCH(I$4,'Type Chart'!$A$5:$A$19,0),MATCH($F41,'Type Chart'!$B$4:$P$4,0)))</f>
        <v>1</v>
      </c>
      <c r="J41" s="18" t="n">
        <f aca="false">INDEX('Type Chart'!$B$5:$P$19,MATCH(J$4,'Type Chart'!$A$5:$A$19,0),MATCH($E41,'Type Chart'!$B$4:$P$4,0))*IF($F41="",1,INDEX('Type Chart'!$B$5:$P$19,MATCH(J$4,'Type Chart'!$A$5:$A$19,0),MATCH($F41,'Type Chart'!$B$4:$P$4,0)))</f>
        <v>1</v>
      </c>
      <c r="K41" s="18" t="n">
        <f aca="false">INDEX('Type Chart'!$B$5:$P$19,MATCH(K$4,'Type Chart'!$A$5:$A$19,0),MATCH($E41,'Type Chart'!$B$4:$P$4,0))*IF($F41="",1,INDEX('Type Chart'!$B$5:$P$19,MATCH(K$4,'Type Chart'!$A$5:$A$19,0),MATCH($F41,'Type Chart'!$B$4:$P$4,0)))</f>
        <v>1</v>
      </c>
      <c r="L41" s="18" t="n">
        <f aca="false">INDEX('Type Chart'!$B$5:$P$19,MATCH(L$4,'Type Chart'!$A$5:$A$19,0),MATCH($E41,'Type Chart'!$B$4:$P$4,0))*IF($F41="",1,INDEX('Type Chart'!$B$5:$P$19,MATCH(L$4,'Type Chart'!$A$5:$A$19,0),MATCH($F41,'Type Chart'!$B$4:$P$4,0)))</f>
        <v>1</v>
      </c>
      <c r="M41" s="18" t="n">
        <f aca="false">INDEX('Type Chart'!$B$5:$P$19,MATCH(M$4,'Type Chart'!$A$5:$A$19,0),MATCH($E41,'Type Chart'!$B$4:$P$4,0))*IF($F41="",1,INDEX('Type Chart'!$B$5:$P$19,MATCH(M$4,'Type Chart'!$A$5:$A$19,0),MATCH($F41,'Type Chart'!$B$4:$P$4,0)))</f>
        <v>1</v>
      </c>
      <c r="N41" s="18" t="n">
        <f aca="false">INDEX('Type Chart'!$B$5:$P$19,MATCH(N$4,'Type Chart'!$A$5:$A$19,0),MATCH($E41,'Type Chart'!$B$4:$P$4,0))*IF($F41="",1,INDEX('Type Chart'!$B$5:$P$19,MATCH(N$4,'Type Chart'!$A$5:$A$19,0),MATCH($F41,'Type Chart'!$B$4:$P$4,0)))</f>
        <v>1</v>
      </c>
      <c r="O41" s="18" t="n">
        <f aca="false">INDEX('Type Chart'!$B$5:$P$19,MATCH(O$4,'Type Chart'!$A$5:$A$19,0),MATCH($E41,'Type Chart'!$B$4:$P$4,0))*IF($F41="",1,INDEX('Type Chart'!$B$5:$P$19,MATCH(O$4,'Type Chart'!$A$5:$A$19,0),MATCH($F41,'Type Chart'!$B$4:$P$4,0)))</f>
        <v>1</v>
      </c>
      <c r="P41" s="18" t="n">
        <f aca="false">INDEX('Type Chart'!$B$5:$P$19,MATCH(P$4,'Type Chart'!$A$5:$A$19,0),MATCH($E41,'Type Chart'!$B$4:$P$4,0))*IF($F41="",1,INDEX('Type Chart'!$B$5:$P$19,MATCH(P$4,'Type Chart'!$A$5:$A$19,0),MATCH($F41,'Type Chart'!$B$4:$P$4,0)))</f>
        <v>2</v>
      </c>
      <c r="Q41" s="18" t="n">
        <f aca="false">INDEX('Type Chart'!$B$5:$P$19,MATCH(Q$4,'Type Chart'!$A$5:$A$19,0),MATCH($E41,'Type Chart'!$B$4:$P$4,0))*IF($F41="",1,INDEX('Type Chart'!$B$5:$P$19,MATCH(Q$4,'Type Chart'!$A$5:$A$19,0),MATCH($F41,'Type Chart'!$B$4:$P$4,0)))</f>
        <v>2</v>
      </c>
      <c r="R41" s="18" t="n">
        <f aca="false">INDEX('Type Chart'!$B$5:$P$19,MATCH(R$4,'Type Chart'!$A$5:$A$19,0),MATCH($E41,'Type Chart'!$B$4:$P$4,0))*IF($F41="",1,INDEX('Type Chart'!$B$5:$P$19,MATCH(R$4,'Type Chart'!$A$5:$A$19,0),MATCH($F41,'Type Chart'!$B$4:$P$4,0)))</f>
        <v>0.5</v>
      </c>
      <c r="S41" s="18" t="n">
        <f aca="false">INDEX('Type Chart'!$B$5:$P$19,MATCH(S$4,'Type Chart'!$A$5:$A$19,0),MATCH($E41,'Type Chart'!$B$4:$P$4,0))*IF($F41="",1,INDEX('Type Chart'!$B$5:$P$19,MATCH(S$4,'Type Chart'!$A$5:$A$19,0),MATCH($F41,'Type Chart'!$B$4:$P$4,0)))</f>
        <v>0.5</v>
      </c>
      <c r="T41" s="18" t="n">
        <f aca="false">INDEX('Type Chart'!$B$5:$P$19,MATCH(T$4,'Type Chart'!$A$5:$A$19,0),MATCH($E41,'Type Chart'!$B$4:$P$4,0))*IF($F41="",1,INDEX('Type Chart'!$B$5:$P$19,MATCH(T$4,'Type Chart'!$A$5:$A$19,0),MATCH($F41,'Type Chart'!$B$4:$P$4,0)))</f>
        <v>1</v>
      </c>
      <c r="U41" s="18" t="n">
        <f aca="false">INDEX('Type Chart'!$B$5:$P$19,MATCH(U$4,'Type Chart'!$A$5:$A$19,0),MATCH($E41,'Type Chart'!$B$4:$P$4,0))*IF($F41="",1,INDEX('Type Chart'!$B$5:$P$19,MATCH(U$4,'Type Chart'!$A$5:$A$19,0),MATCH($F41,'Type Chart'!$B$4:$P$4,0)))</f>
        <v>1</v>
      </c>
    </row>
    <row r="42" customFormat="false" ht="15" hidden="false" customHeight="false" outlineLevel="0" collapsed="false">
      <c r="A42" s="17" t="s">
        <v>186</v>
      </c>
      <c r="B42" s="17" t="s">
        <v>180</v>
      </c>
      <c r="C42" s="17" t="s">
        <v>88</v>
      </c>
      <c r="D42" s="17" t="n">
        <v>56</v>
      </c>
      <c r="E42" s="17" t="s">
        <v>123</v>
      </c>
      <c r="F42" s="17" t="s">
        <v>119</v>
      </c>
      <c r="G42" s="18" t="n">
        <f aca="false">INDEX('Type Chart'!$B$5:$P$19,MATCH(G$4,'Type Chart'!$A$5:$A$19,0),MATCH($E42,'Type Chart'!$B$4:$P$4,0))*IF($F42="",1,INDEX('Type Chart'!$B$5:$P$19,MATCH(G$4,'Type Chart'!$A$5:$A$19,0),MATCH($F42,'Type Chart'!$B$4:$P$4,0)))</f>
        <v>0.5</v>
      </c>
      <c r="H42" s="18" t="n">
        <f aca="false">INDEX('Type Chart'!$B$5:$P$19,MATCH(H$4,'Type Chart'!$A$5:$A$19,0),MATCH($E42,'Type Chart'!$B$4:$P$4,0))*IF($F42="",1,INDEX('Type Chart'!$B$5:$P$19,MATCH(H$4,'Type Chart'!$A$5:$A$19,0),MATCH($F42,'Type Chart'!$B$4:$P$4,0)))</f>
        <v>0.5</v>
      </c>
      <c r="I42" s="18" t="n">
        <f aca="false">INDEX('Type Chart'!$B$5:$P$19,MATCH(I$4,'Type Chart'!$A$5:$A$19,0),MATCH($E42,'Type Chart'!$B$4:$P$4,0))*IF($F42="",1,INDEX('Type Chart'!$B$5:$P$19,MATCH(I$4,'Type Chart'!$A$5:$A$19,0),MATCH($F42,'Type Chart'!$B$4:$P$4,0)))</f>
        <v>4</v>
      </c>
      <c r="J42" s="18" t="n">
        <f aca="false">INDEX('Type Chart'!$B$5:$P$19,MATCH(J$4,'Type Chart'!$A$5:$A$19,0),MATCH($E42,'Type Chart'!$B$4:$P$4,0))*IF($F42="",1,INDEX('Type Chart'!$B$5:$P$19,MATCH(J$4,'Type Chart'!$A$5:$A$19,0),MATCH($F42,'Type Chart'!$B$4:$P$4,0)))</f>
        <v>0</v>
      </c>
      <c r="K42" s="18" t="n">
        <f aca="false">INDEX('Type Chart'!$B$5:$P$19,MATCH(K$4,'Type Chart'!$A$5:$A$19,0),MATCH($E42,'Type Chart'!$B$4:$P$4,0))*IF($F42="",1,INDEX('Type Chart'!$B$5:$P$19,MATCH(K$4,'Type Chart'!$A$5:$A$19,0),MATCH($F42,'Type Chart'!$B$4:$P$4,0)))</f>
        <v>4</v>
      </c>
      <c r="L42" s="18" t="n">
        <f aca="false">INDEX('Type Chart'!$B$5:$P$19,MATCH(L$4,'Type Chart'!$A$5:$A$19,0),MATCH($E42,'Type Chart'!$B$4:$P$4,0))*IF($F42="",1,INDEX('Type Chart'!$B$5:$P$19,MATCH(L$4,'Type Chart'!$A$5:$A$19,0),MATCH($F42,'Type Chart'!$B$4:$P$4,0)))</f>
        <v>2</v>
      </c>
      <c r="M42" s="18" t="n">
        <f aca="false">INDEX('Type Chart'!$B$5:$P$19,MATCH(M$4,'Type Chart'!$A$5:$A$19,0),MATCH($E42,'Type Chart'!$B$4:$P$4,0))*IF($F42="",1,INDEX('Type Chart'!$B$5:$P$19,MATCH(M$4,'Type Chart'!$A$5:$A$19,0),MATCH($F42,'Type Chart'!$B$4:$P$4,0)))</f>
        <v>2</v>
      </c>
      <c r="N42" s="18" t="n">
        <f aca="false">INDEX('Type Chart'!$B$5:$P$19,MATCH(N$4,'Type Chart'!$A$5:$A$19,0),MATCH($E42,'Type Chart'!$B$4:$P$4,0))*IF($F42="",1,INDEX('Type Chart'!$B$5:$P$19,MATCH(N$4,'Type Chart'!$A$5:$A$19,0),MATCH($F42,'Type Chart'!$B$4:$P$4,0)))</f>
        <v>0.25</v>
      </c>
      <c r="O42" s="18" t="n">
        <f aca="false">INDEX('Type Chart'!$B$5:$P$19,MATCH(O$4,'Type Chart'!$A$5:$A$19,0),MATCH($E42,'Type Chart'!$B$4:$P$4,0))*IF($F42="",1,INDEX('Type Chart'!$B$5:$P$19,MATCH(O$4,'Type Chart'!$A$5:$A$19,0),MATCH($F42,'Type Chart'!$B$4:$P$4,0)))</f>
        <v>2</v>
      </c>
      <c r="P42" s="18" t="n">
        <f aca="false">INDEX('Type Chart'!$B$5:$P$19,MATCH(P$4,'Type Chart'!$A$5:$A$19,0),MATCH($E42,'Type Chart'!$B$4:$P$4,0))*IF($F42="",1,INDEX('Type Chart'!$B$5:$P$19,MATCH(P$4,'Type Chart'!$A$5:$A$19,0),MATCH($F42,'Type Chart'!$B$4:$P$4,0)))</f>
        <v>0.5</v>
      </c>
      <c r="Q42" s="18" t="n">
        <f aca="false">INDEX('Type Chart'!$B$5:$P$19,MATCH(Q$4,'Type Chart'!$A$5:$A$19,0),MATCH($E42,'Type Chart'!$B$4:$P$4,0))*IF($F42="",1,INDEX('Type Chart'!$B$5:$P$19,MATCH(Q$4,'Type Chart'!$A$5:$A$19,0),MATCH($F42,'Type Chart'!$B$4:$P$4,0)))</f>
        <v>1</v>
      </c>
      <c r="R42" s="18" t="n">
        <f aca="false">INDEX('Type Chart'!$B$5:$P$19,MATCH(R$4,'Type Chart'!$A$5:$A$19,0),MATCH($E42,'Type Chart'!$B$4:$P$4,0))*IF($F42="",1,INDEX('Type Chart'!$B$5:$P$19,MATCH(R$4,'Type Chart'!$A$5:$A$19,0),MATCH($F42,'Type Chart'!$B$4:$P$4,0)))</f>
        <v>1</v>
      </c>
      <c r="S42" s="18" t="n">
        <f aca="false">INDEX('Type Chart'!$B$5:$P$19,MATCH(S$4,'Type Chart'!$A$5:$A$19,0),MATCH($E42,'Type Chart'!$B$4:$P$4,0))*IF($F42="",1,INDEX('Type Chart'!$B$5:$P$19,MATCH(S$4,'Type Chart'!$A$5:$A$19,0),MATCH($F42,'Type Chart'!$B$4:$P$4,0)))</f>
        <v>0.5</v>
      </c>
      <c r="T42" s="18" t="n">
        <f aca="false">INDEX('Type Chart'!$B$5:$P$19,MATCH(T$4,'Type Chart'!$A$5:$A$19,0),MATCH($E42,'Type Chart'!$B$4:$P$4,0))*IF($F42="",1,INDEX('Type Chart'!$B$5:$P$19,MATCH(T$4,'Type Chart'!$A$5:$A$19,0),MATCH($F42,'Type Chart'!$B$4:$P$4,0)))</f>
        <v>1</v>
      </c>
      <c r="U42" s="18" t="n">
        <f aca="false">INDEX('Type Chart'!$B$5:$P$19,MATCH(U$4,'Type Chart'!$A$5:$A$19,0),MATCH($E42,'Type Chart'!$B$4:$P$4,0))*IF($F42="",1,INDEX('Type Chart'!$B$5:$P$19,MATCH(U$4,'Type Chart'!$A$5:$A$19,0),MATCH($F42,'Type Chart'!$B$4:$P$4,0)))</f>
        <v>1</v>
      </c>
    </row>
    <row r="43" customFormat="false" ht="15" hidden="false" customHeight="false" outlineLevel="0" collapsed="false">
      <c r="A43" s="17" t="s">
        <v>186</v>
      </c>
      <c r="B43" s="17" t="s">
        <v>180</v>
      </c>
      <c r="C43" s="17" t="s">
        <v>190</v>
      </c>
      <c r="D43" s="17" t="n">
        <v>58</v>
      </c>
      <c r="E43" s="17" t="s">
        <v>117</v>
      </c>
      <c r="F43" s="17"/>
      <c r="G43" s="18" t="n">
        <f aca="false">INDEX('Type Chart'!$B$5:$P$19,MATCH(G$4,'Type Chart'!$A$5:$A$19,0),MATCH($E43,'Type Chart'!$B$4:$P$4,0))*IF($F43="",1,INDEX('Type Chart'!$B$5:$P$19,MATCH(G$4,'Type Chart'!$A$5:$A$19,0),MATCH($F43,'Type Chart'!$B$4:$P$4,0)))</f>
        <v>1</v>
      </c>
      <c r="H43" s="18" t="n">
        <f aca="false">INDEX('Type Chart'!$B$5:$P$19,MATCH(H$4,'Type Chart'!$A$5:$A$19,0),MATCH($E43,'Type Chart'!$B$4:$P$4,0))*IF($F43="",1,INDEX('Type Chart'!$B$5:$P$19,MATCH(H$4,'Type Chart'!$A$5:$A$19,0),MATCH($F43,'Type Chart'!$B$4:$P$4,0)))</f>
        <v>1</v>
      </c>
      <c r="I43" s="18" t="n">
        <f aca="false">INDEX('Type Chart'!$B$5:$P$19,MATCH(I$4,'Type Chart'!$A$5:$A$19,0),MATCH($E43,'Type Chart'!$B$4:$P$4,0))*IF($F43="",1,INDEX('Type Chart'!$B$5:$P$19,MATCH(I$4,'Type Chart'!$A$5:$A$19,0),MATCH($F43,'Type Chart'!$B$4:$P$4,0)))</f>
        <v>1</v>
      </c>
      <c r="J43" s="18" t="n">
        <f aca="false">INDEX('Type Chart'!$B$5:$P$19,MATCH(J$4,'Type Chart'!$A$5:$A$19,0),MATCH($E43,'Type Chart'!$B$4:$P$4,0))*IF($F43="",1,INDEX('Type Chart'!$B$5:$P$19,MATCH(J$4,'Type Chart'!$A$5:$A$19,0),MATCH($F43,'Type Chart'!$B$4:$P$4,0)))</f>
        <v>1</v>
      </c>
      <c r="K43" s="18" t="n">
        <f aca="false">INDEX('Type Chart'!$B$5:$P$19,MATCH(K$4,'Type Chart'!$A$5:$A$19,0),MATCH($E43,'Type Chart'!$B$4:$P$4,0))*IF($F43="",1,INDEX('Type Chart'!$B$5:$P$19,MATCH(K$4,'Type Chart'!$A$5:$A$19,0),MATCH($F43,'Type Chart'!$B$4:$P$4,0)))</f>
        <v>1</v>
      </c>
      <c r="L43" s="18" t="n">
        <f aca="false">INDEX('Type Chart'!$B$5:$P$19,MATCH(L$4,'Type Chart'!$A$5:$A$19,0),MATCH($E43,'Type Chart'!$B$4:$P$4,0))*IF($F43="",1,INDEX('Type Chart'!$B$5:$P$19,MATCH(L$4,'Type Chart'!$A$5:$A$19,0),MATCH($F43,'Type Chart'!$B$4:$P$4,0)))</f>
        <v>1</v>
      </c>
      <c r="M43" s="18" t="n">
        <f aca="false">INDEX('Type Chart'!$B$5:$P$19,MATCH(M$4,'Type Chart'!$A$5:$A$19,0),MATCH($E43,'Type Chart'!$B$4:$P$4,0))*IF($F43="",1,INDEX('Type Chart'!$B$5:$P$19,MATCH(M$4,'Type Chart'!$A$5:$A$19,0),MATCH($F43,'Type Chart'!$B$4:$P$4,0)))</f>
        <v>1</v>
      </c>
      <c r="N43" s="18" t="n">
        <f aca="false">INDEX('Type Chart'!$B$5:$P$19,MATCH(N$4,'Type Chart'!$A$5:$A$19,0),MATCH($E43,'Type Chart'!$B$4:$P$4,0))*IF($F43="",1,INDEX('Type Chart'!$B$5:$P$19,MATCH(N$4,'Type Chart'!$A$5:$A$19,0),MATCH($F43,'Type Chart'!$B$4:$P$4,0)))</f>
        <v>1</v>
      </c>
      <c r="O43" s="18" t="n">
        <f aca="false">INDEX('Type Chart'!$B$5:$P$19,MATCH(O$4,'Type Chart'!$A$5:$A$19,0),MATCH($E43,'Type Chart'!$B$4:$P$4,0))*IF($F43="",1,INDEX('Type Chart'!$B$5:$P$19,MATCH(O$4,'Type Chart'!$A$5:$A$19,0),MATCH($F43,'Type Chart'!$B$4:$P$4,0)))</f>
        <v>1</v>
      </c>
      <c r="P43" s="18" t="n">
        <f aca="false">INDEX('Type Chart'!$B$5:$P$19,MATCH(P$4,'Type Chart'!$A$5:$A$19,0),MATCH($E43,'Type Chart'!$B$4:$P$4,0))*IF($F43="",1,INDEX('Type Chart'!$B$5:$P$19,MATCH(P$4,'Type Chart'!$A$5:$A$19,0),MATCH($F43,'Type Chart'!$B$4:$P$4,0)))</f>
        <v>2</v>
      </c>
      <c r="Q43" s="18" t="n">
        <f aca="false">INDEX('Type Chart'!$B$5:$P$19,MATCH(Q$4,'Type Chart'!$A$5:$A$19,0),MATCH($E43,'Type Chart'!$B$4:$P$4,0))*IF($F43="",1,INDEX('Type Chart'!$B$5:$P$19,MATCH(Q$4,'Type Chart'!$A$5:$A$19,0),MATCH($F43,'Type Chart'!$B$4:$P$4,0)))</f>
        <v>2</v>
      </c>
      <c r="R43" s="18" t="n">
        <f aca="false">INDEX('Type Chart'!$B$5:$P$19,MATCH(R$4,'Type Chart'!$A$5:$A$19,0),MATCH($E43,'Type Chart'!$B$4:$P$4,0))*IF($F43="",1,INDEX('Type Chart'!$B$5:$P$19,MATCH(R$4,'Type Chart'!$A$5:$A$19,0),MATCH($F43,'Type Chart'!$B$4:$P$4,0)))</f>
        <v>0.5</v>
      </c>
      <c r="S43" s="18" t="n">
        <f aca="false">INDEX('Type Chart'!$B$5:$P$19,MATCH(S$4,'Type Chart'!$A$5:$A$19,0),MATCH($E43,'Type Chart'!$B$4:$P$4,0))*IF($F43="",1,INDEX('Type Chart'!$B$5:$P$19,MATCH(S$4,'Type Chart'!$A$5:$A$19,0),MATCH($F43,'Type Chart'!$B$4:$P$4,0)))</f>
        <v>0.5</v>
      </c>
      <c r="T43" s="18" t="n">
        <f aca="false">INDEX('Type Chart'!$B$5:$P$19,MATCH(T$4,'Type Chart'!$A$5:$A$19,0),MATCH($E43,'Type Chart'!$B$4:$P$4,0))*IF($F43="",1,INDEX('Type Chart'!$B$5:$P$19,MATCH(T$4,'Type Chart'!$A$5:$A$19,0),MATCH($F43,'Type Chart'!$B$4:$P$4,0)))</f>
        <v>1</v>
      </c>
      <c r="U43" s="18" t="n">
        <f aca="false">INDEX('Type Chart'!$B$5:$P$19,MATCH(U$4,'Type Chart'!$A$5:$A$19,0),MATCH($E43,'Type Chart'!$B$4:$P$4,0))*IF($F43="",1,INDEX('Type Chart'!$B$5:$P$19,MATCH(U$4,'Type Chart'!$A$5:$A$19,0),MATCH($F43,'Type Chart'!$B$4:$P$4,0)))</f>
        <v>1</v>
      </c>
    </row>
    <row r="44" customFormat="false" ht="15" hidden="false" customHeight="false" outlineLevel="0" collapsed="false">
      <c r="A44" s="17" t="s">
        <v>191</v>
      </c>
      <c r="B44" s="17" t="s">
        <v>180</v>
      </c>
      <c r="C44" s="17" t="s">
        <v>192</v>
      </c>
      <c r="D44" s="17" t="n">
        <v>57</v>
      </c>
      <c r="E44" s="17" t="s">
        <v>124</v>
      </c>
      <c r="F44" s="17" t="s">
        <v>118</v>
      </c>
      <c r="G44" s="18" t="n">
        <f aca="false">INDEX('Type Chart'!$B$5:$P$19,MATCH(G$4,'Type Chart'!$A$5:$A$19,0),MATCH($E44,'Type Chart'!$B$4:$P$4,0))*IF($F44="",1,INDEX('Type Chart'!$B$5:$P$19,MATCH(G$4,'Type Chart'!$A$5:$A$19,0),MATCH($F44,'Type Chart'!$B$4:$P$4,0)))</f>
        <v>0</v>
      </c>
      <c r="H44" s="18" t="n">
        <f aca="false">INDEX('Type Chart'!$B$5:$P$19,MATCH(H$4,'Type Chart'!$A$5:$A$19,0),MATCH($E44,'Type Chart'!$B$4:$P$4,0))*IF($F44="",1,INDEX('Type Chart'!$B$5:$P$19,MATCH(H$4,'Type Chart'!$A$5:$A$19,0),MATCH($F44,'Type Chart'!$B$4:$P$4,0)))</f>
        <v>1</v>
      </c>
      <c r="I44" s="18" t="n">
        <f aca="false">INDEX('Type Chart'!$B$5:$P$19,MATCH(I$4,'Type Chart'!$A$5:$A$19,0),MATCH($E44,'Type Chart'!$B$4:$P$4,0))*IF($F44="",1,INDEX('Type Chart'!$B$5:$P$19,MATCH(I$4,'Type Chart'!$A$5:$A$19,0),MATCH($F44,'Type Chart'!$B$4:$P$4,0)))</f>
        <v>1</v>
      </c>
      <c r="J44" s="18" t="n">
        <f aca="false">INDEX('Type Chart'!$B$5:$P$19,MATCH(J$4,'Type Chart'!$A$5:$A$19,0),MATCH($E44,'Type Chart'!$B$4:$P$4,0))*IF($F44="",1,INDEX('Type Chart'!$B$5:$P$19,MATCH(J$4,'Type Chart'!$A$5:$A$19,0),MATCH($F44,'Type Chart'!$B$4:$P$4,0)))</f>
        <v>1</v>
      </c>
      <c r="K44" s="18" t="n">
        <f aca="false">INDEX('Type Chart'!$B$5:$P$19,MATCH(K$4,'Type Chart'!$A$5:$A$19,0),MATCH($E44,'Type Chart'!$B$4:$P$4,0))*IF($F44="",1,INDEX('Type Chart'!$B$5:$P$19,MATCH(K$4,'Type Chart'!$A$5:$A$19,0),MATCH($F44,'Type Chart'!$B$4:$P$4,0)))</f>
        <v>0.5</v>
      </c>
      <c r="L44" s="18" t="n">
        <f aca="false">INDEX('Type Chart'!$B$5:$P$19,MATCH(L$4,'Type Chart'!$A$5:$A$19,0),MATCH($E44,'Type Chart'!$B$4:$P$4,0))*IF($F44="",1,INDEX('Type Chart'!$B$5:$P$19,MATCH(L$4,'Type Chart'!$A$5:$A$19,0),MATCH($F44,'Type Chart'!$B$4:$P$4,0)))</f>
        <v>1</v>
      </c>
      <c r="M44" s="18" t="n">
        <f aca="false">INDEX('Type Chart'!$B$5:$P$19,MATCH(M$4,'Type Chart'!$A$5:$A$19,0),MATCH($E44,'Type Chart'!$B$4:$P$4,0))*IF($F44="",1,INDEX('Type Chart'!$B$5:$P$19,MATCH(M$4,'Type Chart'!$A$5:$A$19,0),MATCH($F44,'Type Chart'!$B$4:$P$4,0)))</f>
        <v>0</v>
      </c>
      <c r="N44" s="18" t="n">
        <f aca="false">INDEX('Type Chart'!$B$5:$P$19,MATCH(N$4,'Type Chart'!$A$5:$A$19,0),MATCH($E44,'Type Chart'!$B$4:$P$4,0))*IF($F44="",1,INDEX('Type Chart'!$B$5:$P$19,MATCH(N$4,'Type Chart'!$A$5:$A$19,0),MATCH($F44,'Type Chart'!$B$4:$P$4,0)))</f>
        <v>0.25</v>
      </c>
      <c r="O44" s="18" t="n">
        <f aca="false">INDEX('Type Chart'!$B$5:$P$19,MATCH(O$4,'Type Chart'!$A$5:$A$19,0),MATCH($E44,'Type Chart'!$B$4:$P$4,0))*IF($F44="",1,INDEX('Type Chart'!$B$5:$P$19,MATCH(O$4,'Type Chart'!$A$5:$A$19,0),MATCH($F44,'Type Chart'!$B$4:$P$4,0)))</f>
        <v>2</v>
      </c>
      <c r="P44" s="18" t="n">
        <f aca="false">INDEX('Type Chart'!$B$5:$P$19,MATCH(P$4,'Type Chart'!$A$5:$A$19,0),MATCH($E44,'Type Chart'!$B$4:$P$4,0))*IF($F44="",1,INDEX('Type Chart'!$B$5:$P$19,MATCH(P$4,'Type Chart'!$A$5:$A$19,0),MATCH($F44,'Type Chart'!$B$4:$P$4,0)))</f>
        <v>1</v>
      </c>
      <c r="Q44" s="18" t="n">
        <f aca="false">INDEX('Type Chart'!$B$5:$P$19,MATCH(Q$4,'Type Chart'!$A$5:$A$19,0),MATCH($E44,'Type Chart'!$B$4:$P$4,0))*IF($F44="",1,INDEX('Type Chart'!$B$5:$P$19,MATCH(Q$4,'Type Chart'!$A$5:$A$19,0),MATCH($F44,'Type Chart'!$B$4:$P$4,0)))</f>
        <v>2</v>
      </c>
      <c r="R44" s="18" t="n">
        <f aca="false">INDEX('Type Chart'!$B$5:$P$19,MATCH(R$4,'Type Chart'!$A$5:$A$19,0),MATCH($E44,'Type Chart'!$B$4:$P$4,0))*IF($F44="",1,INDEX('Type Chart'!$B$5:$P$19,MATCH(R$4,'Type Chart'!$A$5:$A$19,0),MATCH($F44,'Type Chart'!$B$4:$P$4,0)))</f>
        <v>0.5</v>
      </c>
      <c r="S44" s="18" t="n">
        <f aca="false">INDEX('Type Chart'!$B$5:$P$19,MATCH(S$4,'Type Chart'!$A$5:$A$19,0),MATCH($E44,'Type Chart'!$B$4:$P$4,0))*IF($F44="",1,INDEX('Type Chart'!$B$5:$P$19,MATCH(S$4,'Type Chart'!$A$5:$A$19,0),MATCH($F44,'Type Chart'!$B$4:$P$4,0)))</f>
        <v>1</v>
      </c>
      <c r="T44" s="18" t="n">
        <f aca="false">INDEX('Type Chart'!$B$5:$P$19,MATCH(T$4,'Type Chart'!$A$5:$A$19,0),MATCH($E44,'Type Chart'!$B$4:$P$4,0))*IF($F44="",1,INDEX('Type Chart'!$B$5:$P$19,MATCH(T$4,'Type Chart'!$A$5:$A$19,0),MATCH($F44,'Type Chart'!$B$4:$P$4,0)))</f>
        <v>2</v>
      </c>
      <c r="U44" s="18" t="n">
        <f aca="false">INDEX('Type Chart'!$B$5:$P$19,MATCH(U$4,'Type Chart'!$A$5:$A$19,0),MATCH($E44,'Type Chart'!$B$4:$P$4,0))*IF($F44="",1,INDEX('Type Chart'!$B$5:$P$19,MATCH(U$4,'Type Chart'!$A$5:$A$19,0),MATCH($F44,'Type Chart'!$B$4:$P$4,0)))</f>
        <v>1</v>
      </c>
    </row>
    <row r="45" customFormat="false" ht="15" hidden="false" customHeight="false" outlineLevel="0" collapsed="false">
      <c r="A45" s="17" t="s">
        <v>191</v>
      </c>
      <c r="B45" s="17" t="s">
        <v>180</v>
      </c>
      <c r="C45" s="17" t="s">
        <v>154</v>
      </c>
      <c r="D45" s="17" t="n">
        <v>58</v>
      </c>
      <c r="E45" s="17" t="s">
        <v>118</v>
      </c>
      <c r="F45" s="17" t="s">
        <v>120</v>
      </c>
      <c r="G45" s="18" t="n">
        <f aca="false">INDEX('Type Chart'!$B$5:$P$19,MATCH(G$4,'Type Chart'!$A$5:$A$19,0),MATCH($E45,'Type Chart'!$B$4:$P$4,0))*IF($F45="",1,INDEX('Type Chart'!$B$5:$P$19,MATCH(G$4,'Type Chart'!$A$5:$A$19,0),MATCH($F45,'Type Chart'!$B$4:$P$4,0)))</f>
        <v>1</v>
      </c>
      <c r="H45" s="18" t="n">
        <f aca="false">INDEX('Type Chart'!$B$5:$P$19,MATCH(H$4,'Type Chart'!$A$5:$A$19,0),MATCH($E45,'Type Chart'!$B$4:$P$4,0))*IF($F45="",1,INDEX('Type Chart'!$B$5:$P$19,MATCH(H$4,'Type Chart'!$A$5:$A$19,0),MATCH($F45,'Type Chart'!$B$4:$P$4,0)))</f>
        <v>1</v>
      </c>
      <c r="I45" s="18" t="n">
        <f aca="false">INDEX('Type Chart'!$B$5:$P$19,MATCH(I$4,'Type Chart'!$A$5:$A$19,0),MATCH($E45,'Type Chart'!$B$4:$P$4,0))*IF($F45="",1,INDEX('Type Chart'!$B$5:$P$19,MATCH(I$4,'Type Chart'!$A$5:$A$19,0),MATCH($F45,'Type Chart'!$B$4:$P$4,0)))</f>
        <v>1</v>
      </c>
      <c r="J45" s="18" t="n">
        <f aca="false">INDEX('Type Chart'!$B$5:$P$19,MATCH(J$4,'Type Chart'!$A$5:$A$19,0),MATCH($E45,'Type Chart'!$B$4:$P$4,0))*IF($F45="",1,INDEX('Type Chart'!$B$5:$P$19,MATCH(J$4,'Type Chart'!$A$5:$A$19,0),MATCH($F45,'Type Chart'!$B$4:$P$4,0)))</f>
        <v>2</v>
      </c>
      <c r="K45" s="18" t="n">
        <f aca="false">INDEX('Type Chart'!$B$5:$P$19,MATCH(K$4,'Type Chart'!$A$5:$A$19,0),MATCH($E45,'Type Chart'!$B$4:$P$4,0))*IF($F45="",1,INDEX('Type Chart'!$B$5:$P$19,MATCH(K$4,'Type Chart'!$A$5:$A$19,0),MATCH($F45,'Type Chart'!$B$4:$P$4,0)))</f>
        <v>0.25</v>
      </c>
      <c r="L45" s="18" t="n">
        <f aca="false">INDEX('Type Chart'!$B$5:$P$19,MATCH(L$4,'Type Chart'!$A$5:$A$19,0),MATCH($E45,'Type Chart'!$B$4:$P$4,0))*IF($F45="",1,INDEX('Type Chart'!$B$5:$P$19,MATCH(L$4,'Type Chart'!$A$5:$A$19,0),MATCH($F45,'Type Chart'!$B$4:$P$4,0)))</f>
        <v>2</v>
      </c>
      <c r="M45" s="18" t="n">
        <f aca="false">INDEX('Type Chart'!$B$5:$P$19,MATCH(M$4,'Type Chart'!$A$5:$A$19,0),MATCH($E45,'Type Chart'!$B$4:$P$4,0))*IF($F45="",1,INDEX('Type Chart'!$B$5:$P$19,MATCH(M$4,'Type Chart'!$A$5:$A$19,0),MATCH($F45,'Type Chart'!$B$4:$P$4,0)))</f>
        <v>0.25</v>
      </c>
      <c r="N45" s="18" t="n">
        <f aca="false">INDEX('Type Chart'!$B$5:$P$19,MATCH(N$4,'Type Chart'!$A$5:$A$19,0),MATCH($E45,'Type Chart'!$B$4:$P$4,0))*IF($F45="",1,INDEX('Type Chart'!$B$5:$P$19,MATCH(N$4,'Type Chart'!$A$5:$A$19,0),MATCH($F45,'Type Chart'!$B$4:$P$4,0)))</f>
        <v>0.5</v>
      </c>
      <c r="O45" s="18" t="n">
        <f aca="false">INDEX('Type Chart'!$B$5:$P$19,MATCH(O$4,'Type Chart'!$A$5:$A$19,0),MATCH($E45,'Type Chart'!$B$4:$P$4,0))*IF($F45="",1,INDEX('Type Chart'!$B$5:$P$19,MATCH(O$4,'Type Chart'!$A$5:$A$19,0),MATCH($F45,'Type Chart'!$B$4:$P$4,0)))</f>
        <v>0</v>
      </c>
      <c r="P45" s="18" t="n">
        <f aca="false">INDEX('Type Chart'!$B$5:$P$19,MATCH(P$4,'Type Chart'!$A$5:$A$19,0),MATCH($E45,'Type Chart'!$B$4:$P$4,0))*IF($F45="",1,INDEX('Type Chart'!$B$5:$P$19,MATCH(P$4,'Type Chart'!$A$5:$A$19,0),MATCH($F45,'Type Chart'!$B$4:$P$4,0)))</f>
        <v>1</v>
      </c>
      <c r="Q45" s="18" t="n">
        <f aca="false">INDEX('Type Chart'!$B$5:$P$19,MATCH(Q$4,'Type Chart'!$A$5:$A$19,0),MATCH($E45,'Type Chart'!$B$4:$P$4,0))*IF($F45="",1,INDEX('Type Chart'!$B$5:$P$19,MATCH(Q$4,'Type Chart'!$A$5:$A$19,0),MATCH($F45,'Type Chart'!$B$4:$P$4,0)))</f>
        <v>2</v>
      </c>
      <c r="R45" s="18" t="n">
        <f aca="false">INDEX('Type Chart'!$B$5:$P$19,MATCH(R$4,'Type Chart'!$A$5:$A$19,0),MATCH($E45,'Type Chart'!$B$4:$P$4,0))*IF($F45="",1,INDEX('Type Chart'!$B$5:$P$19,MATCH(R$4,'Type Chart'!$A$5:$A$19,0),MATCH($F45,'Type Chart'!$B$4:$P$4,0)))</f>
        <v>0.5</v>
      </c>
      <c r="S45" s="18" t="n">
        <f aca="false">INDEX('Type Chart'!$B$5:$P$19,MATCH(S$4,'Type Chart'!$A$5:$A$19,0),MATCH($E45,'Type Chart'!$B$4:$P$4,0))*IF($F45="",1,INDEX('Type Chart'!$B$5:$P$19,MATCH(S$4,'Type Chart'!$A$5:$A$19,0),MATCH($F45,'Type Chart'!$B$4:$P$4,0)))</f>
        <v>2</v>
      </c>
      <c r="T45" s="18" t="n">
        <f aca="false">INDEX('Type Chart'!$B$5:$P$19,MATCH(T$4,'Type Chart'!$A$5:$A$19,0),MATCH($E45,'Type Chart'!$B$4:$P$4,0))*IF($F45="",1,INDEX('Type Chart'!$B$5:$P$19,MATCH(T$4,'Type Chart'!$A$5:$A$19,0),MATCH($F45,'Type Chart'!$B$4:$P$4,0)))</f>
        <v>1</v>
      </c>
      <c r="U45" s="18" t="n">
        <f aca="false">INDEX('Type Chart'!$B$5:$P$19,MATCH(U$4,'Type Chart'!$A$5:$A$19,0),MATCH($E45,'Type Chart'!$B$4:$P$4,0))*IF($F45="",1,INDEX('Type Chart'!$B$5:$P$19,MATCH(U$4,'Type Chart'!$A$5:$A$19,0),MATCH($F45,'Type Chart'!$B$4:$P$4,0)))</f>
        <v>1</v>
      </c>
    </row>
    <row r="46" customFormat="false" ht="15" hidden="false" customHeight="false" outlineLevel="0" collapsed="false">
      <c r="A46" s="17" t="s">
        <v>191</v>
      </c>
      <c r="B46" s="17" t="s">
        <v>180</v>
      </c>
      <c r="C46" s="17" t="s">
        <v>193</v>
      </c>
      <c r="D46" s="17" t="n">
        <v>57</v>
      </c>
      <c r="E46" s="17" t="s">
        <v>119</v>
      </c>
      <c r="F46" s="17"/>
      <c r="G46" s="18" t="n">
        <f aca="false">INDEX('Type Chart'!$B$5:$P$19,MATCH(G$4,'Type Chart'!$A$5:$A$19,0),MATCH($E46,'Type Chart'!$B$4:$P$4,0))*IF($F46="",1,INDEX('Type Chart'!$B$5:$P$19,MATCH(G$4,'Type Chart'!$A$5:$A$19,0),MATCH($F46,'Type Chart'!$B$4:$P$4,0)))</f>
        <v>1</v>
      </c>
      <c r="H46" s="18" t="n">
        <f aca="false">INDEX('Type Chart'!$B$5:$P$19,MATCH(H$4,'Type Chart'!$A$5:$A$19,0),MATCH($E46,'Type Chart'!$B$4:$P$4,0))*IF($F46="",1,INDEX('Type Chart'!$B$5:$P$19,MATCH(H$4,'Type Chart'!$A$5:$A$19,0),MATCH($F46,'Type Chart'!$B$4:$P$4,0)))</f>
        <v>1</v>
      </c>
      <c r="I46" s="18" t="n">
        <f aca="false">INDEX('Type Chart'!$B$5:$P$19,MATCH(I$4,'Type Chart'!$A$5:$A$19,0),MATCH($E46,'Type Chart'!$B$4:$P$4,0))*IF($F46="",1,INDEX('Type Chart'!$B$5:$P$19,MATCH(I$4,'Type Chart'!$A$5:$A$19,0),MATCH($F46,'Type Chart'!$B$4:$P$4,0)))</f>
        <v>2</v>
      </c>
      <c r="J46" s="18" t="n">
        <f aca="false">INDEX('Type Chart'!$B$5:$P$19,MATCH(J$4,'Type Chart'!$A$5:$A$19,0),MATCH($E46,'Type Chart'!$B$4:$P$4,0))*IF($F46="",1,INDEX('Type Chart'!$B$5:$P$19,MATCH(J$4,'Type Chart'!$A$5:$A$19,0),MATCH($F46,'Type Chart'!$B$4:$P$4,0)))</f>
        <v>0</v>
      </c>
      <c r="K46" s="18" t="n">
        <f aca="false">INDEX('Type Chart'!$B$5:$P$19,MATCH(K$4,'Type Chart'!$A$5:$A$19,0),MATCH($E46,'Type Chart'!$B$4:$P$4,0))*IF($F46="",1,INDEX('Type Chart'!$B$5:$P$19,MATCH(K$4,'Type Chart'!$A$5:$A$19,0),MATCH($F46,'Type Chart'!$B$4:$P$4,0)))</f>
        <v>2</v>
      </c>
      <c r="L46" s="18" t="n">
        <f aca="false">INDEX('Type Chart'!$B$5:$P$19,MATCH(L$4,'Type Chart'!$A$5:$A$19,0),MATCH($E46,'Type Chart'!$B$4:$P$4,0))*IF($F46="",1,INDEX('Type Chart'!$B$5:$P$19,MATCH(L$4,'Type Chart'!$A$5:$A$19,0),MATCH($F46,'Type Chart'!$B$4:$P$4,0)))</f>
        <v>2</v>
      </c>
      <c r="M46" s="18" t="n">
        <f aca="false">INDEX('Type Chart'!$B$5:$P$19,MATCH(M$4,'Type Chart'!$A$5:$A$19,0),MATCH($E46,'Type Chart'!$B$4:$P$4,0))*IF($F46="",1,INDEX('Type Chart'!$B$5:$P$19,MATCH(M$4,'Type Chart'!$A$5:$A$19,0),MATCH($F46,'Type Chart'!$B$4:$P$4,0)))</f>
        <v>1</v>
      </c>
      <c r="N46" s="18" t="n">
        <f aca="false">INDEX('Type Chart'!$B$5:$P$19,MATCH(N$4,'Type Chart'!$A$5:$A$19,0),MATCH($E46,'Type Chart'!$B$4:$P$4,0))*IF($F46="",1,INDEX('Type Chart'!$B$5:$P$19,MATCH(N$4,'Type Chart'!$A$5:$A$19,0),MATCH($F46,'Type Chart'!$B$4:$P$4,0)))</f>
        <v>0.5</v>
      </c>
      <c r="O46" s="18" t="n">
        <f aca="false">INDEX('Type Chart'!$B$5:$P$19,MATCH(O$4,'Type Chart'!$A$5:$A$19,0),MATCH($E46,'Type Chart'!$B$4:$P$4,0))*IF($F46="",1,INDEX('Type Chart'!$B$5:$P$19,MATCH(O$4,'Type Chart'!$A$5:$A$19,0),MATCH($F46,'Type Chart'!$B$4:$P$4,0)))</f>
        <v>1</v>
      </c>
      <c r="P46" s="18" t="n">
        <f aca="false">INDEX('Type Chart'!$B$5:$P$19,MATCH(P$4,'Type Chart'!$A$5:$A$19,0),MATCH($E46,'Type Chart'!$B$4:$P$4,0))*IF($F46="",1,INDEX('Type Chart'!$B$5:$P$19,MATCH(P$4,'Type Chart'!$A$5:$A$19,0),MATCH($F46,'Type Chart'!$B$4:$P$4,0)))</f>
        <v>1</v>
      </c>
      <c r="Q46" s="18" t="n">
        <f aca="false">INDEX('Type Chart'!$B$5:$P$19,MATCH(Q$4,'Type Chart'!$A$5:$A$19,0),MATCH($E46,'Type Chart'!$B$4:$P$4,0))*IF($F46="",1,INDEX('Type Chart'!$B$5:$P$19,MATCH(Q$4,'Type Chart'!$A$5:$A$19,0),MATCH($F46,'Type Chart'!$B$4:$P$4,0)))</f>
        <v>1</v>
      </c>
      <c r="R46" s="18" t="n">
        <f aca="false">INDEX('Type Chart'!$B$5:$P$19,MATCH(R$4,'Type Chart'!$A$5:$A$19,0),MATCH($E46,'Type Chart'!$B$4:$P$4,0))*IF($F46="",1,INDEX('Type Chart'!$B$5:$P$19,MATCH(R$4,'Type Chart'!$A$5:$A$19,0),MATCH($F46,'Type Chart'!$B$4:$P$4,0)))</f>
        <v>1</v>
      </c>
      <c r="S46" s="18" t="n">
        <f aca="false">INDEX('Type Chart'!$B$5:$P$19,MATCH(S$4,'Type Chart'!$A$5:$A$19,0),MATCH($E46,'Type Chart'!$B$4:$P$4,0))*IF($F46="",1,INDEX('Type Chart'!$B$5:$P$19,MATCH(S$4,'Type Chart'!$A$5:$A$19,0),MATCH($F46,'Type Chart'!$B$4:$P$4,0)))</f>
        <v>0.5</v>
      </c>
      <c r="T46" s="18" t="n">
        <f aca="false">INDEX('Type Chart'!$B$5:$P$19,MATCH(T$4,'Type Chart'!$A$5:$A$19,0),MATCH($E46,'Type Chart'!$B$4:$P$4,0))*IF($F46="",1,INDEX('Type Chart'!$B$5:$P$19,MATCH(T$4,'Type Chart'!$A$5:$A$19,0),MATCH($F46,'Type Chart'!$B$4:$P$4,0)))</f>
        <v>1</v>
      </c>
      <c r="U46" s="18" t="n">
        <f aca="false">INDEX('Type Chart'!$B$5:$P$19,MATCH(U$4,'Type Chart'!$A$5:$A$19,0),MATCH($E46,'Type Chart'!$B$4:$P$4,0))*IF($F46="",1,INDEX('Type Chart'!$B$5:$P$19,MATCH(U$4,'Type Chart'!$A$5:$A$19,0),MATCH($F46,'Type Chart'!$B$4:$P$4,0)))</f>
        <v>1</v>
      </c>
    </row>
    <row r="47" customFormat="false" ht="15" hidden="false" customHeight="false" outlineLevel="0" collapsed="false">
      <c r="A47" s="17" t="s">
        <v>191</v>
      </c>
      <c r="B47" s="17" t="s">
        <v>180</v>
      </c>
      <c r="C47" s="17" t="s">
        <v>194</v>
      </c>
      <c r="D47" s="17" t="n">
        <v>58</v>
      </c>
      <c r="E47" s="17" t="s">
        <v>118</v>
      </c>
      <c r="F47" s="17"/>
      <c r="G47" s="18" t="n">
        <f aca="false">INDEX('Type Chart'!$B$5:$P$19,MATCH(G$4,'Type Chart'!$A$5:$A$19,0),MATCH($E47,'Type Chart'!$B$4:$P$4,0))*IF($F47="",1,INDEX('Type Chart'!$B$5:$P$19,MATCH(G$4,'Type Chart'!$A$5:$A$19,0),MATCH($F47,'Type Chart'!$B$4:$P$4,0)))</f>
        <v>1</v>
      </c>
      <c r="H47" s="18" t="n">
        <f aca="false">INDEX('Type Chart'!$B$5:$P$19,MATCH(H$4,'Type Chart'!$A$5:$A$19,0),MATCH($E47,'Type Chart'!$B$4:$P$4,0))*IF($F47="",1,INDEX('Type Chart'!$B$5:$P$19,MATCH(H$4,'Type Chart'!$A$5:$A$19,0),MATCH($F47,'Type Chart'!$B$4:$P$4,0)))</f>
        <v>1</v>
      </c>
      <c r="I47" s="18" t="n">
        <f aca="false">INDEX('Type Chart'!$B$5:$P$19,MATCH(I$4,'Type Chart'!$A$5:$A$19,0),MATCH($E47,'Type Chart'!$B$4:$P$4,0))*IF($F47="",1,INDEX('Type Chart'!$B$5:$P$19,MATCH(I$4,'Type Chart'!$A$5:$A$19,0),MATCH($F47,'Type Chart'!$B$4:$P$4,0)))</f>
        <v>1</v>
      </c>
      <c r="J47" s="18" t="n">
        <f aca="false">INDEX('Type Chart'!$B$5:$P$19,MATCH(J$4,'Type Chart'!$A$5:$A$19,0),MATCH($E47,'Type Chart'!$B$4:$P$4,0))*IF($F47="",1,INDEX('Type Chart'!$B$5:$P$19,MATCH(J$4,'Type Chart'!$A$5:$A$19,0),MATCH($F47,'Type Chart'!$B$4:$P$4,0)))</f>
        <v>1</v>
      </c>
      <c r="K47" s="18" t="n">
        <f aca="false">INDEX('Type Chart'!$B$5:$P$19,MATCH(K$4,'Type Chart'!$A$5:$A$19,0),MATCH($E47,'Type Chart'!$B$4:$P$4,0))*IF($F47="",1,INDEX('Type Chart'!$B$5:$P$19,MATCH(K$4,'Type Chart'!$A$5:$A$19,0),MATCH($F47,'Type Chart'!$B$4:$P$4,0)))</f>
        <v>0.5</v>
      </c>
      <c r="L47" s="18" t="n">
        <f aca="false">INDEX('Type Chart'!$B$5:$P$19,MATCH(L$4,'Type Chart'!$A$5:$A$19,0),MATCH($E47,'Type Chart'!$B$4:$P$4,0))*IF($F47="",1,INDEX('Type Chart'!$B$5:$P$19,MATCH(L$4,'Type Chart'!$A$5:$A$19,0),MATCH($F47,'Type Chart'!$B$4:$P$4,0)))</f>
        <v>1</v>
      </c>
      <c r="M47" s="18" t="n">
        <f aca="false">INDEX('Type Chart'!$B$5:$P$19,MATCH(M$4,'Type Chart'!$A$5:$A$19,0),MATCH($E47,'Type Chart'!$B$4:$P$4,0))*IF($F47="",1,INDEX('Type Chart'!$B$5:$P$19,MATCH(M$4,'Type Chart'!$A$5:$A$19,0),MATCH($F47,'Type Chart'!$B$4:$P$4,0)))</f>
        <v>0.5</v>
      </c>
      <c r="N47" s="18" t="n">
        <f aca="false">INDEX('Type Chart'!$B$5:$P$19,MATCH(N$4,'Type Chart'!$A$5:$A$19,0),MATCH($E47,'Type Chart'!$B$4:$P$4,0))*IF($F47="",1,INDEX('Type Chart'!$B$5:$P$19,MATCH(N$4,'Type Chart'!$A$5:$A$19,0),MATCH($F47,'Type Chart'!$B$4:$P$4,0)))</f>
        <v>0.5</v>
      </c>
      <c r="O47" s="18" t="n">
        <f aca="false">INDEX('Type Chart'!$B$5:$P$19,MATCH(O$4,'Type Chart'!$A$5:$A$19,0),MATCH($E47,'Type Chart'!$B$4:$P$4,0))*IF($F47="",1,INDEX('Type Chart'!$B$5:$P$19,MATCH(O$4,'Type Chart'!$A$5:$A$19,0),MATCH($F47,'Type Chart'!$B$4:$P$4,0)))</f>
        <v>2</v>
      </c>
      <c r="P47" s="18" t="n">
        <f aca="false">INDEX('Type Chart'!$B$5:$P$19,MATCH(P$4,'Type Chart'!$A$5:$A$19,0),MATCH($E47,'Type Chart'!$B$4:$P$4,0))*IF($F47="",1,INDEX('Type Chart'!$B$5:$P$19,MATCH(P$4,'Type Chart'!$A$5:$A$19,0),MATCH($F47,'Type Chart'!$B$4:$P$4,0)))</f>
        <v>1</v>
      </c>
      <c r="Q47" s="18" t="n">
        <f aca="false">INDEX('Type Chart'!$B$5:$P$19,MATCH(Q$4,'Type Chart'!$A$5:$A$19,0),MATCH($E47,'Type Chart'!$B$4:$P$4,0))*IF($F47="",1,INDEX('Type Chart'!$B$5:$P$19,MATCH(Q$4,'Type Chart'!$A$5:$A$19,0),MATCH($F47,'Type Chart'!$B$4:$P$4,0)))</f>
        <v>2</v>
      </c>
      <c r="R47" s="18" t="n">
        <f aca="false">INDEX('Type Chart'!$B$5:$P$19,MATCH(R$4,'Type Chart'!$A$5:$A$19,0),MATCH($E47,'Type Chart'!$B$4:$P$4,0))*IF($F47="",1,INDEX('Type Chart'!$B$5:$P$19,MATCH(R$4,'Type Chart'!$A$5:$A$19,0),MATCH($F47,'Type Chart'!$B$4:$P$4,0)))</f>
        <v>1</v>
      </c>
      <c r="S47" s="18" t="n">
        <f aca="false">INDEX('Type Chart'!$B$5:$P$19,MATCH(S$4,'Type Chart'!$A$5:$A$19,0),MATCH($E47,'Type Chart'!$B$4:$P$4,0))*IF($F47="",1,INDEX('Type Chart'!$B$5:$P$19,MATCH(S$4,'Type Chart'!$A$5:$A$19,0),MATCH($F47,'Type Chart'!$B$4:$P$4,0)))</f>
        <v>1</v>
      </c>
      <c r="T47" s="18" t="n">
        <f aca="false">INDEX('Type Chart'!$B$5:$P$19,MATCH(T$4,'Type Chart'!$A$5:$A$19,0),MATCH($E47,'Type Chart'!$B$4:$P$4,0))*IF($F47="",1,INDEX('Type Chart'!$B$5:$P$19,MATCH(T$4,'Type Chart'!$A$5:$A$19,0),MATCH($F47,'Type Chart'!$B$4:$P$4,0)))</f>
        <v>1</v>
      </c>
      <c r="U47" s="18" t="n">
        <f aca="false">INDEX('Type Chart'!$B$5:$P$19,MATCH(U$4,'Type Chart'!$A$5:$A$19,0),MATCH($E47,'Type Chart'!$B$4:$P$4,0))*IF($F47="",1,INDEX('Type Chart'!$B$5:$P$19,MATCH(U$4,'Type Chart'!$A$5:$A$19,0),MATCH($F47,'Type Chart'!$B$4:$P$4,0)))</f>
        <v>1</v>
      </c>
    </row>
    <row r="48" customFormat="false" ht="15" hidden="false" customHeight="false" outlineLevel="0" collapsed="false">
      <c r="A48" s="17" t="s">
        <v>191</v>
      </c>
      <c r="B48" s="17" t="s">
        <v>180</v>
      </c>
      <c r="C48" s="17" t="s">
        <v>192</v>
      </c>
      <c r="D48" s="17" t="n">
        <v>59</v>
      </c>
      <c r="E48" s="17" t="s">
        <v>124</v>
      </c>
      <c r="F48" s="17" t="s">
        <v>118</v>
      </c>
      <c r="G48" s="18" t="n">
        <f aca="false">INDEX('Type Chart'!$B$5:$P$19,MATCH(G$4,'Type Chart'!$A$5:$A$19,0),MATCH($E48,'Type Chart'!$B$4:$P$4,0))*IF($F48="",1,INDEX('Type Chart'!$B$5:$P$19,MATCH(G$4,'Type Chart'!$A$5:$A$19,0),MATCH($F48,'Type Chart'!$B$4:$P$4,0)))</f>
        <v>0</v>
      </c>
      <c r="H48" s="18" t="n">
        <f aca="false">INDEX('Type Chart'!$B$5:$P$19,MATCH(H$4,'Type Chart'!$A$5:$A$19,0),MATCH($E48,'Type Chart'!$B$4:$P$4,0))*IF($F48="",1,INDEX('Type Chart'!$B$5:$P$19,MATCH(H$4,'Type Chart'!$A$5:$A$19,0),MATCH($F48,'Type Chart'!$B$4:$P$4,0)))</f>
        <v>1</v>
      </c>
      <c r="I48" s="18" t="n">
        <f aca="false">INDEX('Type Chart'!$B$5:$P$19,MATCH(I$4,'Type Chart'!$A$5:$A$19,0),MATCH($E48,'Type Chart'!$B$4:$P$4,0))*IF($F48="",1,INDEX('Type Chart'!$B$5:$P$19,MATCH(I$4,'Type Chart'!$A$5:$A$19,0),MATCH($F48,'Type Chart'!$B$4:$P$4,0)))</f>
        <v>1</v>
      </c>
      <c r="J48" s="18" t="n">
        <f aca="false">INDEX('Type Chart'!$B$5:$P$19,MATCH(J$4,'Type Chart'!$A$5:$A$19,0),MATCH($E48,'Type Chart'!$B$4:$P$4,0))*IF($F48="",1,INDEX('Type Chart'!$B$5:$P$19,MATCH(J$4,'Type Chart'!$A$5:$A$19,0),MATCH($F48,'Type Chart'!$B$4:$P$4,0)))</f>
        <v>1</v>
      </c>
      <c r="K48" s="18" t="n">
        <f aca="false">INDEX('Type Chart'!$B$5:$P$19,MATCH(K$4,'Type Chart'!$A$5:$A$19,0),MATCH($E48,'Type Chart'!$B$4:$P$4,0))*IF($F48="",1,INDEX('Type Chart'!$B$5:$P$19,MATCH(K$4,'Type Chart'!$A$5:$A$19,0),MATCH($F48,'Type Chart'!$B$4:$P$4,0)))</f>
        <v>0.5</v>
      </c>
      <c r="L48" s="18" t="n">
        <f aca="false">INDEX('Type Chart'!$B$5:$P$19,MATCH(L$4,'Type Chart'!$A$5:$A$19,0),MATCH($E48,'Type Chart'!$B$4:$P$4,0))*IF($F48="",1,INDEX('Type Chart'!$B$5:$P$19,MATCH(L$4,'Type Chart'!$A$5:$A$19,0),MATCH($F48,'Type Chart'!$B$4:$P$4,0)))</f>
        <v>1</v>
      </c>
      <c r="M48" s="18" t="n">
        <f aca="false">INDEX('Type Chart'!$B$5:$P$19,MATCH(M$4,'Type Chart'!$A$5:$A$19,0),MATCH($E48,'Type Chart'!$B$4:$P$4,0))*IF($F48="",1,INDEX('Type Chart'!$B$5:$P$19,MATCH(M$4,'Type Chart'!$A$5:$A$19,0),MATCH($F48,'Type Chart'!$B$4:$P$4,0)))</f>
        <v>0</v>
      </c>
      <c r="N48" s="18" t="n">
        <f aca="false">INDEX('Type Chart'!$B$5:$P$19,MATCH(N$4,'Type Chart'!$A$5:$A$19,0),MATCH($E48,'Type Chart'!$B$4:$P$4,0))*IF($F48="",1,INDEX('Type Chart'!$B$5:$P$19,MATCH(N$4,'Type Chart'!$A$5:$A$19,0),MATCH($F48,'Type Chart'!$B$4:$P$4,0)))</f>
        <v>0.25</v>
      </c>
      <c r="O48" s="18" t="n">
        <f aca="false">INDEX('Type Chart'!$B$5:$P$19,MATCH(O$4,'Type Chart'!$A$5:$A$19,0),MATCH($E48,'Type Chart'!$B$4:$P$4,0))*IF($F48="",1,INDEX('Type Chart'!$B$5:$P$19,MATCH(O$4,'Type Chart'!$A$5:$A$19,0),MATCH($F48,'Type Chart'!$B$4:$P$4,0)))</f>
        <v>2</v>
      </c>
      <c r="P48" s="18" t="n">
        <f aca="false">INDEX('Type Chart'!$B$5:$P$19,MATCH(P$4,'Type Chart'!$A$5:$A$19,0),MATCH($E48,'Type Chart'!$B$4:$P$4,0))*IF($F48="",1,INDEX('Type Chart'!$B$5:$P$19,MATCH(P$4,'Type Chart'!$A$5:$A$19,0),MATCH($F48,'Type Chart'!$B$4:$P$4,0)))</f>
        <v>1</v>
      </c>
      <c r="Q48" s="18" t="n">
        <f aca="false">INDEX('Type Chart'!$B$5:$P$19,MATCH(Q$4,'Type Chart'!$A$5:$A$19,0),MATCH($E48,'Type Chart'!$B$4:$P$4,0))*IF($F48="",1,INDEX('Type Chart'!$B$5:$P$19,MATCH(Q$4,'Type Chart'!$A$5:$A$19,0),MATCH($F48,'Type Chart'!$B$4:$P$4,0)))</f>
        <v>2</v>
      </c>
      <c r="R48" s="18" t="n">
        <f aca="false">INDEX('Type Chart'!$B$5:$P$19,MATCH(R$4,'Type Chart'!$A$5:$A$19,0),MATCH($E48,'Type Chart'!$B$4:$P$4,0))*IF($F48="",1,INDEX('Type Chart'!$B$5:$P$19,MATCH(R$4,'Type Chart'!$A$5:$A$19,0),MATCH($F48,'Type Chart'!$B$4:$P$4,0)))</f>
        <v>0.5</v>
      </c>
      <c r="S48" s="18" t="n">
        <f aca="false">INDEX('Type Chart'!$B$5:$P$19,MATCH(S$4,'Type Chart'!$A$5:$A$19,0),MATCH($E48,'Type Chart'!$B$4:$P$4,0))*IF($F48="",1,INDEX('Type Chart'!$B$5:$P$19,MATCH(S$4,'Type Chart'!$A$5:$A$19,0),MATCH($F48,'Type Chart'!$B$4:$P$4,0)))</f>
        <v>1</v>
      </c>
      <c r="T48" s="18" t="n">
        <f aca="false">INDEX('Type Chart'!$B$5:$P$19,MATCH(T$4,'Type Chart'!$A$5:$A$19,0),MATCH($E48,'Type Chart'!$B$4:$P$4,0))*IF($F48="",1,INDEX('Type Chart'!$B$5:$P$19,MATCH(T$4,'Type Chart'!$A$5:$A$19,0),MATCH($F48,'Type Chart'!$B$4:$P$4,0)))</f>
        <v>2</v>
      </c>
      <c r="U48" s="18" t="n">
        <f aca="false">INDEX('Type Chart'!$B$5:$P$19,MATCH(U$4,'Type Chart'!$A$5:$A$19,0),MATCH($E48,'Type Chart'!$B$4:$P$4,0))*IF($F48="",1,INDEX('Type Chart'!$B$5:$P$19,MATCH(U$4,'Type Chart'!$A$5:$A$19,0),MATCH($F48,'Type Chart'!$B$4:$P$4,0)))</f>
        <v>1</v>
      </c>
    </row>
    <row r="49" customFormat="false" ht="15" hidden="false" customHeight="false" outlineLevel="0" collapsed="false">
      <c r="A49" s="17" t="s">
        <v>195</v>
      </c>
      <c r="B49" s="17" t="s">
        <v>180</v>
      </c>
      <c r="C49" s="17" t="s">
        <v>196</v>
      </c>
      <c r="D49" s="17" t="n">
        <v>61</v>
      </c>
      <c r="E49" s="17" t="s">
        <v>125</v>
      </c>
      <c r="F49" s="17" t="s">
        <v>120</v>
      </c>
      <c r="G49" s="18" t="n">
        <f aca="false">INDEX('Type Chart'!$B$5:$P$19,MATCH(G$4,'Type Chart'!$A$5:$A$19,0),MATCH($E49,'Type Chart'!$B$4:$P$4,0))*IF($F49="",1,INDEX('Type Chart'!$B$5:$P$19,MATCH(G$4,'Type Chart'!$A$5:$A$19,0),MATCH($F49,'Type Chart'!$B$4:$P$4,0)))</f>
        <v>1</v>
      </c>
      <c r="H49" s="18" t="n">
        <f aca="false">INDEX('Type Chart'!$B$5:$P$19,MATCH(H$4,'Type Chart'!$A$5:$A$19,0),MATCH($E49,'Type Chart'!$B$4:$P$4,0))*IF($F49="",1,INDEX('Type Chart'!$B$5:$P$19,MATCH(H$4,'Type Chart'!$A$5:$A$19,0),MATCH($F49,'Type Chart'!$B$4:$P$4,0)))</f>
        <v>0.5</v>
      </c>
      <c r="I49" s="18" t="n">
        <f aca="false">INDEX('Type Chart'!$B$5:$P$19,MATCH(I$4,'Type Chart'!$A$5:$A$19,0),MATCH($E49,'Type Chart'!$B$4:$P$4,0))*IF($F49="",1,INDEX('Type Chart'!$B$5:$P$19,MATCH(I$4,'Type Chart'!$A$5:$A$19,0),MATCH($F49,'Type Chart'!$B$4:$P$4,0)))</f>
        <v>0.5</v>
      </c>
      <c r="J49" s="18" t="n">
        <f aca="false">INDEX('Type Chart'!$B$5:$P$19,MATCH(J$4,'Type Chart'!$A$5:$A$19,0),MATCH($E49,'Type Chart'!$B$4:$P$4,0))*IF($F49="",1,INDEX('Type Chart'!$B$5:$P$19,MATCH(J$4,'Type Chart'!$A$5:$A$19,0),MATCH($F49,'Type Chart'!$B$4:$P$4,0)))</f>
        <v>1</v>
      </c>
      <c r="K49" s="18" t="n">
        <f aca="false">INDEX('Type Chart'!$B$5:$P$19,MATCH(K$4,'Type Chart'!$A$5:$A$19,0),MATCH($E49,'Type Chart'!$B$4:$P$4,0))*IF($F49="",1,INDEX('Type Chart'!$B$5:$P$19,MATCH(K$4,'Type Chart'!$A$5:$A$19,0),MATCH($F49,'Type Chart'!$B$4:$P$4,0)))</f>
        <v>0.25</v>
      </c>
      <c r="L49" s="18" t="n">
        <f aca="false">INDEX('Type Chart'!$B$5:$P$19,MATCH(L$4,'Type Chart'!$A$5:$A$19,0),MATCH($E49,'Type Chart'!$B$4:$P$4,0))*IF($F49="",1,INDEX('Type Chart'!$B$5:$P$19,MATCH(L$4,'Type Chart'!$A$5:$A$19,0),MATCH($F49,'Type Chart'!$B$4:$P$4,0)))</f>
        <v>4</v>
      </c>
      <c r="M49" s="18" t="n">
        <f aca="false">INDEX('Type Chart'!$B$5:$P$19,MATCH(M$4,'Type Chart'!$A$5:$A$19,0),MATCH($E49,'Type Chart'!$B$4:$P$4,0))*IF($F49="",1,INDEX('Type Chart'!$B$5:$P$19,MATCH(M$4,'Type Chart'!$A$5:$A$19,0),MATCH($F49,'Type Chart'!$B$4:$P$4,0)))</f>
        <v>0.5</v>
      </c>
      <c r="N49" s="18" t="n">
        <f aca="false">INDEX('Type Chart'!$B$5:$P$19,MATCH(N$4,'Type Chart'!$A$5:$A$19,0),MATCH($E49,'Type Chart'!$B$4:$P$4,0))*IF($F49="",1,INDEX('Type Chart'!$B$5:$P$19,MATCH(N$4,'Type Chart'!$A$5:$A$19,0),MATCH($F49,'Type Chart'!$B$4:$P$4,0)))</f>
        <v>1</v>
      </c>
      <c r="O49" s="18" t="n">
        <f aca="false">INDEX('Type Chart'!$B$5:$P$19,MATCH(O$4,'Type Chart'!$A$5:$A$19,0),MATCH($E49,'Type Chart'!$B$4:$P$4,0))*IF($F49="",1,INDEX('Type Chart'!$B$5:$P$19,MATCH(O$4,'Type Chart'!$A$5:$A$19,0),MATCH($F49,'Type Chart'!$B$4:$P$4,0)))</f>
        <v>0</v>
      </c>
      <c r="P49" s="18" t="n">
        <f aca="false">INDEX('Type Chart'!$B$5:$P$19,MATCH(P$4,'Type Chart'!$A$5:$A$19,0),MATCH($E49,'Type Chart'!$B$4:$P$4,0))*IF($F49="",1,INDEX('Type Chart'!$B$5:$P$19,MATCH(P$4,'Type Chart'!$A$5:$A$19,0),MATCH($F49,'Type Chart'!$B$4:$P$4,0)))</f>
        <v>1</v>
      </c>
      <c r="Q49" s="18" t="n">
        <f aca="false">INDEX('Type Chart'!$B$5:$P$19,MATCH(Q$4,'Type Chart'!$A$5:$A$19,0),MATCH($E49,'Type Chart'!$B$4:$P$4,0))*IF($F49="",1,INDEX('Type Chart'!$B$5:$P$19,MATCH(Q$4,'Type Chart'!$A$5:$A$19,0),MATCH($F49,'Type Chart'!$B$4:$P$4,0)))</f>
        <v>1</v>
      </c>
      <c r="R49" s="18" t="n">
        <f aca="false">INDEX('Type Chart'!$B$5:$P$19,MATCH(R$4,'Type Chart'!$A$5:$A$19,0),MATCH($E49,'Type Chart'!$B$4:$P$4,0))*IF($F49="",1,INDEX('Type Chart'!$B$5:$P$19,MATCH(R$4,'Type Chart'!$A$5:$A$19,0),MATCH($F49,'Type Chart'!$B$4:$P$4,0)))</f>
        <v>0.5</v>
      </c>
      <c r="S49" s="18" t="n">
        <f aca="false">INDEX('Type Chart'!$B$5:$P$19,MATCH(S$4,'Type Chart'!$A$5:$A$19,0),MATCH($E49,'Type Chart'!$B$4:$P$4,0))*IF($F49="",1,INDEX('Type Chart'!$B$5:$P$19,MATCH(S$4,'Type Chart'!$A$5:$A$19,0),MATCH($F49,'Type Chart'!$B$4:$P$4,0)))</f>
        <v>2</v>
      </c>
      <c r="T49" s="18" t="n">
        <f aca="false">INDEX('Type Chart'!$B$5:$P$19,MATCH(T$4,'Type Chart'!$A$5:$A$19,0),MATCH($E49,'Type Chart'!$B$4:$P$4,0))*IF($F49="",1,INDEX('Type Chart'!$B$5:$P$19,MATCH(T$4,'Type Chart'!$A$5:$A$19,0),MATCH($F49,'Type Chart'!$B$4:$P$4,0)))</f>
        <v>1</v>
      </c>
      <c r="U49" s="18" t="n">
        <f aca="false">INDEX('Type Chart'!$B$5:$P$19,MATCH(U$4,'Type Chart'!$A$5:$A$19,0),MATCH($E49,'Type Chart'!$B$4:$P$4,0))*IF($F49="",1,INDEX('Type Chart'!$B$5:$P$19,MATCH(U$4,'Type Chart'!$A$5:$A$19,0),MATCH($F49,'Type Chart'!$B$4:$P$4,0)))</f>
        <v>2</v>
      </c>
    </row>
    <row r="50" customFormat="false" ht="15" hidden="false" customHeight="false" outlineLevel="0" collapsed="false">
      <c r="A50" s="17" t="s">
        <v>195</v>
      </c>
      <c r="B50" s="17" t="s">
        <v>180</v>
      </c>
      <c r="C50" s="17" t="s">
        <v>197</v>
      </c>
      <c r="D50" s="17" t="n">
        <v>60</v>
      </c>
      <c r="E50" s="17" t="s">
        <v>113</v>
      </c>
      <c r="F50" s="17" t="s">
        <v>120</v>
      </c>
      <c r="G50" s="18" t="n">
        <f aca="false">INDEX('Type Chart'!$B$5:$P$19,MATCH(G$4,'Type Chart'!$A$5:$A$19,0),MATCH($E50,'Type Chart'!$B$4:$P$4,0))*IF($F50="",1,INDEX('Type Chart'!$B$5:$P$19,MATCH(G$4,'Type Chart'!$A$5:$A$19,0),MATCH($F50,'Type Chart'!$B$4:$P$4,0)))</f>
        <v>1</v>
      </c>
      <c r="H50" s="18" t="n">
        <f aca="false">INDEX('Type Chart'!$B$5:$P$19,MATCH(H$4,'Type Chart'!$A$5:$A$19,0),MATCH($E50,'Type Chart'!$B$4:$P$4,0))*IF($F50="",1,INDEX('Type Chart'!$B$5:$P$19,MATCH(H$4,'Type Chart'!$A$5:$A$19,0),MATCH($F50,'Type Chart'!$B$4:$P$4,0)))</f>
        <v>0.5</v>
      </c>
      <c r="I50" s="18" t="n">
        <f aca="false">INDEX('Type Chart'!$B$5:$P$19,MATCH(I$4,'Type Chart'!$A$5:$A$19,0),MATCH($E50,'Type Chart'!$B$4:$P$4,0))*IF($F50="",1,INDEX('Type Chart'!$B$5:$P$19,MATCH(I$4,'Type Chart'!$A$5:$A$19,0),MATCH($F50,'Type Chart'!$B$4:$P$4,0)))</f>
        <v>0.5</v>
      </c>
      <c r="J50" s="18" t="n">
        <f aca="false">INDEX('Type Chart'!$B$5:$P$19,MATCH(J$4,'Type Chart'!$A$5:$A$19,0),MATCH($E50,'Type Chart'!$B$4:$P$4,0))*IF($F50="",1,INDEX('Type Chart'!$B$5:$P$19,MATCH(J$4,'Type Chart'!$A$5:$A$19,0),MATCH($F50,'Type Chart'!$B$4:$P$4,0)))</f>
        <v>4</v>
      </c>
      <c r="K50" s="18" t="n">
        <f aca="false">INDEX('Type Chart'!$B$5:$P$19,MATCH(K$4,'Type Chart'!$A$5:$A$19,0),MATCH($E50,'Type Chart'!$B$4:$P$4,0))*IF($F50="",1,INDEX('Type Chart'!$B$5:$P$19,MATCH(K$4,'Type Chart'!$A$5:$A$19,0),MATCH($F50,'Type Chart'!$B$4:$P$4,0)))</f>
        <v>1</v>
      </c>
      <c r="L50" s="18" t="n">
        <f aca="false">INDEX('Type Chart'!$B$5:$P$19,MATCH(L$4,'Type Chart'!$A$5:$A$19,0),MATCH($E50,'Type Chart'!$B$4:$P$4,0))*IF($F50="",1,INDEX('Type Chart'!$B$5:$P$19,MATCH(L$4,'Type Chart'!$A$5:$A$19,0),MATCH($F50,'Type Chart'!$B$4:$P$4,0)))</f>
        <v>1</v>
      </c>
      <c r="M50" s="18" t="n">
        <f aca="false">INDEX('Type Chart'!$B$5:$P$19,MATCH(M$4,'Type Chart'!$A$5:$A$19,0),MATCH($E50,'Type Chart'!$B$4:$P$4,0))*IF($F50="",1,INDEX('Type Chart'!$B$5:$P$19,MATCH(M$4,'Type Chart'!$A$5:$A$19,0),MATCH($F50,'Type Chart'!$B$4:$P$4,0)))</f>
        <v>0.5</v>
      </c>
      <c r="N50" s="18" t="n">
        <f aca="false">INDEX('Type Chart'!$B$5:$P$19,MATCH(N$4,'Type Chart'!$A$5:$A$19,0),MATCH($E50,'Type Chart'!$B$4:$P$4,0))*IF($F50="",1,INDEX('Type Chart'!$B$5:$P$19,MATCH(N$4,'Type Chart'!$A$5:$A$19,0),MATCH($F50,'Type Chart'!$B$4:$P$4,0)))</f>
        <v>1</v>
      </c>
      <c r="O50" s="18" t="n">
        <f aca="false">INDEX('Type Chart'!$B$5:$P$19,MATCH(O$4,'Type Chart'!$A$5:$A$19,0),MATCH($E50,'Type Chart'!$B$4:$P$4,0))*IF($F50="",1,INDEX('Type Chart'!$B$5:$P$19,MATCH(O$4,'Type Chart'!$A$5:$A$19,0),MATCH($F50,'Type Chart'!$B$4:$P$4,0)))</f>
        <v>0</v>
      </c>
      <c r="P50" s="18" t="n">
        <f aca="false">INDEX('Type Chart'!$B$5:$P$19,MATCH(P$4,'Type Chart'!$A$5:$A$19,0),MATCH($E50,'Type Chart'!$B$4:$P$4,0))*IF($F50="",1,INDEX('Type Chart'!$B$5:$P$19,MATCH(P$4,'Type Chart'!$A$5:$A$19,0),MATCH($F50,'Type Chart'!$B$4:$P$4,0)))</f>
        <v>1</v>
      </c>
      <c r="Q50" s="18" t="n">
        <f aca="false">INDEX('Type Chart'!$B$5:$P$19,MATCH(Q$4,'Type Chart'!$A$5:$A$19,0),MATCH($E50,'Type Chart'!$B$4:$P$4,0))*IF($F50="",1,INDEX('Type Chart'!$B$5:$P$19,MATCH(Q$4,'Type Chart'!$A$5:$A$19,0),MATCH($F50,'Type Chart'!$B$4:$P$4,0)))</f>
        <v>1</v>
      </c>
      <c r="R50" s="18" t="n">
        <f aca="false">INDEX('Type Chart'!$B$5:$P$19,MATCH(R$4,'Type Chart'!$A$5:$A$19,0),MATCH($E50,'Type Chart'!$B$4:$P$4,0))*IF($F50="",1,INDEX('Type Chart'!$B$5:$P$19,MATCH(R$4,'Type Chart'!$A$5:$A$19,0),MATCH($F50,'Type Chart'!$B$4:$P$4,0)))</f>
        <v>0.5</v>
      </c>
      <c r="S50" s="18" t="n">
        <f aca="false">INDEX('Type Chart'!$B$5:$P$19,MATCH(S$4,'Type Chart'!$A$5:$A$19,0),MATCH($E50,'Type Chart'!$B$4:$P$4,0))*IF($F50="",1,INDEX('Type Chart'!$B$5:$P$19,MATCH(S$4,'Type Chart'!$A$5:$A$19,0),MATCH($F50,'Type Chart'!$B$4:$P$4,0)))</f>
        <v>2</v>
      </c>
      <c r="T50" s="18" t="n">
        <f aca="false">INDEX('Type Chart'!$B$5:$P$19,MATCH(T$4,'Type Chart'!$A$5:$A$19,0),MATCH($E50,'Type Chart'!$B$4:$P$4,0))*IF($F50="",1,INDEX('Type Chart'!$B$5:$P$19,MATCH(T$4,'Type Chart'!$A$5:$A$19,0),MATCH($F50,'Type Chart'!$B$4:$P$4,0)))</f>
        <v>1</v>
      </c>
      <c r="U50" s="18" t="n">
        <f aca="false">INDEX('Type Chart'!$B$5:$P$19,MATCH(U$4,'Type Chart'!$A$5:$A$19,0),MATCH($E50,'Type Chart'!$B$4:$P$4,0))*IF($F50="",1,INDEX('Type Chart'!$B$5:$P$19,MATCH(U$4,'Type Chart'!$A$5:$A$19,0),MATCH($F50,'Type Chart'!$B$4:$P$4,0)))</f>
        <v>1</v>
      </c>
    </row>
    <row r="51" customFormat="false" ht="15" hidden="false" customHeight="false" outlineLevel="0" collapsed="false">
      <c r="A51" s="17" t="s">
        <v>195</v>
      </c>
      <c r="B51" s="17" t="s">
        <v>180</v>
      </c>
      <c r="C51" s="17" t="s">
        <v>168</v>
      </c>
      <c r="D51" s="17" t="n">
        <v>60</v>
      </c>
      <c r="E51" s="17" t="s">
        <v>112</v>
      </c>
      <c r="F51" s="17" t="s">
        <v>120</v>
      </c>
      <c r="G51" s="18" t="n">
        <f aca="false">INDEX('Type Chart'!$B$5:$P$19,MATCH(G$4,'Type Chart'!$A$5:$A$19,0),MATCH($E51,'Type Chart'!$B$4:$P$4,0))*IF($F51="",1,INDEX('Type Chart'!$B$5:$P$19,MATCH(G$4,'Type Chart'!$A$5:$A$19,0),MATCH($F51,'Type Chart'!$B$4:$P$4,0)))</f>
        <v>1</v>
      </c>
      <c r="H51" s="18" t="n">
        <f aca="false">INDEX('Type Chart'!$B$5:$P$19,MATCH(H$4,'Type Chart'!$A$5:$A$19,0),MATCH($E51,'Type Chart'!$B$4:$P$4,0))*IF($F51="",1,INDEX('Type Chart'!$B$5:$P$19,MATCH(H$4,'Type Chart'!$A$5:$A$19,0),MATCH($F51,'Type Chart'!$B$4:$P$4,0)))</f>
        <v>0.5</v>
      </c>
      <c r="I51" s="18" t="n">
        <f aca="false">INDEX('Type Chart'!$B$5:$P$19,MATCH(I$4,'Type Chart'!$A$5:$A$19,0),MATCH($E51,'Type Chart'!$B$4:$P$4,0))*IF($F51="",1,INDEX('Type Chart'!$B$5:$P$19,MATCH(I$4,'Type Chart'!$A$5:$A$19,0),MATCH($F51,'Type Chart'!$B$4:$P$4,0)))</f>
        <v>2</v>
      </c>
      <c r="J51" s="18" t="n">
        <f aca="false">INDEX('Type Chart'!$B$5:$P$19,MATCH(J$4,'Type Chart'!$A$5:$A$19,0),MATCH($E51,'Type Chart'!$B$4:$P$4,0))*IF($F51="",1,INDEX('Type Chart'!$B$5:$P$19,MATCH(J$4,'Type Chart'!$A$5:$A$19,0),MATCH($F51,'Type Chart'!$B$4:$P$4,0)))</f>
        <v>2</v>
      </c>
      <c r="K51" s="18" t="n">
        <f aca="false">INDEX('Type Chart'!$B$5:$P$19,MATCH(K$4,'Type Chart'!$A$5:$A$19,0),MATCH($E51,'Type Chart'!$B$4:$P$4,0))*IF($F51="",1,INDEX('Type Chart'!$B$5:$P$19,MATCH(K$4,'Type Chart'!$A$5:$A$19,0),MATCH($F51,'Type Chart'!$B$4:$P$4,0)))</f>
        <v>0.25</v>
      </c>
      <c r="L51" s="18" t="n">
        <f aca="false">INDEX('Type Chart'!$B$5:$P$19,MATCH(L$4,'Type Chart'!$A$5:$A$19,0),MATCH($E51,'Type Chart'!$B$4:$P$4,0))*IF($F51="",1,INDEX('Type Chart'!$B$5:$P$19,MATCH(L$4,'Type Chart'!$A$5:$A$19,0),MATCH($F51,'Type Chart'!$B$4:$P$4,0)))</f>
        <v>2</v>
      </c>
      <c r="M51" s="18" t="n">
        <f aca="false">INDEX('Type Chart'!$B$5:$P$19,MATCH(M$4,'Type Chart'!$A$5:$A$19,0),MATCH($E51,'Type Chart'!$B$4:$P$4,0))*IF($F51="",1,INDEX('Type Chart'!$B$5:$P$19,MATCH(M$4,'Type Chart'!$A$5:$A$19,0),MATCH($F51,'Type Chart'!$B$4:$P$4,0)))</f>
        <v>0.5</v>
      </c>
      <c r="N51" s="18" t="n">
        <f aca="false">INDEX('Type Chart'!$B$5:$P$19,MATCH(N$4,'Type Chart'!$A$5:$A$19,0),MATCH($E51,'Type Chart'!$B$4:$P$4,0))*IF($F51="",1,INDEX('Type Chart'!$B$5:$P$19,MATCH(N$4,'Type Chart'!$A$5:$A$19,0),MATCH($F51,'Type Chart'!$B$4:$P$4,0)))</f>
        <v>1</v>
      </c>
      <c r="O51" s="18" t="n">
        <f aca="false">INDEX('Type Chart'!$B$5:$P$19,MATCH(O$4,'Type Chart'!$A$5:$A$19,0),MATCH($E51,'Type Chart'!$B$4:$P$4,0))*IF($F51="",1,INDEX('Type Chart'!$B$5:$P$19,MATCH(O$4,'Type Chart'!$A$5:$A$19,0),MATCH($F51,'Type Chart'!$B$4:$P$4,0)))</f>
        <v>0</v>
      </c>
      <c r="P51" s="18" t="n">
        <f aca="false">INDEX('Type Chart'!$B$5:$P$19,MATCH(P$4,'Type Chart'!$A$5:$A$19,0),MATCH($E51,'Type Chart'!$B$4:$P$4,0))*IF($F51="",1,INDEX('Type Chart'!$B$5:$P$19,MATCH(P$4,'Type Chart'!$A$5:$A$19,0),MATCH($F51,'Type Chart'!$B$4:$P$4,0)))</f>
        <v>1</v>
      </c>
      <c r="Q51" s="18" t="n">
        <f aca="false">INDEX('Type Chart'!$B$5:$P$19,MATCH(Q$4,'Type Chart'!$A$5:$A$19,0),MATCH($E51,'Type Chart'!$B$4:$P$4,0))*IF($F51="",1,INDEX('Type Chart'!$B$5:$P$19,MATCH(Q$4,'Type Chart'!$A$5:$A$19,0),MATCH($F51,'Type Chart'!$B$4:$P$4,0)))</f>
        <v>1</v>
      </c>
      <c r="R51" s="18" t="n">
        <f aca="false">INDEX('Type Chart'!$B$5:$P$19,MATCH(R$4,'Type Chart'!$A$5:$A$19,0),MATCH($E51,'Type Chart'!$B$4:$P$4,0))*IF($F51="",1,INDEX('Type Chart'!$B$5:$P$19,MATCH(R$4,'Type Chart'!$A$5:$A$19,0),MATCH($F51,'Type Chart'!$B$4:$P$4,0)))</f>
        <v>0.25</v>
      </c>
      <c r="S51" s="18" t="n">
        <f aca="false">INDEX('Type Chart'!$B$5:$P$19,MATCH(S$4,'Type Chart'!$A$5:$A$19,0),MATCH($E51,'Type Chart'!$B$4:$P$4,0))*IF($F51="",1,INDEX('Type Chart'!$B$5:$P$19,MATCH(S$4,'Type Chart'!$A$5:$A$19,0),MATCH($F51,'Type Chart'!$B$4:$P$4,0)))</f>
        <v>4</v>
      </c>
      <c r="T51" s="18" t="n">
        <f aca="false">INDEX('Type Chart'!$B$5:$P$19,MATCH(T$4,'Type Chart'!$A$5:$A$19,0),MATCH($E51,'Type Chart'!$B$4:$P$4,0))*IF($F51="",1,INDEX('Type Chart'!$B$5:$P$19,MATCH(T$4,'Type Chart'!$A$5:$A$19,0),MATCH($F51,'Type Chart'!$B$4:$P$4,0)))</f>
        <v>1</v>
      </c>
      <c r="U51" s="18" t="n">
        <f aca="false">INDEX('Type Chart'!$B$5:$P$19,MATCH(U$4,'Type Chart'!$A$5:$A$19,0),MATCH($E51,'Type Chart'!$B$4:$P$4,0))*IF($F51="",1,INDEX('Type Chart'!$B$5:$P$19,MATCH(U$4,'Type Chart'!$A$5:$A$19,0),MATCH($F51,'Type Chart'!$B$4:$P$4,0)))</f>
        <v>1</v>
      </c>
    </row>
    <row r="52" customFormat="false" ht="15" hidden="false" customHeight="false" outlineLevel="0" collapsed="false">
      <c r="A52" s="17" t="s">
        <v>195</v>
      </c>
      <c r="B52" s="17" t="s">
        <v>180</v>
      </c>
      <c r="C52" s="17" t="s">
        <v>198</v>
      </c>
      <c r="D52" s="17" t="n">
        <v>61</v>
      </c>
      <c r="E52" s="17" t="s">
        <v>123</v>
      </c>
      <c r="F52" s="17" t="s">
        <v>120</v>
      </c>
      <c r="G52" s="18" t="n">
        <f aca="false">INDEX('Type Chart'!$B$5:$P$19,MATCH(G$4,'Type Chart'!$A$5:$A$19,0),MATCH($E52,'Type Chart'!$B$4:$P$4,0))*IF($F52="",1,INDEX('Type Chart'!$B$5:$P$19,MATCH(G$4,'Type Chart'!$A$5:$A$19,0),MATCH($F52,'Type Chart'!$B$4:$P$4,0)))</f>
        <v>0.5</v>
      </c>
      <c r="H52" s="18" t="n">
        <f aca="false">INDEX('Type Chart'!$B$5:$P$19,MATCH(H$4,'Type Chart'!$A$5:$A$19,0),MATCH($E52,'Type Chart'!$B$4:$P$4,0))*IF($F52="",1,INDEX('Type Chart'!$B$5:$P$19,MATCH(H$4,'Type Chart'!$A$5:$A$19,0),MATCH($F52,'Type Chart'!$B$4:$P$4,0)))</f>
        <v>0.5</v>
      </c>
      <c r="I52" s="18" t="n">
        <f aca="false">INDEX('Type Chart'!$B$5:$P$19,MATCH(I$4,'Type Chart'!$A$5:$A$19,0),MATCH($E52,'Type Chart'!$B$4:$P$4,0))*IF($F52="",1,INDEX('Type Chart'!$B$5:$P$19,MATCH(I$4,'Type Chart'!$A$5:$A$19,0),MATCH($F52,'Type Chart'!$B$4:$P$4,0)))</f>
        <v>2</v>
      </c>
      <c r="J52" s="18" t="n">
        <f aca="false">INDEX('Type Chart'!$B$5:$P$19,MATCH(J$4,'Type Chart'!$A$5:$A$19,0),MATCH($E52,'Type Chart'!$B$4:$P$4,0))*IF($F52="",1,INDEX('Type Chart'!$B$5:$P$19,MATCH(J$4,'Type Chart'!$A$5:$A$19,0),MATCH($F52,'Type Chart'!$B$4:$P$4,0)))</f>
        <v>2</v>
      </c>
      <c r="K52" s="18" t="n">
        <f aca="false">INDEX('Type Chart'!$B$5:$P$19,MATCH(K$4,'Type Chart'!$A$5:$A$19,0),MATCH($E52,'Type Chart'!$B$4:$P$4,0))*IF($F52="",1,INDEX('Type Chart'!$B$5:$P$19,MATCH(K$4,'Type Chart'!$A$5:$A$19,0),MATCH($F52,'Type Chart'!$B$4:$P$4,0)))</f>
        <v>1</v>
      </c>
      <c r="L52" s="18" t="n">
        <f aca="false">INDEX('Type Chart'!$B$5:$P$19,MATCH(L$4,'Type Chart'!$A$5:$A$19,0),MATCH($E52,'Type Chart'!$B$4:$P$4,0))*IF($F52="",1,INDEX('Type Chart'!$B$5:$P$19,MATCH(L$4,'Type Chart'!$A$5:$A$19,0),MATCH($F52,'Type Chart'!$B$4:$P$4,0)))</f>
        <v>2</v>
      </c>
      <c r="M52" s="18" t="n">
        <f aca="false">INDEX('Type Chart'!$B$5:$P$19,MATCH(M$4,'Type Chart'!$A$5:$A$19,0),MATCH($E52,'Type Chart'!$B$4:$P$4,0))*IF($F52="",1,INDEX('Type Chart'!$B$5:$P$19,MATCH(M$4,'Type Chart'!$A$5:$A$19,0),MATCH($F52,'Type Chart'!$B$4:$P$4,0)))</f>
        <v>1</v>
      </c>
      <c r="N52" s="18" t="n">
        <f aca="false">INDEX('Type Chart'!$B$5:$P$19,MATCH(N$4,'Type Chart'!$A$5:$A$19,0),MATCH($E52,'Type Chart'!$B$4:$P$4,0))*IF($F52="",1,INDEX('Type Chart'!$B$5:$P$19,MATCH(N$4,'Type Chart'!$A$5:$A$19,0),MATCH($F52,'Type Chart'!$B$4:$P$4,0)))</f>
        <v>0.5</v>
      </c>
      <c r="O52" s="18" t="n">
        <f aca="false">INDEX('Type Chart'!$B$5:$P$19,MATCH(O$4,'Type Chart'!$A$5:$A$19,0),MATCH($E52,'Type Chart'!$B$4:$P$4,0))*IF($F52="",1,INDEX('Type Chart'!$B$5:$P$19,MATCH(O$4,'Type Chart'!$A$5:$A$19,0),MATCH($F52,'Type Chart'!$B$4:$P$4,0)))</f>
        <v>0</v>
      </c>
      <c r="P52" s="18" t="n">
        <f aca="false">INDEX('Type Chart'!$B$5:$P$19,MATCH(P$4,'Type Chart'!$A$5:$A$19,0),MATCH($E52,'Type Chart'!$B$4:$P$4,0))*IF($F52="",1,INDEX('Type Chart'!$B$5:$P$19,MATCH(P$4,'Type Chart'!$A$5:$A$19,0),MATCH($F52,'Type Chart'!$B$4:$P$4,0)))</f>
        <v>0.5</v>
      </c>
      <c r="Q52" s="18" t="n">
        <f aca="false">INDEX('Type Chart'!$B$5:$P$19,MATCH(Q$4,'Type Chart'!$A$5:$A$19,0),MATCH($E52,'Type Chart'!$B$4:$P$4,0))*IF($F52="",1,INDEX('Type Chart'!$B$5:$P$19,MATCH(Q$4,'Type Chart'!$A$5:$A$19,0),MATCH($F52,'Type Chart'!$B$4:$P$4,0)))</f>
        <v>1</v>
      </c>
      <c r="R52" s="18" t="n">
        <f aca="false">INDEX('Type Chart'!$B$5:$P$19,MATCH(R$4,'Type Chart'!$A$5:$A$19,0),MATCH($E52,'Type Chart'!$B$4:$P$4,0))*IF($F52="",1,INDEX('Type Chart'!$B$5:$P$19,MATCH(R$4,'Type Chart'!$A$5:$A$19,0),MATCH($F52,'Type Chart'!$B$4:$P$4,0)))</f>
        <v>0.5</v>
      </c>
      <c r="S52" s="18" t="n">
        <f aca="false">INDEX('Type Chart'!$B$5:$P$19,MATCH(S$4,'Type Chart'!$A$5:$A$19,0),MATCH($E52,'Type Chart'!$B$4:$P$4,0))*IF($F52="",1,INDEX('Type Chart'!$B$5:$P$19,MATCH(S$4,'Type Chart'!$A$5:$A$19,0),MATCH($F52,'Type Chart'!$B$4:$P$4,0)))</f>
        <v>2</v>
      </c>
      <c r="T52" s="18" t="n">
        <f aca="false">INDEX('Type Chart'!$B$5:$P$19,MATCH(T$4,'Type Chart'!$A$5:$A$19,0),MATCH($E52,'Type Chart'!$B$4:$P$4,0))*IF($F52="",1,INDEX('Type Chart'!$B$5:$P$19,MATCH(T$4,'Type Chart'!$A$5:$A$19,0),MATCH($F52,'Type Chart'!$B$4:$P$4,0)))</f>
        <v>1</v>
      </c>
      <c r="U52" s="18" t="n">
        <f aca="false">INDEX('Type Chart'!$B$5:$P$19,MATCH(U$4,'Type Chart'!$A$5:$A$19,0),MATCH($E52,'Type Chart'!$B$4:$P$4,0))*IF($F52="",1,INDEX('Type Chart'!$B$5:$P$19,MATCH(U$4,'Type Chart'!$A$5:$A$19,0),MATCH($F52,'Type Chart'!$B$4:$P$4,0)))</f>
        <v>1</v>
      </c>
    </row>
    <row r="53" customFormat="false" ht="15" hidden="false" customHeight="false" outlineLevel="0" collapsed="false">
      <c r="A53" s="17" t="s">
        <v>195</v>
      </c>
      <c r="B53" s="17" t="s">
        <v>180</v>
      </c>
      <c r="C53" s="17" t="s">
        <v>196</v>
      </c>
      <c r="D53" s="17" t="n">
        <v>62</v>
      </c>
      <c r="E53" s="17" t="s">
        <v>125</v>
      </c>
      <c r="F53" s="17" t="s">
        <v>120</v>
      </c>
      <c r="G53" s="18" t="n">
        <f aca="false">INDEX('Type Chart'!$B$5:$P$19,MATCH(G$4,'Type Chart'!$A$5:$A$19,0),MATCH($E53,'Type Chart'!$B$4:$P$4,0))*IF($F53="",1,INDEX('Type Chart'!$B$5:$P$19,MATCH(G$4,'Type Chart'!$A$5:$A$19,0),MATCH($F53,'Type Chart'!$B$4:$P$4,0)))</f>
        <v>1</v>
      </c>
      <c r="H53" s="18" t="n">
        <f aca="false">INDEX('Type Chart'!$B$5:$P$19,MATCH(H$4,'Type Chart'!$A$5:$A$19,0),MATCH($E53,'Type Chart'!$B$4:$P$4,0))*IF($F53="",1,INDEX('Type Chart'!$B$5:$P$19,MATCH(H$4,'Type Chart'!$A$5:$A$19,0),MATCH($F53,'Type Chart'!$B$4:$P$4,0)))</f>
        <v>0.5</v>
      </c>
      <c r="I53" s="18" t="n">
        <f aca="false">INDEX('Type Chart'!$B$5:$P$19,MATCH(I$4,'Type Chart'!$A$5:$A$19,0),MATCH($E53,'Type Chart'!$B$4:$P$4,0))*IF($F53="",1,INDEX('Type Chart'!$B$5:$P$19,MATCH(I$4,'Type Chart'!$A$5:$A$19,0),MATCH($F53,'Type Chart'!$B$4:$P$4,0)))</f>
        <v>0.5</v>
      </c>
      <c r="J53" s="18" t="n">
        <f aca="false">INDEX('Type Chart'!$B$5:$P$19,MATCH(J$4,'Type Chart'!$A$5:$A$19,0),MATCH($E53,'Type Chart'!$B$4:$P$4,0))*IF($F53="",1,INDEX('Type Chart'!$B$5:$P$19,MATCH(J$4,'Type Chart'!$A$5:$A$19,0),MATCH($F53,'Type Chart'!$B$4:$P$4,0)))</f>
        <v>1</v>
      </c>
      <c r="K53" s="18" t="n">
        <f aca="false">INDEX('Type Chart'!$B$5:$P$19,MATCH(K$4,'Type Chart'!$A$5:$A$19,0),MATCH($E53,'Type Chart'!$B$4:$P$4,0))*IF($F53="",1,INDEX('Type Chart'!$B$5:$P$19,MATCH(K$4,'Type Chart'!$A$5:$A$19,0),MATCH($F53,'Type Chart'!$B$4:$P$4,0)))</f>
        <v>0.25</v>
      </c>
      <c r="L53" s="18" t="n">
        <f aca="false">INDEX('Type Chart'!$B$5:$P$19,MATCH(L$4,'Type Chart'!$A$5:$A$19,0),MATCH($E53,'Type Chart'!$B$4:$P$4,0))*IF($F53="",1,INDEX('Type Chart'!$B$5:$P$19,MATCH(L$4,'Type Chart'!$A$5:$A$19,0),MATCH($F53,'Type Chart'!$B$4:$P$4,0)))</f>
        <v>4</v>
      </c>
      <c r="M53" s="18" t="n">
        <f aca="false">INDEX('Type Chart'!$B$5:$P$19,MATCH(M$4,'Type Chart'!$A$5:$A$19,0),MATCH($E53,'Type Chart'!$B$4:$P$4,0))*IF($F53="",1,INDEX('Type Chart'!$B$5:$P$19,MATCH(M$4,'Type Chart'!$A$5:$A$19,0),MATCH($F53,'Type Chart'!$B$4:$P$4,0)))</f>
        <v>0.5</v>
      </c>
      <c r="N53" s="18" t="n">
        <f aca="false">INDEX('Type Chart'!$B$5:$P$19,MATCH(N$4,'Type Chart'!$A$5:$A$19,0),MATCH($E53,'Type Chart'!$B$4:$P$4,0))*IF($F53="",1,INDEX('Type Chart'!$B$5:$P$19,MATCH(N$4,'Type Chart'!$A$5:$A$19,0),MATCH($F53,'Type Chart'!$B$4:$P$4,0)))</f>
        <v>1</v>
      </c>
      <c r="O53" s="18" t="n">
        <f aca="false">INDEX('Type Chart'!$B$5:$P$19,MATCH(O$4,'Type Chart'!$A$5:$A$19,0),MATCH($E53,'Type Chart'!$B$4:$P$4,0))*IF($F53="",1,INDEX('Type Chart'!$B$5:$P$19,MATCH(O$4,'Type Chart'!$A$5:$A$19,0),MATCH($F53,'Type Chart'!$B$4:$P$4,0)))</f>
        <v>0</v>
      </c>
      <c r="P53" s="18" t="n">
        <f aca="false">INDEX('Type Chart'!$B$5:$P$19,MATCH(P$4,'Type Chart'!$A$5:$A$19,0),MATCH($E53,'Type Chart'!$B$4:$P$4,0))*IF($F53="",1,INDEX('Type Chart'!$B$5:$P$19,MATCH(P$4,'Type Chart'!$A$5:$A$19,0),MATCH($F53,'Type Chart'!$B$4:$P$4,0)))</f>
        <v>1</v>
      </c>
      <c r="Q53" s="18" t="n">
        <f aca="false">INDEX('Type Chart'!$B$5:$P$19,MATCH(Q$4,'Type Chart'!$A$5:$A$19,0),MATCH($E53,'Type Chart'!$B$4:$P$4,0))*IF($F53="",1,INDEX('Type Chart'!$B$5:$P$19,MATCH(Q$4,'Type Chart'!$A$5:$A$19,0),MATCH($F53,'Type Chart'!$B$4:$P$4,0)))</f>
        <v>1</v>
      </c>
      <c r="R53" s="18" t="n">
        <f aca="false">INDEX('Type Chart'!$B$5:$P$19,MATCH(R$4,'Type Chart'!$A$5:$A$19,0),MATCH($E53,'Type Chart'!$B$4:$P$4,0))*IF($F53="",1,INDEX('Type Chart'!$B$5:$P$19,MATCH(R$4,'Type Chart'!$A$5:$A$19,0),MATCH($F53,'Type Chart'!$B$4:$P$4,0)))</f>
        <v>0.5</v>
      </c>
      <c r="S53" s="18" t="n">
        <f aca="false">INDEX('Type Chart'!$B$5:$P$19,MATCH(S$4,'Type Chart'!$A$5:$A$19,0),MATCH($E53,'Type Chart'!$B$4:$P$4,0))*IF($F53="",1,INDEX('Type Chart'!$B$5:$P$19,MATCH(S$4,'Type Chart'!$A$5:$A$19,0),MATCH($F53,'Type Chart'!$B$4:$P$4,0)))</f>
        <v>2</v>
      </c>
      <c r="T53" s="18" t="n">
        <f aca="false">INDEX('Type Chart'!$B$5:$P$19,MATCH(T$4,'Type Chart'!$A$5:$A$19,0),MATCH($E53,'Type Chart'!$B$4:$P$4,0))*IF($F53="",1,INDEX('Type Chart'!$B$5:$P$19,MATCH(T$4,'Type Chart'!$A$5:$A$19,0),MATCH($F53,'Type Chart'!$B$4:$P$4,0)))</f>
        <v>1</v>
      </c>
      <c r="U53" s="18" t="n">
        <f aca="false">INDEX('Type Chart'!$B$5:$P$19,MATCH(U$4,'Type Chart'!$A$5:$A$19,0),MATCH($E53,'Type Chart'!$B$4:$P$4,0))*IF($F53="",1,INDEX('Type Chart'!$B$5:$P$19,MATCH(U$4,'Type Chart'!$A$5:$A$19,0),MATCH($F53,'Type Chart'!$B$4:$P$4,0)))</f>
        <v>2</v>
      </c>
    </row>
    <row r="54" customFormat="false" ht="15" hidden="false" customHeight="false" outlineLevel="0" collapsed="false">
      <c r="A54" s="17" t="s">
        <v>199</v>
      </c>
      <c r="B54" s="17" t="s">
        <v>29</v>
      </c>
      <c r="C54" s="17" t="s">
        <v>190</v>
      </c>
      <c r="D54" s="17" t="n">
        <v>60</v>
      </c>
      <c r="E54" s="17" t="s">
        <v>117</v>
      </c>
      <c r="F54" s="17"/>
      <c r="G54" s="18" t="n">
        <f aca="false">INDEX('Type Chart'!$B$5:$P$19,MATCH(G$4,'Type Chart'!$A$5:$A$19,0),MATCH($E54,'Type Chart'!$B$4:$P$4,0))*IF($F54="",1,INDEX('Type Chart'!$B$5:$P$19,MATCH(G$4,'Type Chart'!$A$5:$A$19,0),MATCH($F54,'Type Chart'!$B$4:$P$4,0)))</f>
        <v>1</v>
      </c>
      <c r="H54" s="18" t="n">
        <f aca="false">INDEX('Type Chart'!$B$5:$P$19,MATCH(H$4,'Type Chart'!$A$5:$A$19,0),MATCH($E54,'Type Chart'!$B$4:$P$4,0))*IF($F54="",1,INDEX('Type Chart'!$B$5:$P$19,MATCH(H$4,'Type Chart'!$A$5:$A$19,0),MATCH($F54,'Type Chart'!$B$4:$P$4,0)))</f>
        <v>1</v>
      </c>
      <c r="I54" s="18" t="n">
        <f aca="false">INDEX('Type Chart'!$B$5:$P$19,MATCH(I$4,'Type Chart'!$A$5:$A$19,0),MATCH($E54,'Type Chart'!$B$4:$P$4,0))*IF($F54="",1,INDEX('Type Chart'!$B$5:$P$19,MATCH(I$4,'Type Chart'!$A$5:$A$19,0),MATCH($F54,'Type Chart'!$B$4:$P$4,0)))</f>
        <v>1</v>
      </c>
      <c r="J54" s="18" t="n">
        <f aca="false">INDEX('Type Chart'!$B$5:$P$19,MATCH(J$4,'Type Chart'!$A$5:$A$19,0),MATCH($E54,'Type Chart'!$B$4:$P$4,0))*IF($F54="",1,INDEX('Type Chart'!$B$5:$P$19,MATCH(J$4,'Type Chart'!$A$5:$A$19,0),MATCH($F54,'Type Chart'!$B$4:$P$4,0)))</f>
        <v>1</v>
      </c>
      <c r="K54" s="18" t="n">
        <f aca="false">INDEX('Type Chart'!$B$5:$P$19,MATCH(K$4,'Type Chart'!$A$5:$A$19,0),MATCH($E54,'Type Chart'!$B$4:$P$4,0))*IF($F54="",1,INDEX('Type Chart'!$B$5:$P$19,MATCH(K$4,'Type Chart'!$A$5:$A$19,0),MATCH($F54,'Type Chart'!$B$4:$P$4,0)))</f>
        <v>1</v>
      </c>
      <c r="L54" s="18" t="n">
        <f aca="false">INDEX('Type Chart'!$B$5:$P$19,MATCH(L$4,'Type Chart'!$A$5:$A$19,0),MATCH($E54,'Type Chart'!$B$4:$P$4,0))*IF($F54="",1,INDEX('Type Chart'!$B$5:$P$19,MATCH(L$4,'Type Chart'!$A$5:$A$19,0),MATCH($F54,'Type Chart'!$B$4:$P$4,0)))</f>
        <v>1</v>
      </c>
      <c r="M54" s="18" t="n">
        <f aca="false">INDEX('Type Chart'!$B$5:$P$19,MATCH(M$4,'Type Chart'!$A$5:$A$19,0),MATCH($E54,'Type Chart'!$B$4:$P$4,0))*IF($F54="",1,INDEX('Type Chart'!$B$5:$P$19,MATCH(M$4,'Type Chart'!$A$5:$A$19,0),MATCH($F54,'Type Chart'!$B$4:$P$4,0)))</f>
        <v>1</v>
      </c>
      <c r="N54" s="18" t="n">
        <f aca="false">INDEX('Type Chart'!$B$5:$P$19,MATCH(N$4,'Type Chart'!$A$5:$A$19,0),MATCH($E54,'Type Chart'!$B$4:$P$4,0))*IF($F54="",1,INDEX('Type Chart'!$B$5:$P$19,MATCH(N$4,'Type Chart'!$A$5:$A$19,0),MATCH($F54,'Type Chart'!$B$4:$P$4,0)))</f>
        <v>1</v>
      </c>
      <c r="O54" s="18" t="n">
        <f aca="false">INDEX('Type Chart'!$B$5:$P$19,MATCH(O$4,'Type Chart'!$A$5:$A$19,0),MATCH($E54,'Type Chart'!$B$4:$P$4,0))*IF($F54="",1,INDEX('Type Chart'!$B$5:$P$19,MATCH(O$4,'Type Chart'!$A$5:$A$19,0),MATCH($F54,'Type Chart'!$B$4:$P$4,0)))</f>
        <v>1</v>
      </c>
      <c r="P54" s="18" t="n">
        <f aca="false">INDEX('Type Chart'!$B$5:$P$19,MATCH(P$4,'Type Chart'!$A$5:$A$19,0),MATCH($E54,'Type Chart'!$B$4:$P$4,0))*IF($F54="",1,INDEX('Type Chart'!$B$5:$P$19,MATCH(P$4,'Type Chart'!$A$5:$A$19,0),MATCH($F54,'Type Chart'!$B$4:$P$4,0)))</f>
        <v>2</v>
      </c>
      <c r="Q54" s="18" t="n">
        <f aca="false">INDEX('Type Chart'!$B$5:$P$19,MATCH(Q$4,'Type Chart'!$A$5:$A$19,0),MATCH($E54,'Type Chart'!$B$4:$P$4,0))*IF($F54="",1,INDEX('Type Chart'!$B$5:$P$19,MATCH(Q$4,'Type Chart'!$A$5:$A$19,0),MATCH($F54,'Type Chart'!$B$4:$P$4,0)))</f>
        <v>2</v>
      </c>
      <c r="R54" s="18" t="n">
        <f aca="false">INDEX('Type Chart'!$B$5:$P$19,MATCH(R$4,'Type Chart'!$A$5:$A$19,0),MATCH($E54,'Type Chart'!$B$4:$P$4,0))*IF($F54="",1,INDEX('Type Chart'!$B$5:$P$19,MATCH(R$4,'Type Chart'!$A$5:$A$19,0),MATCH($F54,'Type Chart'!$B$4:$P$4,0)))</f>
        <v>0.5</v>
      </c>
      <c r="S54" s="18" t="n">
        <f aca="false">INDEX('Type Chart'!$B$5:$P$19,MATCH(S$4,'Type Chart'!$A$5:$A$19,0),MATCH($E54,'Type Chart'!$B$4:$P$4,0))*IF($F54="",1,INDEX('Type Chart'!$B$5:$P$19,MATCH(S$4,'Type Chart'!$A$5:$A$19,0),MATCH($F54,'Type Chart'!$B$4:$P$4,0)))</f>
        <v>0.5</v>
      </c>
      <c r="T54" s="18" t="n">
        <f aca="false">INDEX('Type Chart'!$B$5:$P$19,MATCH(T$4,'Type Chart'!$A$5:$A$19,0),MATCH($E54,'Type Chart'!$B$4:$P$4,0))*IF($F54="",1,INDEX('Type Chart'!$B$5:$P$19,MATCH(T$4,'Type Chart'!$A$5:$A$19,0),MATCH($F54,'Type Chart'!$B$4:$P$4,0)))</f>
        <v>1</v>
      </c>
      <c r="U54" s="18" t="n">
        <f aca="false">INDEX('Type Chart'!$B$5:$P$19,MATCH(U$4,'Type Chart'!$A$5:$A$19,0),MATCH($E54,'Type Chart'!$B$4:$P$4,0))*IF($F54="",1,INDEX('Type Chart'!$B$5:$P$19,MATCH(U$4,'Type Chart'!$A$5:$A$19,0),MATCH($F54,'Type Chart'!$B$4:$P$4,0)))</f>
        <v>1</v>
      </c>
    </row>
    <row r="55" customFormat="false" ht="15" hidden="false" customHeight="false" outlineLevel="0" collapsed="false">
      <c r="A55" s="17" t="s">
        <v>199</v>
      </c>
      <c r="B55" s="17" t="s">
        <v>29</v>
      </c>
      <c r="C55" s="17" t="s">
        <v>200</v>
      </c>
      <c r="D55" s="17" t="n">
        <v>61</v>
      </c>
      <c r="E55" s="17" t="s">
        <v>111</v>
      </c>
      <c r="F55" s="17" t="s">
        <v>120</v>
      </c>
      <c r="G55" s="18" t="n">
        <f aca="false">INDEX('Type Chart'!$B$5:$P$19,MATCH(G$4,'Type Chart'!$A$5:$A$19,0),MATCH($E55,'Type Chart'!$B$4:$P$4,0))*IF($F55="",1,INDEX('Type Chart'!$B$5:$P$19,MATCH(G$4,'Type Chart'!$A$5:$A$19,0),MATCH($F55,'Type Chart'!$B$4:$P$4,0)))</f>
        <v>1</v>
      </c>
      <c r="H55" s="18" t="n">
        <f aca="false">INDEX('Type Chart'!$B$5:$P$19,MATCH(H$4,'Type Chart'!$A$5:$A$19,0),MATCH($E55,'Type Chart'!$B$4:$P$4,0))*IF($F55="",1,INDEX('Type Chart'!$B$5:$P$19,MATCH(H$4,'Type Chart'!$A$5:$A$19,0),MATCH($F55,'Type Chart'!$B$4:$P$4,0)))</f>
        <v>1</v>
      </c>
      <c r="I55" s="18" t="n">
        <f aca="false">INDEX('Type Chart'!$B$5:$P$19,MATCH(I$4,'Type Chart'!$A$5:$A$19,0),MATCH($E55,'Type Chart'!$B$4:$P$4,0))*IF($F55="",1,INDEX('Type Chart'!$B$5:$P$19,MATCH(I$4,'Type Chart'!$A$5:$A$19,0),MATCH($F55,'Type Chart'!$B$4:$P$4,0)))</f>
        <v>1</v>
      </c>
      <c r="J55" s="18" t="n">
        <f aca="false">INDEX('Type Chart'!$B$5:$P$19,MATCH(J$4,'Type Chart'!$A$5:$A$19,0),MATCH($E55,'Type Chart'!$B$4:$P$4,0))*IF($F55="",1,INDEX('Type Chart'!$B$5:$P$19,MATCH(J$4,'Type Chart'!$A$5:$A$19,0),MATCH($F55,'Type Chart'!$B$4:$P$4,0)))</f>
        <v>2</v>
      </c>
      <c r="K55" s="18" t="n">
        <f aca="false">INDEX('Type Chart'!$B$5:$P$19,MATCH(K$4,'Type Chart'!$A$5:$A$19,0),MATCH($E55,'Type Chart'!$B$4:$P$4,0))*IF($F55="",1,INDEX('Type Chart'!$B$5:$P$19,MATCH(K$4,'Type Chart'!$A$5:$A$19,0),MATCH($F55,'Type Chart'!$B$4:$P$4,0)))</f>
        <v>0.5</v>
      </c>
      <c r="L55" s="18" t="n">
        <f aca="false">INDEX('Type Chart'!$B$5:$P$19,MATCH(L$4,'Type Chart'!$A$5:$A$19,0),MATCH($E55,'Type Chart'!$B$4:$P$4,0))*IF($F55="",1,INDEX('Type Chart'!$B$5:$P$19,MATCH(L$4,'Type Chart'!$A$5:$A$19,0),MATCH($F55,'Type Chart'!$B$4:$P$4,0)))</f>
        <v>2</v>
      </c>
      <c r="M55" s="18" t="n">
        <f aca="false">INDEX('Type Chart'!$B$5:$P$19,MATCH(M$4,'Type Chart'!$A$5:$A$19,0),MATCH($E55,'Type Chart'!$B$4:$P$4,0))*IF($F55="",1,INDEX('Type Chart'!$B$5:$P$19,MATCH(M$4,'Type Chart'!$A$5:$A$19,0),MATCH($F55,'Type Chart'!$B$4:$P$4,0)))</f>
        <v>1</v>
      </c>
      <c r="N55" s="18" t="n">
        <f aca="false">INDEX('Type Chart'!$B$5:$P$19,MATCH(N$4,'Type Chart'!$A$5:$A$19,0),MATCH($E55,'Type Chart'!$B$4:$P$4,0))*IF($F55="",1,INDEX('Type Chart'!$B$5:$P$19,MATCH(N$4,'Type Chart'!$A$5:$A$19,0),MATCH($F55,'Type Chart'!$B$4:$P$4,0)))</f>
        <v>1</v>
      </c>
      <c r="O55" s="18" t="n">
        <f aca="false">INDEX('Type Chart'!$B$5:$P$19,MATCH(O$4,'Type Chart'!$A$5:$A$19,0),MATCH($E55,'Type Chart'!$B$4:$P$4,0))*IF($F55="",1,INDEX('Type Chart'!$B$5:$P$19,MATCH(O$4,'Type Chart'!$A$5:$A$19,0),MATCH($F55,'Type Chart'!$B$4:$P$4,0)))</f>
        <v>0</v>
      </c>
      <c r="P55" s="18" t="n">
        <f aca="false">INDEX('Type Chart'!$B$5:$P$19,MATCH(P$4,'Type Chart'!$A$5:$A$19,0),MATCH($E55,'Type Chart'!$B$4:$P$4,0))*IF($F55="",1,INDEX('Type Chart'!$B$5:$P$19,MATCH(P$4,'Type Chart'!$A$5:$A$19,0),MATCH($F55,'Type Chart'!$B$4:$P$4,0)))</f>
        <v>1</v>
      </c>
      <c r="Q55" s="18" t="n">
        <f aca="false">INDEX('Type Chart'!$B$5:$P$19,MATCH(Q$4,'Type Chart'!$A$5:$A$19,0),MATCH($E55,'Type Chart'!$B$4:$P$4,0))*IF($F55="",1,INDEX('Type Chart'!$B$5:$P$19,MATCH(Q$4,'Type Chart'!$A$5:$A$19,0),MATCH($F55,'Type Chart'!$B$4:$P$4,0)))</f>
        <v>1</v>
      </c>
      <c r="R55" s="18" t="n">
        <f aca="false">INDEX('Type Chart'!$B$5:$P$19,MATCH(R$4,'Type Chart'!$A$5:$A$19,0),MATCH($E55,'Type Chart'!$B$4:$P$4,0))*IF($F55="",1,INDEX('Type Chart'!$B$5:$P$19,MATCH(R$4,'Type Chart'!$A$5:$A$19,0),MATCH($F55,'Type Chart'!$B$4:$P$4,0)))</f>
        <v>0.5</v>
      </c>
      <c r="S55" s="18" t="n">
        <f aca="false">INDEX('Type Chart'!$B$5:$P$19,MATCH(S$4,'Type Chart'!$A$5:$A$19,0),MATCH($E55,'Type Chart'!$B$4:$P$4,0))*IF($F55="",1,INDEX('Type Chart'!$B$5:$P$19,MATCH(S$4,'Type Chart'!$A$5:$A$19,0),MATCH($F55,'Type Chart'!$B$4:$P$4,0)))</f>
        <v>2</v>
      </c>
      <c r="T55" s="18" t="n">
        <f aca="false">INDEX('Type Chart'!$B$5:$P$19,MATCH(T$4,'Type Chart'!$A$5:$A$19,0),MATCH($E55,'Type Chart'!$B$4:$P$4,0))*IF($F55="",1,INDEX('Type Chart'!$B$5:$P$19,MATCH(T$4,'Type Chart'!$A$5:$A$19,0),MATCH($F55,'Type Chart'!$B$4:$P$4,0)))</f>
        <v>0</v>
      </c>
      <c r="U55" s="18" t="n">
        <f aca="false">INDEX('Type Chart'!$B$5:$P$19,MATCH(U$4,'Type Chart'!$A$5:$A$19,0),MATCH($E55,'Type Chart'!$B$4:$P$4,0))*IF($F55="",1,INDEX('Type Chart'!$B$5:$P$19,MATCH(U$4,'Type Chart'!$A$5:$A$19,0),MATCH($F55,'Type Chart'!$B$4:$P$4,0)))</f>
        <v>1</v>
      </c>
    </row>
    <row r="56" customFormat="false" ht="15" hidden="false" customHeight="false" outlineLevel="0" collapsed="false">
      <c r="A56" s="17" t="s">
        <v>199</v>
      </c>
      <c r="B56" s="17" t="s">
        <v>29</v>
      </c>
      <c r="C56" s="17" t="s">
        <v>169</v>
      </c>
      <c r="D56" s="17" t="n">
        <v>62</v>
      </c>
      <c r="E56" s="17" t="s">
        <v>112</v>
      </c>
      <c r="F56" s="17"/>
      <c r="G56" s="18" t="n">
        <f aca="false">INDEX('Type Chart'!$B$5:$P$19,MATCH(G$4,'Type Chart'!$A$5:$A$19,0),MATCH($E56,'Type Chart'!$B$4:$P$4,0))*IF($F56="",1,INDEX('Type Chart'!$B$5:$P$19,MATCH(G$4,'Type Chart'!$A$5:$A$19,0),MATCH($F56,'Type Chart'!$B$4:$P$4,0)))</f>
        <v>1</v>
      </c>
      <c r="H56" s="18" t="n">
        <f aca="false">INDEX('Type Chart'!$B$5:$P$19,MATCH(H$4,'Type Chart'!$A$5:$A$19,0),MATCH($E56,'Type Chart'!$B$4:$P$4,0))*IF($F56="",1,INDEX('Type Chart'!$B$5:$P$19,MATCH(H$4,'Type Chart'!$A$5:$A$19,0),MATCH($F56,'Type Chart'!$B$4:$P$4,0)))</f>
        <v>0.5</v>
      </c>
      <c r="I56" s="18" t="n">
        <f aca="false">INDEX('Type Chart'!$B$5:$P$19,MATCH(I$4,'Type Chart'!$A$5:$A$19,0),MATCH($E56,'Type Chart'!$B$4:$P$4,0))*IF($F56="",1,INDEX('Type Chart'!$B$5:$P$19,MATCH(I$4,'Type Chart'!$A$5:$A$19,0),MATCH($F56,'Type Chart'!$B$4:$P$4,0)))</f>
        <v>2</v>
      </c>
      <c r="J56" s="18" t="n">
        <f aca="false">INDEX('Type Chart'!$B$5:$P$19,MATCH(J$4,'Type Chart'!$A$5:$A$19,0),MATCH($E56,'Type Chart'!$B$4:$P$4,0))*IF($F56="",1,INDEX('Type Chart'!$B$5:$P$19,MATCH(J$4,'Type Chart'!$A$5:$A$19,0),MATCH($F56,'Type Chart'!$B$4:$P$4,0)))</f>
        <v>1</v>
      </c>
      <c r="K56" s="18" t="n">
        <f aca="false">INDEX('Type Chart'!$B$5:$P$19,MATCH(K$4,'Type Chart'!$A$5:$A$19,0),MATCH($E56,'Type Chart'!$B$4:$P$4,0))*IF($F56="",1,INDEX('Type Chart'!$B$5:$P$19,MATCH(K$4,'Type Chart'!$A$5:$A$19,0),MATCH($F56,'Type Chart'!$B$4:$P$4,0)))</f>
        <v>0.5</v>
      </c>
      <c r="L56" s="18" t="n">
        <f aca="false">INDEX('Type Chart'!$B$5:$P$19,MATCH(L$4,'Type Chart'!$A$5:$A$19,0),MATCH($E56,'Type Chart'!$B$4:$P$4,0))*IF($F56="",1,INDEX('Type Chart'!$B$5:$P$19,MATCH(L$4,'Type Chart'!$A$5:$A$19,0),MATCH($F56,'Type Chart'!$B$4:$P$4,0)))</f>
        <v>1</v>
      </c>
      <c r="M56" s="18" t="n">
        <f aca="false">INDEX('Type Chart'!$B$5:$P$19,MATCH(M$4,'Type Chart'!$A$5:$A$19,0),MATCH($E56,'Type Chart'!$B$4:$P$4,0))*IF($F56="",1,INDEX('Type Chart'!$B$5:$P$19,MATCH(M$4,'Type Chart'!$A$5:$A$19,0),MATCH($F56,'Type Chart'!$B$4:$P$4,0)))</f>
        <v>1</v>
      </c>
      <c r="N56" s="18" t="n">
        <f aca="false">INDEX('Type Chart'!$B$5:$P$19,MATCH(N$4,'Type Chart'!$A$5:$A$19,0),MATCH($E56,'Type Chart'!$B$4:$P$4,0))*IF($F56="",1,INDEX('Type Chart'!$B$5:$P$19,MATCH(N$4,'Type Chart'!$A$5:$A$19,0),MATCH($F56,'Type Chart'!$B$4:$P$4,0)))</f>
        <v>1</v>
      </c>
      <c r="O56" s="18" t="n">
        <f aca="false">INDEX('Type Chart'!$B$5:$P$19,MATCH(O$4,'Type Chart'!$A$5:$A$19,0),MATCH($E56,'Type Chart'!$B$4:$P$4,0))*IF($F56="",1,INDEX('Type Chart'!$B$5:$P$19,MATCH(O$4,'Type Chart'!$A$5:$A$19,0),MATCH($F56,'Type Chart'!$B$4:$P$4,0)))</f>
        <v>2</v>
      </c>
      <c r="P56" s="18" t="n">
        <f aca="false">INDEX('Type Chart'!$B$5:$P$19,MATCH(P$4,'Type Chart'!$A$5:$A$19,0),MATCH($E56,'Type Chart'!$B$4:$P$4,0))*IF($F56="",1,INDEX('Type Chart'!$B$5:$P$19,MATCH(P$4,'Type Chart'!$A$5:$A$19,0),MATCH($F56,'Type Chart'!$B$4:$P$4,0)))</f>
        <v>1</v>
      </c>
      <c r="Q56" s="18" t="n">
        <f aca="false">INDEX('Type Chart'!$B$5:$P$19,MATCH(Q$4,'Type Chart'!$A$5:$A$19,0),MATCH($E56,'Type Chart'!$B$4:$P$4,0))*IF($F56="",1,INDEX('Type Chart'!$B$5:$P$19,MATCH(Q$4,'Type Chart'!$A$5:$A$19,0),MATCH($F56,'Type Chart'!$B$4:$P$4,0)))</f>
        <v>1</v>
      </c>
      <c r="R56" s="18" t="n">
        <f aca="false">INDEX('Type Chart'!$B$5:$P$19,MATCH(R$4,'Type Chart'!$A$5:$A$19,0),MATCH($E56,'Type Chart'!$B$4:$P$4,0))*IF($F56="",1,INDEX('Type Chart'!$B$5:$P$19,MATCH(R$4,'Type Chart'!$A$5:$A$19,0),MATCH($F56,'Type Chart'!$B$4:$P$4,0)))</f>
        <v>0.5</v>
      </c>
      <c r="S56" s="18" t="n">
        <f aca="false">INDEX('Type Chart'!$B$5:$P$19,MATCH(S$4,'Type Chart'!$A$5:$A$19,0),MATCH($E56,'Type Chart'!$B$4:$P$4,0))*IF($F56="",1,INDEX('Type Chart'!$B$5:$P$19,MATCH(S$4,'Type Chart'!$A$5:$A$19,0),MATCH($F56,'Type Chart'!$B$4:$P$4,0)))</f>
        <v>2</v>
      </c>
      <c r="T56" s="18" t="n">
        <f aca="false">INDEX('Type Chart'!$B$5:$P$19,MATCH(T$4,'Type Chart'!$A$5:$A$19,0),MATCH($E56,'Type Chart'!$B$4:$P$4,0))*IF($F56="",1,INDEX('Type Chart'!$B$5:$P$19,MATCH(T$4,'Type Chart'!$A$5:$A$19,0),MATCH($F56,'Type Chart'!$B$4:$P$4,0)))</f>
        <v>1</v>
      </c>
      <c r="U56" s="18" t="n">
        <f aca="false">INDEX('Type Chart'!$B$5:$P$19,MATCH(U$4,'Type Chart'!$A$5:$A$19,0),MATCH($E56,'Type Chart'!$B$4:$P$4,0))*IF($F56="",1,INDEX('Type Chart'!$B$5:$P$19,MATCH(U$4,'Type Chart'!$A$5:$A$19,0),MATCH($F56,'Type Chart'!$B$4:$P$4,0)))</f>
        <v>1</v>
      </c>
    </row>
    <row r="57" customFormat="false" ht="15" hidden="false" customHeight="false" outlineLevel="0" collapsed="false">
      <c r="A57" s="17" t="s">
        <v>199</v>
      </c>
      <c r="B57" s="17" t="s">
        <v>29</v>
      </c>
      <c r="C57" s="17" t="s">
        <v>149</v>
      </c>
      <c r="D57" s="17" t="n">
        <v>62</v>
      </c>
      <c r="E57" s="17" t="s">
        <v>115</v>
      </c>
      <c r="F57" s="17" t="s">
        <v>118</v>
      </c>
      <c r="G57" s="18" t="n">
        <f aca="false">INDEX('Type Chart'!$B$5:$P$19,MATCH(G$4,'Type Chart'!$A$5:$A$19,0),MATCH($E57,'Type Chart'!$B$4:$P$4,0))*IF($F57="",1,INDEX('Type Chart'!$B$5:$P$19,MATCH(G$4,'Type Chart'!$A$5:$A$19,0),MATCH($F57,'Type Chart'!$B$4:$P$4,0)))</f>
        <v>1</v>
      </c>
      <c r="H57" s="18" t="n">
        <f aca="false">INDEX('Type Chart'!$B$5:$P$19,MATCH(H$4,'Type Chart'!$A$5:$A$19,0),MATCH($E57,'Type Chart'!$B$4:$P$4,0))*IF($F57="",1,INDEX('Type Chart'!$B$5:$P$19,MATCH(H$4,'Type Chart'!$A$5:$A$19,0),MATCH($F57,'Type Chart'!$B$4:$P$4,0)))</f>
        <v>2</v>
      </c>
      <c r="I57" s="18" t="n">
        <f aca="false">INDEX('Type Chart'!$B$5:$P$19,MATCH(I$4,'Type Chart'!$A$5:$A$19,0),MATCH($E57,'Type Chart'!$B$4:$P$4,0))*IF($F57="",1,INDEX('Type Chart'!$B$5:$P$19,MATCH(I$4,'Type Chart'!$A$5:$A$19,0),MATCH($F57,'Type Chart'!$B$4:$P$4,0)))</f>
        <v>0.5</v>
      </c>
      <c r="J57" s="18" t="n">
        <f aca="false">INDEX('Type Chart'!$B$5:$P$19,MATCH(J$4,'Type Chart'!$A$5:$A$19,0),MATCH($E57,'Type Chart'!$B$4:$P$4,0))*IF($F57="",1,INDEX('Type Chart'!$B$5:$P$19,MATCH(J$4,'Type Chart'!$A$5:$A$19,0),MATCH($F57,'Type Chart'!$B$4:$P$4,0)))</f>
        <v>0.5</v>
      </c>
      <c r="K57" s="18" t="n">
        <f aca="false">INDEX('Type Chart'!$B$5:$P$19,MATCH(K$4,'Type Chart'!$A$5:$A$19,0),MATCH($E57,'Type Chart'!$B$4:$P$4,0))*IF($F57="",1,INDEX('Type Chart'!$B$5:$P$19,MATCH(K$4,'Type Chart'!$A$5:$A$19,0),MATCH($F57,'Type Chart'!$B$4:$P$4,0)))</f>
        <v>0.25</v>
      </c>
      <c r="L57" s="18" t="n">
        <f aca="false">INDEX('Type Chart'!$B$5:$P$19,MATCH(L$4,'Type Chart'!$A$5:$A$19,0),MATCH($E57,'Type Chart'!$B$4:$P$4,0))*IF($F57="",1,INDEX('Type Chart'!$B$5:$P$19,MATCH(L$4,'Type Chart'!$A$5:$A$19,0),MATCH($F57,'Type Chart'!$B$4:$P$4,0)))</f>
        <v>2</v>
      </c>
      <c r="M57" s="18" t="n">
        <f aca="false">INDEX('Type Chart'!$B$5:$P$19,MATCH(M$4,'Type Chart'!$A$5:$A$19,0),MATCH($E57,'Type Chart'!$B$4:$P$4,0))*IF($F57="",1,INDEX('Type Chart'!$B$5:$P$19,MATCH(M$4,'Type Chart'!$A$5:$A$19,0),MATCH($F57,'Type Chart'!$B$4:$P$4,0)))</f>
        <v>0.5</v>
      </c>
      <c r="N57" s="18" t="n">
        <f aca="false">INDEX('Type Chart'!$B$5:$P$19,MATCH(N$4,'Type Chart'!$A$5:$A$19,0),MATCH($E57,'Type Chart'!$B$4:$P$4,0))*IF($F57="",1,INDEX('Type Chart'!$B$5:$P$19,MATCH(N$4,'Type Chart'!$A$5:$A$19,0),MATCH($F57,'Type Chart'!$B$4:$P$4,0)))</f>
        <v>1</v>
      </c>
      <c r="O57" s="18" t="n">
        <f aca="false">INDEX('Type Chart'!$B$5:$P$19,MATCH(O$4,'Type Chart'!$A$5:$A$19,0),MATCH($E57,'Type Chart'!$B$4:$P$4,0))*IF($F57="",1,INDEX('Type Chart'!$B$5:$P$19,MATCH(O$4,'Type Chart'!$A$5:$A$19,0),MATCH($F57,'Type Chart'!$B$4:$P$4,0)))</f>
        <v>1</v>
      </c>
      <c r="P57" s="18" t="n">
        <f aca="false">INDEX('Type Chart'!$B$5:$P$19,MATCH(P$4,'Type Chart'!$A$5:$A$19,0),MATCH($E57,'Type Chart'!$B$4:$P$4,0))*IF($F57="",1,INDEX('Type Chart'!$B$5:$P$19,MATCH(P$4,'Type Chart'!$A$5:$A$19,0),MATCH($F57,'Type Chart'!$B$4:$P$4,0)))</f>
        <v>2</v>
      </c>
      <c r="Q57" s="18" t="n">
        <f aca="false">INDEX('Type Chart'!$B$5:$P$19,MATCH(Q$4,'Type Chart'!$A$5:$A$19,0),MATCH($E57,'Type Chart'!$B$4:$P$4,0))*IF($F57="",1,INDEX('Type Chart'!$B$5:$P$19,MATCH(Q$4,'Type Chart'!$A$5:$A$19,0),MATCH($F57,'Type Chart'!$B$4:$P$4,0)))</f>
        <v>2</v>
      </c>
      <c r="R57" s="18" t="n">
        <f aca="false">INDEX('Type Chart'!$B$5:$P$19,MATCH(R$4,'Type Chart'!$A$5:$A$19,0),MATCH($E57,'Type Chart'!$B$4:$P$4,0))*IF($F57="",1,INDEX('Type Chart'!$B$5:$P$19,MATCH(R$4,'Type Chart'!$A$5:$A$19,0),MATCH($F57,'Type Chart'!$B$4:$P$4,0)))</f>
        <v>2</v>
      </c>
      <c r="S57" s="18" t="n">
        <f aca="false">INDEX('Type Chart'!$B$5:$P$19,MATCH(S$4,'Type Chart'!$A$5:$A$19,0),MATCH($E57,'Type Chart'!$B$4:$P$4,0))*IF($F57="",1,INDEX('Type Chart'!$B$5:$P$19,MATCH(S$4,'Type Chart'!$A$5:$A$19,0),MATCH($F57,'Type Chart'!$B$4:$P$4,0)))</f>
        <v>1</v>
      </c>
      <c r="T57" s="18" t="n">
        <f aca="false">INDEX('Type Chart'!$B$5:$P$19,MATCH(T$4,'Type Chart'!$A$5:$A$19,0),MATCH($E57,'Type Chart'!$B$4:$P$4,0))*IF($F57="",1,INDEX('Type Chart'!$B$5:$P$19,MATCH(T$4,'Type Chart'!$A$5:$A$19,0),MATCH($F57,'Type Chart'!$B$4:$P$4,0)))</f>
        <v>1</v>
      </c>
      <c r="U57" s="18" t="n">
        <f aca="false">INDEX('Type Chart'!$B$5:$P$19,MATCH(U$4,'Type Chart'!$A$5:$A$19,0),MATCH($E57,'Type Chart'!$B$4:$P$4,0))*IF($F57="",1,INDEX('Type Chart'!$B$5:$P$19,MATCH(U$4,'Type Chart'!$A$5:$A$19,0),MATCH($F57,'Type Chart'!$B$4:$P$4,0)))</f>
        <v>1</v>
      </c>
    </row>
    <row r="58" customFormat="false" ht="15" hidden="false" customHeight="false" outlineLevel="0" collapsed="false">
      <c r="A58" s="17" t="s">
        <v>199</v>
      </c>
      <c r="B58" s="17" t="s">
        <v>29</v>
      </c>
      <c r="C58" s="17" t="s">
        <v>164</v>
      </c>
      <c r="D58" s="17" t="n">
        <v>63</v>
      </c>
      <c r="E58" s="17" t="s">
        <v>121</v>
      </c>
      <c r="F58" s="17"/>
      <c r="G58" s="18" t="n">
        <f aca="false">INDEX('Type Chart'!$B$5:$P$19,MATCH(G$4,'Type Chart'!$A$5:$A$19,0),MATCH($E58,'Type Chart'!$B$4:$P$4,0))*IF($F58="",1,INDEX('Type Chart'!$B$5:$P$19,MATCH(G$4,'Type Chart'!$A$5:$A$19,0),MATCH($F58,'Type Chart'!$B$4:$P$4,0)))</f>
        <v>1</v>
      </c>
      <c r="H58" s="18" t="n">
        <f aca="false">INDEX('Type Chart'!$B$5:$P$19,MATCH(H$4,'Type Chart'!$A$5:$A$19,0),MATCH($E58,'Type Chart'!$B$4:$P$4,0))*IF($F58="",1,INDEX('Type Chart'!$B$5:$P$19,MATCH(H$4,'Type Chart'!$A$5:$A$19,0),MATCH($F58,'Type Chart'!$B$4:$P$4,0)))</f>
        <v>1</v>
      </c>
      <c r="I58" s="18" t="n">
        <f aca="false">INDEX('Type Chart'!$B$5:$P$19,MATCH(I$4,'Type Chart'!$A$5:$A$19,0),MATCH($E58,'Type Chart'!$B$4:$P$4,0))*IF($F58="",1,INDEX('Type Chart'!$B$5:$P$19,MATCH(I$4,'Type Chart'!$A$5:$A$19,0),MATCH($F58,'Type Chart'!$B$4:$P$4,0)))</f>
        <v>1</v>
      </c>
      <c r="J58" s="18" t="n">
        <f aca="false">INDEX('Type Chart'!$B$5:$P$19,MATCH(J$4,'Type Chart'!$A$5:$A$19,0),MATCH($E58,'Type Chart'!$B$4:$P$4,0))*IF($F58="",1,INDEX('Type Chart'!$B$5:$P$19,MATCH(J$4,'Type Chart'!$A$5:$A$19,0),MATCH($F58,'Type Chart'!$B$4:$P$4,0)))</f>
        <v>1</v>
      </c>
      <c r="K58" s="18" t="n">
        <f aca="false">INDEX('Type Chart'!$B$5:$P$19,MATCH(K$4,'Type Chart'!$A$5:$A$19,0),MATCH($E58,'Type Chart'!$B$4:$P$4,0))*IF($F58="",1,INDEX('Type Chart'!$B$5:$P$19,MATCH(K$4,'Type Chart'!$A$5:$A$19,0),MATCH($F58,'Type Chart'!$B$4:$P$4,0)))</f>
        <v>1</v>
      </c>
      <c r="L58" s="18" t="n">
        <f aca="false">INDEX('Type Chart'!$B$5:$P$19,MATCH(L$4,'Type Chart'!$A$5:$A$19,0),MATCH($E58,'Type Chart'!$B$4:$P$4,0))*IF($F58="",1,INDEX('Type Chart'!$B$5:$P$19,MATCH(L$4,'Type Chart'!$A$5:$A$19,0),MATCH($F58,'Type Chart'!$B$4:$P$4,0)))</f>
        <v>1</v>
      </c>
      <c r="M58" s="18" t="n">
        <f aca="false">INDEX('Type Chart'!$B$5:$P$19,MATCH(M$4,'Type Chart'!$A$5:$A$19,0),MATCH($E58,'Type Chart'!$B$4:$P$4,0))*IF($F58="",1,INDEX('Type Chart'!$B$5:$P$19,MATCH(M$4,'Type Chart'!$A$5:$A$19,0),MATCH($F58,'Type Chart'!$B$4:$P$4,0)))</f>
        <v>0.5</v>
      </c>
      <c r="N58" s="18" t="n">
        <f aca="false">INDEX('Type Chart'!$B$5:$P$19,MATCH(N$4,'Type Chart'!$A$5:$A$19,0),MATCH($E58,'Type Chart'!$B$4:$P$4,0))*IF($F58="",1,INDEX('Type Chart'!$B$5:$P$19,MATCH(N$4,'Type Chart'!$A$5:$A$19,0),MATCH($F58,'Type Chart'!$B$4:$P$4,0)))</f>
        <v>1</v>
      </c>
      <c r="O58" s="18" t="n">
        <f aca="false">INDEX('Type Chart'!$B$5:$P$19,MATCH(O$4,'Type Chart'!$A$5:$A$19,0),MATCH($E58,'Type Chart'!$B$4:$P$4,0))*IF($F58="",1,INDEX('Type Chart'!$B$5:$P$19,MATCH(O$4,'Type Chart'!$A$5:$A$19,0),MATCH($F58,'Type Chart'!$B$4:$P$4,0)))</f>
        <v>1</v>
      </c>
      <c r="P58" s="18" t="n">
        <f aca="false">INDEX('Type Chart'!$B$5:$P$19,MATCH(P$4,'Type Chart'!$A$5:$A$19,0),MATCH($E58,'Type Chart'!$B$4:$P$4,0))*IF($F58="",1,INDEX('Type Chart'!$B$5:$P$19,MATCH(P$4,'Type Chart'!$A$5:$A$19,0),MATCH($F58,'Type Chart'!$B$4:$P$4,0)))</f>
        <v>1</v>
      </c>
      <c r="Q58" s="18" t="n">
        <f aca="false">INDEX('Type Chart'!$B$5:$P$19,MATCH(Q$4,'Type Chart'!$A$5:$A$19,0),MATCH($E58,'Type Chart'!$B$4:$P$4,0))*IF($F58="",1,INDEX('Type Chart'!$B$5:$P$19,MATCH(Q$4,'Type Chart'!$A$5:$A$19,0),MATCH($F58,'Type Chart'!$B$4:$P$4,0)))</f>
        <v>0.5</v>
      </c>
      <c r="R58" s="18" t="n">
        <f aca="false">INDEX('Type Chart'!$B$5:$P$19,MATCH(R$4,'Type Chart'!$A$5:$A$19,0),MATCH($E58,'Type Chart'!$B$4:$P$4,0))*IF($F58="",1,INDEX('Type Chart'!$B$5:$P$19,MATCH(R$4,'Type Chart'!$A$5:$A$19,0),MATCH($F58,'Type Chart'!$B$4:$P$4,0)))</f>
        <v>2</v>
      </c>
      <c r="S58" s="18" t="n">
        <f aca="false">INDEX('Type Chart'!$B$5:$P$19,MATCH(S$4,'Type Chart'!$A$5:$A$19,0),MATCH($E58,'Type Chart'!$B$4:$P$4,0))*IF($F58="",1,INDEX('Type Chart'!$B$5:$P$19,MATCH(S$4,'Type Chart'!$A$5:$A$19,0),MATCH($F58,'Type Chart'!$B$4:$P$4,0)))</f>
        <v>1</v>
      </c>
      <c r="T58" s="18" t="n">
        <f aca="false">INDEX('Type Chart'!$B$5:$P$19,MATCH(T$4,'Type Chart'!$A$5:$A$19,0),MATCH($E58,'Type Chart'!$B$4:$P$4,0))*IF($F58="",1,INDEX('Type Chart'!$B$5:$P$19,MATCH(T$4,'Type Chart'!$A$5:$A$19,0),MATCH($F58,'Type Chart'!$B$4:$P$4,0)))</f>
        <v>2</v>
      </c>
      <c r="U58" s="18" t="n">
        <f aca="false">INDEX('Type Chart'!$B$5:$P$19,MATCH(U$4,'Type Chart'!$A$5:$A$19,0),MATCH($E58,'Type Chart'!$B$4:$P$4,0))*IF($F58="",1,INDEX('Type Chart'!$B$5:$P$19,MATCH(U$4,'Type Chart'!$A$5:$A$19,0),MATCH($F58,'Type Chart'!$B$4:$P$4,0)))</f>
        <v>1</v>
      </c>
    </row>
    <row r="59" customFormat="false" ht="15" hidden="false" customHeight="false" outlineLevel="0" collapsed="false">
      <c r="A59" s="17" t="s">
        <v>199</v>
      </c>
      <c r="B59" s="17" t="s">
        <v>29</v>
      </c>
      <c r="C59" s="17" t="s">
        <v>201</v>
      </c>
      <c r="D59" s="17" t="n">
        <v>65</v>
      </c>
      <c r="E59" s="17" t="s">
        <v>113</v>
      </c>
      <c r="F59" s="17"/>
      <c r="G59" s="18" t="n">
        <f aca="false">INDEX('Type Chart'!$B$5:$P$19,MATCH(G$4,'Type Chart'!$A$5:$A$19,0),MATCH($E59,'Type Chart'!$B$4:$P$4,0))*IF($F59="",1,INDEX('Type Chart'!$B$5:$P$19,MATCH(G$4,'Type Chart'!$A$5:$A$19,0),MATCH($F59,'Type Chart'!$B$4:$P$4,0)))</f>
        <v>1</v>
      </c>
      <c r="H59" s="18" t="n">
        <f aca="false">INDEX('Type Chart'!$B$5:$P$19,MATCH(H$4,'Type Chart'!$A$5:$A$19,0),MATCH($E59,'Type Chart'!$B$4:$P$4,0))*IF($F59="",1,INDEX('Type Chart'!$B$5:$P$19,MATCH(H$4,'Type Chart'!$A$5:$A$19,0),MATCH($F59,'Type Chart'!$B$4:$P$4,0)))</f>
        <v>0.5</v>
      </c>
      <c r="I59" s="18" t="n">
        <f aca="false">INDEX('Type Chart'!$B$5:$P$19,MATCH(I$4,'Type Chart'!$A$5:$A$19,0),MATCH($E59,'Type Chart'!$B$4:$P$4,0))*IF($F59="",1,INDEX('Type Chart'!$B$5:$P$19,MATCH(I$4,'Type Chart'!$A$5:$A$19,0),MATCH($F59,'Type Chart'!$B$4:$P$4,0)))</f>
        <v>0.5</v>
      </c>
      <c r="J59" s="18" t="n">
        <f aca="false">INDEX('Type Chart'!$B$5:$P$19,MATCH(J$4,'Type Chart'!$A$5:$A$19,0),MATCH($E59,'Type Chart'!$B$4:$P$4,0))*IF($F59="",1,INDEX('Type Chart'!$B$5:$P$19,MATCH(J$4,'Type Chart'!$A$5:$A$19,0),MATCH($F59,'Type Chart'!$B$4:$P$4,0)))</f>
        <v>2</v>
      </c>
      <c r="K59" s="18" t="n">
        <f aca="false">INDEX('Type Chart'!$B$5:$P$19,MATCH(K$4,'Type Chart'!$A$5:$A$19,0),MATCH($E59,'Type Chart'!$B$4:$P$4,0))*IF($F59="",1,INDEX('Type Chart'!$B$5:$P$19,MATCH(K$4,'Type Chart'!$A$5:$A$19,0),MATCH($F59,'Type Chart'!$B$4:$P$4,0)))</f>
        <v>2</v>
      </c>
      <c r="L59" s="18" t="n">
        <f aca="false">INDEX('Type Chart'!$B$5:$P$19,MATCH(L$4,'Type Chart'!$A$5:$A$19,0),MATCH($E59,'Type Chart'!$B$4:$P$4,0))*IF($F59="",1,INDEX('Type Chart'!$B$5:$P$19,MATCH(L$4,'Type Chart'!$A$5:$A$19,0),MATCH($F59,'Type Chart'!$B$4:$P$4,0)))</f>
        <v>0.5</v>
      </c>
      <c r="M59" s="18" t="n">
        <f aca="false">INDEX('Type Chart'!$B$5:$P$19,MATCH(M$4,'Type Chart'!$A$5:$A$19,0),MATCH($E59,'Type Chart'!$B$4:$P$4,0))*IF($F59="",1,INDEX('Type Chart'!$B$5:$P$19,MATCH(M$4,'Type Chart'!$A$5:$A$19,0),MATCH($F59,'Type Chart'!$B$4:$P$4,0)))</f>
        <v>1</v>
      </c>
      <c r="N59" s="18" t="n">
        <f aca="false">INDEX('Type Chart'!$B$5:$P$19,MATCH(N$4,'Type Chart'!$A$5:$A$19,0),MATCH($E59,'Type Chart'!$B$4:$P$4,0))*IF($F59="",1,INDEX('Type Chart'!$B$5:$P$19,MATCH(N$4,'Type Chart'!$A$5:$A$19,0),MATCH($F59,'Type Chart'!$B$4:$P$4,0)))</f>
        <v>1</v>
      </c>
      <c r="O59" s="18" t="n">
        <f aca="false">INDEX('Type Chart'!$B$5:$P$19,MATCH(O$4,'Type Chart'!$A$5:$A$19,0),MATCH($E59,'Type Chart'!$B$4:$P$4,0))*IF($F59="",1,INDEX('Type Chart'!$B$5:$P$19,MATCH(O$4,'Type Chart'!$A$5:$A$19,0),MATCH($F59,'Type Chart'!$B$4:$P$4,0)))</f>
        <v>1</v>
      </c>
      <c r="P59" s="18" t="n">
        <f aca="false">INDEX('Type Chart'!$B$5:$P$19,MATCH(P$4,'Type Chart'!$A$5:$A$19,0),MATCH($E59,'Type Chart'!$B$4:$P$4,0))*IF($F59="",1,INDEX('Type Chart'!$B$5:$P$19,MATCH(P$4,'Type Chart'!$A$5:$A$19,0),MATCH($F59,'Type Chart'!$B$4:$P$4,0)))</f>
        <v>1</v>
      </c>
      <c r="Q59" s="18" t="n">
        <f aca="false">INDEX('Type Chart'!$B$5:$P$19,MATCH(Q$4,'Type Chart'!$A$5:$A$19,0),MATCH($E59,'Type Chart'!$B$4:$P$4,0))*IF($F59="",1,INDEX('Type Chart'!$B$5:$P$19,MATCH(Q$4,'Type Chart'!$A$5:$A$19,0),MATCH($F59,'Type Chart'!$B$4:$P$4,0)))</f>
        <v>1</v>
      </c>
      <c r="R59" s="18" t="n">
        <f aca="false">INDEX('Type Chart'!$B$5:$P$19,MATCH(R$4,'Type Chart'!$A$5:$A$19,0),MATCH($E59,'Type Chart'!$B$4:$P$4,0))*IF($F59="",1,INDEX('Type Chart'!$B$5:$P$19,MATCH(R$4,'Type Chart'!$A$5:$A$19,0),MATCH($F59,'Type Chart'!$B$4:$P$4,0)))</f>
        <v>1</v>
      </c>
      <c r="S59" s="18" t="n">
        <f aca="false">INDEX('Type Chart'!$B$5:$P$19,MATCH(S$4,'Type Chart'!$A$5:$A$19,0),MATCH($E59,'Type Chart'!$B$4:$P$4,0))*IF($F59="",1,INDEX('Type Chart'!$B$5:$P$19,MATCH(S$4,'Type Chart'!$A$5:$A$19,0),MATCH($F59,'Type Chart'!$B$4:$P$4,0)))</f>
        <v>1</v>
      </c>
      <c r="T59" s="18" t="n">
        <f aca="false">INDEX('Type Chart'!$B$5:$P$19,MATCH(T$4,'Type Chart'!$A$5:$A$19,0),MATCH($E59,'Type Chart'!$B$4:$P$4,0))*IF($F59="",1,INDEX('Type Chart'!$B$5:$P$19,MATCH(T$4,'Type Chart'!$A$5:$A$19,0),MATCH($F59,'Type Chart'!$B$4:$P$4,0)))</f>
        <v>1</v>
      </c>
      <c r="U59" s="18" t="n">
        <f aca="false">INDEX('Type Chart'!$B$5:$P$19,MATCH(U$4,'Type Chart'!$A$5:$A$19,0),MATCH($E59,'Type Chart'!$B$4:$P$4,0))*IF($F59="",1,INDEX('Type Chart'!$B$5:$P$19,MATCH(U$4,'Type Chart'!$A$5:$A$19,0),MATCH($F59,'Type Chart'!$B$4:$P$4,0)))</f>
        <v>1</v>
      </c>
    </row>
  </sheetData>
  <autoFilter ref="A4:U59"/>
  <conditionalFormatting sqref="G5:U59">
    <cfRule type="cellIs" priority="2" operator="greaterThanOrEqual" aboveAverage="0" equalAverage="0" bottom="0" percent="0" rank="0" text="" dxfId="6">
      <formula>2</formula>
    </cfRule>
    <cfRule type="cellIs" priority="3" operator="equal" aboveAverage="0" equalAverage="0" bottom="0" percent="0" rank="0" text="" dxfId="7">
      <formula>0</formula>
    </cfRule>
    <cfRule type="cellIs" priority="4" operator="lessThan" aboveAverage="0" equalAverage="0" bottom="0" percent="0" rank="0" text="" dxfId="8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15" hidden="false" customHeight="false" outlineLevel="0" collapsed="false">
      <c r="A4" s="6" t="s">
        <v>204</v>
      </c>
      <c r="B4" s="6" t="s">
        <v>205</v>
      </c>
      <c r="C4" s="6" t="s">
        <v>206</v>
      </c>
      <c r="D4" s="6" t="s">
        <v>207</v>
      </c>
      <c r="E4" s="6" t="s">
        <v>100</v>
      </c>
      <c r="F4" s="6" t="s">
        <v>208</v>
      </c>
      <c r="G4" s="6" t="s">
        <v>209</v>
      </c>
    </row>
    <row r="5" customFormat="false" ht="15" hidden="false" customHeight="false" outlineLevel="0" collapsed="false">
      <c r="A5" s="7" t="s">
        <v>210</v>
      </c>
      <c r="B5" s="8" t="s">
        <v>111</v>
      </c>
      <c r="C5" s="19" t="n">
        <v>200</v>
      </c>
      <c r="D5" s="8" t="s">
        <v>211</v>
      </c>
      <c r="E5" s="8" t="s">
        <v>212</v>
      </c>
      <c r="F5" s="8" t="s">
        <v>213</v>
      </c>
      <c r="G5" s="8" t="s">
        <v>214</v>
      </c>
    </row>
    <row r="6" customFormat="false" ht="23.85" hidden="false" customHeight="false" outlineLevel="0" collapsed="false">
      <c r="A6" s="7" t="s">
        <v>215</v>
      </c>
      <c r="B6" s="8" t="s">
        <v>111</v>
      </c>
      <c r="C6" s="19" t="n">
        <v>250</v>
      </c>
      <c r="D6" s="8" t="s">
        <v>211</v>
      </c>
      <c r="E6" s="8" t="s">
        <v>216</v>
      </c>
      <c r="F6" s="8" t="s">
        <v>217</v>
      </c>
      <c r="G6" s="8" t="s">
        <v>218</v>
      </c>
    </row>
    <row r="7" customFormat="false" ht="23.85" hidden="false" customHeight="false" outlineLevel="0" collapsed="false">
      <c r="A7" s="7" t="s">
        <v>92</v>
      </c>
      <c r="B7" s="8" t="s">
        <v>115</v>
      </c>
      <c r="C7" s="19" t="n">
        <v>180</v>
      </c>
      <c r="D7" s="8" t="s">
        <v>219</v>
      </c>
      <c r="E7" s="8" t="s">
        <v>216</v>
      </c>
      <c r="F7" s="8" t="s">
        <v>217</v>
      </c>
      <c r="G7" s="8" t="s">
        <v>218</v>
      </c>
    </row>
    <row r="8" customFormat="false" ht="23.85" hidden="false" customHeight="false" outlineLevel="0" collapsed="false">
      <c r="A8" s="7" t="s">
        <v>220</v>
      </c>
      <c r="B8" s="8" t="s">
        <v>111</v>
      </c>
      <c r="C8" s="19" t="n">
        <v>120</v>
      </c>
      <c r="D8" s="8" t="s">
        <v>211</v>
      </c>
      <c r="E8" s="8" t="s">
        <v>216</v>
      </c>
      <c r="F8" s="8" t="s">
        <v>217</v>
      </c>
      <c r="G8" s="8" t="s">
        <v>218</v>
      </c>
    </row>
    <row r="9" customFormat="false" ht="23.85" hidden="false" customHeight="false" outlineLevel="0" collapsed="false">
      <c r="A9" s="7" t="s">
        <v>221</v>
      </c>
      <c r="B9" s="8" t="s">
        <v>116</v>
      </c>
      <c r="C9" s="19" t="n">
        <v>120</v>
      </c>
      <c r="D9" s="8" t="s">
        <v>219</v>
      </c>
      <c r="E9" s="8" t="s">
        <v>216</v>
      </c>
      <c r="F9" s="8" t="s">
        <v>217</v>
      </c>
      <c r="G9" s="8" t="s">
        <v>218</v>
      </c>
    </row>
    <row r="10" customFormat="false" ht="23.85" hidden="false" customHeight="false" outlineLevel="0" collapsed="false">
      <c r="A10" s="7" t="s">
        <v>222</v>
      </c>
      <c r="B10" s="8" t="s">
        <v>114</v>
      </c>
      <c r="C10" s="19" t="n">
        <v>120</v>
      </c>
      <c r="D10" s="8" t="s">
        <v>219</v>
      </c>
      <c r="E10" s="8" t="s">
        <v>216</v>
      </c>
      <c r="F10" s="8" t="s">
        <v>217</v>
      </c>
      <c r="G10" s="8" t="s">
        <v>218</v>
      </c>
    </row>
    <row r="11" customFormat="false" ht="23.85" hidden="false" customHeight="false" outlineLevel="0" collapsed="false">
      <c r="A11" s="7" t="s">
        <v>223</v>
      </c>
      <c r="B11" s="8" t="s">
        <v>112</v>
      </c>
      <c r="C11" s="19" t="n">
        <v>120</v>
      </c>
      <c r="D11" s="8" t="s">
        <v>219</v>
      </c>
      <c r="E11" s="8" t="s">
        <v>216</v>
      </c>
      <c r="F11" s="8" t="s">
        <v>217</v>
      </c>
      <c r="G11" s="8" t="s">
        <v>218</v>
      </c>
    </row>
    <row r="12" customFormat="false" ht="23.85" hidden="false" customHeight="false" outlineLevel="0" collapsed="false">
      <c r="A12" s="7" t="s">
        <v>224</v>
      </c>
      <c r="B12" s="8" t="s">
        <v>120</v>
      </c>
      <c r="C12" s="19" t="n">
        <v>120</v>
      </c>
      <c r="D12" s="8" t="s">
        <v>211</v>
      </c>
      <c r="E12" s="8" t="s">
        <v>216</v>
      </c>
      <c r="F12" s="8" t="s">
        <v>217</v>
      </c>
      <c r="G12" s="8" t="s">
        <v>218</v>
      </c>
    </row>
    <row r="13" customFormat="false" ht="23.85" hidden="false" customHeight="false" outlineLevel="0" collapsed="false">
      <c r="A13" s="7" t="s">
        <v>225</v>
      </c>
      <c r="B13" s="8" t="s">
        <v>119</v>
      </c>
      <c r="C13" s="19" t="n">
        <v>100</v>
      </c>
      <c r="D13" s="8" t="s">
        <v>211</v>
      </c>
      <c r="E13" s="8" t="s">
        <v>216</v>
      </c>
      <c r="F13" s="8" t="s">
        <v>217</v>
      </c>
      <c r="G13" s="8" t="s">
        <v>218</v>
      </c>
    </row>
    <row r="14" customFormat="false" ht="23.85" hidden="false" customHeight="false" outlineLevel="0" collapsed="false">
      <c r="A14" s="7" t="s">
        <v>226</v>
      </c>
      <c r="B14" s="8" t="s">
        <v>121</v>
      </c>
      <c r="C14" s="19" t="n">
        <v>100</v>
      </c>
      <c r="D14" s="8" t="s">
        <v>219</v>
      </c>
      <c r="E14" s="8" t="s">
        <v>216</v>
      </c>
      <c r="F14" s="8" t="s">
        <v>217</v>
      </c>
      <c r="G14" s="8" t="s">
        <v>218</v>
      </c>
    </row>
    <row r="15" customFormat="false" ht="23.85" hidden="false" customHeight="false" outlineLevel="0" collapsed="false">
      <c r="A15" s="7" t="s">
        <v>227</v>
      </c>
      <c r="B15" s="8" t="s">
        <v>112</v>
      </c>
      <c r="C15" s="19" t="n">
        <v>95</v>
      </c>
      <c r="D15" s="8" t="s">
        <v>219</v>
      </c>
      <c r="E15" s="8" t="s">
        <v>216</v>
      </c>
      <c r="F15" s="8" t="s">
        <v>217</v>
      </c>
      <c r="G15" s="8" t="s">
        <v>218</v>
      </c>
    </row>
    <row r="16" customFormat="false" ht="23.85" hidden="false" customHeight="false" outlineLevel="0" collapsed="false">
      <c r="A16" s="7" t="s">
        <v>228</v>
      </c>
      <c r="B16" s="8" t="s">
        <v>116</v>
      </c>
      <c r="C16" s="19" t="n">
        <v>95</v>
      </c>
      <c r="D16" s="8" t="s">
        <v>219</v>
      </c>
      <c r="E16" s="8" t="s">
        <v>216</v>
      </c>
      <c r="F16" s="8" t="s">
        <v>217</v>
      </c>
      <c r="G16" s="8" t="s">
        <v>218</v>
      </c>
    </row>
    <row r="17" customFormat="false" ht="23.85" hidden="false" customHeight="false" outlineLevel="0" collapsed="false">
      <c r="A17" s="7" t="s">
        <v>229</v>
      </c>
      <c r="B17" s="8" t="s">
        <v>114</v>
      </c>
      <c r="C17" s="19" t="n">
        <v>95</v>
      </c>
      <c r="D17" s="8" t="s">
        <v>219</v>
      </c>
      <c r="E17" s="8" t="s">
        <v>216</v>
      </c>
      <c r="F17" s="8" t="s">
        <v>217</v>
      </c>
      <c r="G17" s="8" t="s">
        <v>218</v>
      </c>
    </row>
    <row r="18" customFormat="false" ht="23.85" hidden="false" customHeight="false" outlineLevel="0" collapsed="false">
      <c r="A18" s="7" t="s">
        <v>121</v>
      </c>
      <c r="B18" s="8" t="s">
        <v>121</v>
      </c>
      <c r="C18" s="19" t="n">
        <v>90</v>
      </c>
      <c r="D18" s="8" t="s">
        <v>219</v>
      </c>
      <c r="E18" s="8" t="s">
        <v>216</v>
      </c>
      <c r="F18" s="8" t="s">
        <v>217</v>
      </c>
      <c r="G18" s="8" t="s">
        <v>218</v>
      </c>
    </row>
    <row r="19" customFormat="false" ht="23.85" hidden="false" customHeight="false" outlineLevel="0" collapsed="false">
      <c r="A19" s="7" t="s">
        <v>230</v>
      </c>
      <c r="B19" s="8" t="s">
        <v>111</v>
      </c>
      <c r="C19" s="19" t="n">
        <v>85</v>
      </c>
      <c r="D19" s="8" t="s">
        <v>211</v>
      </c>
      <c r="E19" s="8" t="s">
        <v>216</v>
      </c>
      <c r="F19" s="8" t="s">
        <v>217</v>
      </c>
      <c r="G19" s="8" t="s">
        <v>218</v>
      </c>
    </row>
    <row r="20" customFormat="false" ht="23.85" hidden="false" customHeight="false" outlineLevel="0" collapsed="false">
      <c r="A20" s="7" t="s">
        <v>231</v>
      </c>
      <c r="B20" s="8" t="s">
        <v>117</v>
      </c>
      <c r="C20" s="19" t="n">
        <v>80</v>
      </c>
      <c r="D20" s="8" t="s">
        <v>211</v>
      </c>
      <c r="E20" s="8" t="s">
        <v>216</v>
      </c>
      <c r="F20" s="8" t="s">
        <v>217</v>
      </c>
      <c r="G20" s="8" t="s">
        <v>218</v>
      </c>
    </row>
    <row r="21" customFormat="false" ht="23.85" hidden="false" customHeight="false" outlineLevel="0" collapsed="false">
      <c r="A21" s="7" t="s">
        <v>232</v>
      </c>
      <c r="B21" s="8" t="s">
        <v>123</v>
      </c>
      <c r="C21" s="19" t="n">
        <v>75</v>
      </c>
      <c r="D21" s="8" t="s">
        <v>211</v>
      </c>
      <c r="E21" s="8" t="s">
        <v>216</v>
      </c>
      <c r="F21" s="8" t="s">
        <v>217</v>
      </c>
      <c r="G21" s="8" t="s">
        <v>218</v>
      </c>
    </row>
    <row r="22" customFormat="false" ht="23.85" hidden="false" customHeight="false" outlineLevel="0" collapsed="false">
      <c r="A22" s="7" t="s">
        <v>233</v>
      </c>
      <c r="B22" s="8" t="s">
        <v>115</v>
      </c>
      <c r="C22" s="19" t="n">
        <v>65</v>
      </c>
      <c r="D22" s="8" t="s">
        <v>219</v>
      </c>
      <c r="E22" s="8" t="s">
        <v>216</v>
      </c>
      <c r="F22" s="8" t="s">
        <v>217</v>
      </c>
      <c r="G22" s="8" t="s">
        <v>218</v>
      </c>
    </row>
    <row r="23" customFormat="false" ht="15" hidden="false" customHeight="false" outlineLevel="0" collapsed="false">
      <c r="A23" s="7" t="s">
        <v>234</v>
      </c>
      <c r="B23" s="8" t="s">
        <v>111</v>
      </c>
      <c r="C23" s="19" t="n">
        <v>150</v>
      </c>
      <c r="D23" s="8" t="s">
        <v>211</v>
      </c>
      <c r="E23" s="8" t="s">
        <v>235</v>
      </c>
      <c r="F23" s="8" t="s">
        <v>236</v>
      </c>
      <c r="G23" s="8" t="s">
        <v>237</v>
      </c>
    </row>
    <row r="24" customFormat="false" ht="15" hidden="false" customHeight="false" outlineLevel="0" collapsed="false">
      <c r="A24" s="7" t="s">
        <v>238</v>
      </c>
      <c r="B24" s="8" t="s">
        <v>111</v>
      </c>
      <c r="C24" s="19" t="n">
        <v>120</v>
      </c>
      <c r="D24" s="8" t="s">
        <v>211</v>
      </c>
      <c r="E24" s="8" t="s">
        <v>235</v>
      </c>
      <c r="F24" s="8" t="s">
        <v>239</v>
      </c>
      <c r="G24" s="8" t="s">
        <v>237</v>
      </c>
    </row>
    <row r="25" customFormat="false" ht="15" hidden="false" customHeight="false" outlineLevel="0" collapsed="false">
      <c r="A25" s="7" t="s">
        <v>240</v>
      </c>
      <c r="B25" s="8" t="s">
        <v>115</v>
      </c>
      <c r="C25" s="19" t="n">
        <v>100</v>
      </c>
      <c r="D25" s="8" t="s">
        <v>219</v>
      </c>
      <c r="E25" s="8" t="s">
        <v>235</v>
      </c>
      <c r="F25" s="8" t="s">
        <v>239</v>
      </c>
      <c r="G25" s="8" t="s">
        <v>237</v>
      </c>
    </row>
    <row r="26" customFormat="false" ht="15" hidden="false" customHeight="false" outlineLevel="0" collapsed="false">
      <c r="A26" s="7" t="s">
        <v>241</v>
      </c>
      <c r="B26" s="8" t="s">
        <v>111</v>
      </c>
      <c r="C26" s="19" t="n">
        <v>100</v>
      </c>
      <c r="D26" s="8" t="s">
        <v>211</v>
      </c>
      <c r="E26" s="8" t="s">
        <v>235</v>
      </c>
      <c r="F26" s="8" t="s">
        <v>239</v>
      </c>
      <c r="G26" s="8" t="s">
        <v>237</v>
      </c>
    </row>
    <row r="27" customFormat="false" ht="15" hidden="false" customHeight="false" outlineLevel="0" collapsed="false">
      <c r="A27" s="7" t="s">
        <v>242</v>
      </c>
      <c r="B27" s="8" t="s">
        <v>111</v>
      </c>
      <c r="C27" s="19" t="n">
        <v>95</v>
      </c>
      <c r="D27" s="8" t="s">
        <v>211</v>
      </c>
      <c r="E27" s="8" t="s">
        <v>235</v>
      </c>
      <c r="F27" s="8" t="s">
        <v>239</v>
      </c>
      <c r="G27" s="8" t="s">
        <v>237</v>
      </c>
    </row>
    <row r="28" customFormat="false" ht="15" hidden="false" customHeight="false" outlineLevel="0" collapsed="false">
      <c r="A28" s="7" t="s">
        <v>243</v>
      </c>
      <c r="B28" s="8" t="s">
        <v>113</v>
      </c>
      <c r="C28" s="19" t="n">
        <v>95</v>
      </c>
      <c r="D28" s="8" t="s">
        <v>219</v>
      </c>
      <c r="E28" s="8" t="s">
        <v>244</v>
      </c>
      <c r="F28" s="8" t="s">
        <v>245</v>
      </c>
      <c r="G28" s="8" t="s">
        <v>246</v>
      </c>
    </row>
    <row r="29" customFormat="false" ht="15" hidden="false" customHeight="false" outlineLevel="0" collapsed="false">
      <c r="A29" s="7" t="s">
        <v>247</v>
      </c>
      <c r="B29" s="8" t="s">
        <v>111</v>
      </c>
      <c r="C29" s="19" t="n">
        <v>85</v>
      </c>
      <c r="D29" s="8" t="s">
        <v>211</v>
      </c>
      <c r="E29" s="8" t="s">
        <v>235</v>
      </c>
      <c r="F29" s="8" t="s">
        <v>248</v>
      </c>
      <c r="G29" s="8" t="s">
        <v>237</v>
      </c>
    </row>
    <row r="30" customFormat="false" ht="15" hidden="false" customHeight="false" outlineLevel="0" collapsed="false">
      <c r="A30" s="7" t="s">
        <v>249</v>
      </c>
      <c r="B30" s="8" t="s">
        <v>111</v>
      </c>
      <c r="C30" s="19" t="n">
        <v>80</v>
      </c>
      <c r="D30" s="8" t="s">
        <v>211</v>
      </c>
      <c r="E30" s="8" t="s">
        <v>235</v>
      </c>
      <c r="F30" s="8" t="s">
        <v>239</v>
      </c>
      <c r="G30" s="8" t="s">
        <v>237</v>
      </c>
    </row>
    <row r="31" customFormat="false" ht="15" hidden="false" customHeight="false" outlineLevel="0" collapsed="false">
      <c r="A31" s="7" t="s">
        <v>250</v>
      </c>
      <c r="B31" s="8" t="s">
        <v>111</v>
      </c>
      <c r="C31" s="19" t="n">
        <v>80</v>
      </c>
      <c r="D31" s="8" t="s">
        <v>211</v>
      </c>
      <c r="E31" s="8" t="s">
        <v>235</v>
      </c>
      <c r="F31" s="8" t="s">
        <v>239</v>
      </c>
      <c r="G31" s="8" t="s">
        <v>237</v>
      </c>
    </row>
    <row r="32" customFormat="false" ht="15" hidden="false" customHeight="false" outlineLevel="0" collapsed="false">
      <c r="A32" s="7" t="s">
        <v>251</v>
      </c>
      <c r="B32" s="8" t="s">
        <v>111</v>
      </c>
      <c r="C32" s="19" t="n">
        <v>80</v>
      </c>
      <c r="D32" s="8" t="s">
        <v>211</v>
      </c>
      <c r="E32" s="8" t="s">
        <v>244</v>
      </c>
      <c r="F32" s="8" t="s">
        <v>245</v>
      </c>
      <c r="G32" s="8" t="s">
        <v>246</v>
      </c>
    </row>
    <row r="33" customFormat="false" ht="15" hidden="false" customHeight="false" outlineLevel="0" collapsed="false">
      <c r="A33" s="7" t="s">
        <v>252</v>
      </c>
      <c r="B33" s="8" t="s">
        <v>120</v>
      </c>
      <c r="C33" s="19" t="n">
        <v>70</v>
      </c>
      <c r="D33" s="8" t="s">
        <v>211</v>
      </c>
      <c r="E33" s="8" t="s">
        <v>244</v>
      </c>
      <c r="F33" s="8" t="s">
        <v>245</v>
      </c>
      <c r="G33" s="8" t="s">
        <v>246</v>
      </c>
    </row>
    <row r="34" customFormat="false" ht="15" hidden="false" customHeight="false" outlineLevel="0" collapsed="false">
      <c r="A34" s="7" t="s">
        <v>253</v>
      </c>
      <c r="B34" s="8" t="s">
        <v>119</v>
      </c>
      <c r="C34" s="19" t="n">
        <v>70</v>
      </c>
      <c r="D34" s="8" t="s">
        <v>211</v>
      </c>
      <c r="E34" s="8" t="s">
        <v>235</v>
      </c>
      <c r="F34" s="8" t="s">
        <v>248</v>
      </c>
      <c r="G34" s="8" t="s">
        <v>237</v>
      </c>
    </row>
    <row r="35" customFormat="false" ht="15" hidden="false" customHeight="false" outlineLevel="0" collapsed="false">
      <c r="A35" s="7" t="s">
        <v>254</v>
      </c>
      <c r="B35" s="8" t="s">
        <v>113</v>
      </c>
      <c r="C35" s="19" t="n">
        <v>65</v>
      </c>
      <c r="D35" s="8" t="s">
        <v>219</v>
      </c>
      <c r="E35" s="8" t="s">
        <v>235</v>
      </c>
      <c r="F35" s="8" t="s">
        <v>248</v>
      </c>
      <c r="G35" s="8" t="s">
        <v>237</v>
      </c>
    </row>
    <row r="36" customFormat="false" ht="15" hidden="false" customHeight="false" outlineLevel="0" collapsed="false">
      <c r="A36" s="7" t="s">
        <v>255</v>
      </c>
      <c r="B36" s="8" t="s">
        <v>111</v>
      </c>
      <c r="C36" s="19" t="n">
        <v>60</v>
      </c>
      <c r="D36" s="8" t="s">
        <v>211</v>
      </c>
      <c r="E36" s="8" t="s">
        <v>235</v>
      </c>
      <c r="F36" s="8" t="s">
        <v>239</v>
      </c>
      <c r="G36" s="8" t="s">
        <v>237</v>
      </c>
    </row>
    <row r="37" customFormat="false" ht="15" hidden="false" customHeight="false" outlineLevel="0" collapsed="false">
      <c r="A37" s="7" t="s">
        <v>256</v>
      </c>
      <c r="B37" s="8" t="s">
        <v>111</v>
      </c>
      <c r="C37" s="19" t="n">
        <v>60</v>
      </c>
      <c r="D37" s="8" t="s">
        <v>211</v>
      </c>
      <c r="E37" s="8" t="s">
        <v>235</v>
      </c>
      <c r="F37" s="8" t="s">
        <v>239</v>
      </c>
      <c r="G37" s="8" t="s">
        <v>237</v>
      </c>
    </row>
    <row r="38" customFormat="false" ht="15" hidden="false" customHeight="false" outlineLevel="0" collapsed="false">
      <c r="A38" s="7" t="s">
        <v>257</v>
      </c>
      <c r="B38" s="8" t="s">
        <v>111</v>
      </c>
      <c r="C38" s="19" t="n">
        <v>60</v>
      </c>
      <c r="D38" s="8" t="s">
        <v>211</v>
      </c>
      <c r="E38" s="8" t="s">
        <v>235</v>
      </c>
      <c r="F38" s="8" t="s">
        <v>239</v>
      </c>
      <c r="G38" s="8" t="s">
        <v>237</v>
      </c>
    </row>
    <row r="39" customFormat="false" ht="15" hidden="false" customHeight="false" outlineLevel="0" collapsed="false">
      <c r="A39" s="7" t="s">
        <v>96</v>
      </c>
      <c r="B39" s="8" t="s">
        <v>122</v>
      </c>
      <c r="C39" s="19" t="n">
        <v>55</v>
      </c>
      <c r="D39" s="8" t="s">
        <v>211</v>
      </c>
      <c r="E39" s="8" t="s">
        <v>244</v>
      </c>
      <c r="F39" s="8" t="s">
        <v>245</v>
      </c>
      <c r="G39" s="8" t="s">
        <v>246</v>
      </c>
    </row>
    <row r="40" customFormat="false" ht="15" hidden="false" customHeight="false" outlineLevel="0" collapsed="false">
      <c r="A40" s="7" t="s">
        <v>258</v>
      </c>
      <c r="B40" s="8" t="s">
        <v>113</v>
      </c>
      <c r="C40" s="19" t="n">
        <v>40</v>
      </c>
      <c r="D40" s="8" t="s">
        <v>219</v>
      </c>
      <c r="E40" s="8" t="s">
        <v>235</v>
      </c>
      <c r="F40" s="8" t="s">
        <v>239</v>
      </c>
      <c r="G40" s="8" t="s">
        <v>237</v>
      </c>
    </row>
    <row r="42" customFormat="false" ht="15" hidden="false" customHeight="false" outlineLevel="0" collapsed="false">
      <c r="A42" s="2" t="s">
        <v>259</v>
      </c>
    </row>
  </sheetData>
  <autoFilter ref="A4:G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46.25" hidden="false" customHeight="false" outlineLevel="0" collapsed="false">
      <c r="A4" s="6" t="s">
        <v>262</v>
      </c>
      <c r="B4" s="6" t="s">
        <v>131</v>
      </c>
      <c r="C4" s="6" t="s">
        <v>133</v>
      </c>
      <c r="D4" s="6" t="s">
        <v>134</v>
      </c>
      <c r="E4" s="6" t="s">
        <v>263</v>
      </c>
      <c r="F4" s="6" t="s">
        <v>264</v>
      </c>
      <c r="G4" s="6" t="s">
        <v>265</v>
      </c>
      <c r="H4" s="6" t="s">
        <v>266</v>
      </c>
      <c r="I4" s="6" t="s">
        <v>267</v>
      </c>
      <c r="J4" s="6" t="s">
        <v>268</v>
      </c>
      <c r="K4" s="6" t="s">
        <v>269</v>
      </c>
    </row>
    <row r="5" customFormat="false" ht="15" hidden="false" customHeight="false" outlineLevel="0" collapsed="false">
      <c r="A5" s="17" t="n">
        <v>1</v>
      </c>
      <c r="B5" s="20" t="s">
        <v>270</v>
      </c>
      <c r="C5" s="17" t="s">
        <v>121</v>
      </c>
      <c r="D5" s="17"/>
      <c r="E5" s="17" t="s">
        <v>271</v>
      </c>
      <c r="F5" s="21" t="n">
        <v>26</v>
      </c>
      <c r="G5" s="22" t="n">
        <f aca="false">F5/26</f>
        <v>1</v>
      </c>
      <c r="H5" s="21" t="n">
        <v>54</v>
      </c>
      <c r="I5" s="21" t="n">
        <v>1</v>
      </c>
      <c r="J5" s="22" t="n">
        <f aca="false">I5/55</f>
        <v>0.0181818181818182</v>
      </c>
      <c r="K5" s="23" t="n">
        <f aca="false">G5/(0.25+J5)</f>
        <v>3.72881355932203</v>
      </c>
    </row>
    <row r="6" customFormat="false" ht="15" hidden="false" customHeight="false" outlineLevel="0" collapsed="false">
      <c r="A6" s="17" t="n">
        <v>2</v>
      </c>
      <c r="B6" s="20" t="s">
        <v>178</v>
      </c>
      <c r="C6" s="17" t="s">
        <v>119</v>
      </c>
      <c r="D6" s="17" t="s">
        <v>123</v>
      </c>
      <c r="E6" s="17" t="s">
        <v>272</v>
      </c>
      <c r="F6" s="21" t="n">
        <v>25</v>
      </c>
      <c r="G6" s="22" t="n">
        <f aca="false">F6/26</f>
        <v>0.961538461538462</v>
      </c>
      <c r="H6" s="21" t="n">
        <v>53</v>
      </c>
      <c r="I6" s="21" t="n">
        <v>45</v>
      </c>
      <c r="J6" s="22" t="n">
        <f aca="false">I6/55</f>
        <v>0.818181818181818</v>
      </c>
      <c r="K6" s="23" t="n">
        <f aca="false">G6/(0.25+J6)</f>
        <v>0.900163666121113</v>
      </c>
    </row>
    <row r="7" customFormat="false" ht="15" hidden="false" customHeight="false" outlineLevel="0" collapsed="false">
      <c r="A7" s="17" t="n">
        <v>3</v>
      </c>
      <c r="B7" s="20" t="s">
        <v>273</v>
      </c>
      <c r="C7" s="17" t="s">
        <v>121</v>
      </c>
      <c r="D7" s="17"/>
      <c r="E7" s="17" t="s">
        <v>274</v>
      </c>
      <c r="F7" s="21" t="n">
        <v>24</v>
      </c>
      <c r="G7" s="22" t="n">
        <f aca="false">F7/26</f>
        <v>0.923076923076923</v>
      </c>
      <c r="H7" s="21" t="n">
        <v>52</v>
      </c>
      <c r="I7" s="21" t="n">
        <v>0</v>
      </c>
      <c r="J7" s="22" t="n">
        <f aca="false">I7/55</f>
        <v>0</v>
      </c>
      <c r="K7" s="23" t="n">
        <f aca="false">G7/(0.25+J7)</f>
        <v>3.69230769230769</v>
      </c>
    </row>
    <row r="8" customFormat="false" ht="15" hidden="false" customHeight="false" outlineLevel="0" collapsed="false">
      <c r="A8" s="17" t="n">
        <v>4</v>
      </c>
      <c r="B8" s="20" t="s">
        <v>275</v>
      </c>
      <c r="C8" s="17" t="s">
        <v>111</v>
      </c>
      <c r="D8" s="17"/>
      <c r="E8" s="17" t="s">
        <v>276</v>
      </c>
      <c r="F8" s="21" t="n">
        <v>24</v>
      </c>
      <c r="G8" s="22" t="n">
        <f aca="false">F8/26</f>
        <v>0.923076923076923</v>
      </c>
      <c r="H8" s="21" t="n">
        <v>53</v>
      </c>
      <c r="I8" s="21" t="n">
        <v>5</v>
      </c>
      <c r="J8" s="22" t="n">
        <f aca="false">I8/55</f>
        <v>0.0909090909090909</v>
      </c>
      <c r="K8" s="23" t="n">
        <f aca="false">G8/(0.25+J8)</f>
        <v>2.70769230769231</v>
      </c>
    </row>
    <row r="9" customFormat="false" ht="15" hidden="false" customHeight="false" outlineLevel="0" collapsed="false">
      <c r="A9" s="17" t="n">
        <v>5</v>
      </c>
      <c r="B9" s="20" t="s">
        <v>196</v>
      </c>
      <c r="C9" s="17" t="s">
        <v>125</v>
      </c>
      <c r="D9" s="17" t="s">
        <v>120</v>
      </c>
      <c r="E9" s="17" t="s">
        <v>277</v>
      </c>
      <c r="F9" s="21" t="n">
        <v>24</v>
      </c>
      <c r="G9" s="22" t="n">
        <f aca="false">F9/26</f>
        <v>0.923076923076923</v>
      </c>
      <c r="H9" s="21" t="n">
        <v>51</v>
      </c>
      <c r="I9" s="21" t="n">
        <v>23</v>
      </c>
      <c r="J9" s="22" t="n">
        <f aca="false">I9/55</f>
        <v>0.418181818181818</v>
      </c>
      <c r="K9" s="23" t="n">
        <f aca="false">G9/(0.25+J9)</f>
        <v>1.38147566718995</v>
      </c>
    </row>
    <row r="10" customFormat="false" ht="15" hidden="false" customHeight="false" outlineLevel="0" collapsed="false">
      <c r="A10" s="17" t="n">
        <v>6</v>
      </c>
      <c r="B10" s="20" t="s">
        <v>278</v>
      </c>
      <c r="C10" s="17" t="s">
        <v>115</v>
      </c>
      <c r="D10" s="17" t="s">
        <v>121</v>
      </c>
      <c r="E10" s="17" t="s">
        <v>279</v>
      </c>
      <c r="F10" s="21" t="n">
        <v>24</v>
      </c>
      <c r="G10" s="22" t="n">
        <f aca="false">F10/26</f>
        <v>0.923076923076923</v>
      </c>
      <c r="H10" s="21" t="n">
        <v>52</v>
      </c>
      <c r="I10" s="21" t="n">
        <v>28</v>
      </c>
      <c r="J10" s="22" t="n">
        <f aca="false">I10/55</f>
        <v>0.509090909090909</v>
      </c>
      <c r="K10" s="23" t="n">
        <f aca="false">G10/(0.25+J10)</f>
        <v>1.21602947950253</v>
      </c>
    </row>
    <row r="11" customFormat="false" ht="15" hidden="false" customHeight="false" outlineLevel="0" collapsed="false">
      <c r="A11" s="17" t="n">
        <v>7</v>
      </c>
      <c r="B11" s="20" t="s">
        <v>280</v>
      </c>
      <c r="C11" s="17" t="s">
        <v>111</v>
      </c>
      <c r="D11" s="17"/>
      <c r="E11" s="17" t="s">
        <v>281</v>
      </c>
      <c r="F11" s="21" t="n">
        <v>24</v>
      </c>
      <c r="G11" s="22" t="n">
        <f aca="false">F11/26</f>
        <v>0.923076923076923</v>
      </c>
      <c r="H11" s="21" t="n">
        <v>53</v>
      </c>
      <c r="I11" s="21" t="n">
        <v>31</v>
      </c>
      <c r="J11" s="22" t="n">
        <f aca="false">I11/55</f>
        <v>0.563636363636364</v>
      </c>
      <c r="K11" s="23" t="n">
        <f aca="false">G11/(0.25+J11)</f>
        <v>1.13450795015041</v>
      </c>
    </row>
    <row r="12" customFormat="false" ht="15" hidden="false" customHeight="false" outlineLevel="0" collapsed="false">
      <c r="A12" s="17" t="n">
        <v>8</v>
      </c>
      <c r="B12" s="20" t="s">
        <v>282</v>
      </c>
      <c r="C12" s="17" t="s">
        <v>123</v>
      </c>
      <c r="D12" s="17" t="s">
        <v>119</v>
      </c>
      <c r="E12" s="17" t="s">
        <v>272</v>
      </c>
      <c r="F12" s="21" t="n">
        <v>24</v>
      </c>
      <c r="G12" s="22" t="n">
        <f aca="false">F12/26</f>
        <v>0.923076923076923</v>
      </c>
      <c r="H12" s="21" t="n">
        <v>52</v>
      </c>
      <c r="I12" s="21" t="n">
        <v>47</v>
      </c>
      <c r="J12" s="22" t="n">
        <f aca="false">I12/55</f>
        <v>0.854545454545455</v>
      </c>
      <c r="K12" s="23" t="n">
        <f aca="false">G12/(0.25+J12)</f>
        <v>0.835707502374169</v>
      </c>
    </row>
    <row r="13" customFormat="false" ht="15" hidden="false" customHeight="false" outlineLevel="0" collapsed="false">
      <c r="A13" s="17" t="n">
        <v>9</v>
      </c>
      <c r="B13" s="20" t="s">
        <v>283</v>
      </c>
      <c r="C13" s="17" t="s">
        <v>114</v>
      </c>
      <c r="D13" s="17" t="s">
        <v>120</v>
      </c>
      <c r="E13" s="17" t="s">
        <v>284</v>
      </c>
      <c r="F13" s="21" t="n">
        <v>23</v>
      </c>
      <c r="G13" s="22" t="n">
        <f aca="false">F13/26</f>
        <v>0.884615384615385</v>
      </c>
      <c r="H13" s="21" t="n">
        <v>46</v>
      </c>
      <c r="I13" s="21" t="n">
        <v>11</v>
      </c>
      <c r="J13" s="22" t="n">
        <f aca="false">I13/55</f>
        <v>0.2</v>
      </c>
      <c r="K13" s="23" t="n">
        <f aca="false">G13/(0.25+J13)</f>
        <v>1.96581196581197</v>
      </c>
    </row>
    <row r="14" customFormat="false" ht="15" hidden="false" customHeight="false" outlineLevel="0" collapsed="false">
      <c r="A14" s="17" t="n">
        <v>10</v>
      </c>
      <c r="B14" s="20" t="s">
        <v>142</v>
      </c>
      <c r="C14" s="17" t="s">
        <v>113</v>
      </c>
      <c r="D14" s="17" t="s">
        <v>121</v>
      </c>
      <c r="E14" s="17" t="s">
        <v>285</v>
      </c>
      <c r="F14" s="21" t="n">
        <v>23</v>
      </c>
      <c r="G14" s="22" t="n">
        <f aca="false">F14/26</f>
        <v>0.884615384615385</v>
      </c>
      <c r="H14" s="21" t="n">
        <v>50</v>
      </c>
      <c r="I14" s="21" t="n">
        <v>23</v>
      </c>
      <c r="J14" s="22" t="n">
        <f aca="false">I14/55</f>
        <v>0.418181818181818</v>
      </c>
      <c r="K14" s="23" t="n">
        <f aca="false">G14/(0.25+J14)</f>
        <v>1.32391418105704</v>
      </c>
    </row>
    <row r="15" customFormat="false" ht="15" hidden="false" customHeight="false" outlineLevel="0" collapsed="false">
      <c r="A15" s="17" t="n">
        <v>11</v>
      </c>
      <c r="B15" s="20" t="s">
        <v>197</v>
      </c>
      <c r="C15" s="17" t="s">
        <v>113</v>
      </c>
      <c r="D15" s="17" t="s">
        <v>120</v>
      </c>
      <c r="E15" s="17" t="s">
        <v>286</v>
      </c>
      <c r="F15" s="21" t="n">
        <v>22</v>
      </c>
      <c r="G15" s="22" t="n">
        <f aca="false">F15/26</f>
        <v>0.846153846153846</v>
      </c>
      <c r="H15" s="21" t="n">
        <v>50</v>
      </c>
      <c r="I15" s="21" t="n">
        <v>21</v>
      </c>
      <c r="J15" s="22" t="n">
        <f aca="false">I15/55</f>
        <v>0.381818181818182</v>
      </c>
      <c r="K15" s="23" t="n">
        <f aca="false">G15/(0.25+J15)</f>
        <v>1.33923630326508</v>
      </c>
    </row>
    <row r="16" customFormat="false" ht="15" hidden="false" customHeight="false" outlineLevel="0" collapsed="false">
      <c r="A16" s="17" t="n">
        <v>12</v>
      </c>
      <c r="B16" s="20" t="s">
        <v>192</v>
      </c>
      <c r="C16" s="17" t="s">
        <v>124</v>
      </c>
      <c r="D16" s="17" t="s">
        <v>118</v>
      </c>
      <c r="E16" s="17" t="s">
        <v>287</v>
      </c>
      <c r="F16" s="21" t="n">
        <v>22</v>
      </c>
      <c r="G16" s="22" t="n">
        <f aca="false">F16/26</f>
        <v>0.846153846153846</v>
      </c>
      <c r="H16" s="21" t="n">
        <v>44</v>
      </c>
      <c r="I16" s="21" t="n">
        <v>28</v>
      </c>
      <c r="J16" s="22" t="n">
        <f aca="false">I16/55</f>
        <v>0.509090909090909</v>
      </c>
      <c r="K16" s="23" t="n">
        <f aca="false">G16/(0.25+J16)</f>
        <v>1.11469368954399</v>
      </c>
    </row>
    <row r="17" customFormat="false" ht="15" hidden="false" customHeight="false" outlineLevel="0" collapsed="false">
      <c r="A17" s="17" t="n">
        <v>13</v>
      </c>
      <c r="B17" s="20" t="s">
        <v>198</v>
      </c>
      <c r="C17" s="17" t="s">
        <v>123</v>
      </c>
      <c r="D17" s="17" t="s">
        <v>120</v>
      </c>
      <c r="E17" s="17" t="s">
        <v>288</v>
      </c>
      <c r="F17" s="21" t="n">
        <v>22</v>
      </c>
      <c r="G17" s="22" t="n">
        <f aca="false">F17/26</f>
        <v>0.846153846153846</v>
      </c>
      <c r="H17" s="21" t="n">
        <v>49</v>
      </c>
      <c r="I17" s="21" t="n">
        <v>43</v>
      </c>
      <c r="J17" s="22" t="n">
        <f aca="false">I17/55</f>
        <v>0.781818181818182</v>
      </c>
      <c r="K17" s="23" t="n">
        <f aca="false">G17/(0.25+J17)</f>
        <v>0.82006099627245</v>
      </c>
    </row>
    <row r="18" customFormat="false" ht="15" hidden="false" customHeight="false" outlineLevel="0" collapsed="false">
      <c r="A18" s="17" t="n">
        <v>14</v>
      </c>
      <c r="B18" s="20" t="s">
        <v>177</v>
      </c>
      <c r="C18" s="17" t="s">
        <v>118</v>
      </c>
      <c r="D18" s="17" t="s">
        <v>119</v>
      </c>
      <c r="E18" s="17" t="s">
        <v>289</v>
      </c>
      <c r="F18" s="21" t="n">
        <v>22</v>
      </c>
      <c r="G18" s="22" t="n">
        <f aca="false">F18/26</f>
        <v>0.846153846153846</v>
      </c>
      <c r="H18" s="21" t="n">
        <v>50</v>
      </c>
      <c r="I18" s="21" t="n">
        <v>43</v>
      </c>
      <c r="J18" s="22" t="n">
        <f aca="false">I18/55</f>
        <v>0.781818181818182</v>
      </c>
      <c r="K18" s="23" t="n">
        <f aca="false">G18/(0.25+J18)</f>
        <v>0.82006099627245</v>
      </c>
    </row>
    <row r="19" customFormat="false" ht="15" hidden="false" customHeight="false" outlineLevel="0" collapsed="false">
      <c r="A19" s="17" t="n">
        <v>15</v>
      </c>
      <c r="B19" s="20" t="s">
        <v>290</v>
      </c>
      <c r="C19" s="17" t="s">
        <v>123</v>
      </c>
      <c r="D19" s="17" t="s">
        <v>113</v>
      </c>
      <c r="E19" s="17" t="s">
        <v>291</v>
      </c>
      <c r="F19" s="21" t="n">
        <v>22</v>
      </c>
      <c r="G19" s="22" t="n">
        <f aca="false">F19/26</f>
        <v>0.846153846153846</v>
      </c>
      <c r="H19" s="21" t="n">
        <v>48</v>
      </c>
      <c r="I19" s="21" t="n">
        <v>50</v>
      </c>
      <c r="J19" s="22" t="n">
        <f aca="false">I19/55</f>
        <v>0.909090909090909</v>
      </c>
      <c r="K19" s="23" t="n">
        <f aca="false">G19/(0.25+J19)</f>
        <v>0.730015082956259</v>
      </c>
    </row>
    <row r="20" customFormat="false" ht="15" hidden="false" customHeight="false" outlineLevel="0" collapsed="false">
      <c r="A20" s="17" t="n">
        <v>16</v>
      </c>
      <c r="B20" s="20" t="s">
        <v>292</v>
      </c>
      <c r="C20" s="17" t="s">
        <v>111</v>
      </c>
      <c r="D20" s="17"/>
      <c r="E20" s="17" t="s">
        <v>293</v>
      </c>
      <c r="F20" s="21" t="n">
        <v>21</v>
      </c>
      <c r="G20" s="22" t="n">
        <f aca="false">F20/26</f>
        <v>0.807692307692308</v>
      </c>
      <c r="H20" s="21" t="n">
        <v>45</v>
      </c>
      <c r="I20" s="21" t="n">
        <v>6</v>
      </c>
      <c r="J20" s="22" t="n">
        <f aca="false">I20/55</f>
        <v>0.109090909090909</v>
      </c>
      <c r="K20" s="23" t="n">
        <f aca="false">G20/(0.25+J20)</f>
        <v>2.24926971762415</v>
      </c>
    </row>
    <row r="21" customFormat="false" ht="15" hidden="false" customHeight="false" outlineLevel="0" collapsed="false">
      <c r="A21" s="17" t="n">
        <v>17</v>
      </c>
      <c r="B21" s="20" t="s">
        <v>294</v>
      </c>
      <c r="C21" s="17" t="s">
        <v>111</v>
      </c>
      <c r="D21" s="17"/>
      <c r="E21" s="17" t="s">
        <v>293</v>
      </c>
      <c r="F21" s="21" t="n">
        <v>21</v>
      </c>
      <c r="G21" s="22" t="n">
        <f aca="false">F21/26</f>
        <v>0.807692307692308</v>
      </c>
      <c r="H21" s="21" t="n">
        <v>47</v>
      </c>
      <c r="I21" s="21" t="n">
        <v>7</v>
      </c>
      <c r="J21" s="22" t="n">
        <f aca="false">I21/55</f>
        <v>0.127272727272727</v>
      </c>
      <c r="K21" s="23" t="n">
        <f aca="false">G21/(0.25+J21)</f>
        <v>2.14087117701576</v>
      </c>
    </row>
    <row r="22" customFormat="false" ht="15" hidden="false" customHeight="false" outlineLevel="0" collapsed="false">
      <c r="A22" s="17" t="n">
        <v>18</v>
      </c>
      <c r="B22" s="20" t="s">
        <v>185</v>
      </c>
      <c r="C22" s="17" t="s">
        <v>113</v>
      </c>
      <c r="D22" s="17" t="s">
        <v>116</v>
      </c>
      <c r="E22" s="17" t="s">
        <v>286</v>
      </c>
      <c r="F22" s="21" t="n">
        <v>21</v>
      </c>
      <c r="G22" s="22" t="n">
        <f aca="false">F22/26</f>
        <v>0.807692307692308</v>
      </c>
      <c r="H22" s="21" t="n">
        <v>47</v>
      </c>
      <c r="I22" s="21" t="n">
        <v>15</v>
      </c>
      <c r="J22" s="22" t="n">
        <f aca="false">I22/55</f>
        <v>0.272727272727273</v>
      </c>
      <c r="K22" s="23" t="n">
        <f aca="false">G22/(0.25+J22)</f>
        <v>1.54515050167224</v>
      </c>
    </row>
    <row r="23" customFormat="false" ht="15" hidden="false" customHeight="false" outlineLevel="0" collapsed="false">
      <c r="A23" s="17" t="n">
        <v>19</v>
      </c>
      <c r="B23" s="20" t="s">
        <v>295</v>
      </c>
      <c r="C23" s="17" t="s">
        <v>111</v>
      </c>
      <c r="D23" s="17"/>
      <c r="E23" s="17" t="s">
        <v>293</v>
      </c>
      <c r="F23" s="21" t="n">
        <v>21</v>
      </c>
      <c r="G23" s="22" t="n">
        <f aca="false">F23/26</f>
        <v>0.807692307692308</v>
      </c>
      <c r="H23" s="21" t="n">
        <v>47</v>
      </c>
      <c r="I23" s="21" t="n">
        <v>22</v>
      </c>
      <c r="J23" s="22" t="n">
        <f aca="false">I23/55</f>
        <v>0.4</v>
      </c>
      <c r="K23" s="23" t="n">
        <f aca="false">G23/(0.25+J23)</f>
        <v>1.24260355029586</v>
      </c>
    </row>
    <row r="24" customFormat="false" ht="15" hidden="false" customHeight="false" outlineLevel="0" collapsed="false">
      <c r="A24" s="17" t="n">
        <v>20</v>
      </c>
      <c r="B24" s="20" t="s">
        <v>296</v>
      </c>
      <c r="C24" s="17" t="s">
        <v>116</v>
      </c>
      <c r="D24" s="17" t="s">
        <v>120</v>
      </c>
      <c r="E24" s="17" t="s">
        <v>297</v>
      </c>
      <c r="F24" s="21" t="n">
        <v>21</v>
      </c>
      <c r="G24" s="22" t="n">
        <f aca="false">F24/26</f>
        <v>0.807692307692308</v>
      </c>
      <c r="H24" s="21" t="n">
        <v>47</v>
      </c>
      <c r="I24" s="21" t="n">
        <v>23</v>
      </c>
      <c r="J24" s="22" t="n">
        <f aca="false">I24/55</f>
        <v>0.418181818181818</v>
      </c>
      <c r="K24" s="23" t="n">
        <f aca="false">G24/(0.25+J24)</f>
        <v>1.20879120879121</v>
      </c>
    </row>
    <row r="25" customFormat="false" ht="15" hidden="false" customHeight="false" outlineLevel="0" collapsed="false">
      <c r="A25" s="17" t="n">
        <v>21</v>
      </c>
      <c r="B25" s="20" t="s">
        <v>298</v>
      </c>
      <c r="C25" s="17" t="s">
        <v>115</v>
      </c>
      <c r="D25" s="17" t="s">
        <v>118</v>
      </c>
      <c r="E25" s="17" t="s">
        <v>299</v>
      </c>
      <c r="F25" s="21" t="n">
        <v>21</v>
      </c>
      <c r="G25" s="22" t="n">
        <f aca="false">F25/26</f>
        <v>0.807692307692308</v>
      </c>
      <c r="H25" s="21" t="n">
        <v>48</v>
      </c>
      <c r="I25" s="21" t="n">
        <v>31</v>
      </c>
      <c r="J25" s="22" t="n">
        <f aca="false">I25/55</f>
        <v>0.563636363636364</v>
      </c>
      <c r="K25" s="23" t="n">
        <f aca="false">G25/(0.25+J25)</f>
        <v>0.992694456381607</v>
      </c>
    </row>
    <row r="26" customFormat="false" ht="15" hidden="false" customHeight="false" outlineLevel="0" collapsed="false">
      <c r="A26" s="17" t="n">
        <v>22</v>
      </c>
      <c r="B26" s="20" t="s">
        <v>156</v>
      </c>
      <c r="C26" s="17" t="s">
        <v>113</v>
      </c>
      <c r="D26" s="17" t="s">
        <v>118</v>
      </c>
      <c r="E26" s="17" t="s">
        <v>300</v>
      </c>
      <c r="F26" s="21" t="n">
        <v>21</v>
      </c>
      <c r="G26" s="22" t="n">
        <f aca="false">F26/26</f>
        <v>0.807692307692308</v>
      </c>
      <c r="H26" s="21" t="n">
        <v>48</v>
      </c>
      <c r="I26" s="21" t="n">
        <v>31</v>
      </c>
      <c r="J26" s="22" t="n">
        <f aca="false">I26/55</f>
        <v>0.563636363636364</v>
      </c>
      <c r="K26" s="23" t="n">
        <f aca="false">G26/(0.25+J26)</f>
        <v>0.992694456381607</v>
      </c>
    </row>
    <row r="27" customFormat="false" ht="15" hidden="false" customHeight="false" outlineLevel="0" collapsed="false">
      <c r="A27" s="17" t="n">
        <v>23</v>
      </c>
      <c r="B27" s="20" t="s">
        <v>190</v>
      </c>
      <c r="C27" s="17" t="s">
        <v>117</v>
      </c>
      <c r="D27" s="17"/>
      <c r="E27" s="17" t="s">
        <v>301</v>
      </c>
      <c r="F27" s="21" t="n">
        <v>21</v>
      </c>
      <c r="G27" s="22" t="n">
        <f aca="false">F27/26</f>
        <v>0.807692307692308</v>
      </c>
      <c r="H27" s="21" t="n">
        <v>48</v>
      </c>
      <c r="I27" s="21" t="n">
        <v>32</v>
      </c>
      <c r="J27" s="22" t="n">
        <f aca="false">I27/55</f>
        <v>0.581818181818182</v>
      </c>
      <c r="K27" s="23" t="n">
        <f aca="false">G27/(0.25+J27)</f>
        <v>0.970996216897856</v>
      </c>
    </row>
    <row r="28" customFormat="false" ht="15" hidden="false" customHeight="false" outlineLevel="0" collapsed="false">
      <c r="A28" s="17" t="n">
        <v>24</v>
      </c>
      <c r="B28" s="20" t="s">
        <v>175</v>
      </c>
      <c r="C28" s="17" t="s">
        <v>118</v>
      </c>
      <c r="D28" s="17" t="s">
        <v>119</v>
      </c>
      <c r="E28" s="17" t="s">
        <v>289</v>
      </c>
      <c r="F28" s="21" t="n">
        <v>21</v>
      </c>
      <c r="G28" s="22" t="n">
        <f aca="false">F28/26</f>
        <v>0.807692307692308</v>
      </c>
      <c r="H28" s="21" t="n">
        <v>49</v>
      </c>
      <c r="I28" s="21" t="n">
        <v>37</v>
      </c>
      <c r="J28" s="22" t="n">
        <f aca="false">I28/55</f>
        <v>0.672727272727273</v>
      </c>
      <c r="K28" s="23" t="n">
        <f aca="false">G28/(0.25+J28)</f>
        <v>0.875331564986737</v>
      </c>
    </row>
    <row r="29" customFormat="false" ht="15" hidden="false" customHeight="false" outlineLevel="0" collapsed="false">
      <c r="A29" s="17" t="n">
        <v>25</v>
      </c>
      <c r="B29" s="20" t="s">
        <v>189</v>
      </c>
      <c r="C29" s="17" t="s">
        <v>117</v>
      </c>
      <c r="D29" s="17"/>
      <c r="E29" s="17" t="s">
        <v>302</v>
      </c>
      <c r="F29" s="21" t="n">
        <v>21</v>
      </c>
      <c r="G29" s="22" t="n">
        <f aca="false">F29/26</f>
        <v>0.807692307692308</v>
      </c>
      <c r="H29" s="21" t="n">
        <v>45</v>
      </c>
      <c r="I29" s="21" t="n">
        <v>49</v>
      </c>
      <c r="J29" s="22" t="n">
        <f aca="false">I29/55</f>
        <v>0.890909090909091</v>
      </c>
      <c r="K29" s="23" t="n">
        <f aca="false">G29/(0.25+J29)</f>
        <v>0.707937480845847</v>
      </c>
    </row>
    <row r="30" customFormat="false" ht="15" hidden="false" customHeight="false" outlineLevel="0" collapsed="false">
      <c r="A30" s="17" t="n">
        <v>26</v>
      </c>
      <c r="B30" s="20" t="s">
        <v>303</v>
      </c>
      <c r="C30" s="17" t="s">
        <v>111</v>
      </c>
      <c r="D30" s="17"/>
      <c r="E30" s="17" t="s">
        <v>304</v>
      </c>
      <c r="F30" s="21" t="n">
        <v>21</v>
      </c>
      <c r="G30" s="22" t="n">
        <f aca="false">F30/26</f>
        <v>0.807692307692308</v>
      </c>
      <c r="H30" s="21" t="n">
        <v>39</v>
      </c>
      <c r="I30" s="21" t="n">
        <v>51</v>
      </c>
      <c r="J30" s="22" t="n">
        <f aca="false">I30/55</f>
        <v>0.927272727272727</v>
      </c>
      <c r="K30" s="23" t="n">
        <f aca="false">G30/(0.25+J30)</f>
        <v>0.686070686070686</v>
      </c>
    </row>
    <row r="31" customFormat="false" ht="15" hidden="false" customHeight="false" outlineLevel="0" collapsed="false">
      <c r="A31" s="17" t="n">
        <v>27</v>
      </c>
      <c r="B31" s="20" t="s">
        <v>305</v>
      </c>
      <c r="C31" s="17" t="s">
        <v>111</v>
      </c>
      <c r="D31" s="17"/>
      <c r="E31" s="17" t="s">
        <v>281</v>
      </c>
      <c r="F31" s="21" t="n">
        <v>20</v>
      </c>
      <c r="G31" s="22" t="n">
        <f aca="false">F31/26</f>
        <v>0.769230769230769</v>
      </c>
      <c r="H31" s="21" t="n">
        <v>45</v>
      </c>
      <c r="I31" s="21" t="n">
        <v>12</v>
      </c>
      <c r="J31" s="22" t="n">
        <f aca="false">I31/55</f>
        <v>0.218181818181818</v>
      </c>
      <c r="K31" s="23" t="n">
        <f aca="false">G31/(0.25+J31)</f>
        <v>1.64301717699776</v>
      </c>
    </row>
    <row r="32" customFormat="false" ht="15" hidden="false" customHeight="false" outlineLevel="0" collapsed="false">
      <c r="A32" s="17" t="n">
        <v>28</v>
      </c>
      <c r="B32" s="20" t="s">
        <v>181</v>
      </c>
      <c r="C32" s="17" t="s">
        <v>113</v>
      </c>
      <c r="D32" s="17" t="s">
        <v>121</v>
      </c>
      <c r="E32" s="17" t="s">
        <v>306</v>
      </c>
      <c r="F32" s="21" t="n">
        <v>20</v>
      </c>
      <c r="G32" s="22" t="n">
        <f aca="false">F32/26</f>
        <v>0.769230769230769</v>
      </c>
      <c r="H32" s="21" t="n">
        <v>46</v>
      </c>
      <c r="I32" s="21" t="n">
        <v>18</v>
      </c>
      <c r="J32" s="22" t="n">
        <f aca="false">I32/55</f>
        <v>0.327272727272727</v>
      </c>
      <c r="K32" s="23" t="n">
        <f aca="false">G32/(0.25+J32)</f>
        <v>1.33252574197456</v>
      </c>
    </row>
    <row r="33" customFormat="false" ht="15" hidden="false" customHeight="false" outlineLevel="0" collapsed="false">
      <c r="A33" s="17" t="n">
        <v>29</v>
      </c>
      <c r="B33" s="20" t="s">
        <v>307</v>
      </c>
      <c r="C33" s="17" t="s">
        <v>111</v>
      </c>
      <c r="D33" s="17"/>
      <c r="E33" s="17" t="s">
        <v>308</v>
      </c>
      <c r="F33" s="21" t="n">
        <v>20</v>
      </c>
      <c r="G33" s="22" t="n">
        <f aca="false">F33/26</f>
        <v>0.769230769230769</v>
      </c>
      <c r="H33" s="21" t="n">
        <v>47</v>
      </c>
      <c r="I33" s="21" t="n">
        <v>37</v>
      </c>
      <c r="J33" s="22" t="n">
        <f aca="false">I33/55</f>
        <v>0.672727272727273</v>
      </c>
      <c r="K33" s="23" t="n">
        <f aca="false">G33/(0.25+J33)</f>
        <v>0.833649109511179</v>
      </c>
    </row>
    <row r="34" customFormat="false" ht="15" hidden="false" customHeight="false" outlineLevel="0" collapsed="false">
      <c r="A34" s="17" t="n">
        <v>30</v>
      </c>
      <c r="B34" s="20" t="s">
        <v>309</v>
      </c>
      <c r="C34" s="17" t="s">
        <v>124</v>
      </c>
      <c r="D34" s="17" t="s">
        <v>118</v>
      </c>
      <c r="E34" s="17" t="s">
        <v>310</v>
      </c>
      <c r="F34" s="21" t="n">
        <v>20</v>
      </c>
      <c r="G34" s="22" t="n">
        <f aca="false">F34/26</f>
        <v>0.769230769230769</v>
      </c>
      <c r="H34" s="21" t="n">
        <v>40</v>
      </c>
      <c r="I34" s="21" t="n">
        <v>38</v>
      </c>
      <c r="J34" s="22" t="n">
        <f aca="false">I34/55</f>
        <v>0.690909090909091</v>
      </c>
      <c r="K34" s="23" t="n">
        <f aca="false">G34/(0.25+J34)</f>
        <v>0.817539947974731</v>
      </c>
    </row>
    <row r="35" customFormat="false" ht="15" hidden="false" customHeight="false" outlineLevel="0" collapsed="false">
      <c r="A35" s="17" t="n">
        <v>31</v>
      </c>
      <c r="B35" s="20" t="s">
        <v>149</v>
      </c>
      <c r="C35" s="17" t="s">
        <v>115</v>
      </c>
      <c r="D35" s="17" t="s">
        <v>118</v>
      </c>
      <c r="E35" s="17" t="s">
        <v>311</v>
      </c>
      <c r="F35" s="21" t="n">
        <v>20</v>
      </c>
      <c r="G35" s="22" t="n">
        <f aca="false">F35/26</f>
        <v>0.769230769230769</v>
      </c>
      <c r="H35" s="21" t="n">
        <v>45</v>
      </c>
      <c r="I35" s="21" t="n">
        <v>42</v>
      </c>
      <c r="J35" s="22" t="n">
        <f aca="false">I35/55</f>
        <v>0.763636363636364</v>
      </c>
      <c r="K35" s="23" t="n">
        <f aca="false">G35/(0.25+J35)</f>
        <v>0.758882373232149</v>
      </c>
    </row>
    <row r="36" customFormat="false" ht="15" hidden="false" customHeight="false" outlineLevel="0" collapsed="false">
      <c r="A36" s="17" t="n">
        <v>32</v>
      </c>
      <c r="B36" s="20" t="s">
        <v>312</v>
      </c>
      <c r="C36" s="17" t="s">
        <v>111</v>
      </c>
      <c r="D36" s="17" t="s">
        <v>120</v>
      </c>
      <c r="E36" s="17" t="s">
        <v>313</v>
      </c>
      <c r="F36" s="21" t="n">
        <v>20</v>
      </c>
      <c r="G36" s="22" t="n">
        <f aca="false">F36/26</f>
        <v>0.769230769230769</v>
      </c>
      <c r="H36" s="21" t="n">
        <v>47</v>
      </c>
      <c r="I36" s="21" t="n">
        <v>49</v>
      </c>
      <c r="J36" s="22" t="n">
        <f aca="false">I36/55</f>
        <v>0.890909090909091</v>
      </c>
      <c r="K36" s="23" t="n">
        <f aca="false">G36/(0.25+J36)</f>
        <v>0.67422617223414</v>
      </c>
    </row>
    <row r="37" customFormat="false" ht="15" hidden="false" customHeight="false" outlineLevel="0" collapsed="false">
      <c r="A37" s="17" t="n">
        <v>33</v>
      </c>
      <c r="B37" s="20" t="s">
        <v>314</v>
      </c>
      <c r="C37" s="17" t="s">
        <v>123</v>
      </c>
      <c r="D37" s="17" t="s">
        <v>119</v>
      </c>
      <c r="E37" s="17" t="s">
        <v>315</v>
      </c>
      <c r="F37" s="21" t="n">
        <v>20</v>
      </c>
      <c r="G37" s="22" t="n">
        <f aca="false">F37/26</f>
        <v>0.769230769230769</v>
      </c>
      <c r="H37" s="21" t="n">
        <v>47</v>
      </c>
      <c r="I37" s="21" t="n">
        <v>50</v>
      </c>
      <c r="J37" s="22" t="n">
        <f aca="false">I37/55</f>
        <v>0.909090909090909</v>
      </c>
      <c r="K37" s="23" t="n">
        <f aca="false">G37/(0.25+J37)</f>
        <v>0.663650075414781</v>
      </c>
    </row>
    <row r="38" customFormat="false" ht="15" hidden="false" customHeight="false" outlineLevel="0" collapsed="false">
      <c r="A38" s="17" t="n">
        <v>34</v>
      </c>
      <c r="B38" s="20" t="s">
        <v>316</v>
      </c>
      <c r="C38" s="17" t="s">
        <v>114</v>
      </c>
      <c r="D38" s="17"/>
      <c r="E38" s="17" t="s">
        <v>317</v>
      </c>
      <c r="F38" s="21" t="n">
        <v>19</v>
      </c>
      <c r="G38" s="22" t="n">
        <f aca="false">F38/26</f>
        <v>0.730769230769231</v>
      </c>
      <c r="H38" s="21" t="n">
        <v>36</v>
      </c>
      <c r="I38" s="21" t="n">
        <v>26</v>
      </c>
      <c r="J38" s="22" t="n">
        <f aca="false">I38/55</f>
        <v>0.472727272727273</v>
      </c>
      <c r="K38" s="23" t="n">
        <f aca="false">G38/(0.25+J38)</f>
        <v>1.01112723754233</v>
      </c>
    </row>
    <row r="39" customFormat="false" ht="15" hidden="false" customHeight="false" outlineLevel="0" collapsed="false">
      <c r="A39" s="17" t="n">
        <v>35</v>
      </c>
      <c r="B39" s="20" t="s">
        <v>318</v>
      </c>
      <c r="C39" s="17" t="s">
        <v>114</v>
      </c>
      <c r="D39" s="17"/>
      <c r="E39" s="17" t="s">
        <v>319</v>
      </c>
      <c r="F39" s="21" t="n">
        <v>19</v>
      </c>
      <c r="G39" s="22" t="n">
        <f aca="false">F39/26</f>
        <v>0.730769230769231</v>
      </c>
      <c r="H39" s="21" t="n">
        <v>38</v>
      </c>
      <c r="I39" s="21" t="n">
        <v>33</v>
      </c>
      <c r="J39" s="22" t="n">
        <f aca="false">I39/55</f>
        <v>0.6</v>
      </c>
      <c r="K39" s="23" t="n">
        <f aca="false">G39/(0.25+J39)</f>
        <v>0.85972850678733</v>
      </c>
    </row>
    <row r="40" customFormat="false" ht="15" hidden="false" customHeight="false" outlineLevel="0" collapsed="false">
      <c r="A40" s="17" t="n">
        <v>36</v>
      </c>
      <c r="B40" s="20" t="s">
        <v>162</v>
      </c>
      <c r="C40" s="17" t="s">
        <v>121</v>
      </c>
      <c r="D40" s="17"/>
      <c r="E40" s="17" t="s">
        <v>320</v>
      </c>
      <c r="F40" s="21" t="n">
        <v>19</v>
      </c>
      <c r="G40" s="22" t="n">
        <f aca="false">F40/26</f>
        <v>0.730769230769231</v>
      </c>
      <c r="H40" s="21" t="n">
        <v>41</v>
      </c>
      <c r="I40" s="21" t="n">
        <v>43</v>
      </c>
      <c r="J40" s="22" t="n">
        <f aca="false">I40/55</f>
        <v>0.781818181818182</v>
      </c>
      <c r="K40" s="23" t="n">
        <f aca="false">G40/(0.25+J40)</f>
        <v>0.708234496780752</v>
      </c>
    </row>
    <row r="41" customFormat="false" ht="15" hidden="false" customHeight="false" outlineLevel="0" collapsed="false">
      <c r="A41" s="17" t="n">
        <v>37</v>
      </c>
      <c r="B41" s="20" t="s">
        <v>321</v>
      </c>
      <c r="C41" s="17" t="s">
        <v>113</v>
      </c>
      <c r="D41" s="17"/>
      <c r="E41" s="17" t="s">
        <v>322</v>
      </c>
      <c r="F41" s="21" t="n">
        <v>18</v>
      </c>
      <c r="G41" s="22" t="n">
        <f aca="false">F41/26</f>
        <v>0.692307692307692</v>
      </c>
      <c r="H41" s="21" t="n">
        <v>43</v>
      </c>
      <c r="I41" s="21" t="n">
        <v>25</v>
      </c>
      <c r="J41" s="22" t="n">
        <f aca="false">I41/55</f>
        <v>0.454545454545455</v>
      </c>
      <c r="K41" s="23" t="n">
        <f aca="false">G41/(0.25+J41)</f>
        <v>0.982630272952854</v>
      </c>
    </row>
    <row r="42" customFormat="false" ht="15" hidden="false" customHeight="false" outlineLevel="0" collapsed="false">
      <c r="A42" s="17" t="n">
        <v>38</v>
      </c>
      <c r="B42" s="20" t="s">
        <v>188</v>
      </c>
      <c r="C42" s="17" t="s">
        <v>113</v>
      </c>
      <c r="D42" s="17" t="s">
        <v>117</v>
      </c>
      <c r="E42" s="17" t="s">
        <v>323</v>
      </c>
      <c r="F42" s="21" t="n">
        <v>18</v>
      </c>
      <c r="G42" s="22" t="n">
        <f aca="false">F42/26</f>
        <v>0.692307692307692</v>
      </c>
      <c r="H42" s="21" t="n">
        <v>42</v>
      </c>
      <c r="I42" s="21" t="n">
        <v>34</v>
      </c>
      <c r="J42" s="22" t="n">
        <f aca="false">I42/55</f>
        <v>0.618181818181818</v>
      </c>
      <c r="K42" s="23" t="n">
        <f aca="false">G42/(0.25+J42)</f>
        <v>0.797422472815143</v>
      </c>
    </row>
    <row r="43" customFormat="false" ht="15" hidden="false" customHeight="false" outlineLevel="0" collapsed="false">
      <c r="A43" s="17" t="n">
        <v>39</v>
      </c>
      <c r="B43" s="20" t="s">
        <v>164</v>
      </c>
      <c r="C43" s="17" t="s">
        <v>121</v>
      </c>
      <c r="D43" s="17"/>
      <c r="E43" s="17" t="s">
        <v>324</v>
      </c>
      <c r="F43" s="21" t="n">
        <v>18</v>
      </c>
      <c r="G43" s="22" t="n">
        <f aca="false">F43/26</f>
        <v>0.692307692307692</v>
      </c>
      <c r="H43" s="21" t="n">
        <v>43</v>
      </c>
      <c r="I43" s="21" t="n">
        <v>40</v>
      </c>
      <c r="J43" s="22" t="n">
        <f aca="false">I43/55</f>
        <v>0.727272727272727</v>
      </c>
      <c r="K43" s="23" t="n">
        <f aca="false">G43/(0.25+J43)</f>
        <v>0.708407871198569</v>
      </c>
    </row>
    <row r="44" customFormat="false" ht="15" hidden="false" customHeight="false" outlineLevel="0" collapsed="false">
      <c r="A44" s="17" t="n">
        <v>40</v>
      </c>
      <c r="B44" s="20" t="s">
        <v>325</v>
      </c>
      <c r="C44" s="17" t="s">
        <v>114</v>
      </c>
      <c r="D44" s="17"/>
      <c r="E44" s="17" t="s">
        <v>320</v>
      </c>
      <c r="F44" s="21" t="n">
        <v>18</v>
      </c>
      <c r="G44" s="22" t="n">
        <f aca="false">F44/26</f>
        <v>0.692307692307692</v>
      </c>
      <c r="H44" s="21" t="n">
        <v>38</v>
      </c>
      <c r="I44" s="21" t="n">
        <v>45</v>
      </c>
      <c r="J44" s="22" t="n">
        <f aca="false">I44/55</f>
        <v>0.818181818181818</v>
      </c>
      <c r="K44" s="23" t="n">
        <f aca="false">G44/(0.25+J44)</f>
        <v>0.648117839607201</v>
      </c>
    </row>
    <row r="45" customFormat="false" ht="15" hidden="false" customHeight="false" outlineLevel="0" collapsed="false">
      <c r="A45" s="17" t="n">
        <v>41</v>
      </c>
      <c r="B45" s="20" t="s">
        <v>184</v>
      </c>
      <c r="C45" s="17" t="s">
        <v>116</v>
      </c>
      <c r="D45" s="17" t="s">
        <v>121</v>
      </c>
      <c r="E45" s="17" t="s">
        <v>326</v>
      </c>
      <c r="F45" s="21" t="n">
        <v>18</v>
      </c>
      <c r="G45" s="22" t="n">
        <f aca="false">F45/26</f>
        <v>0.692307692307692</v>
      </c>
      <c r="H45" s="21" t="n">
        <v>41</v>
      </c>
      <c r="I45" s="21" t="n">
        <v>45</v>
      </c>
      <c r="J45" s="22" t="n">
        <f aca="false">I45/55</f>
        <v>0.818181818181818</v>
      </c>
      <c r="K45" s="23" t="n">
        <f aca="false">G45/(0.25+J45)</f>
        <v>0.648117839607201</v>
      </c>
    </row>
    <row r="46" customFormat="false" ht="15" hidden="false" customHeight="false" outlineLevel="0" collapsed="false">
      <c r="A46" s="17" t="n">
        <v>42</v>
      </c>
      <c r="B46" s="20" t="s">
        <v>327</v>
      </c>
      <c r="C46" s="17" t="s">
        <v>124</v>
      </c>
      <c r="D46" s="17" t="s">
        <v>118</v>
      </c>
      <c r="E46" s="17" t="s">
        <v>310</v>
      </c>
      <c r="F46" s="21" t="n">
        <v>18</v>
      </c>
      <c r="G46" s="22" t="n">
        <f aca="false">F46/26</f>
        <v>0.692307692307692</v>
      </c>
      <c r="H46" s="21" t="n">
        <v>37</v>
      </c>
      <c r="I46" s="21" t="n">
        <v>46</v>
      </c>
      <c r="J46" s="22" t="n">
        <f aca="false">I46/55</f>
        <v>0.836363636363636</v>
      </c>
      <c r="K46" s="23" t="n">
        <f aca="false">G46/(0.25+J46)</f>
        <v>0.637270679111683</v>
      </c>
    </row>
    <row r="47" customFormat="false" ht="15" hidden="false" customHeight="false" outlineLevel="0" collapsed="false">
      <c r="A47" s="17" t="n">
        <v>43</v>
      </c>
      <c r="B47" s="20" t="s">
        <v>328</v>
      </c>
      <c r="C47" s="17" t="s">
        <v>119</v>
      </c>
      <c r="D47" s="17" t="s">
        <v>123</v>
      </c>
      <c r="E47" s="17" t="s">
        <v>329</v>
      </c>
      <c r="F47" s="21" t="n">
        <v>18</v>
      </c>
      <c r="G47" s="22" t="n">
        <f aca="false">F47/26</f>
        <v>0.692307692307692</v>
      </c>
      <c r="H47" s="21" t="n">
        <v>45</v>
      </c>
      <c r="I47" s="21" t="n">
        <v>52</v>
      </c>
      <c r="J47" s="22" t="n">
        <f aca="false">I47/55</f>
        <v>0.945454545454545</v>
      </c>
      <c r="K47" s="23" t="n">
        <f aca="false">G47/(0.25+J47)</f>
        <v>0.579116700789705</v>
      </c>
    </row>
    <row r="48" customFormat="false" ht="15" hidden="false" customHeight="false" outlineLevel="0" collapsed="false">
      <c r="A48" s="17" t="n">
        <v>44</v>
      </c>
      <c r="B48" s="20" t="s">
        <v>330</v>
      </c>
      <c r="C48" s="17" t="s">
        <v>113</v>
      </c>
      <c r="D48" s="17" t="s">
        <v>118</v>
      </c>
      <c r="E48" s="17" t="s">
        <v>300</v>
      </c>
      <c r="F48" s="21" t="n">
        <v>18</v>
      </c>
      <c r="G48" s="22" t="n">
        <f aca="false">F48/26</f>
        <v>0.692307692307692</v>
      </c>
      <c r="H48" s="21" t="n">
        <v>41</v>
      </c>
      <c r="I48" s="21" t="n">
        <v>54</v>
      </c>
      <c r="J48" s="22" t="n">
        <f aca="false">I48/55</f>
        <v>0.981818181818182</v>
      </c>
      <c r="K48" s="23" t="n">
        <f aca="false">G48/(0.25+J48)</f>
        <v>0.562021004825433</v>
      </c>
    </row>
    <row r="49" customFormat="false" ht="15" hidden="false" customHeight="false" outlineLevel="0" collapsed="false">
      <c r="A49" s="17" t="n">
        <v>45</v>
      </c>
      <c r="B49" s="20" t="s">
        <v>201</v>
      </c>
      <c r="C49" s="17" t="s">
        <v>113</v>
      </c>
      <c r="D49" s="17"/>
      <c r="E49" s="17" t="s">
        <v>331</v>
      </c>
      <c r="F49" s="21" t="n">
        <v>17</v>
      </c>
      <c r="G49" s="22" t="n">
        <f aca="false">F49/26</f>
        <v>0.653846153846154</v>
      </c>
      <c r="H49" s="21" t="n">
        <v>41</v>
      </c>
      <c r="I49" s="21" t="n">
        <v>7</v>
      </c>
      <c r="J49" s="22" t="n">
        <f aca="false">I49/55</f>
        <v>0.127272727272727</v>
      </c>
      <c r="K49" s="23" t="n">
        <f aca="false">G49/(0.25+J49)</f>
        <v>1.73308619091752</v>
      </c>
    </row>
    <row r="50" customFormat="false" ht="15" hidden="false" customHeight="false" outlineLevel="0" collapsed="false">
      <c r="A50" s="17" t="n">
        <v>46</v>
      </c>
      <c r="B50" s="20" t="s">
        <v>161</v>
      </c>
      <c r="C50" s="17" t="s">
        <v>121</v>
      </c>
      <c r="D50" s="17"/>
      <c r="E50" s="17" t="s">
        <v>324</v>
      </c>
      <c r="F50" s="21" t="n">
        <v>17</v>
      </c>
      <c r="G50" s="22" t="n">
        <f aca="false">F50/26</f>
        <v>0.653846153846154</v>
      </c>
      <c r="H50" s="21" t="n">
        <v>41</v>
      </c>
      <c r="I50" s="21" t="n">
        <v>8</v>
      </c>
      <c r="J50" s="22" t="n">
        <f aca="false">I50/55</f>
        <v>0.145454545454545</v>
      </c>
      <c r="K50" s="23" t="n">
        <f aca="false">G50/(0.25+J50)</f>
        <v>1.65340406719717</v>
      </c>
    </row>
    <row r="51" customFormat="false" ht="15" hidden="false" customHeight="false" outlineLevel="0" collapsed="false">
      <c r="A51" s="17" t="n">
        <v>47</v>
      </c>
      <c r="B51" s="20" t="s">
        <v>332</v>
      </c>
      <c r="C51" s="17" t="s">
        <v>112</v>
      </c>
      <c r="D51" s="17" t="s">
        <v>120</v>
      </c>
      <c r="E51" s="17" t="s">
        <v>333</v>
      </c>
      <c r="F51" s="21" t="n">
        <v>17</v>
      </c>
      <c r="G51" s="22" t="n">
        <f aca="false">F51/26</f>
        <v>0.653846153846154</v>
      </c>
      <c r="H51" s="21" t="n">
        <v>40</v>
      </c>
      <c r="I51" s="21" t="n">
        <v>25</v>
      </c>
      <c r="J51" s="22" t="n">
        <f aca="false">I51/55</f>
        <v>0.454545454545455</v>
      </c>
      <c r="K51" s="23" t="n">
        <f aca="false">G51/(0.25+J51)</f>
        <v>0.928039702233251</v>
      </c>
    </row>
    <row r="52" customFormat="false" ht="15" hidden="false" customHeight="false" outlineLevel="0" collapsed="false">
      <c r="A52" s="17" t="n">
        <v>48</v>
      </c>
      <c r="B52" s="20" t="s">
        <v>334</v>
      </c>
      <c r="C52" s="17" t="s">
        <v>113</v>
      </c>
      <c r="D52" s="17"/>
      <c r="E52" s="17" t="s">
        <v>335</v>
      </c>
      <c r="F52" s="21" t="n">
        <v>17</v>
      </c>
      <c r="G52" s="22" t="n">
        <f aca="false">F52/26</f>
        <v>0.653846153846154</v>
      </c>
      <c r="H52" s="21" t="n">
        <v>40</v>
      </c>
      <c r="I52" s="21" t="n">
        <v>26</v>
      </c>
      <c r="J52" s="22" t="n">
        <f aca="false">I52/55</f>
        <v>0.472727272727273</v>
      </c>
      <c r="K52" s="23" t="n">
        <f aca="false">G52/(0.25+J52)</f>
        <v>0.904692791485244</v>
      </c>
    </row>
    <row r="53" customFormat="false" ht="15" hidden="false" customHeight="false" outlineLevel="0" collapsed="false">
      <c r="A53" s="17" t="n">
        <v>49</v>
      </c>
      <c r="B53" s="20" t="s">
        <v>155</v>
      </c>
      <c r="C53" s="17" t="s">
        <v>118</v>
      </c>
      <c r="D53" s="17"/>
      <c r="E53" s="17" t="s">
        <v>336</v>
      </c>
      <c r="F53" s="21" t="n">
        <v>17</v>
      </c>
      <c r="G53" s="22" t="n">
        <f aca="false">F53/26</f>
        <v>0.653846153846154</v>
      </c>
      <c r="H53" s="21" t="n">
        <v>40</v>
      </c>
      <c r="I53" s="21" t="n">
        <v>26</v>
      </c>
      <c r="J53" s="22" t="n">
        <f aca="false">I53/55</f>
        <v>0.472727272727273</v>
      </c>
      <c r="K53" s="23" t="n">
        <f aca="false">G53/(0.25+J53)</f>
        <v>0.904692791485244</v>
      </c>
    </row>
    <row r="54" customFormat="false" ht="15" hidden="false" customHeight="false" outlineLevel="0" collapsed="false">
      <c r="A54" s="17" t="n">
        <v>50</v>
      </c>
      <c r="B54" s="20" t="s">
        <v>193</v>
      </c>
      <c r="C54" s="17" t="s">
        <v>119</v>
      </c>
      <c r="D54" s="17"/>
      <c r="E54" s="17" t="s">
        <v>337</v>
      </c>
      <c r="F54" s="21" t="n">
        <v>17</v>
      </c>
      <c r="G54" s="22" t="n">
        <f aca="false">F54/26</f>
        <v>0.653846153846154</v>
      </c>
      <c r="H54" s="21" t="n">
        <v>45</v>
      </c>
      <c r="I54" s="21" t="n">
        <v>39</v>
      </c>
      <c r="J54" s="22" t="n">
        <f aca="false">I54/55</f>
        <v>0.709090909090909</v>
      </c>
      <c r="K54" s="23" t="n">
        <f aca="false">G54/(0.25+J54)</f>
        <v>0.681735326285089</v>
      </c>
    </row>
    <row r="55" customFormat="false" ht="15" hidden="false" customHeight="false" outlineLevel="0" collapsed="false">
      <c r="A55" s="17" t="n">
        <v>51</v>
      </c>
      <c r="B55" s="20" t="s">
        <v>88</v>
      </c>
      <c r="C55" s="17" t="s">
        <v>123</v>
      </c>
      <c r="D55" s="17" t="s">
        <v>119</v>
      </c>
      <c r="E55" s="17" t="s">
        <v>338</v>
      </c>
      <c r="F55" s="21" t="n">
        <v>17</v>
      </c>
      <c r="G55" s="22" t="n">
        <f aca="false">F55/26</f>
        <v>0.653846153846154</v>
      </c>
      <c r="H55" s="21" t="n">
        <v>44</v>
      </c>
      <c r="I55" s="21" t="n">
        <v>45</v>
      </c>
      <c r="J55" s="22" t="n">
        <f aca="false">I55/55</f>
        <v>0.818181818181818</v>
      </c>
      <c r="K55" s="23" t="n">
        <f aca="false">G55/(0.25+J55)</f>
        <v>0.612111292962357</v>
      </c>
    </row>
    <row r="56" customFormat="false" ht="15" hidden="false" customHeight="false" outlineLevel="0" collapsed="false">
      <c r="A56" s="17" t="n">
        <v>52</v>
      </c>
      <c r="B56" s="20" t="s">
        <v>145</v>
      </c>
      <c r="C56" s="17" t="s">
        <v>114</v>
      </c>
      <c r="D56" s="17"/>
      <c r="E56" s="17" t="s">
        <v>339</v>
      </c>
      <c r="F56" s="21" t="n">
        <v>17</v>
      </c>
      <c r="G56" s="22" t="n">
        <f aca="false">F56/26</f>
        <v>0.653846153846154</v>
      </c>
      <c r="H56" s="21" t="n">
        <v>34</v>
      </c>
      <c r="I56" s="21" t="n">
        <v>46</v>
      </c>
      <c r="J56" s="22" t="n">
        <f aca="false">I56/55</f>
        <v>0.836363636363636</v>
      </c>
      <c r="K56" s="23" t="n">
        <f aca="false">G56/(0.25+J56)</f>
        <v>0.601866752494368</v>
      </c>
    </row>
    <row r="57" customFormat="false" ht="15" hidden="false" customHeight="false" outlineLevel="0" collapsed="false">
      <c r="A57" s="17" t="n">
        <v>53</v>
      </c>
      <c r="B57" s="20" t="s">
        <v>340</v>
      </c>
      <c r="C57" s="17" t="s">
        <v>111</v>
      </c>
      <c r="D57" s="17"/>
      <c r="E57" s="17" t="s">
        <v>341</v>
      </c>
      <c r="F57" s="21" t="n">
        <v>17</v>
      </c>
      <c r="G57" s="22" t="n">
        <f aca="false">F57/26</f>
        <v>0.653846153846154</v>
      </c>
      <c r="H57" s="21" t="n">
        <v>40</v>
      </c>
      <c r="I57" s="21" t="n">
        <v>53</v>
      </c>
      <c r="J57" s="22" t="n">
        <f aca="false">I57/55</f>
        <v>0.963636363636364</v>
      </c>
      <c r="K57" s="23" t="n">
        <f aca="false">G57/(0.25+J57)</f>
        <v>0.538749639873235</v>
      </c>
    </row>
    <row r="58" customFormat="false" ht="15" hidden="false" customHeight="false" outlineLevel="0" collapsed="false">
      <c r="A58" s="17" t="n">
        <v>54</v>
      </c>
      <c r="B58" s="20" t="s">
        <v>163</v>
      </c>
      <c r="C58" s="17" t="s">
        <v>121</v>
      </c>
      <c r="D58" s="17"/>
      <c r="E58" s="17" t="s">
        <v>342</v>
      </c>
      <c r="F58" s="21" t="n">
        <v>17</v>
      </c>
      <c r="G58" s="22" t="n">
        <f aca="false">F58/26</f>
        <v>0.653846153846154</v>
      </c>
      <c r="H58" s="21" t="n">
        <v>41</v>
      </c>
      <c r="I58" s="21" t="n">
        <v>53</v>
      </c>
      <c r="J58" s="22" t="n">
        <f aca="false">I58/55</f>
        <v>0.963636363636364</v>
      </c>
      <c r="K58" s="23" t="n">
        <f aca="false">G58/(0.25+J58)</f>
        <v>0.538749639873235</v>
      </c>
    </row>
    <row r="59" customFormat="false" ht="15" hidden="false" customHeight="false" outlineLevel="0" collapsed="false">
      <c r="A59" s="17" t="n">
        <v>55</v>
      </c>
      <c r="B59" s="20" t="s">
        <v>137</v>
      </c>
      <c r="C59" s="17" t="s">
        <v>123</v>
      </c>
      <c r="D59" s="17" t="s">
        <v>119</v>
      </c>
      <c r="E59" s="17" t="s">
        <v>315</v>
      </c>
      <c r="F59" s="21" t="n">
        <v>17</v>
      </c>
      <c r="G59" s="22" t="n">
        <f aca="false">F59/26</f>
        <v>0.653846153846154</v>
      </c>
      <c r="H59" s="21" t="n">
        <v>44</v>
      </c>
      <c r="I59" s="21" t="n">
        <v>54</v>
      </c>
      <c r="J59" s="22" t="n">
        <f aca="false">I59/55</f>
        <v>0.981818181818182</v>
      </c>
      <c r="K59" s="23" t="n">
        <f aca="false">G59/(0.25+J59)</f>
        <v>0.530797615668464</v>
      </c>
    </row>
    <row r="60" customFormat="false" ht="15" hidden="false" customHeight="false" outlineLevel="0" collapsed="false">
      <c r="A60" s="17" t="n">
        <v>56</v>
      </c>
      <c r="B60" s="20" t="s">
        <v>183</v>
      </c>
      <c r="C60" s="17" t="s">
        <v>113</v>
      </c>
      <c r="D60" s="17" t="s">
        <v>116</v>
      </c>
      <c r="E60" s="17" t="s">
        <v>343</v>
      </c>
      <c r="F60" s="21" t="n">
        <v>16</v>
      </c>
      <c r="G60" s="22" t="n">
        <f aca="false">F60/26</f>
        <v>0.615384615384615</v>
      </c>
      <c r="H60" s="21" t="n">
        <v>40</v>
      </c>
      <c r="I60" s="21" t="n">
        <v>26</v>
      </c>
      <c r="J60" s="22" t="n">
        <f aca="false">I60/55</f>
        <v>0.472727272727273</v>
      </c>
      <c r="K60" s="23" t="n">
        <f aca="false">G60/(0.25+J60)</f>
        <v>0.851475568456701</v>
      </c>
    </row>
    <row r="61" customFormat="false" ht="15" hidden="false" customHeight="false" outlineLevel="0" collapsed="false">
      <c r="A61" s="17" t="n">
        <v>57</v>
      </c>
      <c r="B61" s="20" t="s">
        <v>344</v>
      </c>
      <c r="C61" s="17" t="s">
        <v>113</v>
      </c>
      <c r="D61" s="17"/>
      <c r="E61" s="17" t="s">
        <v>345</v>
      </c>
      <c r="F61" s="21" t="n">
        <v>16</v>
      </c>
      <c r="G61" s="22" t="n">
        <f aca="false">F61/26</f>
        <v>0.615384615384615</v>
      </c>
      <c r="H61" s="21" t="n">
        <v>40</v>
      </c>
      <c r="I61" s="21" t="n">
        <v>29</v>
      </c>
      <c r="J61" s="22" t="n">
        <f aca="false">I61/55</f>
        <v>0.527272727272727</v>
      </c>
      <c r="K61" s="23" t="n">
        <f aca="false">G61/(0.25+J61)</f>
        <v>0.791722896986055</v>
      </c>
    </row>
    <row r="62" customFormat="false" ht="15" hidden="false" customHeight="false" outlineLevel="0" collapsed="false">
      <c r="A62" s="17" t="n">
        <v>58</v>
      </c>
      <c r="B62" s="20" t="s">
        <v>169</v>
      </c>
      <c r="C62" s="17" t="s">
        <v>112</v>
      </c>
      <c r="D62" s="17"/>
      <c r="E62" s="17" t="s">
        <v>346</v>
      </c>
      <c r="F62" s="21" t="n">
        <v>16</v>
      </c>
      <c r="G62" s="22" t="n">
        <f aca="false">F62/26</f>
        <v>0.615384615384615</v>
      </c>
      <c r="H62" s="21" t="n">
        <v>37</v>
      </c>
      <c r="I62" s="21" t="n">
        <v>30</v>
      </c>
      <c r="J62" s="22" t="n">
        <f aca="false">I62/55</f>
        <v>0.545454545454545</v>
      </c>
      <c r="K62" s="23" t="n">
        <f aca="false">G62/(0.25+J62)</f>
        <v>0.773626373626374</v>
      </c>
    </row>
    <row r="63" customFormat="false" ht="15" hidden="false" customHeight="false" outlineLevel="0" collapsed="false">
      <c r="A63" s="17" t="n">
        <v>59</v>
      </c>
      <c r="B63" s="20" t="s">
        <v>347</v>
      </c>
      <c r="C63" s="17" t="s">
        <v>113</v>
      </c>
      <c r="D63" s="17"/>
      <c r="E63" s="17" t="s">
        <v>348</v>
      </c>
      <c r="F63" s="21" t="n">
        <v>16</v>
      </c>
      <c r="G63" s="22" t="n">
        <f aca="false">F63/26</f>
        <v>0.615384615384615</v>
      </c>
      <c r="H63" s="21" t="n">
        <v>40</v>
      </c>
      <c r="I63" s="21" t="n">
        <v>31</v>
      </c>
      <c r="J63" s="22" t="n">
        <f aca="false">I63/55</f>
        <v>0.563636363636364</v>
      </c>
      <c r="K63" s="23" t="n">
        <f aca="false">G63/(0.25+J63)</f>
        <v>0.756338633433606</v>
      </c>
    </row>
    <row r="64" customFormat="false" ht="15" hidden="false" customHeight="false" outlineLevel="0" collapsed="false">
      <c r="A64" s="17" t="n">
        <v>60</v>
      </c>
      <c r="B64" s="20" t="s">
        <v>349</v>
      </c>
      <c r="C64" s="17" t="s">
        <v>123</v>
      </c>
      <c r="D64" s="17" t="s">
        <v>113</v>
      </c>
      <c r="E64" s="17" t="s">
        <v>331</v>
      </c>
      <c r="F64" s="21" t="n">
        <v>16</v>
      </c>
      <c r="G64" s="22" t="n">
        <f aca="false">F64/26</f>
        <v>0.615384615384615</v>
      </c>
      <c r="H64" s="21" t="n">
        <v>41</v>
      </c>
      <c r="I64" s="21" t="n">
        <v>34</v>
      </c>
      <c r="J64" s="22" t="n">
        <f aca="false">I64/55</f>
        <v>0.618181818181818</v>
      </c>
      <c r="K64" s="23" t="n">
        <f aca="false">G64/(0.25+J64)</f>
        <v>0.708819975835683</v>
      </c>
    </row>
    <row r="65" customFormat="false" ht="15" hidden="false" customHeight="false" outlineLevel="0" collapsed="false">
      <c r="A65" s="17" t="n">
        <v>61</v>
      </c>
      <c r="B65" s="20" t="s">
        <v>350</v>
      </c>
      <c r="C65" s="17" t="s">
        <v>113</v>
      </c>
      <c r="D65" s="17"/>
      <c r="E65" s="17" t="s">
        <v>351</v>
      </c>
      <c r="F65" s="21" t="n">
        <v>16</v>
      </c>
      <c r="G65" s="22" t="n">
        <f aca="false">F65/26</f>
        <v>0.615384615384615</v>
      </c>
      <c r="H65" s="21" t="n">
        <v>42</v>
      </c>
      <c r="I65" s="21" t="n">
        <v>37</v>
      </c>
      <c r="J65" s="22" t="n">
        <f aca="false">I65/55</f>
        <v>0.672727272727273</v>
      </c>
      <c r="K65" s="23" t="n">
        <f aca="false">G65/(0.25+J65)</f>
        <v>0.666919287608943</v>
      </c>
    </row>
    <row r="66" customFormat="false" ht="15" hidden="false" customHeight="false" outlineLevel="0" collapsed="false">
      <c r="A66" s="17" t="n">
        <v>62</v>
      </c>
      <c r="B66" s="20" t="s">
        <v>182</v>
      </c>
      <c r="C66" s="17" t="s">
        <v>113</v>
      </c>
      <c r="D66" s="17" t="s">
        <v>116</v>
      </c>
      <c r="E66" s="17" t="s">
        <v>343</v>
      </c>
      <c r="F66" s="21" t="n">
        <v>16</v>
      </c>
      <c r="G66" s="22" t="n">
        <f aca="false">F66/26</f>
        <v>0.615384615384615</v>
      </c>
      <c r="H66" s="21" t="n">
        <v>40</v>
      </c>
      <c r="I66" s="21" t="n">
        <v>39</v>
      </c>
      <c r="J66" s="22" t="n">
        <f aca="false">I66/55</f>
        <v>0.709090909090909</v>
      </c>
      <c r="K66" s="23" t="n">
        <f aca="false">G66/(0.25+J66)</f>
        <v>0.641633248268319</v>
      </c>
    </row>
    <row r="67" customFormat="false" ht="15" hidden="false" customHeight="false" outlineLevel="0" collapsed="false">
      <c r="A67" s="17" t="n">
        <v>63</v>
      </c>
      <c r="B67" s="20" t="s">
        <v>352</v>
      </c>
      <c r="C67" s="17" t="s">
        <v>119</v>
      </c>
      <c r="D67" s="17"/>
      <c r="E67" s="17" t="s">
        <v>272</v>
      </c>
      <c r="F67" s="21" t="n">
        <v>16</v>
      </c>
      <c r="G67" s="22" t="n">
        <f aca="false">F67/26</f>
        <v>0.615384615384615</v>
      </c>
      <c r="H67" s="21" t="n">
        <v>43</v>
      </c>
      <c r="I67" s="21" t="n">
        <v>41</v>
      </c>
      <c r="J67" s="22" t="n">
        <f aca="false">I67/55</f>
        <v>0.745454545454546</v>
      </c>
      <c r="K67" s="23" t="n">
        <f aca="false">G67/(0.25+J67)</f>
        <v>0.618194590797331</v>
      </c>
    </row>
    <row r="68" customFormat="false" ht="15" hidden="false" customHeight="false" outlineLevel="0" collapsed="false">
      <c r="A68" s="17" t="n">
        <v>64</v>
      </c>
      <c r="B68" s="20" t="s">
        <v>353</v>
      </c>
      <c r="C68" s="17" t="s">
        <v>111</v>
      </c>
      <c r="D68" s="17" t="s">
        <v>120</v>
      </c>
      <c r="E68" s="17" t="s">
        <v>354</v>
      </c>
      <c r="F68" s="21" t="n">
        <v>16</v>
      </c>
      <c r="G68" s="22" t="n">
        <f aca="false">F68/26</f>
        <v>0.615384615384615</v>
      </c>
      <c r="H68" s="21" t="n">
        <v>39</v>
      </c>
      <c r="I68" s="21" t="n">
        <v>49</v>
      </c>
      <c r="J68" s="22" t="n">
        <f aca="false">I68/55</f>
        <v>0.890909090909091</v>
      </c>
      <c r="K68" s="23" t="n">
        <f aca="false">G68/(0.25+J68)</f>
        <v>0.539380937787312</v>
      </c>
    </row>
    <row r="69" customFormat="false" ht="15" hidden="false" customHeight="false" outlineLevel="0" collapsed="false">
      <c r="A69" s="17" t="n">
        <v>65</v>
      </c>
      <c r="B69" s="20" t="s">
        <v>355</v>
      </c>
      <c r="C69" s="17" t="s">
        <v>114</v>
      </c>
      <c r="D69" s="17"/>
      <c r="E69" s="17" t="s">
        <v>356</v>
      </c>
      <c r="F69" s="21" t="n">
        <v>16</v>
      </c>
      <c r="G69" s="22" t="n">
        <f aca="false">F69/26</f>
        <v>0.615384615384615</v>
      </c>
      <c r="H69" s="21" t="n">
        <v>26</v>
      </c>
      <c r="I69" s="21" t="n">
        <v>52</v>
      </c>
      <c r="J69" s="22" t="n">
        <f aca="false">I69/55</f>
        <v>0.945454545454545</v>
      </c>
      <c r="K69" s="23" t="n">
        <f aca="false">G69/(0.25+J69)</f>
        <v>0.51477040070196</v>
      </c>
    </row>
    <row r="70" customFormat="false" ht="15" hidden="false" customHeight="false" outlineLevel="0" collapsed="false">
      <c r="A70" s="17" t="n">
        <v>66</v>
      </c>
      <c r="B70" s="20" t="s">
        <v>357</v>
      </c>
      <c r="C70" s="17" t="s">
        <v>113</v>
      </c>
      <c r="D70" s="17"/>
      <c r="E70" s="17" t="s">
        <v>285</v>
      </c>
      <c r="F70" s="21" t="n">
        <v>16</v>
      </c>
      <c r="G70" s="22" t="n">
        <f aca="false">F70/26</f>
        <v>0.615384615384615</v>
      </c>
      <c r="H70" s="21" t="n">
        <v>34</v>
      </c>
      <c r="I70" s="21" t="n">
        <v>53</v>
      </c>
      <c r="J70" s="22" t="n">
        <f aca="false">I70/55</f>
        <v>0.963636363636364</v>
      </c>
      <c r="K70" s="23" t="n">
        <f aca="false">G70/(0.25+J70)</f>
        <v>0.507058484586575</v>
      </c>
    </row>
    <row r="71" customFormat="false" ht="15" hidden="false" customHeight="false" outlineLevel="0" collapsed="false">
      <c r="A71" s="17" t="n">
        <v>67</v>
      </c>
      <c r="B71" s="20" t="s">
        <v>358</v>
      </c>
      <c r="C71" s="17" t="s">
        <v>118</v>
      </c>
      <c r="D71" s="17"/>
      <c r="E71" s="17" t="s">
        <v>359</v>
      </c>
      <c r="F71" s="21" t="n">
        <v>15</v>
      </c>
      <c r="G71" s="22" t="n">
        <f aca="false">F71/26</f>
        <v>0.576923076923077</v>
      </c>
      <c r="H71" s="21" t="n">
        <v>36</v>
      </c>
      <c r="I71" s="21" t="n">
        <v>33</v>
      </c>
      <c r="J71" s="22" t="n">
        <f aca="false">I71/55</f>
        <v>0.6</v>
      </c>
      <c r="K71" s="23" t="n">
        <f aca="false">G71/(0.25+J71)</f>
        <v>0.678733031674208</v>
      </c>
    </row>
    <row r="72" customFormat="false" ht="15" hidden="false" customHeight="false" outlineLevel="0" collapsed="false">
      <c r="A72" s="17" t="n">
        <v>68</v>
      </c>
      <c r="B72" s="20" t="s">
        <v>168</v>
      </c>
      <c r="C72" s="17" t="s">
        <v>112</v>
      </c>
      <c r="D72" s="17" t="s">
        <v>120</v>
      </c>
      <c r="E72" s="17" t="s">
        <v>360</v>
      </c>
      <c r="F72" s="21" t="n">
        <v>15</v>
      </c>
      <c r="G72" s="22" t="n">
        <f aca="false">F72/26</f>
        <v>0.576923076923077</v>
      </c>
      <c r="H72" s="21" t="n">
        <v>41</v>
      </c>
      <c r="I72" s="21" t="n">
        <v>34</v>
      </c>
      <c r="J72" s="22" t="n">
        <f aca="false">I72/55</f>
        <v>0.618181818181818</v>
      </c>
      <c r="K72" s="23" t="n">
        <f aca="false">G72/(0.25+J72)</f>
        <v>0.664518727345952</v>
      </c>
    </row>
    <row r="73" customFormat="false" ht="15" hidden="false" customHeight="false" outlineLevel="0" collapsed="false">
      <c r="A73" s="17" t="n">
        <v>69</v>
      </c>
      <c r="B73" s="20" t="s">
        <v>361</v>
      </c>
      <c r="C73" s="17" t="s">
        <v>112</v>
      </c>
      <c r="D73" s="17"/>
      <c r="E73" s="17" t="s">
        <v>362</v>
      </c>
      <c r="F73" s="21" t="n">
        <v>15</v>
      </c>
      <c r="G73" s="22" t="n">
        <f aca="false">F73/26</f>
        <v>0.576923076923077</v>
      </c>
      <c r="H73" s="21" t="n">
        <v>40</v>
      </c>
      <c r="I73" s="21" t="n">
        <v>40</v>
      </c>
      <c r="J73" s="22" t="n">
        <f aca="false">I73/55</f>
        <v>0.727272727272727</v>
      </c>
      <c r="K73" s="23" t="n">
        <f aca="false">G73/(0.25+J73)</f>
        <v>0.590339892665474</v>
      </c>
    </row>
    <row r="74" customFormat="false" ht="15" hidden="false" customHeight="false" outlineLevel="0" collapsed="false">
      <c r="A74" s="17" t="n">
        <v>70</v>
      </c>
      <c r="B74" s="20" t="s">
        <v>363</v>
      </c>
      <c r="C74" s="17" t="s">
        <v>121</v>
      </c>
      <c r="D74" s="17"/>
      <c r="E74" s="17" t="s">
        <v>342</v>
      </c>
      <c r="F74" s="21" t="n">
        <v>15</v>
      </c>
      <c r="G74" s="22" t="n">
        <f aca="false">F74/26</f>
        <v>0.576923076923077</v>
      </c>
      <c r="H74" s="21" t="n">
        <v>33</v>
      </c>
      <c r="I74" s="21" t="n">
        <v>43</v>
      </c>
      <c r="J74" s="22" t="n">
        <f aca="false">I74/55</f>
        <v>0.781818181818182</v>
      </c>
      <c r="K74" s="23" t="n">
        <f aca="false">G74/(0.25+J74)</f>
        <v>0.559132497458489</v>
      </c>
    </row>
    <row r="76" customFormat="false" ht="15" hidden="false" customHeight="false" outlineLevel="0" collapsed="false">
      <c r="A76" s="2" t="s">
        <v>364</v>
      </c>
    </row>
  </sheetData>
  <autoFilter ref="A4:K74"/>
  <conditionalFormatting sqref="K5:K74">
    <cfRule type="cellIs" priority="2" operator="greaterThanOrEqual" aboveAverage="0" equalAverage="0" bottom="0" percent="0" rank="0" text="" dxfId="6">
      <formula>1.5</formula>
    </cfRule>
  </conditionalFormatting>
  <conditionalFormatting sqref="I5:I74">
    <cfRule type="cellIs" priority="3" operator="greaterThanOrEqual" aboveAverage="0" equalAverage="0" bottom="0" percent="0" rank="0" text="" dxfId="12">
      <formula>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20" min="6" style="0" width="7"/>
  </cols>
  <sheetData>
    <row r="1" customFormat="false" ht="17.35" hidden="false" customHeight="false" outlineLevel="0" collapsed="false">
      <c r="A1" s="1" t="s">
        <v>365</v>
      </c>
    </row>
    <row r="2" customFormat="false" ht="15" hidden="false" customHeight="false" outlineLevel="0" collapsed="false">
      <c r="A2" s="2" t="s">
        <v>366</v>
      </c>
    </row>
    <row r="4" customFormat="false" ht="35.05" hidden="false" customHeight="false" outlineLevel="0" collapsed="false">
      <c r="A4" s="6" t="s">
        <v>367</v>
      </c>
      <c r="B4" s="6" t="s">
        <v>131</v>
      </c>
      <c r="C4" s="6" t="s">
        <v>133</v>
      </c>
      <c r="D4" s="6" t="s">
        <v>134</v>
      </c>
      <c r="E4" s="6" t="s">
        <v>368</v>
      </c>
      <c r="F4" s="6" t="s">
        <v>111</v>
      </c>
      <c r="G4" s="6" t="s">
        <v>112</v>
      </c>
      <c r="H4" s="6" t="s">
        <v>113</v>
      </c>
      <c r="I4" s="6" t="s">
        <v>114</v>
      </c>
      <c r="J4" s="6" t="s">
        <v>115</v>
      </c>
      <c r="K4" s="6" t="s">
        <v>116</v>
      </c>
      <c r="L4" s="6" t="s">
        <v>117</v>
      </c>
      <c r="M4" s="6" t="s">
        <v>118</v>
      </c>
      <c r="N4" s="6" t="s">
        <v>119</v>
      </c>
      <c r="O4" s="6" t="s">
        <v>120</v>
      </c>
      <c r="P4" s="6" t="s">
        <v>121</v>
      </c>
      <c r="Q4" s="6" t="s">
        <v>122</v>
      </c>
      <c r="R4" s="6" t="s">
        <v>123</v>
      </c>
      <c r="S4" s="6" t="s">
        <v>124</v>
      </c>
      <c r="T4" s="6" t="s">
        <v>125</v>
      </c>
    </row>
    <row r="5" customFormat="false" ht="15" hidden="false" customHeight="false" outlineLevel="0" collapsed="false">
      <c r="A5" s="17" t="n">
        <v>1</v>
      </c>
      <c r="B5" s="20" t="s">
        <v>273</v>
      </c>
      <c r="C5" s="17" t="s">
        <v>121</v>
      </c>
      <c r="D5" s="17"/>
      <c r="E5" s="24" t="n">
        <f aca="false">COUNT(F5:T5)</f>
        <v>12</v>
      </c>
      <c r="F5" s="19" t="n">
        <v>150</v>
      </c>
      <c r="G5" s="19" t="n">
        <v>120</v>
      </c>
      <c r="H5" s="19" t="n">
        <v>95</v>
      </c>
      <c r="I5" s="19" t="n">
        <v>120</v>
      </c>
      <c r="J5" s="19" t="n">
        <v>180</v>
      </c>
      <c r="K5" s="19" t="n">
        <v>120</v>
      </c>
      <c r="L5" s="19" t="n">
        <v>80</v>
      </c>
      <c r="M5" s="19"/>
      <c r="N5" s="19" t="n">
        <v>100</v>
      </c>
      <c r="O5" s="19" t="n">
        <v>120</v>
      </c>
      <c r="P5" s="19" t="n">
        <v>90</v>
      </c>
      <c r="Q5" s="19" t="n">
        <v>55</v>
      </c>
      <c r="R5" s="19" t="n">
        <v>75</v>
      </c>
      <c r="S5" s="19"/>
      <c r="T5" s="19"/>
    </row>
    <row r="6" customFormat="false" ht="15" hidden="false" customHeight="false" outlineLevel="0" collapsed="false">
      <c r="A6" s="17" t="n">
        <v>2</v>
      </c>
      <c r="B6" s="20" t="s">
        <v>275</v>
      </c>
      <c r="C6" s="17" t="s">
        <v>111</v>
      </c>
      <c r="D6" s="17"/>
      <c r="E6" s="24" t="n">
        <f aca="false">COUNT(F6:T6)</f>
        <v>10</v>
      </c>
      <c r="F6" s="19" t="n">
        <v>150</v>
      </c>
      <c r="G6" s="19" t="n">
        <v>120</v>
      </c>
      <c r="H6" s="19" t="n">
        <v>95</v>
      </c>
      <c r="I6" s="19" t="n">
        <v>120</v>
      </c>
      <c r="J6" s="19" t="n">
        <v>180</v>
      </c>
      <c r="K6" s="19" t="n">
        <v>120</v>
      </c>
      <c r="L6" s="19" t="n">
        <v>80</v>
      </c>
      <c r="M6" s="19"/>
      <c r="N6" s="19" t="n">
        <v>100</v>
      </c>
      <c r="O6" s="19"/>
      <c r="P6" s="19" t="n">
        <v>90</v>
      </c>
      <c r="Q6" s="19"/>
      <c r="R6" s="19" t="n">
        <v>75</v>
      </c>
      <c r="S6" s="19"/>
      <c r="T6" s="19"/>
    </row>
    <row r="7" customFormat="false" ht="15" hidden="false" customHeight="false" outlineLevel="0" collapsed="false">
      <c r="A7" s="17" t="n">
        <v>3</v>
      </c>
      <c r="B7" s="20" t="s">
        <v>175</v>
      </c>
      <c r="C7" s="17" t="s">
        <v>118</v>
      </c>
      <c r="D7" s="17" t="s">
        <v>119</v>
      </c>
      <c r="E7" s="24" t="n">
        <f aca="false">COUNT(F7:T7)</f>
        <v>9</v>
      </c>
      <c r="F7" s="19" t="n">
        <v>150</v>
      </c>
      <c r="G7" s="19" t="n">
        <v>120</v>
      </c>
      <c r="H7" s="19" t="n">
        <v>95</v>
      </c>
      <c r="I7" s="19" t="n">
        <v>120</v>
      </c>
      <c r="J7" s="19"/>
      <c r="K7" s="19" t="n">
        <v>120</v>
      </c>
      <c r="L7" s="19" t="n">
        <v>80</v>
      </c>
      <c r="M7" s="19" t="n">
        <v>90</v>
      </c>
      <c r="N7" s="19" t="n">
        <v>100</v>
      </c>
      <c r="O7" s="19"/>
      <c r="P7" s="19"/>
      <c r="Q7" s="19"/>
      <c r="R7" s="19" t="n">
        <v>75</v>
      </c>
      <c r="S7" s="19"/>
      <c r="T7" s="19"/>
    </row>
    <row r="8" customFormat="false" ht="15" hidden="false" customHeight="false" outlineLevel="0" collapsed="false">
      <c r="A8" s="17" t="n">
        <v>4</v>
      </c>
      <c r="B8" s="20" t="s">
        <v>305</v>
      </c>
      <c r="C8" s="17" t="s">
        <v>111</v>
      </c>
      <c r="D8" s="17"/>
      <c r="E8" s="24" t="n">
        <f aca="false">COUNT(F8:T8)</f>
        <v>9</v>
      </c>
      <c r="F8" s="19" t="n">
        <v>150</v>
      </c>
      <c r="G8" s="19" t="n">
        <v>120</v>
      </c>
      <c r="H8" s="19" t="n">
        <v>95</v>
      </c>
      <c r="I8" s="19" t="n">
        <v>120</v>
      </c>
      <c r="J8" s="19"/>
      <c r="K8" s="19" t="n">
        <v>120</v>
      </c>
      <c r="L8" s="19" t="n">
        <v>80</v>
      </c>
      <c r="M8" s="19"/>
      <c r="N8" s="19" t="n">
        <v>100</v>
      </c>
      <c r="O8" s="19"/>
      <c r="P8" s="19"/>
      <c r="Q8" s="19" t="n">
        <v>55</v>
      </c>
      <c r="R8" s="19"/>
      <c r="S8" s="19" t="n">
        <v>40</v>
      </c>
      <c r="T8" s="19"/>
    </row>
    <row r="9" customFormat="false" ht="15" hidden="false" customHeight="false" outlineLevel="0" collapsed="false">
      <c r="A9" s="17" t="n">
        <v>5</v>
      </c>
      <c r="B9" s="20" t="s">
        <v>177</v>
      </c>
      <c r="C9" s="17" t="s">
        <v>118</v>
      </c>
      <c r="D9" s="17" t="s">
        <v>119</v>
      </c>
      <c r="E9" s="24" t="n">
        <f aca="false">COUNT(F9:T9)</f>
        <v>9</v>
      </c>
      <c r="F9" s="19" t="n">
        <v>150</v>
      </c>
      <c r="G9" s="19" t="n">
        <v>120</v>
      </c>
      <c r="H9" s="19" t="n">
        <v>95</v>
      </c>
      <c r="I9" s="19" t="n">
        <v>120</v>
      </c>
      <c r="J9" s="19"/>
      <c r="K9" s="19" t="n">
        <v>120</v>
      </c>
      <c r="L9" s="19" t="n">
        <v>80</v>
      </c>
      <c r="M9" s="19" t="n">
        <v>90</v>
      </c>
      <c r="N9" s="19" t="n">
        <v>100</v>
      </c>
      <c r="O9" s="19"/>
      <c r="P9" s="19"/>
      <c r="Q9" s="19"/>
      <c r="R9" s="19" t="n">
        <v>75</v>
      </c>
      <c r="S9" s="19"/>
      <c r="T9" s="19"/>
    </row>
    <row r="10" customFormat="false" ht="15" hidden="false" customHeight="false" outlineLevel="0" collapsed="false">
      <c r="A10" s="17" t="n">
        <v>6</v>
      </c>
      <c r="B10" s="20" t="s">
        <v>307</v>
      </c>
      <c r="C10" s="17" t="s">
        <v>111</v>
      </c>
      <c r="D10" s="17"/>
      <c r="E10" s="24" t="n">
        <f aca="false">COUNT(F10:T10)</f>
        <v>8</v>
      </c>
      <c r="F10" s="19" t="n">
        <v>150</v>
      </c>
      <c r="G10" s="19" t="n">
        <v>120</v>
      </c>
      <c r="H10" s="19" t="n">
        <v>95</v>
      </c>
      <c r="I10" s="19" t="n">
        <v>120</v>
      </c>
      <c r="J10" s="19"/>
      <c r="K10" s="19" t="n">
        <v>120</v>
      </c>
      <c r="L10" s="19" t="n">
        <v>80</v>
      </c>
      <c r="M10" s="19"/>
      <c r="N10" s="19" t="n">
        <v>100</v>
      </c>
      <c r="O10" s="19"/>
      <c r="P10" s="19"/>
      <c r="Q10" s="19"/>
      <c r="R10" s="19" t="n">
        <v>75</v>
      </c>
      <c r="S10" s="19"/>
      <c r="T10" s="19"/>
    </row>
    <row r="11" customFormat="false" ht="15" hidden="false" customHeight="false" outlineLevel="0" collapsed="false">
      <c r="A11" s="17" t="n">
        <v>7</v>
      </c>
      <c r="B11" s="20" t="s">
        <v>270</v>
      </c>
      <c r="C11" s="17" t="s">
        <v>121</v>
      </c>
      <c r="D11" s="17"/>
      <c r="E11" s="24" t="n">
        <f aca="false">COUNT(F11:T11)</f>
        <v>8</v>
      </c>
      <c r="F11" s="19" t="n">
        <v>150</v>
      </c>
      <c r="G11" s="19" t="n">
        <v>120</v>
      </c>
      <c r="H11" s="19" t="n">
        <v>65</v>
      </c>
      <c r="I11" s="19" t="n">
        <v>120</v>
      </c>
      <c r="J11" s="19" t="n">
        <v>180</v>
      </c>
      <c r="K11" s="19" t="n">
        <v>120</v>
      </c>
      <c r="L11" s="19" t="n">
        <v>80</v>
      </c>
      <c r="M11" s="19"/>
      <c r="N11" s="19"/>
      <c r="O11" s="19"/>
      <c r="P11" s="19" t="n">
        <v>90</v>
      </c>
      <c r="Q11" s="19"/>
      <c r="R11" s="19"/>
      <c r="S11" s="19"/>
      <c r="T11" s="19"/>
    </row>
    <row r="12" customFormat="false" ht="15" hidden="false" customHeight="false" outlineLevel="0" collapsed="false">
      <c r="A12" s="17" t="n">
        <v>8</v>
      </c>
      <c r="B12" s="20" t="s">
        <v>292</v>
      </c>
      <c r="C12" s="17" t="s">
        <v>111</v>
      </c>
      <c r="D12" s="17"/>
      <c r="E12" s="24" t="n">
        <f aca="false">COUNT(F12:T12)</f>
        <v>8</v>
      </c>
      <c r="F12" s="19" t="n">
        <v>150</v>
      </c>
      <c r="G12" s="19" t="n">
        <v>120</v>
      </c>
      <c r="H12" s="19" t="n">
        <v>65</v>
      </c>
      <c r="I12" s="19" t="n">
        <v>120</v>
      </c>
      <c r="J12" s="19" t="n">
        <v>180</v>
      </c>
      <c r="K12" s="19" t="n">
        <v>120</v>
      </c>
      <c r="L12" s="19" t="n">
        <v>80</v>
      </c>
      <c r="M12" s="19"/>
      <c r="N12" s="19"/>
      <c r="O12" s="19"/>
      <c r="P12" s="19" t="n">
        <v>90</v>
      </c>
      <c r="Q12" s="19"/>
      <c r="R12" s="19"/>
      <c r="S12" s="19"/>
      <c r="T12" s="19"/>
    </row>
    <row r="13" customFormat="false" ht="15" hidden="false" customHeight="false" outlineLevel="0" collapsed="false">
      <c r="A13" s="17" t="n">
        <v>9</v>
      </c>
      <c r="B13" s="20" t="s">
        <v>369</v>
      </c>
      <c r="C13" s="17" t="s">
        <v>111</v>
      </c>
      <c r="D13" s="17"/>
      <c r="E13" s="24" t="n">
        <f aca="false">COUNT(F13:T13)</f>
        <v>8</v>
      </c>
      <c r="F13" s="19" t="n">
        <v>120</v>
      </c>
      <c r="G13" s="19" t="n">
        <v>120</v>
      </c>
      <c r="H13" s="19" t="n">
        <v>65</v>
      </c>
      <c r="I13" s="19" t="n">
        <v>120</v>
      </c>
      <c r="J13" s="19" t="n">
        <v>180</v>
      </c>
      <c r="K13" s="19" t="n">
        <v>120</v>
      </c>
      <c r="L13" s="19" t="n">
        <v>80</v>
      </c>
      <c r="M13" s="19"/>
      <c r="N13" s="19"/>
      <c r="O13" s="19"/>
      <c r="P13" s="19" t="n">
        <v>90</v>
      </c>
      <c r="Q13" s="19"/>
      <c r="R13" s="19"/>
      <c r="S13" s="19"/>
      <c r="T13" s="19"/>
    </row>
    <row r="14" customFormat="false" ht="15" hidden="false" customHeight="false" outlineLevel="0" collapsed="false">
      <c r="A14" s="17" t="n">
        <v>10</v>
      </c>
      <c r="B14" s="20" t="s">
        <v>178</v>
      </c>
      <c r="C14" s="17" t="s">
        <v>119</v>
      </c>
      <c r="D14" s="17" t="s">
        <v>123</v>
      </c>
      <c r="E14" s="24" t="n">
        <f aca="false">COUNT(F14:T14)</f>
        <v>8</v>
      </c>
      <c r="F14" s="19" t="n">
        <v>150</v>
      </c>
      <c r="G14" s="19" t="n">
        <v>120</v>
      </c>
      <c r="H14" s="19" t="n">
        <v>95</v>
      </c>
      <c r="I14" s="19" t="n">
        <v>120</v>
      </c>
      <c r="J14" s="19"/>
      <c r="K14" s="19" t="n">
        <v>120</v>
      </c>
      <c r="L14" s="19" t="n">
        <v>80</v>
      </c>
      <c r="M14" s="19"/>
      <c r="N14" s="19" t="n">
        <v>100</v>
      </c>
      <c r="O14" s="19"/>
      <c r="P14" s="19"/>
      <c r="Q14" s="19"/>
      <c r="R14" s="19" t="n">
        <v>75</v>
      </c>
      <c r="S14" s="19"/>
      <c r="T14" s="19"/>
    </row>
    <row r="15" customFormat="false" ht="15" hidden="false" customHeight="false" outlineLevel="0" collapsed="false">
      <c r="A15" s="17" t="n">
        <v>11</v>
      </c>
      <c r="B15" s="20" t="s">
        <v>303</v>
      </c>
      <c r="C15" s="17" t="s">
        <v>111</v>
      </c>
      <c r="D15" s="17"/>
      <c r="E15" s="24" t="n">
        <f aca="false">COUNT(F15:T15)</f>
        <v>8</v>
      </c>
      <c r="F15" s="19" t="n">
        <v>150</v>
      </c>
      <c r="G15" s="19" t="n">
        <v>120</v>
      </c>
      <c r="H15" s="19" t="n">
        <v>65</v>
      </c>
      <c r="I15" s="19" t="n">
        <v>120</v>
      </c>
      <c r="J15" s="19" t="n">
        <v>180</v>
      </c>
      <c r="K15" s="19" t="n">
        <v>120</v>
      </c>
      <c r="L15" s="19" t="n">
        <v>80</v>
      </c>
      <c r="M15" s="19"/>
      <c r="N15" s="19"/>
      <c r="O15" s="19"/>
      <c r="P15" s="19" t="n">
        <v>90</v>
      </c>
      <c r="Q15" s="19"/>
      <c r="R15" s="19"/>
      <c r="S15" s="19"/>
      <c r="T15" s="19"/>
    </row>
    <row r="16" customFormat="false" ht="15" hidden="false" customHeight="false" outlineLevel="0" collapsed="false">
      <c r="A16" s="17" t="n">
        <v>12</v>
      </c>
      <c r="B16" s="20" t="s">
        <v>294</v>
      </c>
      <c r="C16" s="17" t="s">
        <v>111</v>
      </c>
      <c r="D16" s="17"/>
      <c r="E16" s="24" t="n">
        <f aca="false">COUNT(F16:T16)</f>
        <v>8</v>
      </c>
      <c r="F16" s="19" t="n">
        <v>150</v>
      </c>
      <c r="G16" s="19" t="n">
        <v>120</v>
      </c>
      <c r="H16" s="19" t="n">
        <v>65</v>
      </c>
      <c r="I16" s="19" t="n">
        <v>120</v>
      </c>
      <c r="J16" s="19" t="n">
        <v>180</v>
      </c>
      <c r="K16" s="19" t="n">
        <v>120</v>
      </c>
      <c r="L16" s="19" t="n">
        <v>80</v>
      </c>
      <c r="M16" s="19"/>
      <c r="N16" s="19"/>
      <c r="O16" s="19"/>
      <c r="P16" s="19" t="n">
        <v>90</v>
      </c>
      <c r="Q16" s="19"/>
      <c r="R16" s="19"/>
      <c r="S16" s="19"/>
      <c r="T16" s="19"/>
    </row>
    <row r="17" customFormat="false" ht="15" hidden="false" customHeight="false" outlineLevel="0" collapsed="false">
      <c r="A17" s="17" t="n">
        <v>13</v>
      </c>
      <c r="B17" s="20" t="s">
        <v>193</v>
      </c>
      <c r="C17" s="17" t="s">
        <v>119</v>
      </c>
      <c r="D17" s="17"/>
      <c r="E17" s="24" t="n">
        <f aca="false">COUNT(F17:T17)</f>
        <v>8</v>
      </c>
      <c r="F17" s="19" t="n">
        <v>150</v>
      </c>
      <c r="G17" s="19" t="n">
        <v>120</v>
      </c>
      <c r="H17" s="19" t="n">
        <v>65</v>
      </c>
      <c r="I17" s="19"/>
      <c r="J17" s="19"/>
      <c r="K17" s="19" t="n">
        <v>120</v>
      </c>
      <c r="L17" s="19" t="n">
        <v>80</v>
      </c>
      <c r="M17" s="19"/>
      <c r="N17" s="19" t="n">
        <v>100</v>
      </c>
      <c r="O17" s="19"/>
      <c r="P17" s="19"/>
      <c r="Q17" s="19" t="n">
        <v>55</v>
      </c>
      <c r="R17" s="19" t="n">
        <v>75</v>
      </c>
      <c r="S17" s="19"/>
      <c r="T17" s="19"/>
    </row>
    <row r="18" customFormat="false" ht="15" hidden="false" customHeight="false" outlineLevel="0" collapsed="false">
      <c r="A18" s="17" t="n">
        <v>14</v>
      </c>
      <c r="B18" s="20" t="s">
        <v>370</v>
      </c>
      <c r="C18" s="17" t="s">
        <v>111</v>
      </c>
      <c r="D18" s="17"/>
      <c r="E18" s="24" t="n">
        <f aca="false">COUNT(F18:T18)</f>
        <v>8</v>
      </c>
      <c r="F18" s="19" t="n">
        <v>120</v>
      </c>
      <c r="G18" s="19" t="n">
        <v>120</v>
      </c>
      <c r="H18" s="19" t="n">
        <v>65</v>
      </c>
      <c r="I18" s="19" t="n">
        <v>120</v>
      </c>
      <c r="J18" s="19" t="n">
        <v>180</v>
      </c>
      <c r="K18" s="19" t="n">
        <v>120</v>
      </c>
      <c r="L18" s="19" t="n">
        <v>80</v>
      </c>
      <c r="M18" s="19"/>
      <c r="N18" s="19"/>
      <c r="O18" s="19"/>
      <c r="P18" s="19" t="n">
        <v>90</v>
      </c>
      <c r="Q18" s="19"/>
      <c r="R18" s="19"/>
      <c r="S18" s="19"/>
      <c r="T18" s="19"/>
    </row>
    <row r="19" customFormat="false" ht="15" hidden="false" customHeight="false" outlineLevel="0" collapsed="false">
      <c r="A19" s="17" t="n">
        <v>15</v>
      </c>
      <c r="B19" s="20" t="s">
        <v>371</v>
      </c>
      <c r="C19" s="17" t="s">
        <v>118</v>
      </c>
      <c r="D19" s="17"/>
      <c r="E19" s="24" t="n">
        <f aca="false">COUNT(F19:T19)</f>
        <v>7</v>
      </c>
      <c r="F19" s="19" t="n">
        <v>120</v>
      </c>
      <c r="G19" s="19"/>
      <c r="H19" s="19" t="n">
        <v>65</v>
      </c>
      <c r="I19" s="19" t="n">
        <v>120</v>
      </c>
      <c r="J19" s="19"/>
      <c r="K19" s="19" t="n">
        <v>120</v>
      </c>
      <c r="L19" s="19" t="n">
        <v>30</v>
      </c>
      <c r="M19" s="19" t="n">
        <v>90</v>
      </c>
      <c r="N19" s="19" t="n">
        <v>100</v>
      </c>
      <c r="O19" s="19"/>
      <c r="P19" s="19"/>
      <c r="Q19" s="19"/>
      <c r="R19" s="19"/>
      <c r="S19" s="19"/>
      <c r="T19" s="19"/>
    </row>
    <row r="20" customFormat="false" ht="15" hidden="false" customHeight="false" outlineLevel="0" collapsed="false">
      <c r="A20" s="17" t="n">
        <v>16</v>
      </c>
      <c r="B20" s="20" t="s">
        <v>196</v>
      </c>
      <c r="C20" s="17" t="s">
        <v>125</v>
      </c>
      <c r="D20" s="17" t="s">
        <v>120</v>
      </c>
      <c r="E20" s="24" t="n">
        <f aca="false">COUNT(F20:T20)</f>
        <v>7</v>
      </c>
      <c r="F20" s="19" t="n">
        <v>150</v>
      </c>
      <c r="G20" s="19" t="n">
        <v>120</v>
      </c>
      <c r="H20" s="19" t="n">
        <v>95</v>
      </c>
      <c r="I20" s="19" t="n">
        <v>120</v>
      </c>
      <c r="J20" s="19"/>
      <c r="K20" s="19" t="n">
        <v>120</v>
      </c>
      <c r="L20" s="19"/>
      <c r="M20" s="19"/>
      <c r="N20" s="19"/>
      <c r="O20" s="19" t="n">
        <v>70</v>
      </c>
      <c r="P20" s="19"/>
      <c r="Q20" s="19"/>
      <c r="R20" s="19"/>
      <c r="S20" s="19"/>
      <c r="T20" s="19" t="n">
        <v>80</v>
      </c>
    </row>
    <row r="21" customFormat="false" ht="15" hidden="false" customHeight="false" outlineLevel="0" collapsed="false">
      <c r="A21" s="17" t="n">
        <v>17</v>
      </c>
      <c r="B21" s="20" t="s">
        <v>192</v>
      </c>
      <c r="C21" s="17" t="s">
        <v>124</v>
      </c>
      <c r="D21" s="17" t="s">
        <v>118</v>
      </c>
      <c r="E21" s="24" t="n">
        <f aca="false">COUNT(F21:T21)</f>
        <v>7</v>
      </c>
      <c r="F21" s="19" t="n">
        <v>150</v>
      </c>
      <c r="G21" s="19"/>
      <c r="H21" s="19"/>
      <c r="I21" s="19" t="n">
        <v>120</v>
      </c>
      <c r="J21" s="19" t="n">
        <v>65</v>
      </c>
      <c r="K21" s="19"/>
      <c r="L21" s="19" t="n">
        <v>80</v>
      </c>
      <c r="M21" s="19" t="n">
        <v>40</v>
      </c>
      <c r="N21" s="19"/>
      <c r="O21" s="19"/>
      <c r="P21" s="19" t="n">
        <v>90</v>
      </c>
      <c r="Q21" s="19"/>
      <c r="R21" s="19"/>
      <c r="S21" s="19" t="n">
        <v>60</v>
      </c>
      <c r="T21" s="19"/>
    </row>
    <row r="22" customFormat="false" ht="15" hidden="false" customHeight="false" outlineLevel="0" collapsed="false">
      <c r="A22" s="17" t="n">
        <v>18</v>
      </c>
      <c r="B22" s="20" t="s">
        <v>197</v>
      </c>
      <c r="C22" s="17" t="s">
        <v>113</v>
      </c>
      <c r="D22" s="17" t="s">
        <v>120</v>
      </c>
      <c r="E22" s="24" t="n">
        <f aca="false">COUNT(F22:T22)</f>
        <v>7</v>
      </c>
      <c r="F22" s="19" t="n">
        <v>150</v>
      </c>
      <c r="G22" s="19" t="n">
        <v>120</v>
      </c>
      <c r="H22" s="19" t="n">
        <v>120</v>
      </c>
      <c r="I22" s="19" t="n">
        <v>120</v>
      </c>
      <c r="J22" s="19"/>
      <c r="K22" s="19" t="n">
        <v>120</v>
      </c>
      <c r="L22" s="19"/>
      <c r="M22" s="19"/>
      <c r="N22" s="19"/>
      <c r="O22" s="19" t="n">
        <v>70</v>
      </c>
      <c r="P22" s="19"/>
      <c r="Q22" s="19"/>
      <c r="R22" s="19"/>
      <c r="S22" s="19"/>
      <c r="T22" s="19" t="n">
        <v>80</v>
      </c>
    </row>
    <row r="23" customFormat="false" ht="15" hidden="false" customHeight="false" outlineLevel="0" collapsed="false">
      <c r="A23" s="17" t="n">
        <v>19</v>
      </c>
      <c r="B23" s="20" t="s">
        <v>290</v>
      </c>
      <c r="C23" s="17" t="s">
        <v>123</v>
      </c>
      <c r="D23" s="17" t="s">
        <v>113</v>
      </c>
      <c r="E23" s="24" t="n">
        <f aca="false">COUNT(F23:T23)</f>
        <v>7</v>
      </c>
      <c r="F23" s="19" t="n">
        <v>150</v>
      </c>
      <c r="G23" s="19"/>
      <c r="H23" s="19" t="n">
        <v>120</v>
      </c>
      <c r="I23" s="19"/>
      <c r="J23" s="19" t="n">
        <v>65</v>
      </c>
      <c r="K23" s="19" t="n">
        <v>120</v>
      </c>
      <c r="L23" s="19" t="n">
        <v>80</v>
      </c>
      <c r="M23" s="19"/>
      <c r="N23" s="19"/>
      <c r="O23" s="19"/>
      <c r="P23" s="19"/>
      <c r="Q23" s="19" t="n">
        <v>55</v>
      </c>
      <c r="R23" s="19" t="n">
        <v>75</v>
      </c>
      <c r="S23" s="19"/>
      <c r="T23" s="19"/>
    </row>
    <row r="24" customFormat="false" ht="15" hidden="false" customHeight="false" outlineLevel="0" collapsed="false">
      <c r="A24" s="17" t="n">
        <v>20</v>
      </c>
      <c r="B24" s="20" t="s">
        <v>181</v>
      </c>
      <c r="C24" s="17" t="s">
        <v>113</v>
      </c>
      <c r="D24" s="17" t="s">
        <v>121</v>
      </c>
      <c r="E24" s="24" t="n">
        <f aca="false">COUNT(F24:T24)</f>
        <v>7</v>
      </c>
      <c r="F24" s="19" t="n">
        <v>150</v>
      </c>
      <c r="G24" s="19" t="n">
        <v>120</v>
      </c>
      <c r="H24" s="19" t="n">
        <v>95</v>
      </c>
      <c r="I24" s="19"/>
      <c r="J24" s="19"/>
      <c r="K24" s="19" t="n">
        <v>120</v>
      </c>
      <c r="L24" s="19" t="n">
        <v>80</v>
      </c>
      <c r="M24" s="19"/>
      <c r="N24" s="19" t="n">
        <v>100</v>
      </c>
      <c r="O24" s="19"/>
      <c r="P24" s="19" t="n">
        <v>90</v>
      </c>
      <c r="Q24" s="19"/>
      <c r="R24" s="19"/>
      <c r="S24" s="19"/>
      <c r="T24" s="19"/>
    </row>
    <row r="25" customFormat="false" ht="15" hidden="false" customHeight="false" outlineLevel="0" collapsed="false">
      <c r="A25" s="17" t="n">
        <v>21</v>
      </c>
      <c r="B25" s="20" t="s">
        <v>168</v>
      </c>
      <c r="C25" s="17" t="s">
        <v>112</v>
      </c>
      <c r="D25" s="17" t="s">
        <v>120</v>
      </c>
      <c r="E25" s="24" t="n">
        <f aca="false">COUNT(F25:T25)</f>
        <v>7</v>
      </c>
      <c r="F25" s="19" t="n">
        <v>150</v>
      </c>
      <c r="G25" s="19" t="n">
        <v>120</v>
      </c>
      <c r="H25" s="19"/>
      <c r="I25" s="19"/>
      <c r="J25" s="19"/>
      <c r="K25" s="19"/>
      <c r="L25" s="19" t="n">
        <v>80</v>
      </c>
      <c r="M25" s="19"/>
      <c r="N25" s="19" t="n">
        <v>100</v>
      </c>
      <c r="O25" s="19" t="n">
        <v>70</v>
      </c>
      <c r="P25" s="19"/>
      <c r="Q25" s="19" t="n">
        <v>55</v>
      </c>
      <c r="R25" s="19"/>
      <c r="S25" s="19"/>
      <c r="T25" s="19" t="n">
        <v>80</v>
      </c>
    </row>
    <row r="26" customFormat="false" ht="15" hidden="false" customHeight="false" outlineLevel="0" collapsed="false">
      <c r="A26" s="17" t="n">
        <v>22</v>
      </c>
      <c r="B26" s="20" t="s">
        <v>372</v>
      </c>
      <c r="C26" s="17" t="s">
        <v>118</v>
      </c>
      <c r="D26" s="17"/>
      <c r="E26" s="24" t="n">
        <f aca="false">COUNT(F26:T26)</f>
        <v>7</v>
      </c>
      <c r="F26" s="19" t="n">
        <v>120</v>
      </c>
      <c r="G26" s="19"/>
      <c r="H26" s="19" t="n">
        <v>65</v>
      </c>
      <c r="I26" s="19" t="n">
        <v>120</v>
      </c>
      <c r="J26" s="19"/>
      <c r="K26" s="19" t="n">
        <v>120</v>
      </c>
      <c r="L26" s="19" t="n">
        <v>30</v>
      </c>
      <c r="M26" s="19" t="n">
        <v>90</v>
      </c>
      <c r="N26" s="19" t="n">
        <v>100</v>
      </c>
      <c r="O26" s="19"/>
      <c r="P26" s="19"/>
      <c r="Q26" s="19"/>
      <c r="R26" s="19"/>
      <c r="S26" s="19"/>
      <c r="T26" s="19"/>
    </row>
    <row r="27" customFormat="false" ht="15" hidden="false" customHeight="false" outlineLevel="0" collapsed="false">
      <c r="A27" s="17" t="n">
        <v>23</v>
      </c>
      <c r="B27" s="20" t="s">
        <v>373</v>
      </c>
      <c r="C27" s="17" t="s">
        <v>119</v>
      </c>
      <c r="D27" s="17"/>
      <c r="E27" s="24" t="n">
        <f aca="false">COUNT(F27:T27)</f>
        <v>7</v>
      </c>
      <c r="F27" s="19" t="n">
        <v>120</v>
      </c>
      <c r="G27" s="19" t="n">
        <v>120</v>
      </c>
      <c r="H27" s="19" t="n">
        <v>65</v>
      </c>
      <c r="I27" s="19"/>
      <c r="J27" s="19"/>
      <c r="K27" s="19" t="n">
        <v>120</v>
      </c>
      <c r="L27" s="19" t="n">
        <v>80</v>
      </c>
      <c r="M27" s="19"/>
      <c r="N27" s="19" t="n">
        <v>100</v>
      </c>
      <c r="O27" s="19"/>
      <c r="P27" s="19"/>
      <c r="Q27" s="19" t="n">
        <v>55</v>
      </c>
      <c r="R27" s="19"/>
      <c r="S27" s="19"/>
      <c r="T27" s="19"/>
    </row>
    <row r="28" customFormat="false" ht="15" hidden="false" customHeight="false" outlineLevel="0" collapsed="false">
      <c r="A28" s="17" t="n">
        <v>24</v>
      </c>
      <c r="B28" s="20" t="s">
        <v>374</v>
      </c>
      <c r="C28" s="17" t="s">
        <v>113</v>
      </c>
      <c r="D28" s="17" t="s">
        <v>121</v>
      </c>
      <c r="E28" s="24" t="n">
        <f aca="false">COUNT(F28:T28)</f>
        <v>6</v>
      </c>
      <c r="F28" s="19" t="n">
        <v>120</v>
      </c>
      <c r="G28" s="19" t="n">
        <v>120</v>
      </c>
      <c r="H28" s="19" t="n">
        <v>95</v>
      </c>
      <c r="I28" s="19"/>
      <c r="J28" s="19"/>
      <c r="K28" s="19" t="n">
        <v>120</v>
      </c>
      <c r="L28" s="19"/>
      <c r="M28" s="19"/>
      <c r="N28" s="19" t="n">
        <v>100</v>
      </c>
      <c r="O28" s="19"/>
      <c r="P28" s="19" t="n">
        <v>90</v>
      </c>
      <c r="Q28" s="19"/>
      <c r="R28" s="19"/>
      <c r="S28" s="19"/>
      <c r="T28" s="19"/>
    </row>
    <row r="29" customFormat="false" ht="15" hidden="false" customHeight="false" outlineLevel="0" collapsed="false">
      <c r="A29" s="17" t="n">
        <v>25</v>
      </c>
      <c r="B29" s="20" t="s">
        <v>140</v>
      </c>
      <c r="C29" s="17" t="s">
        <v>113</v>
      </c>
      <c r="D29" s="17"/>
      <c r="E29" s="24" t="n">
        <f aca="false">COUNT(F29:T29)</f>
        <v>6</v>
      </c>
      <c r="F29" s="19" t="n">
        <v>120</v>
      </c>
      <c r="G29" s="19"/>
      <c r="H29" s="19" t="n">
        <v>120</v>
      </c>
      <c r="I29" s="19"/>
      <c r="J29" s="19"/>
      <c r="K29" s="19" t="n">
        <v>120</v>
      </c>
      <c r="L29" s="19" t="n">
        <v>80</v>
      </c>
      <c r="M29" s="19"/>
      <c r="N29" s="19" t="n">
        <v>70</v>
      </c>
      <c r="O29" s="19"/>
      <c r="P29" s="19" t="n">
        <v>90</v>
      </c>
      <c r="Q29" s="19"/>
      <c r="R29" s="19"/>
      <c r="S29" s="19"/>
      <c r="T29" s="19"/>
    </row>
    <row r="30" customFormat="false" ht="15" hidden="false" customHeight="false" outlineLevel="0" collapsed="false">
      <c r="A30" s="17" t="n">
        <v>26</v>
      </c>
      <c r="B30" s="20" t="s">
        <v>298</v>
      </c>
      <c r="C30" s="17" t="s">
        <v>115</v>
      </c>
      <c r="D30" s="17" t="s">
        <v>118</v>
      </c>
      <c r="E30" s="24" t="n">
        <f aca="false">COUNT(F30:T30)</f>
        <v>6</v>
      </c>
      <c r="F30" s="19" t="n">
        <v>150</v>
      </c>
      <c r="G30" s="19"/>
      <c r="H30" s="19"/>
      <c r="I30" s="19"/>
      <c r="J30" s="19" t="n">
        <v>180</v>
      </c>
      <c r="K30" s="19"/>
      <c r="L30" s="19"/>
      <c r="M30" s="19" t="n">
        <v>90</v>
      </c>
      <c r="N30" s="19" t="n">
        <v>100</v>
      </c>
      <c r="O30" s="19"/>
      <c r="P30" s="19"/>
      <c r="Q30" s="19" t="n">
        <v>55</v>
      </c>
      <c r="R30" s="19" t="n">
        <v>75</v>
      </c>
      <c r="S30" s="19"/>
      <c r="T30" s="19"/>
    </row>
    <row r="31" customFormat="false" ht="15" hidden="false" customHeight="false" outlineLevel="0" collapsed="false">
      <c r="A31" s="17" t="n">
        <v>27</v>
      </c>
      <c r="B31" s="20" t="s">
        <v>375</v>
      </c>
      <c r="C31" s="17" t="s">
        <v>113</v>
      </c>
      <c r="D31" s="17"/>
      <c r="E31" s="24" t="n">
        <f aca="false">COUNT(F31:T31)</f>
        <v>6</v>
      </c>
      <c r="F31" s="19" t="n">
        <v>120</v>
      </c>
      <c r="G31" s="19"/>
      <c r="H31" s="19" t="n">
        <v>120</v>
      </c>
      <c r="I31" s="19"/>
      <c r="J31" s="19"/>
      <c r="K31" s="19" t="n">
        <v>120</v>
      </c>
      <c r="L31" s="19" t="n">
        <v>80</v>
      </c>
      <c r="M31" s="19"/>
      <c r="N31" s="19" t="n">
        <v>100</v>
      </c>
      <c r="O31" s="19"/>
      <c r="P31" s="19" t="n">
        <v>90</v>
      </c>
      <c r="Q31" s="19"/>
      <c r="R31" s="19"/>
      <c r="S31" s="19"/>
      <c r="T31" s="19"/>
    </row>
    <row r="32" customFormat="false" ht="15" hidden="false" customHeight="false" outlineLevel="0" collapsed="false">
      <c r="A32" s="17" t="n">
        <v>28</v>
      </c>
      <c r="B32" s="20" t="s">
        <v>376</v>
      </c>
      <c r="C32" s="17" t="s">
        <v>125</v>
      </c>
      <c r="D32" s="17"/>
      <c r="E32" s="24" t="n">
        <f aca="false">COUNT(F32:T32)</f>
        <v>6</v>
      </c>
      <c r="F32" s="19" t="n">
        <v>150</v>
      </c>
      <c r="G32" s="19" t="n">
        <v>120</v>
      </c>
      <c r="H32" s="19" t="n">
        <v>95</v>
      </c>
      <c r="I32" s="19" t="n">
        <v>120</v>
      </c>
      <c r="J32" s="19"/>
      <c r="K32" s="19" t="n">
        <v>120</v>
      </c>
      <c r="L32" s="19"/>
      <c r="M32" s="19"/>
      <c r="N32" s="19"/>
      <c r="O32" s="19"/>
      <c r="P32" s="19"/>
      <c r="Q32" s="19"/>
      <c r="R32" s="19"/>
      <c r="S32" s="19"/>
      <c r="T32" s="19" t="n">
        <v>80</v>
      </c>
    </row>
    <row r="33" customFormat="false" ht="15" hidden="false" customHeight="false" outlineLevel="0" collapsed="false">
      <c r="A33" s="17" t="n">
        <v>29</v>
      </c>
      <c r="B33" s="20" t="s">
        <v>188</v>
      </c>
      <c r="C33" s="17" t="s">
        <v>113</v>
      </c>
      <c r="D33" s="17" t="s">
        <v>117</v>
      </c>
      <c r="E33" s="24" t="n">
        <f aca="false">COUNT(F33:T33)</f>
        <v>6</v>
      </c>
      <c r="F33" s="19" t="n">
        <v>150</v>
      </c>
      <c r="G33" s="19"/>
      <c r="H33" s="19" t="n">
        <v>120</v>
      </c>
      <c r="I33" s="19"/>
      <c r="J33" s="19"/>
      <c r="K33" s="19" t="n">
        <v>120</v>
      </c>
      <c r="L33" s="19" t="n">
        <v>80</v>
      </c>
      <c r="M33" s="19"/>
      <c r="N33" s="19" t="n">
        <v>100</v>
      </c>
      <c r="O33" s="19"/>
      <c r="P33" s="19" t="n">
        <v>90</v>
      </c>
      <c r="Q33" s="19"/>
      <c r="R33" s="19"/>
      <c r="S33" s="19"/>
      <c r="T33" s="19"/>
    </row>
    <row r="34" customFormat="false" ht="15" hidden="false" customHeight="false" outlineLevel="0" collapsed="false">
      <c r="A34" s="17" t="n">
        <v>30</v>
      </c>
      <c r="B34" s="20" t="s">
        <v>334</v>
      </c>
      <c r="C34" s="17" t="s">
        <v>113</v>
      </c>
      <c r="D34" s="17"/>
      <c r="E34" s="24" t="n">
        <f aca="false">COUNT(F34:T34)</f>
        <v>6</v>
      </c>
      <c r="F34" s="19" t="n">
        <v>150</v>
      </c>
      <c r="G34" s="19"/>
      <c r="H34" s="19" t="n">
        <v>120</v>
      </c>
      <c r="I34" s="19"/>
      <c r="J34" s="19"/>
      <c r="K34" s="19" t="n">
        <v>120</v>
      </c>
      <c r="L34" s="19" t="n">
        <v>80</v>
      </c>
      <c r="M34" s="19"/>
      <c r="N34" s="19" t="n">
        <v>70</v>
      </c>
      <c r="O34" s="19"/>
      <c r="P34" s="19" t="n">
        <v>90</v>
      </c>
      <c r="Q34" s="19"/>
      <c r="R34" s="19"/>
      <c r="S34" s="19"/>
      <c r="T34" s="19"/>
    </row>
    <row r="35" customFormat="false" ht="15" hidden="false" customHeight="false" outlineLevel="0" collapsed="false">
      <c r="A35" s="17" t="n">
        <v>31</v>
      </c>
      <c r="B35" s="20" t="s">
        <v>377</v>
      </c>
      <c r="C35" s="17" t="s">
        <v>112</v>
      </c>
      <c r="D35" s="17"/>
      <c r="E35" s="24" t="n">
        <f aca="false">COUNT(F35:T35)</f>
        <v>6</v>
      </c>
      <c r="F35" s="19" t="n">
        <v>120</v>
      </c>
      <c r="G35" s="19" t="n">
        <v>120</v>
      </c>
      <c r="H35" s="19"/>
      <c r="I35" s="19"/>
      <c r="J35" s="19"/>
      <c r="K35" s="19"/>
      <c r="L35" s="19" t="n">
        <v>80</v>
      </c>
      <c r="M35" s="19"/>
      <c r="N35" s="19" t="n">
        <v>70</v>
      </c>
      <c r="O35" s="19"/>
      <c r="P35" s="19"/>
      <c r="Q35" s="19" t="n">
        <v>55</v>
      </c>
      <c r="R35" s="19"/>
      <c r="S35" s="19"/>
      <c r="T35" s="19" t="n">
        <v>80</v>
      </c>
    </row>
    <row r="36" customFormat="false" ht="15" hidden="false" customHeight="false" outlineLevel="0" collapsed="false">
      <c r="A36" s="17" t="n">
        <v>32</v>
      </c>
      <c r="B36" s="20" t="s">
        <v>187</v>
      </c>
      <c r="C36" s="17" t="s">
        <v>117</v>
      </c>
      <c r="D36" s="17"/>
      <c r="E36" s="24" t="n">
        <f aca="false">COUNT(F36:T36)</f>
        <v>6</v>
      </c>
      <c r="F36" s="19" t="n">
        <v>120</v>
      </c>
      <c r="G36" s="19" t="n">
        <v>70</v>
      </c>
      <c r="H36" s="19"/>
      <c r="I36" s="19" t="n">
        <v>70</v>
      </c>
      <c r="J36" s="19"/>
      <c r="K36" s="19" t="n">
        <v>70</v>
      </c>
      <c r="L36" s="19" t="n">
        <v>80</v>
      </c>
      <c r="M36" s="19"/>
      <c r="N36" s="19"/>
      <c r="O36" s="19"/>
      <c r="P36" s="19"/>
      <c r="Q36" s="19"/>
      <c r="R36" s="19" t="n">
        <v>75</v>
      </c>
      <c r="S36" s="19"/>
      <c r="T36" s="19"/>
    </row>
    <row r="37" customFormat="false" ht="15" hidden="false" customHeight="false" outlineLevel="0" collapsed="false">
      <c r="A37" s="17" t="n">
        <v>33</v>
      </c>
      <c r="B37" s="20" t="s">
        <v>84</v>
      </c>
      <c r="C37" s="17" t="s">
        <v>114</v>
      </c>
      <c r="D37" s="17"/>
      <c r="E37" s="24" t="n">
        <f aca="false">COUNT(F37:T37)</f>
        <v>6</v>
      </c>
      <c r="F37" s="19" t="n">
        <v>120</v>
      </c>
      <c r="G37" s="19"/>
      <c r="H37" s="19" t="n">
        <v>95</v>
      </c>
      <c r="I37" s="19" t="n">
        <v>120</v>
      </c>
      <c r="J37" s="19"/>
      <c r="K37" s="19"/>
      <c r="L37" s="19" t="n">
        <v>80</v>
      </c>
      <c r="M37" s="19"/>
      <c r="N37" s="19"/>
      <c r="O37" s="19" t="n">
        <v>70</v>
      </c>
      <c r="P37" s="19"/>
      <c r="Q37" s="19" t="n">
        <v>55</v>
      </c>
      <c r="R37" s="19"/>
      <c r="S37" s="19"/>
      <c r="T37" s="19"/>
    </row>
    <row r="38" customFormat="false" ht="15" hidden="false" customHeight="false" outlineLevel="0" collapsed="false">
      <c r="A38" s="17" t="n">
        <v>34</v>
      </c>
      <c r="B38" s="20" t="s">
        <v>309</v>
      </c>
      <c r="C38" s="17" t="s">
        <v>124</v>
      </c>
      <c r="D38" s="17" t="s">
        <v>118</v>
      </c>
      <c r="E38" s="24" t="n">
        <f aca="false">COUNT(F38:T38)</f>
        <v>6</v>
      </c>
      <c r="F38" s="19" t="n">
        <v>60</v>
      </c>
      <c r="G38" s="19"/>
      <c r="H38" s="19"/>
      <c r="I38" s="19" t="n">
        <v>120</v>
      </c>
      <c r="J38" s="19" t="n">
        <v>65</v>
      </c>
      <c r="K38" s="19"/>
      <c r="L38" s="19"/>
      <c r="M38" s="19" t="n">
        <v>40</v>
      </c>
      <c r="N38" s="19"/>
      <c r="O38" s="19"/>
      <c r="P38" s="19" t="n">
        <v>90</v>
      </c>
      <c r="Q38" s="19"/>
      <c r="R38" s="19"/>
      <c r="S38" s="19" t="n">
        <v>60</v>
      </c>
      <c r="T38" s="19"/>
    </row>
    <row r="39" customFormat="false" ht="15" hidden="false" customHeight="false" outlineLevel="0" collapsed="false">
      <c r="A39" s="17" t="n">
        <v>35</v>
      </c>
      <c r="B39" s="20" t="s">
        <v>156</v>
      </c>
      <c r="C39" s="17" t="s">
        <v>113</v>
      </c>
      <c r="D39" s="17" t="s">
        <v>118</v>
      </c>
      <c r="E39" s="24" t="n">
        <f aca="false">COUNT(F39:T39)</f>
        <v>6</v>
      </c>
      <c r="F39" s="19" t="n">
        <v>150</v>
      </c>
      <c r="G39" s="19"/>
      <c r="H39" s="19" t="n">
        <v>120</v>
      </c>
      <c r="I39" s="19"/>
      <c r="J39" s="19" t="n">
        <v>65</v>
      </c>
      <c r="K39" s="19" t="n">
        <v>120</v>
      </c>
      <c r="L39" s="19"/>
      <c r="M39" s="19" t="n">
        <v>90</v>
      </c>
      <c r="N39" s="19"/>
      <c r="O39" s="19"/>
      <c r="P39" s="19"/>
      <c r="Q39" s="19" t="n">
        <v>55</v>
      </c>
      <c r="R39" s="19"/>
      <c r="S39" s="19"/>
      <c r="T39" s="19"/>
    </row>
    <row r="40" customFormat="false" ht="15" hidden="false" customHeight="false" outlineLevel="0" collapsed="false">
      <c r="A40" s="17" t="n">
        <v>36</v>
      </c>
      <c r="B40" s="20" t="s">
        <v>327</v>
      </c>
      <c r="C40" s="17" t="s">
        <v>124</v>
      </c>
      <c r="D40" s="17" t="s">
        <v>118</v>
      </c>
      <c r="E40" s="24" t="n">
        <f aca="false">COUNT(F40:T40)</f>
        <v>6</v>
      </c>
      <c r="F40" s="19" t="n">
        <v>60</v>
      </c>
      <c r="G40" s="19"/>
      <c r="H40" s="19"/>
      <c r="I40" s="19" t="n">
        <v>120</v>
      </c>
      <c r="J40" s="19" t="n">
        <v>65</v>
      </c>
      <c r="K40" s="19"/>
      <c r="L40" s="19"/>
      <c r="M40" s="19" t="n">
        <v>40</v>
      </c>
      <c r="N40" s="19"/>
      <c r="O40" s="19"/>
      <c r="P40" s="19" t="n">
        <v>90</v>
      </c>
      <c r="Q40" s="19"/>
      <c r="R40" s="19"/>
      <c r="S40" s="19" t="n">
        <v>60</v>
      </c>
      <c r="T40" s="19"/>
    </row>
    <row r="41" customFormat="false" ht="15" hidden="false" customHeight="false" outlineLevel="0" collapsed="false">
      <c r="A41" s="17" t="n">
        <v>37</v>
      </c>
      <c r="B41" s="20" t="s">
        <v>378</v>
      </c>
      <c r="C41" s="17" t="s">
        <v>112</v>
      </c>
      <c r="D41" s="17"/>
      <c r="E41" s="24" t="n">
        <f aca="false">COUNT(F41:T41)</f>
        <v>6</v>
      </c>
      <c r="F41" s="19" t="n">
        <v>120</v>
      </c>
      <c r="G41" s="19" t="n">
        <v>120</v>
      </c>
      <c r="H41" s="19"/>
      <c r="I41" s="19"/>
      <c r="J41" s="19"/>
      <c r="K41" s="19"/>
      <c r="L41" s="19" t="n">
        <v>80</v>
      </c>
      <c r="M41" s="19"/>
      <c r="N41" s="19" t="n">
        <v>70</v>
      </c>
      <c r="O41" s="19"/>
      <c r="P41" s="19"/>
      <c r="Q41" s="19" t="n">
        <v>55</v>
      </c>
      <c r="R41" s="19"/>
      <c r="S41" s="19"/>
      <c r="T41" s="19" t="n">
        <v>80</v>
      </c>
    </row>
    <row r="42" customFormat="false" ht="15" hidden="false" customHeight="false" outlineLevel="0" collapsed="false">
      <c r="A42" s="17" t="n">
        <v>38</v>
      </c>
      <c r="B42" s="20" t="s">
        <v>185</v>
      </c>
      <c r="C42" s="17" t="s">
        <v>113</v>
      </c>
      <c r="D42" s="17" t="s">
        <v>116</v>
      </c>
      <c r="E42" s="24" t="n">
        <f aca="false">COUNT(F42:T42)</f>
        <v>6</v>
      </c>
      <c r="F42" s="19" t="n">
        <v>150</v>
      </c>
      <c r="G42" s="19"/>
      <c r="H42" s="19" t="n">
        <v>120</v>
      </c>
      <c r="I42" s="19" t="n">
        <v>120</v>
      </c>
      <c r="J42" s="19" t="n">
        <v>180</v>
      </c>
      <c r="K42" s="19" t="n">
        <v>120</v>
      </c>
      <c r="L42" s="19"/>
      <c r="M42" s="19"/>
      <c r="N42" s="19"/>
      <c r="O42" s="19"/>
      <c r="P42" s="19" t="n">
        <v>90</v>
      </c>
      <c r="Q42" s="19"/>
      <c r="R42" s="19"/>
      <c r="S42" s="19"/>
      <c r="T42" s="19"/>
    </row>
    <row r="43" customFormat="false" ht="15" hidden="false" customHeight="false" outlineLevel="0" collapsed="false">
      <c r="A43" s="17" t="n">
        <v>39</v>
      </c>
      <c r="B43" s="20" t="s">
        <v>330</v>
      </c>
      <c r="C43" s="17" t="s">
        <v>113</v>
      </c>
      <c r="D43" s="17" t="s">
        <v>118</v>
      </c>
      <c r="E43" s="24" t="n">
        <f aca="false">COUNT(F43:T43)</f>
        <v>6</v>
      </c>
      <c r="F43" s="19" t="n">
        <v>120</v>
      </c>
      <c r="G43" s="19"/>
      <c r="H43" s="19" t="n">
        <v>120</v>
      </c>
      <c r="I43" s="19"/>
      <c r="J43" s="19" t="n">
        <v>65</v>
      </c>
      <c r="K43" s="19" t="n">
        <v>120</v>
      </c>
      <c r="L43" s="19"/>
      <c r="M43" s="19" t="n">
        <v>90</v>
      </c>
      <c r="N43" s="19"/>
      <c r="O43" s="19"/>
      <c r="P43" s="19"/>
      <c r="Q43" s="19" t="n">
        <v>55</v>
      </c>
      <c r="R43" s="19"/>
      <c r="S43" s="19"/>
      <c r="T43" s="19"/>
    </row>
    <row r="44" customFormat="false" ht="15" hidden="false" customHeight="false" outlineLevel="0" collapsed="false">
      <c r="A44" s="17" t="n">
        <v>40</v>
      </c>
      <c r="B44" s="20" t="s">
        <v>379</v>
      </c>
      <c r="C44" s="17" t="s">
        <v>125</v>
      </c>
      <c r="D44" s="17"/>
      <c r="E44" s="24" t="n">
        <f aca="false">COUNT(F44:T44)</f>
        <v>6</v>
      </c>
      <c r="F44" s="19" t="n">
        <v>150</v>
      </c>
      <c r="G44" s="19" t="n">
        <v>120</v>
      </c>
      <c r="H44" s="19" t="n">
        <v>95</v>
      </c>
      <c r="I44" s="19" t="n">
        <v>120</v>
      </c>
      <c r="J44" s="19"/>
      <c r="K44" s="19" t="n">
        <v>120</v>
      </c>
      <c r="L44" s="19"/>
      <c r="M44" s="19"/>
      <c r="N44" s="19"/>
      <c r="O44" s="19"/>
      <c r="P44" s="19"/>
      <c r="Q44" s="19"/>
      <c r="R44" s="19"/>
      <c r="S44" s="19"/>
      <c r="T44" s="19" t="n">
        <v>80</v>
      </c>
    </row>
    <row r="45" customFormat="false" ht="15" hidden="false" customHeight="false" outlineLevel="0" collapsed="false">
      <c r="A45" s="17" t="n">
        <v>41</v>
      </c>
      <c r="B45" s="20" t="s">
        <v>162</v>
      </c>
      <c r="C45" s="17" t="s">
        <v>121</v>
      </c>
      <c r="D45" s="17"/>
      <c r="E45" s="24" t="n">
        <f aca="false">COUNT(F45:T45)</f>
        <v>5</v>
      </c>
      <c r="F45" s="19" t="n">
        <v>150</v>
      </c>
      <c r="G45" s="19"/>
      <c r="H45" s="19"/>
      <c r="I45" s="19" t="n">
        <v>120</v>
      </c>
      <c r="J45" s="19" t="n">
        <v>180</v>
      </c>
      <c r="K45" s="19"/>
      <c r="L45" s="19" t="n">
        <v>80</v>
      </c>
      <c r="M45" s="19"/>
      <c r="N45" s="19"/>
      <c r="O45" s="19"/>
      <c r="P45" s="19" t="n">
        <v>90</v>
      </c>
      <c r="Q45" s="19"/>
      <c r="R45" s="19"/>
      <c r="S45" s="19"/>
      <c r="T45" s="19"/>
    </row>
    <row r="46" customFormat="false" ht="15" hidden="false" customHeight="false" outlineLevel="0" collapsed="false">
      <c r="A46" s="17" t="n">
        <v>42</v>
      </c>
      <c r="B46" s="20" t="s">
        <v>198</v>
      </c>
      <c r="C46" s="17" t="s">
        <v>123</v>
      </c>
      <c r="D46" s="17" t="s">
        <v>120</v>
      </c>
      <c r="E46" s="24" t="n">
        <f aca="false">COUNT(F46:T46)</f>
        <v>5</v>
      </c>
      <c r="F46" s="19" t="n">
        <v>150</v>
      </c>
      <c r="G46" s="19" t="n">
        <v>120</v>
      </c>
      <c r="H46" s="19"/>
      <c r="I46" s="19"/>
      <c r="J46" s="19"/>
      <c r="K46" s="19"/>
      <c r="L46" s="19"/>
      <c r="M46" s="19"/>
      <c r="N46" s="19" t="n">
        <v>100</v>
      </c>
      <c r="O46" s="19" t="n">
        <v>120</v>
      </c>
      <c r="P46" s="19"/>
      <c r="Q46" s="19"/>
      <c r="R46" s="19" t="n">
        <v>75</v>
      </c>
      <c r="S46" s="19"/>
      <c r="T46" s="19"/>
    </row>
    <row r="47" customFormat="false" ht="15" hidden="false" customHeight="false" outlineLevel="0" collapsed="false">
      <c r="A47" s="17" t="n">
        <v>43</v>
      </c>
      <c r="B47" s="20" t="s">
        <v>280</v>
      </c>
      <c r="C47" s="17" t="s">
        <v>111</v>
      </c>
      <c r="D47" s="17"/>
      <c r="E47" s="24" t="n">
        <f aca="false">COUNT(F47:T47)</f>
        <v>5</v>
      </c>
      <c r="F47" s="19" t="n">
        <v>150</v>
      </c>
      <c r="G47" s="19" t="n">
        <v>120</v>
      </c>
      <c r="H47" s="19"/>
      <c r="I47" s="19" t="n">
        <v>120</v>
      </c>
      <c r="J47" s="19"/>
      <c r="K47" s="19" t="n">
        <v>120</v>
      </c>
      <c r="L47" s="19"/>
      <c r="M47" s="19"/>
      <c r="N47" s="19" t="n">
        <v>100</v>
      </c>
      <c r="O47" s="19"/>
      <c r="P47" s="19"/>
      <c r="Q47" s="19"/>
      <c r="R47" s="19"/>
      <c r="S47" s="19"/>
      <c r="T47" s="19"/>
    </row>
    <row r="48" customFormat="false" ht="15" hidden="false" customHeight="false" outlineLevel="0" collapsed="false">
      <c r="A48" s="17" t="n">
        <v>44</v>
      </c>
      <c r="B48" s="20" t="s">
        <v>340</v>
      </c>
      <c r="C48" s="17" t="s">
        <v>111</v>
      </c>
      <c r="D48" s="17"/>
      <c r="E48" s="24" t="n">
        <f aca="false">COUNT(F48:T48)</f>
        <v>5</v>
      </c>
      <c r="F48" s="19" t="n">
        <v>150</v>
      </c>
      <c r="G48" s="19"/>
      <c r="H48" s="19" t="n">
        <v>65</v>
      </c>
      <c r="I48" s="19" t="n">
        <v>120</v>
      </c>
      <c r="J48" s="19"/>
      <c r="K48" s="19" t="n">
        <v>120</v>
      </c>
      <c r="L48" s="19"/>
      <c r="M48" s="19"/>
      <c r="N48" s="19" t="n">
        <v>70</v>
      </c>
      <c r="O48" s="19"/>
      <c r="P48" s="19"/>
      <c r="Q48" s="19"/>
      <c r="R48" s="19"/>
      <c r="S48" s="19"/>
      <c r="T48" s="19"/>
    </row>
    <row r="49" customFormat="false" ht="15" hidden="false" customHeight="false" outlineLevel="0" collapsed="false">
      <c r="A49" s="17" t="n">
        <v>45</v>
      </c>
      <c r="B49" s="20" t="s">
        <v>194</v>
      </c>
      <c r="C49" s="17" t="s">
        <v>118</v>
      </c>
      <c r="D49" s="17"/>
      <c r="E49" s="24" t="n">
        <f aca="false">COUNT(F49:T49)</f>
        <v>5</v>
      </c>
      <c r="F49" s="19" t="n">
        <v>150</v>
      </c>
      <c r="G49" s="19"/>
      <c r="H49" s="19"/>
      <c r="I49" s="19"/>
      <c r="J49" s="19" t="n">
        <v>65</v>
      </c>
      <c r="K49" s="19"/>
      <c r="L49" s="19"/>
      <c r="M49" s="19" t="n">
        <v>90</v>
      </c>
      <c r="N49" s="19" t="n">
        <v>100</v>
      </c>
      <c r="O49" s="19"/>
      <c r="P49" s="19"/>
      <c r="Q49" s="19"/>
      <c r="R49" s="19" t="n">
        <v>75</v>
      </c>
      <c r="S49" s="19"/>
      <c r="T49" s="19"/>
    </row>
    <row r="50" customFormat="false" ht="15" hidden="false" customHeight="false" outlineLevel="0" collapsed="false">
      <c r="A50" s="17" t="n">
        <v>46</v>
      </c>
      <c r="B50" s="20" t="s">
        <v>380</v>
      </c>
      <c r="C50" s="17" t="s">
        <v>118</v>
      </c>
      <c r="D50" s="17"/>
      <c r="E50" s="24" t="n">
        <f aca="false">COUNT(F50:T50)</f>
        <v>5</v>
      </c>
      <c r="F50" s="19" t="n">
        <v>120</v>
      </c>
      <c r="G50" s="19"/>
      <c r="H50" s="19"/>
      <c r="I50" s="19" t="n">
        <v>120</v>
      </c>
      <c r="J50" s="19"/>
      <c r="K50" s="19" t="n">
        <v>120</v>
      </c>
      <c r="L50" s="19" t="n">
        <v>30</v>
      </c>
      <c r="M50" s="19" t="n">
        <v>35</v>
      </c>
      <c r="N50" s="19"/>
      <c r="O50" s="19"/>
      <c r="P50" s="19"/>
      <c r="Q50" s="19"/>
      <c r="R50" s="19"/>
      <c r="S50" s="19"/>
      <c r="T50" s="19"/>
    </row>
    <row r="51" customFormat="false" ht="15" hidden="false" customHeight="false" outlineLevel="0" collapsed="false">
      <c r="A51" s="17" t="n">
        <v>47</v>
      </c>
      <c r="B51" s="20" t="s">
        <v>321</v>
      </c>
      <c r="C51" s="17" t="s">
        <v>113</v>
      </c>
      <c r="D51" s="17"/>
      <c r="E51" s="24" t="n">
        <f aca="false">COUNT(F51:T51)</f>
        <v>5</v>
      </c>
      <c r="F51" s="19" t="n">
        <v>150</v>
      </c>
      <c r="G51" s="19"/>
      <c r="H51" s="19" t="n">
        <v>120</v>
      </c>
      <c r="I51" s="19"/>
      <c r="J51" s="19"/>
      <c r="K51" s="19" t="n">
        <v>120</v>
      </c>
      <c r="L51" s="19" t="n">
        <v>80</v>
      </c>
      <c r="M51" s="19"/>
      <c r="N51" s="19" t="n">
        <v>100</v>
      </c>
      <c r="O51" s="19"/>
      <c r="P51" s="19"/>
      <c r="Q51" s="19"/>
      <c r="R51" s="19"/>
      <c r="S51" s="19"/>
      <c r="T51" s="19"/>
    </row>
    <row r="52" customFormat="false" ht="15" hidden="false" customHeight="false" outlineLevel="0" collapsed="false">
      <c r="A52" s="17" t="n">
        <v>48</v>
      </c>
      <c r="B52" s="20" t="s">
        <v>381</v>
      </c>
      <c r="C52" s="17" t="s">
        <v>118</v>
      </c>
      <c r="D52" s="17"/>
      <c r="E52" s="24" t="n">
        <f aca="false">COUNT(F52:T52)</f>
        <v>5</v>
      </c>
      <c r="F52" s="19" t="n">
        <v>120</v>
      </c>
      <c r="G52" s="19"/>
      <c r="H52" s="19"/>
      <c r="I52" s="19" t="n">
        <v>120</v>
      </c>
      <c r="J52" s="19"/>
      <c r="K52" s="19" t="n">
        <v>120</v>
      </c>
      <c r="L52" s="19" t="n">
        <v>30</v>
      </c>
      <c r="M52" s="19" t="n">
        <v>35</v>
      </c>
      <c r="N52" s="19"/>
      <c r="O52" s="19"/>
      <c r="P52" s="19"/>
      <c r="Q52" s="19"/>
      <c r="R52" s="19"/>
      <c r="S52" s="19"/>
      <c r="T52" s="19"/>
    </row>
    <row r="53" customFormat="false" ht="15" hidden="false" customHeight="false" outlineLevel="0" collapsed="false">
      <c r="A53" s="17" t="n">
        <v>49</v>
      </c>
      <c r="B53" s="20" t="s">
        <v>382</v>
      </c>
      <c r="C53" s="17" t="s">
        <v>113</v>
      </c>
      <c r="D53" s="17"/>
      <c r="E53" s="24" t="n">
        <f aca="false">COUNT(F53:T53)</f>
        <v>5</v>
      </c>
      <c r="F53" s="19" t="n">
        <v>120</v>
      </c>
      <c r="G53" s="19"/>
      <c r="H53" s="19" t="n">
        <v>120</v>
      </c>
      <c r="I53" s="19"/>
      <c r="J53" s="19"/>
      <c r="K53" s="19" t="n">
        <v>120</v>
      </c>
      <c r="L53" s="19" t="n">
        <v>80</v>
      </c>
      <c r="M53" s="19"/>
      <c r="N53" s="19" t="n">
        <v>70</v>
      </c>
      <c r="O53" s="19"/>
      <c r="P53" s="19"/>
      <c r="Q53" s="19"/>
      <c r="R53" s="19"/>
      <c r="S53" s="19"/>
      <c r="T53" s="19"/>
    </row>
    <row r="54" customFormat="false" ht="15" hidden="false" customHeight="false" outlineLevel="0" collapsed="false">
      <c r="A54" s="17" t="n">
        <v>50</v>
      </c>
      <c r="B54" s="20" t="s">
        <v>328</v>
      </c>
      <c r="C54" s="17" t="s">
        <v>119</v>
      </c>
      <c r="D54" s="17" t="s">
        <v>123</v>
      </c>
      <c r="E54" s="24" t="n">
        <f aca="false">COUNT(F54:T54)</f>
        <v>5</v>
      </c>
      <c r="F54" s="19" t="n">
        <v>120</v>
      </c>
      <c r="G54" s="19" t="n">
        <v>120</v>
      </c>
      <c r="H54" s="19"/>
      <c r="I54" s="19" t="n">
        <v>120</v>
      </c>
      <c r="J54" s="19"/>
      <c r="K54" s="19"/>
      <c r="L54" s="19"/>
      <c r="M54" s="19"/>
      <c r="N54" s="19" t="n">
        <v>100</v>
      </c>
      <c r="O54" s="19"/>
      <c r="P54" s="19"/>
      <c r="Q54" s="19"/>
      <c r="R54" s="19" t="n">
        <v>75</v>
      </c>
      <c r="S54" s="19"/>
      <c r="T54" s="19"/>
    </row>
    <row r="55" customFormat="false" ht="15" hidden="false" customHeight="false" outlineLevel="0" collapsed="false">
      <c r="A55" s="17" t="n">
        <v>51</v>
      </c>
      <c r="B55" s="20" t="s">
        <v>383</v>
      </c>
      <c r="C55" s="17" t="s">
        <v>118</v>
      </c>
      <c r="D55" s="17" t="s">
        <v>120</v>
      </c>
      <c r="E55" s="24" t="n">
        <f aca="false">COUNT(F55:T55)</f>
        <v>5</v>
      </c>
      <c r="F55" s="19" t="n">
        <v>120</v>
      </c>
      <c r="G55" s="19"/>
      <c r="H55" s="19"/>
      <c r="I55" s="19"/>
      <c r="J55" s="19" t="n">
        <v>65</v>
      </c>
      <c r="K55" s="19"/>
      <c r="L55" s="19"/>
      <c r="M55" s="19" t="n">
        <v>90</v>
      </c>
      <c r="N55" s="19"/>
      <c r="O55" s="19" t="n">
        <v>70</v>
      </c>
      <c r="P55" s="19"/>
      <c r="Q55" s="19" t="n">
        <v>50</v>
      </c>
      <c r="R55" s="19"/>
      <c r="S55" s="19"/>
      <c r="T55" s="19"/>
    </row>
    <row r="56" customFormat="false" ht="15" hidden="false" customHeight="false" outlineLevel="0" collapsed="false">
      <c r="A56" s="17" t="n">
        <v>52</v>
      </c>
      <c r="B56" s="20" t="s">
        <v>384</v>
      </c>
      <c r="C56" s="17" t="s">
        <v>111</v>
      </c>
      <c r="D56" s="17"/>
      <c r="E56" s="24" t="n">
        <f aca="false">COUNT(F56:T56)</f>
        <v>5</v>
      </c>
      <c r="F56" s="19" t="n">
        <v>120</v>
      </c>
      <c r="G56" s="19"/>
      <c r="H56" s="19" t="n">
        <v>65</v>
      </c>
      <c r="I56" s="19" t="n">
        <v>120</v>
      </c>
      <c r="J56" s="19"/>
      <c r="K56" s="19" t="n">
        <v>120</v>
      </c>
      <c r="L56" s="19"/>
      <c r="M56" s="19"/>
      <c r="N56" s="19" t="n">
        <v>70</v>
      </c>
      <c r="O56" s="19"/>
      <c r="P56" s="19"/>
      <c r="Q56" s="19"/>
      <c r="R56" s="19"/>
      <c r="S56" s="19"/>
      <c r="T56" s="19"/>
    </row>
    <row r="57" customFormat="false" ht="15" hidden="false" customHeight="false" outlineLevel="0" collapsed="false">
      <c r="A57" s="17" t="n">
        <v>53</v>
      </c>
      <c r="B57" s="20" t="s">
        <v>157</v>
      </c>
      <c r="C57" s="17" t="s">
        <v>122</v>
      </c>
      <c r="D57" s="17" t="s">
        <v>118</v>
      </c>
      <c r="E57" s="24" t="n">
        <f aca="false">COUNT(F57:T57)</f>
        <v>5</v>
      </c>
      <c r="F57" s="19" t="n">
        <v>150</v>
      </c>
      <c r="G57" s="19"/>
      <c r="H57" s="19"/>
      <c r="I57" s="19"/>
      <c r="J57" s="19" t="n">
        <v>180</v>
      </c>
      <c r="K57" s="19"/>
      <c r="L57" s="19"/>
      <c r="M57" s="19" t="n">
        <v>90</v>
      </c>
      <c r="N57" s="19"/>
      <c r="O57" s="19"/>
      <c r="P57" s="19" t="n">
        <v>90</v>
      </c>
      <c r="Q57" s="19" t="n">
        <v>50</v>
      </c>
      <c r="R57" s="19"/>
      <c r="S57" s="19"/>
      <c r="T57" s="19"/>
    </row>
    <row r="58" customFormat="false" ht="15" hidden="false" customHeight="false" outlineLevel="0" collapsed="false">
      <c r="A58" s="17" t="n">
        <v>54</v>
      </c>
      <c r="B58" s="20" t="s">
        <v>385</v>
      </c>
      <c r="C58" s="17" t="s">
        <v>113</v>
      </c>
      <c r="D58" s="17"/>
      <c r="E58" s="24" t="n">
        <f aca="false">COUNT(F58:T58)</f>
        <v>5</v>
      </c>
      <c r="F58" s="19" t="n">
        <v>120</v>
      </c>
      <c r="G58" s="19"/>
      <c r="H58" s="19" t="n">
        <v>120</v>
      </c>
      <c r="I58" s="19"/>
      <c r="J58" s="19"/>
      <c r="K58" s="19" t="n">
        <v>120</v>
      </c>
      <c r="L58" s="19" t="n">
        <v>80</v>
      </c>
      <c r="M58" s="19"/>
      <c r="N58" s="19" t="n">
        <v>70</v>
      </c>
      <c r="O58" s="19"/>
      <c r="P58" s="19"/>
      <c r="Q58" s="19"/>
      <c r="R58" s="19"/>
      <c r="S58" s="19"/>
      <c r="T58" s="19"/>
    </row>
    <row r="59" customFormat="false" ht="15" hidden="false" customHeight="false" outlineLevel="0" collapsed="false">
      <c r="A59" s="17" t="n">
        <v>55</v>
      </c>
      <c r="B59" s="20" t="s">
        <v>386</v>
      </c>
      <c r="C59" s="17" t="s">
        <v>117</v>
      </c>
      <c r="D59" s="17"/>
      <c r="E59" s="24" t="n">
        <f aca="false">COUNT(F59:T59)</f>
        <v>5</v>
      </c>
      <c r="F59" s="19" t="n">
        <v>150</v>
      </c>
      <c r="G59" s="19"/>
      <c r="H59" s="19"/>
      <c r="I59" s="19" t="n">
        <v>120</v>
      </c>
      <c r="J59" s="19"/>
      <c r="K59" s="19"/>
      <c r="L59" s="19" t="n">
        <v>80</v>
      </c>
      <c r="M59" s="19"/>
      <c r="N59" s="19" t="n">
        <v>70</v>
      </c>
      <c r="O59" s="19"/>
      <c r="P59" s="19"/>
      <c r="Q59" s="19"/>
      <c r="R59" s="19" t="n">
        <v>75</v>
      </c>
      <c r="S59" s="19"/>
      <c r="T59" s="19"/>
    </row>
    <row r="60" customFormat="false" ht="15" hidden="false" customHeight="false" outlineLevel="0" collapsed="false">
      <c r="A60" s="17" t="n">
        <v>56</v>
      </c>
      <c r="B60" s="20" t="s">
        <v>282</v>
      </c>
      <c r="C60" s="17" t="s">
        <v>123</v>
      </c>
      <c r="D60" s="17" t="s">
        <v>119</v>
      </c>
      <c r="E60" s="24" t="n">
        <f aca="false">COUNT(F60:T60)</f>
        <v>5</v>
      </c>
      <c r="F60" s="19" t="n">
        <v>150</v>
      </c>
      <c r="G60" s="19" t="n">
        <v>120</v>
      </c>
      <c r="H60" s="19"/>
      <c r="I60" s="19"/>
      <c r="J60" s="19"/>
      <c r="K60" s="19"/>
      <c r="L60" s="19" t="n">
        <v>80</v>
      </c>
      <c r="M60" s="19"/>
      <c r="N60" s="19" t="n">
        <v>100</v>
      </c>
      <c r="O60" s="19"/>
      <c r="P60" s="19"/>
      <c r="Q60" s="19"/>
      <c r="R60" s="19" t="n">
        <v>75</v>
      </c>
      <c r="S60" s="19"/>
      <c r="T60" s="19"/>
    </row>
    <row r="61" customFormat="false" ht="15" hidden="false" customHeight="false" outlineLevel="0" collapsed="false">
      <c r="A61" s="17" t="n">
        <v>57</v>
      </c>
      <c r="B61" s="20" t="s">
        <v>387</v>
      </c>
      <c r="C61" s="17" t="s">
        <v>117</v>
      </c>
      <c r="D61" s="17"/>
      <c r="E61" s="24" t="n">
        <f aca="false">COUNT(F61:T61)</f>
        <v>5</v>
      </c>
      <c r="F61" s="19" t="n">
        <v>120</v>
      </c>
      <c r="G61" s="19" t="n">
        <v>120</v>
      </c>
      <c r="H61" s="19"/>
      <c r="I61" s="19"/>
      <c r="J61" s="19"/>
      <c r="K61" s="19"/>
      <c r="L61" s="19" t="n">
        <v>80</v>
      </c>
      <c r="M61" s="19"/>
      <c r="N61" s="19" t="n">
        <v>100</v>
      </c>
      <c r="O61" s="19"/>
      <c r="P61" s="19"/>
      <c r="Q61" s="19"/>
      <c r="R61" s="19" t="n">
        <v>75</v>
      </c>
      <c r="S61" s="19"/>
      <c r="T61" s="19"/>
    </row>
    <row r="62" customFormat="false" ht="15" hidden="false" customHeight="false" outlineLevel="0" collapsed="false">
      <c r="A62" s="17" t="n">
        <v>58</v>
      </c>
      <c r="B62" s="20" t="s">
        <v>388</v>
      </c>
      <c r="C62" s="17" t="s">
        <v>119</v>
      </c>
      <c r="D62" s="17"/>
      <c r="E62" s="24" t="n">
        <f aca="false">COUNT(F62:T62)</f>
        <v>5</v>
      </c>
      <c r="F62" s="19" t="n">
        <v>120</v>
      </c>
      <c r="G62" s="19"/>
      <c r="H62" s="19"/>
      <c r="I62" s="19"/>
      <c r="J62" s="19"/>
      <c r="K62" s="19"/>
      <c r="L62" s="19" t="n">
        <v>80</v>
      </c>
      <c r="M62" s="19"/>
      <c r="N62" s="19" t="n">
        <v>100</v>
      </c>
      <c r="O62" s="19"/>
      <c r="P62" s="19"/>
      <c r="Q62" s="19" t="n">
        <v>55</v>
      </c>
      <c r="R62" s="19" t="n">
        <v>75</v>
      </c>
      <c r="S62" s="19"/>
      <c r="T62" s="19"/>
    </row>
    <row r="63" customFormat="false" ht="15" hidden="false" customHeight="false" outlineLevel="0" collapsed="false">
      <c r="A63" s="17" t="n">
        <v>59</v>
      </c>
      <c r="B63" s="20" t="s">
        <v>389</v>
      </c>
      <c r="C63" s="17" t="s">
        <v>118</v>
      </c>
      <c r="D63" s="17"/>
      <c r="E63" s="24" t="n">
        <f aca="false">COUNT(F63:T63)</f>
        <v>5</v>
      </c>
      <c r="F63" s="19" t="n">
        <v>85</v>
      </c>
      <c r="G63" s="19" t="n">
        <v>120</v>
      </c>
      <c r="H63" s="19"/>
      <c r="I63" s="19" t="n">
        <v>120</v>
      </c>
      <c r="J63" s="19" t="n">
        <v>65</v>
      </c>
      <c r="K63" s="19"/>
      <c r="L63" s="19"/>
      <c r="M63" s="19" t="n">
        <v>90</v>
      </c>
      <c r="N63" s="19"/>
      <c r="O63" s="19"/>
      <c r="P63" s="19"/>
      <c r="Q63" s="19"/>
      <c r="R63" s="19"/>
      <c r="S63" s="19"/>
      <c r="T63" s="19"/>
    </row>
    <row r="64" customFormat="false" ht="15" hidden="false" customHeight="false" outlineLevel="0" collapsed="false">
      <c r="A64" s="17" t="n">
        <v>60</v>
      </c>
      <c r="B64" s="20" t="s">
        <v>390</v>
      </c>
      <c r="C64" s="17" t="s">
        <v>122</v>
      </c>
      <c r="D64" s="17" t="s">
        <v>120</v>
      </c>
      <c r="E64" s="24" t="n">
        <f aca="false">COUNT(F64:T64)</f>
        <v>5</v>
      </c>
      <c r="F64" s="19" t="n">
        <v>150</v>
      </c>
      <c r="G64" s="19"/>
      <c r="H64" s="19"/>
      <c r="I64" s="19"/>
      <c r="J64" s="19" t="n">
        <v>180</v>
      </c>
      <c r="K64" s="19"/>
      <c r="L64" s="19"/>
      <c r="M64" s="19"/>
      <c r="N64" s="19"/>
      <c r="O64" s="19" t="n">
        <v>40</v>
      </c>
      <c r="P64" s="19" t="n">
        <v>90</v>
      </c>
      <c r="Q64" s="19" t="n">
        <v>50</v>
      </c>
      <c r="R64" s="19"/>
      <c r="S64" s="19"/>
      <c r="T64" s="19"/>
    </row>
    <row r="65" customFormat="false" ht="15" hidden="false" customHeight="false" outlineLevel="0" collapsed="false">
      <c r="A65" s="17" t="n">
        <v>61</v>
      </c>
      <c r="B65" s="20" t="s">
        <v>391</v>
      </c>
      <c r="C65" s="17" t="s">
        <v>123</v>
      </c>
      <c r="D65" s="17" t="s">
        <v>113</v>
      </c>
      <c r="E65" s="24" t="n">
        <f aca="false">COUNT(F65:T65)</f>
        <v>5</v>
      </c>
      <c r="F65" s="19" t="n">
        <v>120</v>
      </c>
      <c r="G65" s="19"/>
      <c r="H65" s="19" t="n">
        <v>120</v>
      </c>
      <c r="I65" s="19"/>
      <c r="J65" s="19" t="n">
        <v>65</v>
      </c>
      <c r="K65" s="19" t="n">
        <v>120</v>
      </c>
      <c r="L65" s="19"/>
      <c r="M65" s="19"/>
      <c r="N65" s="19"/>
      <c r="O65" s="19"/>
      <c r="P65" s="19"/>
      <c r="Q65" s="19"/>
      <c r="R65" s="19" t="n">
        <v>75</v>
      </c>
      <c r="S65" s="19"/>
      <c r="T65" s="19"/>
    </row>
    <row r="66" customFormat="false" ht="15" hidden="false" customHeight="false" outlineLevel="0" collapsed="false">
      <c r="A66" s="17" t="n">
        <v>62</v>
      </c>
      <c r="B66" s="20" t="s">
        <v>190</v>
      </c>
      <c r="C66" s="17" t="s">
        <v>117</v>
      </c>
      <c r="D66" s="17"/>
      <c r="E66" s="24" t="n">
        <f aca="false">COUNT(F66:T66)</f>
        <v>5</v>
      </c>
      <c r="F66" s="19" t="n">
        <v>150</v>
      </c>
      <c r="G66" s="19" t="n">
        <v>120</v>
      </c>
      <c r="H66" s="19"/>
      <c r="I66" s="19"/>
      <c r="J66" s="19"/>
      <c r="K66" s="19"/>
      <c r="L66" s="19" t="n">
        <v>80</v>
      </c>
      <c r="M66" s="19"/>
      <c r="N66" s="19" t="n">
        <v>100</v>
      </c>
      <c r="O66" s="19"/>
      <c r="P66" s="19"/>
      <c r="Q66" s="19"/>
      <c r="R66" s="19" t="n">
        <v>75</v>
      </c>
      <c r="S66" s="19"/>
      <c r="T66" s="19"/>
    </row>
    <row r="67" customFormat="false" ht="15" hidden="false" customHeight="false" outlineLevel="0" collapsed="false">
      <c r="A67" s="17" t="n">
        <v>63</v>
      </c>
      <c r="B67" s="20" t="s">
        <v>184</v>
      </c>
      <c r="C67" s="17" t="s">
        <v>116</v>
      </c>
      <c r="D67" s="17" t="s">
        <v>121</v>
      </c>
      <c r="E67" s="24" t="n">
        <f aca="false">COUNT(F67:T67)</f>
        <v>5</v>
      </c>
      <c r="F67" s="19" t="n">
        <v>150</v>
      </c>
      <c r="G67" s="19"/>
      <c r="H67" s="19" t="n">
        <v>65</v>
      </c>
      <c r="I67" s="19"/>
      <c r="J67" s="19"/>
      <c r="K67" s="19" t="n">
        <v>120</v>
      </c>
      <c r="L67" s="19" t="n">
        <v>80</v>
      </c>
      <c r="M67" s="19"/>
      <c r="N67" s="19"/>
      <c r="O67" s="19"/>
      <c r="P67" s="19" t="n">
        <v>90</v>
      </c>
      <c r="Q67" s="19"/>
      <c r="R67" s="19"/>
      <c r="S67" s="19"/>
      <c r="T67" s="19"/>
    </row>
    <row r="68" customFormat="false" ht="15" hidden="false" customHeight="false" outlineLevel="0" collapsed="false">
      <c r="A68" s="17" t="n">
        <v>64</v>
      </c>
      <c r="B68" s="20" t="s">
        <v>154</v>
      </c>
      <c r="C68" s="17" t="s">
        <v>118</v>
      </c>
      <c r="D68" s="17" t="s">
        <v>120</v>
      </c>
      <c r="E68" s="24" t="n">
        <f aca="false">COUNT(F68:T68)</f>
        <v>5</v>
      </c>
      <c r="F68" s="19" t="n">
        <v>150</v>
      </c>
      <c r="G68" s="19"/>
      <c r="H68" s="19"/>
      <c r="I68" s="19"/>
      <c r="J68" s="19" t="n">
        <v>65</v>
      </c>
      <c r="K68" s="19"/>
      <c r="L68" s="19"/>
      <c r="M68" s="19" t="n">
        <v>90</v>
      </c>
      <c r="N68" s="19"/>
      <c r="O68" s="19" t="n">
        <v>70</v>
      </c>
      <c r="P68" s="19"/>
      <c r="Q68" s="19" t="n">
        <v>50</v>
      </c>
      <c r="R68" s="19"/>
      <c r="S68" s="19"/>
      <c r="T68" s="19"/>
    </row>
    <row r="69" customFormat="false" ht="15" hidden="false" customHeight="false" outlineLevel="0" collapsed="false">
      <c r="A69" s="17" t="n">
        <v>65</v>
      </c>
      <c r="B69" s="20" t="s">
        <v>392</v>
      </c>
      <c r="C69" s="17" t="s">
        <v>117</v>
      </c>
      <c r="D69" s="17"/>
      <c r="E69" s="24" t="n">
        <f aca="false">COUNT(F69:T69)</f>
        <v>5</v>
      </c>
      <c r="F69" s="19" t="n">
        <v>120</v>
      </c>
      <c r="G69" s="19" t="n">
        <v>120</v>
      </c>
      <c r="H69" s="19"/>
      <c r="I69" s="19"/>
      <c r="J69" s="19"/>
      <c r="K69" s="19"/>
      <c r="L69" s="19" t="n">
        <v>80</v>
      </c>
      <c r="M69" s="19"/>
      <c r="N69" s="19" t="n">
        <v>100</v>
      </c>
      <c r="O69" s="19"/>
      <c r="P69" s="19"/>
      <c r="Q69" s="19"/>
      <c r="R69" s="19" t="n">
        <v>75</v>
      </c>
      <c r="S69" s="19"/>
      <c r="T69" s="19"/>
    </row>
    <row r="70" customFormat="false" ht="15" hidden="false" customHeight="false" outlineLevel="0" collapsed="false">
      <c r="A70" s="17" t="n">
        <v>66</v>
      </c>
      <c r="B70" s="20" t="s">
        <v>352</v>
      </c>
      <c r="C70" s="17" t="s">
        <v>119</v>
      </c>
      <c r="D70" s="17"/>
      <c r="E70" s="24" t="n">
        <f aca="false">COUNT(F70:T70)</f>
        <v>5</v>
      </c>
      <c r="F70" s="19" t="n">
        <v>150</v>
      </c>
      <c r="G70" s="19"/>
      <c r="H70" s="19"/>
      <c r="I70" s="19"/>
      <c r="J70" s="19"/>
      <c r="K70" s="19"/>
      <c r="L70" s="19" t="n">
        <v>80</v>
      </c>
      <c r="M70" s="19"/>
      <c r="N70" s="19" t="n">
        <v>100</v>
      </c>
      <c r="O70" s="19"/>
      <c r="P70" s="19"/>
      <c r="Q70" s="19" t="n">
        <v>55</v>
      </c>
      <c r="R70" s="19" t="n">
        <v>75</v>
      </c>
      <c r="S70" s="19"/>
      <c r="T70" s="19"/>
    </row>
    <row r="71" customFormat="false" ht="15" hidden="false" customHeight="false" outlineLevel="0" collapsed="false">
      <c r="A71" s="17" t="n">
        <v>67</v>
      </c>
      <c r="B71" s="20" t="s">
        <v>314</v>
      </c>
      <c r="C71" s="17" t="s">
        <v>123</v>
      </c>
      <c r="D71" s="17" t="s">
        <v>119</v>
      </c>
      <c r="E71" s="24" t="n">
        <f aca="false">COUNT(F71:T71)</f>
        <v>5</v>
      </c>
      <c r="F71" s="19" t="n">
        <v>120</v>
      </c>
      <c r="G71" s="19" t="n">
        <v>120</v>
      </c>
      <c r="H71" s="19"/>
      <c r="I71" s="19"/>
      <c r="J71" s="19"/>
      <c r="K71" s="19"/>
      <c r="L71" s="19" t="n">
        <v>80</v>
      </c>
      <c r="M71" s="19"/>
      <c r="N71" s="19" t="n">
        <v>100</v>
      </c>
      <c r="O71" s="19"/>
      <c r="P71" s="19"/>
      <c r="Q71" s="19"/>
      <c r="R71" s="19" t="n">
        <v>75</v>
      </c>
      <c r="S71" s="19"/>
      <c r="T71" s="19"/>
    </row>
    <row r="72" customFormat="false" ht="15" hidden="false" customHeight="false" outlineLevel="0" collapsed="false">
      <c r="A72" s="17" t="n">
        <v>68</v>
      </c>
      <c r="B72" s="20" t="s">
        <v>393</v>
      </c>
      <c r="C72" s="17" t="s">
        <v>117</v>
      </c>
      <c r="D72" s="17"/>
      <c r="E72" s="24" t="n">
        <f aca="false">COUNT(F72:T72)</f>
        <v>5</v>
      </c>
      <c r="F72" s="19" t="n">
        <v>120</v>
      </c>
      <c r="G72" s="19"/>
      <c r="H72" s="19"/>
      <c r="I72" s="19" t="n">
        <v>120</v>
      </c>
      <c r="J72" s="19"/>
      <c r="K72" s="19"/>
      <c r="L72" s="19" t="n">
        <v>80</v>
      </c>
      <c r="M72" s="19"/>
      <c r="N72" s="19" t="n">
        <v>70</v>
      </c>
      <c r="O72" s="19"/>
      <c r="P72" s="19"/>
      <c r="Q72" s="19"/>
      <c r="R72" s="19" t="n">
        <v>75</v>
      </c>
      <c r="S72" s="19"/>
      <c r="T72" s="19"/>
    </row>
    <row r="73" customFormat="false" ht="15" hidden="false" customHeight="false" outlineLevel="0" collapsed="false">
      <c r="A73" s="17" t="n">
        <v>69</v>
      </c>
      <c r="B73" s="20" t="s">
        <v>169</v>
      </c>
      <c r="C73" s="17" t="s">
        <v>112</v>
      </c>
      <c r="D73" s="17"/>
      <c r="E73" s="24" t="n">
        <f aca="false">COUNT(F73:T73)</f>
        <v>5</v>
      </c>
      <c r="F73" s="19" t="n">
        <v>150</v>
      </c>
      <c r="G73" s="19" t="n">
        <v>120</v>
      </c>
      <c r="H73" s="19"/>
      <c r="I73" s="19"/>
      <c r="J73" s="19" t="n">
        <v>180</v>
      </c>
      <c r="K73" s="19"/>
      <c r="L73" s="19"/>
      <c r="M73" s="19"/>
      <c r="N73" s="19" t="n">
        <v>70</v>
      </c>
      <c r="O73" s="19"/>
      <c r="P73" s="19"/>
      <c r="Q73" s="19"/>
      <c r="R73" s="19"/>
      <c r="S73" s="19" t="n">
        <v>60</v>
      </c>
      <c r="T73" s="19"/>
    </row>
    <row r="74" customFormat="false" ht="15" hidden="false" customHeight="false" outlineLevel="0" collapsed="false">
      <c r="A74" s="17" t="n">
        <v>70</v>
      </c>
      <c r="B74" s="20" t="s">
        <v>349</v>
      </c>
      <c r="C74" s="17" t="s">
        <v>123</v>
      </c>
      <c r="D74" s="17" t="s">
        <v>113</v>
      </c>
      <c r="E74" s="24" t="n">
        <f aca="false">COUNT(F74:T74)</f>
        <v>5</v>
      </c>
      <c r="F74" s="19" t="n">
        <v>150</v>
      </c>
      <c r="G74" s="19"/>
      <c r="H74" s="19" t="n">
        <v>120</v>
      </c>
      <c r="I74" s="19"/>
      <c r="J74" s="19"/>
      <c r="K74" s="19" t="n">
        <v>120</v>
      </c>
      <c r="L74" s="19" t="n">
        <v>80</v>
      </c>
      <c r="M74" s="19"/>
      <c r="N74" s="19"/>
      <c r="O74" s="19"/>
      <c r="P74" s="19"/>
      <c r="Q74" s="19"/>
      <c r="R74" s="19" t="n">
        <v>75</v>
      </c>
      <c r="S74" s="19"/>
      <c r="T74" s="19"/>
    </row>
    <row r="75" customFormat="false" ht="15" hidden="false" customHeight="false" outlineLevel="0" collapsed="false">
      <c r="A75" s="17" t="n">
        <v>71</v>
      </c>
      <c r="B75" s="20" t="s">
        <v>394</v>
      </c>
      <c r="C75" s="17" t="s">
        <v>118</v>
      </c>
      <c r="D75" s="17"/>
      <c r="E75" s="24" t="n">
        <f aca="false">COUNT(F75:T75)</f>
        <v>5</v>
      </c>
      <c r="F75" s="19" t="n">
        <v>120</v>
      </c>
      <c r="G75" s="19"/>
      <c r="H75" s="19"/>
      <c r="I75" s="19"/>
      <c r="J75" s="19" t="n">
        <v>65</v>
      </c>
      <c r="K75" s="19"/>
      <c r="L75" s="19"/>
      <c r="M75" s="19" t="n">
        <v>90</v>
      </c>
      <c r="N75" s="19" t="n">
        <v>100</v>
      </c>
      <c r="O75" s="19"/>
      <c r="P75" s="19"/>
      <c r="Q75" s="19"/>
      <c r="R75" s="19" t="n">
        <v>75</v>
      </c>
      <c r="S75" s="19"/>
      <c r="T75" s="19"/>
    </row>
    <row r="76" customFormat="false" ht="15" hidden="false" customHeight="false" outlineLevel="0" collapsed="false">
      <c r="A76" s="17" t="n">
        <v>72</v>
      </c>
      <c r="B76" s="20" t="s">
        <v>137</v>
      </c>
      <c r="C76" s="17" t="s">
        <v>123</v>
      </c>
      <c r="D76" s="17" t="s">
        <v>119</v>
      </c>
      <c r="E76" s="24" t="n">
        <f aca="false">COUNT(F76:T76)</f>
        <v>5</v>
      </c>
      <c r="F76" s="19" t="n">
        <v>120</v>
      </c>
      <c r="G76" s="19" t="n">
        <v>120</v>
      </c>
      <c r="H76" s="19"/>
      <c r="I76" s="19"/>
      <c r="J76" s="19"/>
      <c r="K76" s="19"/>
      <c r="L76" s="19" t="n">
        <v>80</v>
      </c>
      <c r="M76" s="19"/>
      <c r="N76" s="19" t="n">
        <v>100</v>
      </c>
      <c r="O76" s="19"/>
      <c r="P76" s="19"/>
      <c r="Q76" s="19"/>
      <c r="R76" s="19" t="n">
        <v>75</v>
      </c>
      <c r="S76" s="19"/>
      <c r="T76" s="19"/>
    </row>
    <row r="77" customFormat="false" ht="15" hidden="false" customHeight="false" outlineLevel="0" collapsed="false">
      <c r="A77" s="17" t="n">
        <v>73</v>
      </c>
      <c r="B77" s="20" t="s">
        <v>171</v>
      </c>
      <c r="C77" s="17" t="s">
        <v>112</v>
      </c>
      <c r="D77" s="17"/>
      <c r="E77" s="24" t="n">
        <f aca="false">COUNT(F77:T77)</f>
        <v>5</v>
      </c>
      <c r="F77" s="19" t="n">
        <v>150</v>
      </c>
      <c r="G77" s="19" t="n">
        <v>120</v>
      </c>
      <c r="H77" s="19"/>
      <c r="I77" s="19"/>
      <c r="J77" s="19"/>
      <c r="K77" s="19"/>
      <c r="L77" s="19" t="n">
        <v>80</v>
      </c>
      <c r="M77" s="19" t="n">
        <v>40</v>
      </c>
      <c r="N77" s="19"/>
      <c r="O77" s="19"/>
      <c r="P77" s="19" t="n">
        <v>90</v>
      </c>
      <c r="Q77" s="19"/>
      <c r="R77" s="19"/>
      <c r="S77" s="19"/>
      <c r="T77" s="19"/>
    </row>
    <row r="78" customFormat="false" ht="15" hidden="false" customHeight="false" outlineLevel="0" collapsed="false">
      <c r="A78" s="17" t="n">
        <v>74</v>
      </c>
      <c r="B78" s="20" t="s">
        <v>357</v>
      </c>
      <c r="C78" s="17" t="s">
        <v>113</v>
      </c>
      <c r="D78" s="17"/>
      <c r="E78" s="24" t="n">
        <f aca="false">COUNT(F78:T78)</f>
        <v>5</v>
      </c>
      <c r="F78" s="19" t="n">
        <v>120</v>
      </c>
      <c r="G78" s="19"/>
      <c r="H78" s="19" t="n">
        <v>120</v>
      </c>
      <c r="I78" s="19" t="n">
        <v>120</v>
      </c>
      <c r="J78" s="19"/>
      <c r="K78" s="19" t="n">
        <v>120</v>
      </c>
      <c r="L78" s="19"/>
      <c r="M78" s="19"/>
      <c r="N78" s="19"/>
      <c r="O78" s="19"/>
      <c r="P78" s="19" t="n">
        <v>90</v>
      </c>
      <c r="Q78" s="19"/>
      <c r="R78" s="19"/>
      <c r="S78" s="19"/>
      <c r="T78" s="19"/>
    </row>
    <row r="79" customFormat="false" ht="15" hidden="false" customHeight="false" outlineLevel="0" collapsed="false">
      <c r="A79" s="17" t="n">
        <v>75</v>
      </c>
      <c r="B79" s="20" t="s">
        <v>142</v>
      </c>
      <c r="C79" s="17" t="s">
        <v>113</v>
      </c>
      <c r="D79" s="17" t="s">
        <v>121</v>
      </c>
      <c r="E79" s="24" t="n">
        <f aca="false">COUNT(F79:T79)</f>
        <v>5</v>
      </c>
      <c r="F79" s="19" t="n">
        <v>150</v>
      </c>
      <c r="G79" s="19"/>
      <c r="H79" s="19" t="n">
        <v>120</v>
      </c>
      <c r="I79" s="19" t="n">
        <v>120</v>
      </c>
      <c r="J79" s="19"/>
      <c r="K79" s="19" t="n">
        <v>120</v>
      </c>
      <c r="L79" s="19"/>
      <c r="M79" s="19"/>
      <c r="N79" s="19"/>
      <c r="O79" s="19"/>
      <c r="P79" s="19" t="n">
        <v>90</v>
      </c>
      <c r="Q79" s="19"/>
      <c r="R79" s="19"/>
      <c r="S79" s="19"/>
      <c r="T79" s="19"/>
    </row>
    <row r="80" customFormat="false" ht="15" hidden="false" customHeight="false" outlineLevel="0" collapsed="false">
      <c r="A80" s="17" t="n">
        <v>76</v>
      </c>
      <c r="B80" s="20" t="s">
        <v>155</v>
      </c>
      <c r="C80" s="17" t="s">
        <v>118</v>
      </c>
      <c r="D80" s="17"/>
      <c r="E80" s="24" t="n">
        <f aca="false">COUNT(F80:T80)</f>
        <v>5</v>
      </c>
      <c r="F80" s="19" t="n">
        <v>150</v>
      </c>
      <c r="G80" s="19" t="n">
        <v>120</v>
      </c>
      <c r="H80" s="19"/>
      <c r="I80" s="19" t="n">
        <v>120</v>
      </c>
      <c r="J80" s="19" t="n">
        <v>65</v>
      </c>
      <c r="K80" s="19"/>
      <c r="L80" s="19"/>
      <c r="M80" s="19" t="n">
        <v>90</v>
      </c>
      <c r="N80" s="19"/>
      <c r="O80" s="19"/>
      <c r="P80" s="19"/>
      <c r="Q80" s="19"/>
      <c r="R80" s="19"/>
      <c r="S80" s="19"/>
      <c r="T80" s="19"/>
    </row>
    <row r="81" customFormat="false" ht="15" hidden="false" customHeight="false" outlineLevel="0" collapsed="false">
      <c r="A81" s="17" t="n">
        <v>77</v>
      </c>
      <c r="B81" s="20" t="s">
        <v>141</v>
      </c>
      <c r="C81" s="17" t="s">
        <v>113</v>
      </c>
      <c r="D81" s="17"/>
      <c r="E81" s="24" t="n">
        <f aca="false">COUNT(F81:T81)</f>
        <v>4</v>
      </c>
      <c r="F81" s="19" t="n">
        <v>120</v>
      </c>
      <c r="G81" s="19"/>
      <c r="H81" s="19" t="n">
        <v>95</v>
      </c>
      <c r="I81" s="19"/>
      <c r="J81" s="19"/>
      <c r="K81" s="19" t="n">
        <v>120</v>
      </c>
      <c r="L81" s="19"/>
      <c r="M81" s="19"/>
      <c r="N81" s="19"/>
      <c r="O81" s="19" t="n">
        <v>80</v>
      </c>
      <c r="P81" s="19"/>
      <c r="Q81" s="19"/>
      <c r="R81" s="19"/>
      <c r="S81" s="19"/>
      <c r="T81" s="19"/>
    </row>
    <row r="82" customFormat="false" ht="15" hidden="false" customHeight="false" outlineLevel="0" collapsed="false">
      <c r="A82" s="17" t="n">
        <v>78</v>
      </c>
      <c r="B82" s="20" t="s">
        <v>318</v>
      </c>
      <c r="C82" s="17" t="s">
        <v>114</v>
      </c>
      <c r="D82" s="17"/>
      <c r="E82" s="24" t="n">
        <f aca="false">COUNT(F82:T82)</f>
        <v>4</v>
      </c>
      <c r="F82" s="19" t="n">
        <v>150</v>
      </c>
      <c r="G82" s="19"/>
      <c r="H82" s="19"/>
      <c r="I82" s="19" t="n">
        <v>120</v>
      </c>
      <c r="J82" s="19"/>
      <c r="K82" s="19"/>
      <c r="L82" s="19" t="n">
        <v>30</v>
      </c>
      <c r="M82" s="19"/>
      <c r="N82" s="19"/>
      <c r="O82" s="19"/>
      <c r="P82" s="19"/>
      <c r="Q82" s="19" t="n">
        <v>20</v>
      </c>
      <c r="R82" s="19"/>
      <c r="S82" s="19"/>
      <c r="T82" s="19"/>
    </row>
    <row r="83" customFormat="false" ht="15" hidden="false" customHeight="false" outlineLevel="0" collapsed="false">
      <c r="A83" s="17" t="n">
        <v>79</v>
      </c>
      <c r="B83" s="20" t="s">
        <v>395</v>
      </c>
      <c r="C83" s="17" t="s">
        <v>122</v>
      </c>
      <c r="D83" s="17" t="s">
        <v>115</v>
      </c>
      <c r="E83" s="24" t="n">
        <f aca="false">COUNT(F83:T83)</f>
        <v>4</v>
      </c>
      <c r="F83" s="19" t="n">
        <v>120</v>
      </c>
      <c r="G83" s="19"/>
      <c r="H83" s="19"/>
      <c r="I83" s="19"/>
      <c r="J83" s="19" t="n">
        <v>180</v>
      </c>
      <c r="K83" s="19"/>
      <c r="L83" s="19"/>
      <c r="M83" s="19"/>
      <c r="N83" s="19" t="n">
        <v>70</v>
      </c>
      <c r="O83" s="19"/>
      <c r="P83" s="19"/>
      <c r="Q83" s="19" t="n">
        <v>55</v>
      </c>
      <c r="R83" s="19"/>
      <c r="S83" s="19"/>
      <c r="T83" s="19"/>
    </row>
    <row r="84" customFormat="false" ht="15" hidden="false" customHeight="false" outlineLevel="0" collapsed="false">
      <c r="A84" s="17" t="n">
        <v>80</v>
      </c>
      <c r="B84" s="20" t="s">
        <v>176</v>
      </c>
      <c r="C84" s="17" t="s">
        <v>111</v>
      </c>
      <c r="D84" s="17"/>
      <c r="E84" s="24" t="n">
        <f aca="false">COUNT(F84:T84)</f>
        <v>4</v>
      </c>
      <c r="F84" s="19" t="n">
        <v>150</v>
      </c>
      <c r="G84" s="19"/>
      <c r="H84" s="19" t="n">
        <v>65</v>
      </c>
      <c r="I84" s="19" t="n">
        <v>120</v>
      </c>
      <c r="J84" s="19"/>
      <c r="K84" s="19"/>
      <c r="L84" s="19"/>
      <c r="M84" s="19"/>
      <c r="N84" s="19"/>
      <c r="O84" s="19"/>
      <c r="P84" s="19"/>
      <c r="Q84" s="19" t="n">
        <v>55</v>
      </c>
      <c r="R84" s="19"/>
      <c r="S84" s="19"/>
      <c r="T84" s="19"/>
    </row>
    <row r="85" customFormat="false" ht="15" hidden="false" customHeight="false" outlineLevel="0" collapsed="false">
      <c r="A85" s="17" t="n">
        <v>81</v>
      </c>
      <c r="B85" s="20" t="s">
        <v>396</v>
      </c>
      <c r="C85" s="17" t="s">
        <v>113</v>
      </c>
      <c r="D85" s="17"/>
      <c r="E85" s="24" t="n">
        <f aca="false">COUNT(F85:T85)</f>
        <v>4</v>
      </c>
      <c r="F85" s="19" t="n">
        <v>120</v>
      </c>
      <c r="G85" s="19"/>
      <c r="H85" s="19" t="n">
        <v>120</v>
      </c>
      <c r="I85" s="19"/>
      <c r="J85" s="19"/>
      <c r="K85" s="19" t="n">
        <v>120</v>
      </c>
      <c r="L85" s="19"/>
      <c r="M85" s="19"/>
      <c r="N85" s="19"/>
      <c r="O85" s="19"/>
      <c r="P85" s="19" t="n">
        <v>90</v>
      </c>
      <c r="Q85" s="19"/>
      <c r="R85" s="19"/>
      <c r="S85" s="19"/>
      <c r="T85" s="19"/>
    </row>
    <row r="86" customFormat="false" ht="15" hidden="false" customHeight="false" outlineLevel="0" collapsed="false">
      <c r="A86" s="17" t="n">
        <v>82</v>
      </c>
      <c r="B86" s="20" t="s">
        <v>296</v>
      </c>
      <c r="C86" s="17" t="s">
        <v>116</v>
      </c>
      <c r="D86" s="17" t="s">
        <v>120</v>
      </c>
      <c r="E86" s="24" t="n">
        <f aca="false">COUNT(F86:T86)</f>
        <v>4</v>
      </c>
      <c r="F86" s="19" t="n">
        <v>150</v>
      </c>
      <c r="G86" s="19"/>
      <c r="H86" s="19" t="n">
        <v>65</v>
      </c>
      <c r="I86" s="19"/>
      <c r="J86" s="19"/>
      <c r="K86" s="19" t="n">
        <v>120</v>
      </c>
      <c r="L86" s="19"/>
      <c r="M86" s="19"/>
      <c r="N86" s="19"/>
      <c r="O86" s="19" t="n">
        <v>120</v>
      </c>
      <c r="P86" s="19"/>
      <c r="Q86" s="19"/>
      <c r="R86" s="19"/>
      <c r="S86" s="19"/>
      <c r="T86" s="19"/>
    </row>
    <row r="87" customFormat="false" ht="15" hidden="false" customHeight="false" outlineLevel="0" collapsed="false">
      <c r="A87" s="17" t="n">
        <v>83</v>
      </c>
      <c r="B87" s="20" t="s">
        <v>397</v>
      </c>
      <c r="C87" s="17" t="s">
        <v>112</v>
      </c>
      <c r="D87" s="17"/>
      <c r="E87" s="24" t="n">
        <f aca="false">COUNT(F87:T87)</f>
        <v>4</v>
      </c>
      <c r="F87" s="19" t="n">
        <v>120</v>
      </c>
      <c r="G87" s="19" t="n">
        <v>120</v>
      </c>
      <c r="H87" s="19"/>
      <c r="I87" s="19"/>
      <c r="J87" s="19"/>
      <c r="K87" s="19"/>
      <c r="L87" s="19"/>
      <c r="M87" s="19"/>
      <c r="N87" s="19" t="n">
        <v>70</v>
      </c>
      <c r="O87" s="19"/>
      <c r="P87" s="19"/>
      <c r="Q87" s="19"/>
      <c r="R87" s="19"/>
      <c r="S87" s="19" t="n">
        <v>60</v>
      </c>
      <c r="T87" s="19"/>
    </row>
    <row r="88" customFormat="false" ht="15" hidden="false" customHeight="false" outlineLevel="0" collapsed="false">
      <c r="A88" s="17" t="n">
        <v>84</v>
      </c>
      <c r="B88" s="20" t="s">
        <v>164</v>
      </c>
      <c r="C88" s="17" t="s">
        <v>121</v>
      </c>
      <c r="D88" s="17"/>
      <c r="E88" s="24" t="n">
        <f aca="false">COUNT(F88:T88)</f>
        <v>4</v>
      </c>
      <c r="F88" s="19" t="n">
        <v>150</v>
      </c>
      <c r="G88" s="19"/>
      <c r="H88" s="19"/>
      <c r="I88" s="19"/>
      <c r="J88" s="19"/>
      <c r="K88" s="19"/>
      <c r="L88" s="19" t="n">
        <v>80</v>
      </c>
      <c r="M88" s="19"/>
      <c r="N88" s="19" t="n">
        <v>70</v>
      </c>
      <c r="O88" s="19"/>
      <c r="P88" s="19" t="n">
        <v>90</v>
      </c>
      <c r="Q88" s="19"/>
      <c r="R88" s="19"/>
      <c r="S88" s="19"/>
      <c r="T88" s="19"/>
    </row>
    <row r="89" customFormat="false" ht="15" hidden="false" customHeight="false" outlineLevel="0" collapsed="false">
      <c r="A89" s="17" t="n">
        <v>85</v>
      </c>
      <c r="B89" s="20" t="s">
        <v>398</v>
      </c>
      <c r="C89" s="17" t="s">
        <v>118</v>
      </c>
      <c r="D89" s="17"/>
      <c r="E89" s="24" t="n">
        <f aca="false">COUNT(F89:T89)</f>
        <v>4</v>
      </c>
      <c r="F89" s="19" t="n">
        <v>60</v>
      </c>
      <c r="G89" s="19" t="n">
        <v>120</v>
      </c>
      <c r="H89" s="19"/>
      <c r="I89" s="19" t="n">
        <v>120</v>
      </c>
      <c r="J89" s="19"/>
      <c r="K89" s="19"/>
      <c r="L89" s="19"/>
      <c r="M89" s="19" t="n">
        <v>90</v>
      </c>
      <c r="N89" s="19"/>
      <c r="O89" s="19"/>
      <c r="P89" s="19"/>
      <c r="Q89" s="19"/>
      <c r="R89" s="19"/>
      <c r="S89" s="19"/>
      <c r="T89" s="19"/>
    </row>
    <row r="90" customFormat="false" ht="15" hidden="false" customHeight="false" outlineLevel="0" collapsed="false">
      <c r="A90" s="17" t="n">
        <v>86</v>
      </c>
      <c r="B90" s="20" t="s">
        <v>399</v>
      </c>
      <c r="C90" s="17" t="s">
        <v>111</v>
      </c>
      <c r="D90" s="17"/>
      <c r="E90" s="24" t="n">
        <f aca="false">COUNT(F90:T90)</f>
        <v>4</v>
      </c>
      <c r="F90" s="19" t="n">
        <v>150</v>
      </c>
      <c r="G90" s="19"/>
      <c r="H90" s="19" t="n">
        <v>65</v>
      </c>
      <c r="I90" s="19" t="n">
        <v>120</v>
      </c>
      <c r="J90" s="19"/>
      <c r="K90" s="19"/>
      <c r="L90" s="19"/>
      <c r="M90" s="19"/>
      <c r="N90" s="19"/>
      <c r="O90" s="19"/>
      <c r="P90" s="19"/>
      <c r="Q90" s="19" t="n">
        <v>55</v>
      </c>
      <c r="R90" s="19"/>
      <c r="S90" s="19"/>
      <c r="T90" s="19"/>
    </row>
    <row r="91" customFormat="false" ht="15" hidden="false" customHeight="false" outlineLevel="0" collapsed="false">
      <c r="A91" s="17" t="n">
        <v>87</v>
      </c>
      <c r="B91" s="20" t="s">
        <v>325</v>
      </c>
      <c r="C91" s="17" t="s">
        <v>114</v>
      </c>
      <c r="D91" s="17"/>
      <c r="E91" s="24" t="n">
        <f aca="false">COUNT(F91:T91)</f>
        <v>4</v>
      </c>
      <c r="F91" s="19" t="n">
        <v>150</v>
      </c>
      <c r="G91" s="19"/>
      <c r="H91" s="19"/>
      <c r="I91" s="19" t="n">
        <v>120</v>
      </c>
      <c r="J91" s="19"/>
      <c r="K91" s="19"/>
      <c r="L91" s="19" t="n">
        <v>80</v>
      </c>
      <c r="M91" s="19"/>
      <c r="N91" s="19"/>
      <c r="O91" s="19"/>
      <c r="P91" s="19" t="n">
        <v>90</v>
      </c>
      <c r="Q91" s="19"/>
      <c r="R91" s="19"/>
      <c r="S91" s="19"/>
      <c r="T91" s="19"/>
    </row>
    <row r="92" customFormat="false" ht="15" hidden="false" customHeight="false" outlineLevel="0" collapsed="false">
      <c r="A92" s="17" t="n">
        <v>88</v>
      </c>
      <c r="B92" s="20" t="s">
        <v>295</v>
      </c>
      <c r="C92" s="17" t="s">
        <v>111</v>
      </c>
      <c r="D92" s="17"/>
      <c r="E92" s="24" t="n">
        <f aca="false">COUNT(F92:T92)</f>
        <v>4</v>
      </c>
      <c r="F92" s="19" t="n">
        <v>150</v>
      </c>
      <c r="G92" s="19"/>
      <c r="H92" s="19"/>
      <c r="I92" s="19" t="n">
        <v>120</v>
      </c>
      <c r="J92" s="19"/>
      <c r="K92" s="19" t="n">
        <v>120</v>
      </c>
      <c r="L92" s="19"/>
      <c r="M92" s="19"/>
      <c r="N92" s="19"/>
      <c r="O92" s="19"/>
      <c r="P92" s="19" t="n">
        <v>90</v>
      </c>
      <c r="Q92" s="19"/>
      <c r="R92" s="19"/>
      <c r="S92" s="19"/>
      <c r="T92" s="19"/>
    </row>
    <row r="93" customFormat="false" ht="15" hidden="false" customHeight="false" outlineLevel="0" collapsed="false">
      <c r="A93" s="17" t="n">
        <v>89</v>
      </c>
      <c r="B93" s="20" t="s">
        <v>347</v>
      </c>
      <c r="C93" s="17" t="s">
        <v>113</v>
      </c>
      <c r="D93" s="17"/>
      <c r="E93" s="24" t="n">
        <f aca="false">COUNT(F93:T93)</f>
        <v>4</v>
      </c>
      <c r="F93" s="19" t="n">
        <v>150</v>
      </c>
      <c r="G93" s="19"/>
      <c r="H93" s="19" t="n">
        <v>120</v>
      </c>
      <c r="I93" s="19"/>
      <c r="J93" s="19"/>
      <c r="K93" s="19" t="n">
        <v>120</v>
      </c>
      <c r="L93" s="19"/>
      <c r="M93" s="19"/>
      <c r="N93" s="19"/>
      <c r="O93" s="19"/>
      <c r="P93" s="19"/>
      <c r="Q93" s="19"/>
      <c r="R93" s="19"/>
      <c r="S93" s="19"/>
      <c r="T93" s="19" t="n">
        <v>80</v>
      </c>
    </row>
    <row r="94" customFormat="false" ht="15" hidden="false" customHeight="false" outlineLevel="0" collapsed="false">
      <c r="A94" s="17" t="n">
        <v>90</v>
      </c>
      <c r="B94" s="20" t="s">
        <v>163</v>
      </c>
      <c r="C94" s="17" t="s">
        <v>121</v>
      </c>
      <c r="D94" s="17"/>
      <c r="E94" s="24" t="n">
        <f aca="false">COUNT(F94:T94)</f>
        <v>4</v>
      </c>
      <c r="F94" s="19" t="n">
        <v>120</v>
      </c>
      <c r="G94" s="19"/>
      <c r="H94" s="19"/>
      <c r="I94" s="19"/>
      <c r="J94" s="19"/>
      <c r="K94" s="19"/>
      <c r="L94" s="19" t="n">
        <v>80</v>
      </c>
      <c r="M94" s="19"/>
      <c r="N94" s="19" t="n">
        <v>70</v>
      </c>
      <c r="O94" s="19"/>
      <c r="P94" s="19" t="n">
        <v>90</v>
      </c>
      <c r="Q94" s="19"/>
      <c r="R94" s="19"/>
      <c r="S94" s="19"/>
      <c r="T94" s="19"/>
    </row>
    <row r="95" customFormat="false" ht="15" hidden="false" customHeight="false" outlineLevel="0" collapsed="false">
      <c r="A95" s="17" t="n">
        <v>91</v>
      </c>
      <c r="B95" s="20" t="s">
        <v>151</v>
      </c>
      <c r="C95" s="17" t="s">
        <v>115</v>
      </c>
      <c r="D95" s="17" t="s">
        <v>118</v>
      </c>
      <c r="E95" s="24" t="n">
        <f aca="false">COUNT(F95:T95)</f>
        <v>4</v>
      </c>
      <c r="F95" s="19" t="n">
        <v>150</v>
      </c>
      <c r="G95" s="19"/>
      <c r="H95" s="19"/>
      <c r="I95" s="19"/>
      <c r="J95" s="19" t="n">
        <v>180</v>
      </c>
      <c r="K95" s="19"/>
      <c r="L95" s="19"/>
      <c r="M95" s="19" t="n">
        <v>90</v>
      </c>
      <c r="N95" s="19"/>
      <c r="O95" s="19"/>
      <c r="P95" s="19"/>
      <c r="Q95" s="19" t="n">
        <v>55</v>
      </c>
      <c r="R95" s="19"/>
      <c r="S95" s="19"/>
      <c r="T95" s="19"/>
    </row>
    <row r="96" customFormat="false" ht="15" hidden="false" customHeight="false" outlineLevel="0" collapsed="false">
      <c r="A96" s="17" t="n">
        <v>92</v>
      </c>
      <c r="B96" s="20" t="s">
        <v>400</v>
      </c>
      <c r="C96" s="17" t="s">
        <v>115</v>
      </c>
      <c r="D96" s="17" t="s">
        <v>118</v>
      </c>
      <c r="E96" s="24" t="n">
        <f aca="false">COUNT(F96:T96)</f>
        <v>4</v>
      </c>
      <c r="F96" s="19" t="n">
        <v>120</v>
      </c>
      <c r="G96" s="19"/>
      <c r="H96" s="19"/>
      <c r="I96" s="19"/>
      <c r="J96" s="19" t="n">
        <v>180</v>
      </c>
      <c r="K96" s="19"/>
      <c r="L96" s="19"/>
      <c r="M96" s="19" t="n">
        <v>90</v>
      </c>
      <c r="N96" s="19"/>
      <c r="O96" s="19"/>
      <c r="P96" s="19"/>
      <c r="Q96" s="19" t="n">
        <v>55</v>
      </c>
      <c r="R96" s="19"/>
      <c r="S96" s="19"/>
      <c r="T96" s="19"/>
    </row>
    <row r="97" customFormat="false" ht="15" hidden="false" customHeight="false" outlineLevel="0" collapsed="false">
      <c r="A97" s="17" t="n">
        <v>93</v>
      </c>
      <c r="B97" s="20" t="s">
        <v>401</v>
      </c>
      <c r="C97" s="17" t="s">
        <v>122</v>
      </c>
      <c r="D97" s="17" t="s">
        <v>115</v>
      </c>
      <c r="E97" s="24" t="n">
        <f aca="false">COUNT(F97:T97)</f>
        <v>4</v>
      </c>
      <c r="F97" s="19" t="n">
        <v>150</v>
      </c>
      <c r="G97" s="19"/>
      <c r="H97" s="19"/>
      <c r="I97" s="19"/>
      <c r="J97" s="19" t="n">
        <v>180</v>
      </c>
      <c r="K97" s="19"/>
      <c r="L97" s="19"/>
      <c r="M97" s="19"/>
      <c r="N97" s="19" t="n">
        <v>70</v>
      </c>
      <c r="O97" s="19"/>
      <c r="P97" s="19"/>
      <c r="Q97" s="19" t="n">
        <v>55</v>
      </c>
      <c r="R97" s="19"/>
      <c r="S97" s="19"/>
      <c r="T97" s="19"/>
    </row>
    <row r="98" customFormat="false" ht="15" hidden="false" customHeight="false" outlineLevel="0" collapsed="false">
      <c r="A98" s="17" t="n">
        <v>94</v>
      </c>
      <c r="B98" s="20" t="s">
        <v>149</v>
      </c>
      <c r="C98" s="17" t="s">
        <v>115</v>
      </c>
      <c r="D98" s="17" t="s">
        <v>118</v>
      </c>
      <c r="E98" s="24" t="n">
        <f aca="false">COUNT(F98:T98)</f>
        <v>4</v>
      </c>
      <c r="F98" s="19" t="n">
        <v>150</v>
      </c>
      <c r="G98" s="19"/>
      <c r="H98" s="19"/>
      <c r="I98" s="19"/>
      <c r="J98" s="19" t="n">
        <v>180</v>
      </c>
      <c r="K98" s="19"/>
      <c r="L98" s="19"/>
      <c r="M98" s="19" t="n">
        <v>90</v>
      </c>
      <c r="N98" s="19"/>
      <c r="O98" s="19"/>
      <c r="P98" s="19"/>
      <c r="Q98" s="19" t="n">
        <v>55</v>
      </c>
      <c r="R98" s="19"/>
      <c r="S98" s="19"/>
      <c r="T98" s="19"/>
    </row>
    <row r="99" customFormat="false" ht="15" hidden="false" customHeight="false" outlineLevel="0" collapsed="false">
      <c r="A99" s="17" t="n">
        <v>95</v>
      </c>
      <c r="B99" s="20" t="s">
        <v>402</v>
      </c>
      <c r="C99" s="17" t="s">
        <v>115</v>
      </c>
      <c r="D99" s="17" t="s">
        <v>118</v>
      </c>
      <c r="E99" s="24" t="n">
        <f aca="false">COUNT(F99:T99)</f>
        <v>4</v>
      </c>
      <c r="F99" s="19" t="n">
        <v>120</v>
      </c>
      <c r="G99" s="19"/>
      <c r="H99" s="19"/>
      <c r="I99" s="19"/>
      <c r="J99" s="19" t="n">
        <v>180</v>
      </c>
      <c r="K99" s="19"/>
      <c r="L99" s="19"/>
      <c r="M99" s="19" t="n">
        <v>90</v>
      </c>
      <c r="N99" s="19"/>
      <c r="O99" s="19"/>
      <c r="P99" s="19"/>
      <c r="Q99" s="19" t="n">
        <v>55</v>
      </c>
      <c r="R99" s="19"/>
      <c r="S99" s="19"/>
      <c r="T99" s="19"/>
    </row>
    <row r="100" customFormat="false" ht="15" hidden="false" customHeight="false" outlineLevel="0" collapsed="false">
      <c r="A100" s="17" t="n">
        <v>96</v>
      </c>
      <c r="B100" s="20" t="s">
        <v>403</v>
      </c>
      <c r="C100" s="17" t="s">
        <v>123</v>
      </c>
      <c r="D100" s="17" t="s">
        <v>113</v>
      </c>
      <c r="E100" s="24" t="n">
        <f aca="false">COUNT(F100:T100)</f>
        <v>4</v>
      </c>
      <c r="F100" s="19" t="n">
        <v>120</v>
      </c>
      <c r="G100" s="19"/>
      <c r="H100" s="19" t="n">
        <v>120</v>
      </c>
      <c r="I100" s="19"/>
      <c r="J100" s="19"/>
      <c r="K100" s="19" t="n">
        <v>120</v>
      </c>
      <c r="L100" s="19"/>
      <c r="M100" s="19"/>
      <c r="N100" s="19"/>
      <c r="O100" s="19"/>
      <c r="P100" s="19"/>
      <c r="Q100" s="19"/>
      <c r="R100" s="19" t="n">
        <v>75</v>
      </c>
      <c r="S100" s="19"/>
      <c r="T100" s="19"/>
    </row>
    <row r="101" customFormat="false" ht="15" hidden="false" customHeight="false" outlineLevel="0" collapsed="false">
      <c r="A101" s="17" t="n">
        <v>97</v>
      </c>
      <c r="B101" s="20" t="s">
        <v>404</v>
      </c>
      <c r="C101" s="17" t="s">
        <v>122</v>
      </c>
      <c r="D101" s="17" t="s">
        <v>118</v>
      </c>
      <c r="E101" s="24" t="n">
        <f aca="false">COUNT(F101:T101)</f>
        <v>4</v>
      </c>
      <c r="F101" s="19" t="n">
        <v>150</v>
      </c>
      <c r="G101" s="19"/>
      <c r="H101" s="19"/>
      <c r="I101" s="19"/>
      <c r="J101" s="19" t="n">
        <v>65</v>
      </c>
      <c r="K101" s="19"/>
      <c r="L101" s="19"/>
      <c r="M101" s="19" t="n">
        <v>90</v>
      </c>
      <c r="N101" s="19"/>
      <c r="O101" s="19"/>
      <c r="P101" s="19"/>
      <c r="Q101" s="19" t="n">
        <v>55</v>
      </c>
      <c r="R101" s="19"/>
      <c r="S101" s="19"/>
      <c r="T101" s="19"/>
    </row>
    <row r="102" customFormat="false" ht="15" hidden="false" customHeight="false" outlineLevel="0" collapsed="false">
      <c r="A102" s="17" t="n">
        <v>98</v>
      </c>
      <c r="B102" s="20" t="s">
        <v>174</v>
      </c>
      <c r="C102" s="17" t="s">
        <v>119</v>
      </c>
      <c r="D102" s="17"/>
      <c r="E102" s="24" t="n">
        <f aca="false">COUNT(F102:T102)</f>
        <v>4</v>
      </c>
      <c r="F102" s="19" t="n">
        <v>150</v>
      </c>
      <c r="G102" s="19"/>
      <c r="H102" s="19"/>
      <c r="I102" s="19"/>
      <c r="J102" s="19"/>
      <c r="K102" s="19"/>
      <c r="L102" s="19"/>
      <c r="M102" s="19"/>
      <c r="N102" s="19" t="n">
        <v>100</v>
      </c>
      <c r="O102" s="19"/>
      <c r="P102" s="19"/>
      <c r="Q102" s="19" t="n">
        <v>55</v>
      </c>
      <c r="R102" s="19" t="n">
        <v>75</v>
      </c>
      <c r="S102" s="19"/>
      <c r="T102" s="19"/>
    </row>
    <row r="103" customFormat="false" ht="15" hidden="false" customHeight="false" outlineLevel="0" collapsed="false">
      <c r="A103" s="17" t="n">
        <v>99</v>
      </c>
      <c r="B103" s="20" t="s">
        <v>358</v>
      </c>
      <c r="C103" s="17" t="s">
        <v>118</v>
      </c>
      <c r="D103" s="17"/>
      <c r="E103" s="24" t="n">
        <f aca="false">COUNT(F103:T103)</f>
        <v>4</v>
      </c>
      <c r="F103" s="19" t="n">
        <v>150</v>
      </c>
      <c r="G103" s="19" t="n">
        <v>120</v>
      </c>
      <c r="H103" s="19"/>
      <c r="I103" s="19" t="n">
        <v>120</v>
      </c>
      <c r="J103" s="19"/>
      <c r="K103" s="19"/>
      <c r="L103" s="19"/>
      <c r="M103" s="19" t="n">
        <v>90</v>
      </c>
      <c r="N103" s="19"/>
      <c r="O103" s="19"/>
      <c r="P103" s="19"/>
      <c r="Q103" s="19"/>
      <c r="R103" s="19"/>
      <c r="S103" s="19"/>
      <c r="T103" s="19"/>
    </row>
    <row r="104" customFormat="false" ht="15" hidden="false" customHeight="false" outlineLevel="0" collapsed="false">
      <c r="A104" s="17" t="n">
        <v>100</v>
      </c>
      <c r="B104" s="20" t="s">
        <v>350</v>
      </c>
      <c r="C104" s="17" t="s">
        <v>113</v>
      </c>
      <c r="D104" s="17"/>
      <c r="E104" s="24" t="n">
        <f aca="false">COUNT(F104:T104)</f>
        <v>4</v>
      </c>
      <c r="F104" s="19" t="n">
        <v>150</v>
      </c>
      <c r="G104" s="19"/>
      <c r="H104" s="19" t="n">
        <v>110</v>
      </c>
      <c r="I104" s="19"/>
      <c r="J104" s="19"/>
      <c r="K104" s="19" t="n">
        <v>120</v>
      </c>
      <c r="L104" s="19"/>
      <c r="M104" s="19"/>
      <c r="N104" s="19"/>
      <c r="O104" s="19"/>
      <c r="P104" s="19"/>
      <c r="Q104" s="19" t="n">
        <v>55</v>
      </c>
      <c r="R104" s="19"/>
      <c r="S104" s="19"/>
      <c r="T104" s="19"/>
    </row>
    <row r="105" customFormat="false" ht="15" hidden="false" customHeight="false" outlineLevel="0" collapsed="false">
      <c r="A105" s="17" t="n">
        <v>101</v>
      </c>
      <c r="B105" s="20" t="s">
        <v>405</v>
      </c>
      <c r="C105" s="17" t="s">
        <v>115</v>
      </c>
      <c r="D105" s="17" t="s">
        <v>118</v>
      </c>
      <c r="E105" s="24" t="n">
        <f aca="false">COUNT(F105:T105)</f>
        <v>4</v>
      </c>
      <c r="F105" s="19" t="n">
        <v>120</v>
      </c>
      <c r="G105" s="19"/>
      <c r="H105" s="19"/>
      <c r="I105" s="19"/>
      <c r="J105" s="19" t="n">
        <v>180</v>
      </c>
      <c r="K105" s="19"/>
      <c r="L105" s="19"/>
      <c r="M105" s="19" t="n">
        <v>90</v>
      </c>
      <c r="N105" s="19"/>
      <c r="O105" s="19"/>
      <c r="P105" s="19"/>
      <c r="Q105" s="19" t="n">
        <v>55</v>
      </c>
      <c r="R105" s="19"/>
      <c r="S105" s="19"/>
      <c r="T105" s="19"/>
    </row>
    <row r="106" customFormat="false" ht="15" hidden="false" customHeight="false" outlineLevel="0" collapsed="false">
      <c r="A106" s="17" t="n">
        <v>102</v>
      </c>
      <c r="B106" s="20" t="s">
        <v>406</v>
      </c>
      <c r="C106" s="17" t="s">
        <v>119</v>
      </c>
      <c r="D106" s="17"/>
      <c r="E106" s="24" t="n">
        <f aca="false">COUNT(F106:T106)</f>
        <v>4</v>
      </c>
      <c r="F106" s="19" t="n">
        <v>120</v>
      </c>
      <c r="G106" s="19"/>
      <c r="H106" s="19"/>
      <c r="I106" s="19"/>
      <c r="J106" s="19"/>
      <c r="K106" s="19"/>
      <c r="L106" s="19"/>
      <c r="M106" s="19"/>
      <c r="N106" s="19" t="n">
        <v>100</v>
      </c>
      <c r="O106" s="19"/>
      <c r="P106" s="19"/>
      <c r="Q106" s="19" t="n">
        <v>55</v>
      </c>
      <c r="R106" s="19" t="n">
        <v>75</v>
      </c>
      <c r="S106" s="19"/>
      <c r="T106" s="19"/>
    </row>
    <row r="107" customFormat="false" ht="15" hidden="false" customHeight="false" outlineLevel="0" collapsed="false">
      <c r="A107" s="17" t="n">
        <v>103</v>
      </c>
      <c r="B107" s="20" t="s">
        <v>407</v>
      </c>
      <c r="C107" s="17" t="s">
        <v>122</v>
      </c>
      <c r="D107" s="17" t="s">
        <v>118</v>
      </c>
      <c r="E107" s="24" t="n">
        <f aca="false">COUNT(F107:T107)</f>
        <v>4</v>
      </c>
      <c r="F107" s="19" t="n">
        <v>120</v>
      </c>
      <c r="G107" s="19"/>
      <c r="H107" s="19"/>
      <c r="I107" s="19"/>
      <c r="J107" s="19" t="n">
        <v>180</v>
      </c>
      <c r="K107" s="19"/>
      <c r="L107" s="19"/>
      <c r="M107" s="19"/>
      <c r="N107" s="19"/>
      <c r="O107" s="19"/>
      <c r="P107" s="19" t="n">
        <v>90</v>
      </c>
      <c r="Q107" s="19" t="n">
        <v>50</v>
      </c>
      <c r="R107" s="19"/>
      <c r="S107" s="19"/>
      <c r="T107" s="19"/>
    </row>
    <row r="108" customFormat="false" ht="15" hidden="false" customHeight="false" outlineLevel="0" collapsed="false">
      <c r="A108" s="17" t="n">
        <v>104</v>
      </c>
      <c r="B108" s="20" t="s">
        <v>150</v>
      </c>
      <c r="C108" s="17" t="s">
        <v>115</v>
      </c>
      <c r="D108" s="17" t="s">
        <v>118</v>
      </c>
      <c r="E108" s="24" t="n">
        <f aca="false">COUNT(F108:T108)</f>
        <v>4</v>
      </c>
      <c r="F108" s="19" t="n">
        <v>120</v>
      </c>
      <c r="G108" s="19"/>
      <c r="H108" s="19"/>
      <c r="I108" s="19"/>
      <c r="J108" s="19" t="n">
        <v>180</v>
      </c>
      <c r="K108" s="19"/>
      <c r="L108" s="19"/>
      <c r="M108" s="19" t="n">
        <v>65</v>
      </c>
      <c r="N108" s="19"/>
      <c r="O108" s="19"/>
      <c r="P108" s="19"/>
      <c r="Q108" s="19" t="n">
        <v>55</v>
      </c>
      <c r="R108" s="19"/>
      <c r="S108" s="19"/>
      <c r="T108" s="19"/>
    </row>
    <row r="109" customFormat="false" ht="15" hidden="false" customHeight="false" outlineLevel="0" collapsed="false">
      <c r="A109" s="17" t="n">
        <v>105</v>
      </c>
      <c r="B109" s="20" t="s">
        <v>88</v>
      </c>
      <c r="C109" s="17" t="s">
        <v>123</v>
      </c>
      <c r="D109" s="17" t="s">
        <v>119</v>
      </c>
      <c r="E109" s="24" t="n">
        <f aca="false">COUNT(F109:T109)</f>
        <v>4</v>
      </c>
      <c r="F109" s="19" t="n">
        <v>120</v>
      </c>
      <c r="G109" s="19"/>
      <c r="H109" s="19"/>
      <c r="I109" s="19"/>
      <c r="J109" s="19"/>
      <c r="K109" s="19"/>
      <c r="L109" s="19"/>
      <c r="M109" s="19"/>
      <c r="N109" s="19" t="n">
        <v>100</v>
      </c>
      <c r="O109" s="19"/>
      <c r="P109" s="19"/>
      <c r="Q109" s="19"/>
      <c r="R109" s="19" t="n">
        <v>75</v>
      </c>
      <c r="S109" s="19"/>
      <c r="T109" s="19" t="n">
        <v>80</v>
      </c>
    </row>
    <row r="110" customFormat="false" ht="15" hidden="false" customHeight="false" outlineLevel="0" collapsed="false">
      <c r="A110" s="17" t="n">
        <v>106</v>
      </c>
      <c r="B110" s="20" t="s">
        <v>344</v>
      </c>
      <c r="C110" s="17" t="s">
        <v>113</v>
      </c>
      <c r="D110" s="17"/>
      <c r="E110" s="24" t="n">
        <f aca="false">COUNT(F110:T110)</f>
        <v>4</v>
      </c>
      <c r="F110" s="19" t="n">
        <v>150</v>
      </c>
      <c r="G110" s="19"/>
      <c r="H110" s="19" t="n">
        <v>95</v>
      </c>
      <c r="I110" s="19"/>
      <c r="J110" s="19"/>
      <c r="K110" s="19" t="n">
        <v>120</v>
      </c>
      <c r="L110" s="19"/>
      <c r="M110" s="19"/>
      <c r="N110" s="19"/>
      <c r="O110" s="19" t="n">
        <v>80</v>
      </c>
      <c r="P110" s="19"/>
      <c r="Q110" s="19"/>
      <c r="R110" s="19"/>
      <c r="S110" s="19"/>
      <c r="T110" s="19"/>
    </row>
    <row r="111" customFormat="false" ht="15" hidden="false" customHeight="false" outlineLevel="0" collapsed="false">
      <c r="A111" s="17" t="n">
        <v>107</v>
      </c>
      <c r="B111" s="20" t="s">
        <v>408</v>
      </c>
      <c r="C111" s="17" t="s">
        <v>113</v>
      </c>
      <c r="D111" s="17"/>
      <c r="E111" s="24" t="n">
        <f aca="false">COUNT(F111:T111)</f>
        <v>4</v>
      </c>
      <c r="F111" s="19" t="n">
        <v>120</v>
      </c>
      <c r="G111" s="19"/>
      <c r="H111" s="19" t="n">
        <v>110</v>
      </c>
      <c r="I111" s="19"/>
      <c r="J111" s="19"/>
      <c r="K111" s="19" t="n">
        <v>120</v>
      </c>
      <c r="L111" s="19"/>
      <c r="M111" s="19"/>
      <c r="N111" s="19"/>
      <c r="O111" s="19"/>
      <c r="P111" s="19"/>
      <c r="Q111" s="19" t="n">
        <v>55</v>
      </c>
      <c r="R111" s="19"/>
      <c r="S111" s="19"/>
      <c r="T111" s="19"/>
    </row>
    <row r="112" customFormat="false" ht="15" hidden="false" customHeight="false" outlineLevel="0" collapsed="false">
      <c r="A112" s="17" t="n">
        <v>108</v>
      </c>
      <c r="B112" s="20" t="s">
        <v>409</v>
      </c>
      <c r="C112" s="17" t="s">
        <v>115</v>
      </c>
      <c r="D112" s="17" t="s">
        <v>118</v>
      </c>
      <c r="E112" s="24" t="n">
        <f aca="false">COUNT(F112:T112)</f>
        <v>4</v>
      </c>
      <c r="F112" s="19" t="n">
        <v>120</v>
      </c>
      <c r="G112" s="19"/>
      <c r="H112" s="19"/>
      <c r="I112" s="19"/>
      <c r="J112" s="19" t="n">
        <v>180</v>
      </c>
      <c r="K112" s="19"/>
      <c r="L112" s="19"/>
      <c r="M112" s="19" t="n">
        <v>90</v>
      </c>
      <c r="N112" s="19"/>
      <c r="O112" s="19"/>
      <c r="P112" s="19"/>
      <c r="Q112" s="19" t="n">
        <v>55</v>
      </c>
      <c r="R112" s="19"/>
      <c r="S112" s="19"/>
      <c r="T112" s="19"/>
    </row>
    <row r="113" customFormat="false" ht="15" hidden="false" customHeight="false" outlineLevel="0" collapsed="false">
      <c r="A113" s="17" t="n">
        <v>109</v>
      </c>
      <c r="B113" s="20" t="s">
        <v>161</v>
      </c>
      <c r="C113" s="17" t="s">
        <v>121</v>
      </c>
      <c r="D113" s="17"/>
      <c r="E113" s="24" t="n">
        <f aca="false">COUNT(F113:T113)</f>
        <v>3</v>
      </c>
      <c r="F113" s="19" t="n">
        <v>150</v>
      </c>
      <c r="G113" s="19"/>
      <c r="H113" s="19"/>
      <c r="I113" s="19"/>
      <c r="J113" s="19"/>
      <c r="K113" s="19"/>
      <c r="L113" s="19" t="n">
        <v>80</v>
      </c>
      <c r="M113" s="19"/>
      <c r="N113" s="19"/>
      <c r="O113" s="19"/>
      <c r="P113" s="19" t="n">
        <v>90</v>
      </c>
      <c r="Q113" s="19"/>
      <c r="R113" s="19"/>
      <c r="S113" s="19"/>
      <c r="T113" s="19"/>
    </row>
    <row r="114" customFormat="false" ht="15" hidden="false" customHeight="false" outlineLevel="0" collapsed="false">
      <c r="A114" s="17" t="n">
        <v>110</v>
      </c>
      <c r="B114" s="20" t="s">
        <v>410</v>
      </c>
      <c r="C114" s="17" t="s">
        <v>111</v>
      </c>
      <c r="D114" s="17" t="s">
        <v>120</v>
      </c>
      <c r="E114" s="24" t="n">
        <f aca="false">COUNT(F114:T114)</f>
        <v>3</v>
      </c>
      <c r="F114" s="19" t="n">
        <v>120</v>
      </c>
      <c r="G114" s="19"/>
      <c r="H114" s="19"/>
      <c r="I114" s="19"/>
      <c r="J114" s="19"/>
      <c r="K114" s="19"/>
      <c r="L114" s="19" t="n">
        <v>50</v>
      </c>
      <c r="M114" s="19"/>
      <c r="N114" s="19"/>
      <c r="O114" s="19" t="n">
        <v>80</v>
      </c>
      <c r="P114" s="19"/>
      <c r="Q114" s="19"/>
      <c r="R114" s="19"/>
      <c r="S114" s="19"/>
      <c r="T114" s="19"/>
    </row>
    <row r="115" customFormat="false" ht="15" hidden="false" customHeight="false" outlineLevel="0" collapsed="false">
      <c r="A115" s="17" t="n">
        <v>111</v>
      </c>
      <c r="B115" s="20" t="s">
        <v>411</v>
      </c>
      <c r="C115" s="17" t="s">
        <v>122</v>
      </c>
      <c r="D115" s="17" t="s">
        <v>120</v>
      </c>
      <c r="E115" s="24" t="n">
        <f aca="false">COUNT(F115:T115)</f>
        <v>3</v>
      </c>
      <c r="F115" s="19" t="n">
        <v>150</v>
      </c>
      <c r="G115" s="19"/>
      <c r="H115" s="19"/>
      <c r="I115" s="19"/>
      <c r="J115" s="19"/>
      <c r="K115" s="19"/>
      <c r="L115" s="19"/>
      <c r="M115" s="19"/>
      <c r="N115" s="19"/>
      <c r="O115" s="19" t="n">
        <v>60</v>
      </c>
      <c r="P115" s="19"/>
      <c r="Q115" s="19" t="n">
        <v>55</v>
      </c>
      <c r="R115" s="19"/>
      <c r="S115" s="19"/>
      <c r="T115" s="19"/>
    </row>
    <row r="116" customFormat="false" ht="15" hidden="false" customHeight="false" outlineLevel="0" collapsed="false">
      <c r="A116" s="17" t="n">
        <v>112</v>
      </c>
      <c r="B116" s="20" t="s">
        <v>182</v>
      </c>
      <c r="C116" s="17" t="s">
        <v>113</v>
      </c>
      <c r="D116" s="17" t="s">
        <v>116</v>
      </c>
      <c r="E116" s="24" t="n">
        <f aca="false">COUNT(F116:T116)</f>
        <v>3</v>
      </c>
      <c r="F116" s="19" t="n">
        <v>150</v>
      </c>
      <c r="G116" s="19"/>
      <c r="H116" s="19" t="n">
        <v>95</v>
      </c>
      <c r="I116" s="19"/>
      <c r="J116" s="19"/>
      <c r="K116" s="19" t="n">
        <v>120</v>
      </c>
      <c r="L116" s="19"/>
      <c r="M116" s="19"/>
      <c r="N116" s="19"/>
      <c r="O116" s="19"/>
      <c r="P116" s="19"/>
      <c r="Q116" s="19"/>
      <c r="R116" s="19"/>
      <c r="S116" s="19"/>
      <c r="T116" s="19"/>
    </row>
    <row r="117" customFormat="false" ht="15" hidden="false" customHeight="false" outlineLevel="0" collapsed="false">
      <c r="A117" s="17" t="n">
        <v>113</v>
      </c>
      <c r="B117" s="20" t="s">
        <v>412</v>
      </c>
      <c r="C117" s="17" t="s">
        <v>113</v>
      </c>
      <c r="D117" s="17"/>
      <c r="E117" s="24" t="n">
        <f aca="false">COUNT(F117:T117)</f>
        <v>3</v>
      </c>
      <c r="F117" s="19" t="n">
        <v>120</v>
      </c>
      <c r="G117" s="19"/>
      <c r="H117" s="19" t="n">
        <v>120</v>
      </c>
      <c r="I117" s="19"/>
      <c r="J117" s="19"/>
      <c r="K117" s="19" t="n">
        <v>120</v>
      </c>
      <c r="L117" s="19"/>
      <c r="M117" s="19"/>
      <c r="N117" s="19"/>
      <c r="O117" s="19"/>
      <c r="P117" s="19"/>
      <c r="Q117" s="19"/>
      <c r="R117" s="19"/>
      <c r="S117" s="19"/>
      <c r="T117" s="19"/>
    </row>
    <row r="118" customFormat="false" ht="15" hidden="false" customHeight="false" outlineLevel="0" collapsed="false">
      <c r="A118" s="17" t="n">
        <v>114</v>
      </c>
      <c r="B118" s="20" t="s">
        <v>145</v>
      </c>
      <c r="C118" s="17" t="s">
        <v>114</v>
      </c>
      <c r="D118" s="17"/>
      <c r="E118" s="24" t="n">
        <f aca="false">COUNT(F118:T118)</f>
        <v>3</v>
      </c>
      <c r="F118" s="19" t="n">
        <v>150</v>
      </c>
      <c r="G118" s="19"/>
      <c r="H118" s="19"/>
      <c r="I118" s="19" t="n">
        <v>120</v>
      </c>
      <c r="J118" s="19"/>
      <c r="K118" s="19"/>
      <c r="L118" s="19" t="n">
        <v>80</v>
      </c>
      <c r="M118" s="19"/>
      <c r="N118" s="19"/>
      <c r="O118" s="19"/>
      <c r="P118" s="19"/>
      <c r="Q118" s="19"/>
      <c r="R118" s="19"/>
      <c r="S118" s="19"/>
      <c r="T118" s="19"/>
    </row>
    <row r="119" customFormat="false" ht="15" hidden="false" customHeight="false" outlineLevel="0" collapsed="false">
      <c r="A119" s="17" t="n">
        <v>115</v>
      </c>
      <c r="B119" s="20" t="s">
        <v>413</v>
      </c>
      <c r="C119" s="17" t="s">
        <v>111</v>
      </c>
      <c r="D119" s="17"/>
      <c r="E119" s="24" t="n">
        <f aca="false">COUNT(F119:T119)</f>
        <v>3</v>
      </c>
      <c r="F119" s="19" t="n">
        <v>120</v>
      </c>
      <c r="G119" s="19"/>
      <c r="H119" s="19"/>
      <c r="I119" s="19"/>
      <c r="J119" s="19"/>
      <c r="K119" s="19"/>
      <c r="L119" s="19" t="n">
        <v>90</v>
      </c>
      <c r="M119" s="19"/>
      <c r="N119" s="19" t="n">
        <v>70</v>
      </c>
      <c r="O119" s="19"/>
      <c r="P119" s="19"/>
      <c r="Q119" s="19"/>
      <c r="R119" s="19"/>
      <c r="S119" s="19"/>
      <c r="T119" s="19"/>
    </row>
    <row r="120" customFormat="false" ht="15" hidden="false" customHeight="false" outlineLevel="0" collapsed="false">
      <c r="A120" s="17" t="n">
        <v>116</v>
      </c>
      <c r="B120" s="20" t="s">
        <v>278</v>
      </c>
      <c r="C120" s="17" t="s">
        <v>115</v>
      </c>
      <c r="D120" s="17" t="s">
        <v>121</v>
      </c>
      <c r="E120" s="24" t="n">
        <f aca="false">COUNT(F120:T120)</f>
        <v>3</v>
      </c>
      <c r="F120" s="19" t="n">
        <v>150</v>
      </c>
      <c r="G120" s="19"/>
      <c r="H120" s="19"/>
      <c r="I120" s="19"/>
      <c r="J120" s="19" t="n">
        <v>180</v>
      </c>
      <c r="K120" s="19"/>
      <c r="L120" s="19"/>
      <c r="M120" s="19"/>
      <c r="N120" s="19"/>
      <c r="O120" s="19"/>
      <c r="P120" s="19" t="n">
        <v>90</v>
      </c>
      <c r="Q120" s="19"/>
      <c r="R120" s="19"/>
      <c r="S120" s="19"/>
      <c r="T120" s="19"/>
    </row>
    <row r="121" customFormat="false" ht="15" hidden="false" customHeight="false" outlineLevel="0" collapsed="false">
      <c r="A121" s="17" t="n">
        <v>117</v>
      </c>
      <c r="B121" s="20" t="s">
        <v>363</v>
      </c>
      <c r="C121" s="17" t="s">
        <v>121</v>
      </c>
      <c r="D121" s="17"/>
      <c r="E121" s="24" t="n">
        <f aca="false">COUNT(F121:T121)</f>
        <v>3</v>
      </c>
      <c r="F121" s="19" t="n">
        <v>120</v>
      </c>
      <c r="G121" s="19"/>
      <c r="H121" s="19"/>
      <c r="I121" s="19"/>
      <c r="J121" s="19"/>
      <c r="K121" s="19"/>
      <c r="L121" s="19" t="n">
        <v>80</v>
      </c>
      <c r="M121" s="19"/>
      <c r="N121" s="19"/>
      <c r="O121" s="19"/>
      <c r="P121" s="19" t="n">
        <v>90</v>
      </c>
      <c r="Q121" s="19"/>
      <c r="R121" s="19"/>
      <c r="S121" s="19"/>
      <c r="T121" s="19"/>
    </row>
    <row r="122" customFormat="false" ht="15" hidden="false" customHeight="false" outlineLevel="0" collapsed="false">
      <c r="A122" s="17" t="n">
        <v>118</v>
      </c>
      <c r="B122" s="20" t="s">
        <v>170</v>
      </c>
      <c r="C122" s="17" t="s">
        <v>112</v>
      </c>
      <c r="D122" s="17"/>
      <c r="E122" s="24" t="n">
        <f aca="false">COUNT(F122:T122)</f>
        <v>3</v>
      </c>
      <c r="F122" s="19" t="n">
        <v>150</v>
      </c>
      <c r="G122" s="19" t="n">
        <v>120</v>
      </c>
      <c r="H122" s="19"/>
      <c r="I122" s="19"/>
      <c r="J122" s="19"/>
      <c r="K122" s="19"/>
      <c r="L122" s="19"/>
      <c r="M122" s="19"/>
      <c r="N122" s="19" t="n">
        <v>70</v>
      </c>
      <c r="O122" s="19"/>
      <c r="P122" s="19"/>
      <c r="Q122" s="19"/>
      <c r="R122" s="19"/>
      <c r="S122" s="19"/>
      <c r="T122" s="19"/>
    </row>
    <row r="123" customFormat="false" ht="15" hidden="false" customHeight="false" outlineLevel="0" collapsed="false">
      <c r="A123" s="17" t="n">
        <v>119</v>
      </c>
      <c r="B123" s="20" t="s">
        <v>160</v>
      </c>
      <c r="C123" s="17" t="s">
        <v>121</v>
      </c>
      <c r="D123" s="17"/>
      <c r="E123" s="24" t="n">
        <f aca="false">COUNT(F123:T123)</f>
        <v>3</v>
      </c>
      <c r="F123" s="19" t="n">
        <v>120</v>
      </c>
      <c r="G123" s="19"/>
      <c r="H123" s="19"/>
      <c r="I123" s="19"/>
      <c r="J123" s="19"/>
      <c r="K123" s="19"/>
      <c r="L123" s="19" t="n">
        <v>80</v>
      </c>
      <c r="M123" s="19"/>
      <c r="N123" s="19"/>
      <c r="O123" s="19"/>
      <c r="P123" s="19" t="n">
        <v>90</v>
      </c>
      <c r="Q123" s="19"/>
      <c r="R123" s="19"/>
      <c r="S123" s="19"/>
      <c r="T123" s="19"/>
    </row>
    <row r="124" customFormat="false" ht="15" hidden="false" customHeight="false" outlineLevel="0" collapsed="false">
      <c r="A124" s="17" t="n">
        <v>120</v>
      </c>
      <c r="B124" s="20" t="s">
        <v>167</v>
      </c>
      <c r="C124" s="17" t="s">
        <v>112</v>
      </c>
      <c r="D124" s="17"/>
      <c r="E124" s="24" t="n">
        <f aca="false">COUNT(F124:T124)</f>
        <v>3</v>
      </c>
      <c r="F124" s="19" t="n">
        <v>150</v>
      </c>
      <c r="G124" s="19" t="n">
        <v>120</v>
      </c>
      <c r="H124" s="19"/>
      <c r="I124" s="19"/>
      <c r="J124" s="19"/>
      <c r="K124" s="19"/>
      <c r="L124" s="19" t="n">
        <v>120</v>
      </c>
      <c r="M124" s="19"/>
      <c r="N124" s="19"/>
      <c r="O124" s="19"/>
      <c r="P124" s="19"/>
      <c r="Q124" s="19"/>
      <c r="R124" s="19"/>
      <c r="S124" s="19"/>
      <c r="T124" s="19"/>
    </row>
    <row r="125" customFormat="false" ht="15" hidden="false" customHeight="false" outlineLevel="0" collapsed="false">
      <c r="A125" s="17" t="n">
        <v>121</v>
      </c>
      <c r="B125" s="20" t="s">
        <v>189</v>
      </c>
      <c r="C125" s="17" t="s">
        <v>117</v>
      </c>
      <c r="D125" s="17"/>
      <c r="E125" s="24" t="n">
        <f aca="false">COUNT(F125:T125)</f>
        <v>3</v>
      </c>
      <c r="F125" s="19" t="n">
        <v>120</v>
      </c>
      <c r="G125" s="19"/>
      <c r="H125" s="19"/>
      <c r="I125" s="19"/>
      <c r="J125" s="19"/>
      <c r="K125" s="19"/>
      <c r="L125" s="19" t="n">
        <v>120</v>
      </c>
      <c r="M125" s="19"/>
      <c r="N125" s="19"/>
      <c r="O125" s="19"/>
      <c r="P125" s="19"/>
      <c r="Q125" s="19"/>
      <c r="R125" s="19" t="n">
        <v>75</v>
      </c>
      <c r="S125" s="19"/>
      <c r="T125" s="19"/>
    </row>
    <row r="126" customFormat="false" ht="15" hidden="false" customHeight="false" outlineLevel="0" collapsed="false">
      <c r="A126" s="17" t="n">
        <v>122</v>
      </c>
      <c r="B126" s="20" t="s">
        <v>414</v>
      </c>
      <c r="C126" s="17" t="s">
        <v>115</v>
      </c>
      <c r="D126" s="17" t="s">
        <v>118</v>
      </c>
      <c r="E126" s="24" t="n">
        <f aca="false">COUNT(F126:T126)</f>
        <v>3</v>
      </c>
      <c r="F126" s="19" t="n">
        <v>120</v>
      </c>
      <c r="G126" s="19"/>
      <c r="H126" s="19"/>
      <c r="I126" s="19"/>
      <c r="J126" s="19" t="n">
        <v>180</v>
      </c>
      <c r="K126" s="19"/>
      <c r="L126" s="19"/>
      <c r="M126" s="19"/>
      <c r="N126" s="19"/>
      <c r="O126" s="19"/>
      <c r="P126" s="19"/>
      <c r="Q126" s="19" t="n">
        <v>55</v>
      </c>
      <c r="R126" s="19"/>
      <c r="S126" s="19"/>
      <c r="T126" s="19"/>
    </row>
    <row r="127" customFormat="false" ht="15" hidden="false" customHeight="false" outlineLevel="0" collapsed="false">
      <c r="A127" s="17" t="n">
        <v>123</v>
      </c>
      <c r="B127" s="20" t="s">
        <v>415</v>
      </c>
      <c r="C127" s="17" t="s">
        <v>112</v>
      </c>
      <c r="D127" s="17"/>
      <c r="E127" s="24" t="n">
        <f aca="false">COUNT(F127:T127)</f>
        <v>3</v>
      </c>
      <c r="F127" s="19" t="n">
        <v>120</v>
      </c>
      <c r="G127" s="19" t="n">
        <v>120</v>
      </c>
      <c r="H127" s="19"/>
      <c r="I127" s="19"/>
      <c r="J127" s="19"/>
      <c r="K127" s="19"/>
      <c r="L127" s="19"/>
      <c r="M127" s="19"/>
      <c r="N127" s="19" t="n">
        <v>70</v>
      </c>
      <c r="O127" s="19"/>
      <c r="P127" s="19"/>
      <c r="Q127" s="19"/>
      <c r="R127" s="19"/>
      <c r="S127" s="19"/>
      <c r="T127" s="19"/>
    </row>
    <row r="128" customFormat="false" ht="15" hidden="false" customHeight="false" outlineLevel="0" collapsed="false">
      <c r="A128" s="17" t="n">
        <v>124</v>
      </c>
      <c r="B128" s="20" t="s">
        <v>416</v>
      </c>
      <c r="C128" s="17" t="s">
        <v>113</v>
      </c>
      <c r="D128" s="17"/>
      <c r="E128" s="24" t="n">
        <f aca="false">COUNT(F128:T128)</f>
        <v>3</v>
      </c>
      <c r="F128" s="19" t="n">
        <v>120</v>
      </c>
      <c r="G128" s="19"/>
      <c r="H128" s="19" t="n">
        <v>95</v>
      </c>
      <c r="I128" s="19"/>
      <c r="J128" s="19"/>
      <c r="K128" s="19" t="n">
        <v>120</v>
      </c>
      <c r="L128" s="19"/>
      <c r="M128" s="19"/>
      <c r="N128" s="19"/>
      <c r="O128" s="19"/>
      <c r="P128" s="19"/>
      <c r="Q128" s="19"/>
      <c r="R128" s="19"/>
      <c r="S128" s="19"/>
      <c r="T128" s="19"/>
    </row>
    <row r="129" customFormat="false" ht="15" hidden="false" customHeight="false" outlineLevel="0" collapsed="false">
      <c r="A129" s="17" t="n">
        <v>125</v>
      </c>
      <c r="B129" s="20" t="s">
        <v>332</v>
      </c>
      <c r="C129" s="17" t="s">
        <v>112</v>
      </c>
      <c r="D129" s="17" t="s">
        <v>120</v>
      </c>
      <c r="E129" s="24" t="n">
        <f aca="false">COUNT(F129:T129)</f>
        <v>3</v>
      </c>
      <c r="F129" s="19" t="n">
        <v>150</v>
      </c>
      <c r="G129" s="19" t="n">
        <v>120</v>
      </c>
      <c r="H129" s="19"/>
      <c r="I129" s="19"/>
      <c r="J129" s="19"/>
      <c r="K129" s="19"/>
      <c r="L129" s="19"/>
      <c r="M129" s="19"/>
      <c r="N129" s="19"/>
      <c r="O129" s="19" t="n">
        <v>120</v>
      </c>
      <c r="P129" s="19"/>
      <c r="Q129" s="19"/>
      <c r="R129" s="19"/>
      <c r="S129" s="19"/>
      <c r="T129" s="19"/>
    </row>
    <row r="130" customFormat="false" ht="15" hidden="false" customHeight="false" outlineLevel="0" collapsed="false">
      <c r="A130" s="17" t="n">
        <v>126</v>
      </c>
      <c r="B130" s="20" t="s">
        <v>417</v>
      </c>
      <c r="C130" s="17" t="s">
        <v>115</v>
      </c>
      <c r="D130" s="17" t="s">
        <v>121</v>
      </c>
      <c r="E130" s="24" t="n">
        <f aca="false">COUNT(F130:T130)</f>
        <v>3</v>
      </c>
      <c r="F130" s="19" t="n">
        <v>120</v>
      </c>
      <c r="G130" s="19"/>
      <c r="H130" s="19"/>
      <c r="I130" s="19"/>
      <c r="J130" s="19" t="n">
        <v>100</v>
      </c>
      <c r="K130" s="19"/>
      <c r="L130" s="19"/>
      <c r="M130" s="19"/>
      <c r="N130" s="19"/>
      <c r="O130" s="19"/>
      <c r="P130" s="19" t="n">
        <v>90</v>
      </c>
      <c r="Q130" s="19"/>
      <c r="R130" s="19"/>
      <c r="S130" s="19"/>
      <c r="T130" s="19"/>
    </row>
    <row r="131" customFormat="false" ht="15" hidden="false" customHeight="false" outlineLevel="0" collapsed="false">
      <c r="A131" s="17" t="n">
        <v>127</v>
      </c>
      <c r="B131" s="20" t="s">
        <v>418</v>
      </c>
      <c r="C131" s="17" t="s">
        <v>112</v>
      </c>
      <c r="D131" s="17"/>
      <c r="E131" s="24" t="n">
        <f aca="false">COUNT(F131:T131)</f>
        <v>3</v>
      </c>
      <c r="F131" s="19" t="n">
        <v>120</v>
      </c>
      <c r="G131" s="19" t="n">
        <v>120</v>
      </c>
      <c r="H131" s="19"/>
      <c r="I131" s="19"/>
      <c r="J131" s="19"/>
      <c r="K131" s="19"/>
      <c r="L131" s="19" t="n">
        <v>30</v>
      </c>
      <c r="M131" s="19"/>
      <c r="N131" s="19"/>
      <c r="O131" s="19"/>
      <c r="P131" s="19"/>
      <c r="Q131" s="19"/>
      <c r="R131" s="19"/>
      <c r="S131" s="19"/>
      <c r="T131" s="19"/>
    </row>
    <row r="132" customFormat="false" ht="15" hidden="false" customHeight="false" outlineLevel="0" collapsed="false">
      <c r="A132" s="17" t="n">
        <v>128</v>
      </c>
      <c r="B132" s="20" t="s">
        <v>419</v>
      </c>
      <c r="C132" s="17" t="s">
        <v>122</v>
      </c>
      <c r="D132" s="17"/>
      <c r="E132" s="24" t="n">
        <f aca="false">COUNT(F132:T132)</f>
        <v>3</v>
      </c>
      <c r="F132" s="19" t="n">
        <v>150</v>
      </c>
      <c r="G132" s="19"/>
      <c r="H132" s="19"/>
      <c r="I132" s="19"/>
      <c r="J132" s="19"/>
      <c r="K132" s="19"/>
      <c r="L132" s="19" t="n">
        <v>80</v>
      </c>
      <c r="M132" s="19"/>
      <c r="N132" s="19"/>
      <c r="O132" s="19"/>
      <c r="P132" s="19"/>
      <c r="Q132" s="19" t="n">
        <v>55</v>
      </c>
      <c r="R132" s="19"/>
      <c r="S132" s="19"/>
      <c r="T132" s="19"/>
    </row>
    <row r="133" customFormat="false" ht="15" hidden="false" customHeight="false" outlineLevel="0" collapsed="false">
      <c r="A133" s="17" t="n">
        <v>129</v>
      </c>
      <c r="B133" s="20" t="s">
        <v>312</v>
      </c>
      <c r="C133" s="17" t="s">
        <v>111</v>
      </c>
      <c r="D133" s="17" t="s">
        <v>120</v>
      </c>
      <c r="E133" s="24" t="n">
        <f aca="false">COUNT(F133:T133)</f>
        <v>3</v>
      </c>
      <c r="F133" s="19" t="n">
        <v>150</v>
      </c>
      <c r="G133" s="19"/>
      <c r="H133" s="19"/>
      <c r="I133" s="19"/>
      <c r="J133" s="19"/>
      <c r="K133" s="19"/>
      <c r="L133" s="19" t="n">
        <v>90</v>
      </c>
      <c r="M133" s="19"/>
      <c r="N133" s="19"/>
      <c r="O133" s="19" t="n">
        <v>80</v>
      </c>
      <c r="P133" s="19"/>
      <c r="Q133" s="19"/>
      <c r="R133" s="19"/>
      <c r="S133" s="19"/>
      <c r="T133" s="19"/>
    </row>
    <row r="134" customFormat="false" ht="15" hidden="false" customHeight="false" outlineLevel="0" collapsed="false">
      <c r="A134" s="17" t="n">
        <v>130</v>
      </c>
      <c r="B134" s="20" t="s">
        <v>420</v>
      </c>
      <c r="C134" s="17" t="s">
        <v>113</v>
      </c>
      <c r="D134" s="17"/>
      <c r="E134" s="24" t="n">
        <f aca="false">COUNT(F134:T134)</f>
        <v>3</v>
      </c>
      <c r="F134" s="19" t="n">
        <v>120</v>
      </c>
      <c r="G134" s="19"/>
      <c r="H134" s="19" t="n">
        <v>95</v>
      </c>
      <c r="I134" s="19"/>
      <c r="J134" s="19"/>
      <c r="K134" s="19" t="n">
        <v>120</v>
      </c>
      <c r="L134" s="19"/>
      <c r="M134" s="19"/>
      <c r="N134" s="19"/>
      <c r="O134" s="19"/>
      <c r="P134" s="19"/>
      <c r="Q134" s="19"/>
      <c r="R134" s="19"/>
      <c r="S134" s="19"/>
      <c r="T134" s="19"/>
    </row>
    <row r="135" customFormat="false" ht="15" hidden="false" customHeight="false" outlineLevel="0" collapsed="false">
      <c r="A135" s="17" t="n">
        <v>131</v>
      </c>
      <c r="B135" s="20" t="s">
        <v>183</v>
      </c>
      <c r="C135" s="17" t="s">
        <v>113</v>
      </c>
      <c r="D135" s="17" t="s">
        <v>116</v>
      </c>
      <c r="E135" s="24" t="n">
        <f aca="false">COUNT(F135:T135)</f>
        <v>3</v>
      </c>
      <c r="F135" s="19" t="n">
        <v>150</v>
      </c>
      <c r="G135" s="19"/>
      <c r="H135" s="19" t="n">
        <v>95</v>
      </c>
      <c r="I135" s="19"/>
      <c r="J135" s="19"/>
      <c r="K135" s="19" t="n">
        <v>120</v>
      </c>
      <c r="L135" s="19"/>
      <c r="M135" s="19"/>
      <c r="N135" s="19"/>
      <c r="O135" s="19"/>
      <c r="P135" s="19"/>
      <c r="Q135" s="19"/>
      <c r="R135" s="19"/>
      <c r="S135" s="19"/>
      <c r="T135" s="19"/>
    </row>
    <row r="136" customFormat="false" ht="15" hidden="false" customHeight="false" outlineLevel="0" collapsed="false">
      <c r="A136" s="17" t="n">
        <v>132</v>
      </c>
      <c r="B136" s="20" t="s">
        <v>201</v>
      </c>
      <c r="C136" s="17" t="s">
        <v>113</v>
      </c>
      <c r="D136" s="17"/>
      <c r="E136" s="24" t="n">
        <f aca="false">COUNT(F136:T136)</f>
        <v>3</v>
      </c>
      <c r="F136" s="19" t="n">
        <v>150</v>
      </c>
      <c r="G136" s="19"/>
      <c r="H136" s="19" t="n">
        <v>120</v>
      </c>
      <c r="I136" s="19"/>
      <c r="J136" s="19"/>
      <c r="K136" s="19" t="n">
        <v>120</v>
      </c>
      <c r="L136" s="19"/>
      <c r="M136" s="19"/>
      <c r="N136" s="19"/>
      <c r="O136" s="19"/>
      <c r="P136" s="19"/>
      <c r="Q136" s="19"/>
      <c r="R136" s="19"/>
      <c r="S136" s="19"/>
      <c r="T136" s="19"/>
    </row>
    <row r="137" customFormat="false" ht="15" hidden="false" customHeight="false" outlineLevel="0" collapsed="false">
      <c r="A137" s="17" t="n">
        <v>133</v>
      </c>
      <c r="B137" s="20" t="s">
        <v>148</v>
      </c>
      <c r="C137" s="17" t="s">
        <v>115</v>
      </c>
      <c r="D137" s="17"/>
      <c r="E137" s="24" t="n">
        <f aca="false">COUNT(F137:T137)</f>
        <v>3</v>
      </c>
      <c r="F137" s="19" t="n">
        <v>150</v>
      </c>
      <c r="G137" s="19"/>
      <c r="H137" s="19"/>
      <c r="I137" s="19"/>
      <c r="J137" s="19" t="n">
        <v>180</v>
      </c>
      <c r="K137" s="19"/>
      <c r="L137" s="19"/>
      <c r="M137" s="19"/>
      <c r="N137" s="19"/>
      <c r="O137" s="19"/>
      <c r="P137" s="19"/>
      <c r="Q137" s="19" t="n">
        <v>55</v>
      </c>
      <c r="R137" s="19"/>
      <c r="S137" s="19"/>
      <c r="T137" s="19"/>
    </row>
    <row r="138" customFormat="false" ht="15" hidden="false" customHeight="false" outlineLevel="0" collapsed="false">
      <c r="A138" s="17" t="n">
        <v>134</v>
      </c>
      <c r="B138" s="20" t="s">
        <v>421</v>
      </c>
      <c r="C138" s="17" t="s">
        <v>111</v>
      </c>
      <c r="D138" s="17" t="s">
        <v>120</v>
      </c>
      <c r="E138" s="24" t="n">
        <f aca="false">COUNT(F138:T138)</f>
        <v>3</v>
      </c>
      <c r="F138" s="19" t="n">
        <v>120</v>
      </c>
      <c r="G138" s="19"/>
      <c r="H138" s="19"/>
      <c r="I138" s="19"/>
      <c r="J138" s="19"/>
      <c r="K138" s="19"/>
      <c r="L138" s="19"/>
      <c r="M138" s="19"/>
      <c r="N138" s="19"/>
      <c r="O138" s="19" t="n">
        <v>80</v>
      </c>
      <c r="P138" s="19"/>
      <c r="Q138" s="19" t="n">
        <v>55</v>
      </c>
      <c r="R138" s="19"/>
      <c r="S138" s="19"/>
      <c r="T138" s="19"/>
    </row>
    <row r="139" customFormat="false" ht="15" hidden="false" customHeight="false" outlineLevel="0" collapsed="false">
      <c r="A139" s="17" t="n">
        <v>135</v>
      </c>
      <c r="B139" s="20" t="s">
        <v>361</v>
      </c>
      <c r="C139" s="17" t="s">
        <v>112</v>
      </c>
      <c r="D139" s="17"/>
      <c r="E139" s="24" t="n">
        <f aca="false">COUNT(F139:T139)</f>
        <v>3</v>
      </c>
      <c r="F139" s="19" t="n">
        <v>150</v>
      </c>
      <c r="G139" s="19" t="n">
        <v>120</v>
      </c>
      <c r="H139" s="19"/>
      <c r="I139" s="19"/>
      <c r="J139" s="19"/>
      <c r="K139" s="19"/>
      <c r="L139" s="19" t="n">
        <v>30</v>
      </c>
      <c r="M139" s="19"/>
      <c r="N139" s="19"/>
      <c r="O139" s="19"/>
      <c r="P139" s="19"/>
      <c r="Q139" s="19"/>
      <c r="R139" s="19"/>
      <c r="S139" s="19"/>
      <c r="T139" s="19"/>
    </row>
    <row r="140" customFormat="false" ht="15" hidden="false" customHeight="false" outlineLevel="0" collapsed="false">
      <c r="A140" s="17" t="n">
        <v>136</v>
      </c>
      <c r="B140" s="20" t="s">
        <v>283</v>
      </c>
      <c r="C140" s="17" t="s">
        <v>114</v>
      </c>
      <c r="D140" s="17" t="s">
        <v>120</v>
      </c>
      <c r="E140" s="24" t="n">
        <f aca="false">COUNT(F140:T140)</f>
        <v>3</v>
      </c>
      <c r="F140" s="19" t="n">
        <v>150</v>
      </c>
      <c r="G140" s="19"/>
      <c r="H140" s="19"/>
      <c r="I140" s="19" t="n">
        <v>120</v>
      </c>
      <c r="J140" s="19"/>
      <c r="K140" s="19"/>
      <c r="L140" s="19"/>
      <c r="M140" s="19"/>
      <c r="N140" s="19"/>
      <c r="O140" s="19" t="n">
        <v>120</v>
      </c>
      <c r="P140" s="19"/>
      <c r="Q140" s="19"/>
      <c r="R140" s="19"/>
      <c r="S140" s="19"/>
      <c r="T140" s="19"/>
    </row>
    <row r="141" customFormat="false" ht="15" hidden="false" customHeight="false" outlineLevel="0" collapsed="false">
      <c r="A141" s="17" t="n">
        <v>137</v>
      </c>
      <c r="B141" s="20" t="s">
        <v>200</v>
      </c>
      <c r="C141" s="17" t="s">
        <v>111</v>
      </c>
      <c r="D141" s="17" t="s">
        <v>120</v>
      </c>
      <c r="E141" s="24" t="n">
        <f aca="false">COUNT(F141:T141)</f>
        <v>2</v>
      </c>
      <c r="F141" s="19" t="n">
        <v>150</v>
      </c>
      <c r="G141" s="19"/>
      <c r="H141" s="19"/>
      <c r="I141" s="19"/>
      <c r="J141" s="19"/>
      <c r="K141" s="19"/>
      <c r="L141" s="19"/>
      <c r="M141" s="19"/>
      <c r="N141" s="19"/>
      <c r="O141" s="19" t="n">
        <v>120</v>
      </c>
      <c r="P141" s="19"/>
      <c r="Q141" s="19"/>
      <c r="R141" s="19"/>
      <c r="S141" s="19"/>
      <c r="T141" s="19"/>
    </row>
    <row r="142" customFormat="false" ht="15" hidden="false" customHeight="false" outlineLevel="0" collapsed="false">
      <c r="A142" s="17" t="n">
        <v>138</v>
      </c>
      <c r="B142" s="20" t="s">
        <v>422</v>
      </c>
      <c r="C142" s="17" t="s">
        <v>111</v>
      </c>
      <c r="D142" s="17" t="s">
        <v>120</v>
      </c>
      <c r="E142" s="24" t="n">
        <f aca="false">COUNT(F142:T142)</f>
        <v>2</v>
      </c>
      <c r="F142" s="19" t="n">
        <v>120</v>
      </c>
      <c r="G142" s="19"/>
      <c r="H142" s="19"/>
      <c r="I142" s="19"/>
      <c r="J142" s="19"/>
      <c r="K142" s="19"/>
      <c r="L142" s="19"/>
      <c r="M142" s="19"/>
      <c r="N142" s="19"/>
      <c r="O142" s="19" t="n">
        <v>120</v>
      </c>
      <c r="P142" s="19"/>
      <c r="Q142" s="19"/>
      <c r="R142" s="19"/>
      <c r="S142" s="19"/>
      <c r="T142" s="19"/>
    </row>
    <row r="143" customFormat="false" ht="15" hidden="false" customHeight="false" outlineLevel="0" collapsed="false">
      <c r="A143" s="17" t="n">
        <v>139</v>
      </c>
      <c r="B143" s="20" t="s">
        <v>423</v>
      </c>
      <c r="C143" s="17" t="s">
        <v>114</v>
      </c>
      <c r="D143" s="17"/>
      <c r="E143" s="24" t="n">
        <f aca="false">COUNT(F143:T143)</f>
        <v>2</v>
      </c>
      <c r="F143" s="19" t="n">
        <v>150</v>
      </c>
      <c r="G143" s="19"/>
      <c r="H143" s="19"/>
      <c r="I143" s="19" t="n">
        <v>120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customFormat="false" ht="15" hidden="false" customHeight="false" outlineLevel="0" collapsed="false">
      <c r="A144" s="17" t="n">
        <v>140</v>
      </c>
      <c r="B144" s="20" t="s">
        <v>424</v>
      </c>
      <c r="C144" s="17" t="s">
        <v>122</v>
      </c>
      <c r="D144" s="17"/>
      <c r="E144" s="24" t="n">
        <f aca="false">COUNT(F144:T144)</f>
        <v>2</v>
      </c>
      <c r="F144" s="19" t="n">
        <v>35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 t="n">
        <v>55</v>
      </c>
      <c r="R144" s="19"/>
      <c r="S144" s="19"/>
      <c r="T144" s="19"/>
    </row>
    <row r="145" customFormat="false" ht="15" hidden="false" customHeight="false" outlineLevel="0" collapsed="false">
      <c r="A145" s="17" t="n">
        <v>141</v>
      </c>
      <c r="B145" s="20" t="s">
        <v>353</v>
      </c>
      <c r="C145" s="17" t="s">
        <v>111</v>
      </c>
      <c r="D145" s="17" t="s">
        <v>120</v>
      </c>
      <c r="E145" s="24" t="n">
        <f aca="false">COUNT(F145:T145)</f>
        <v>2</v>
      </c>
      <c r="F145" s="19" t="n">
        <v>150</v>
      </c>
      <c r="G145" s="19"/>
      <c r="H145" s="19"/>
      <c r="I145" s="19"/>
      <c r="J145" s="19"/>
      <c r="K145" s="19"/>
      <c r="L145" s="19"/>
      <c r="M145" s="19"/>
      <c r="N145" s="19"/>
      <c r="O145" s="19" t="n">
        <v>120</v>
      </c>
      <c r="P145" s="19"/>
      <c r="Q145" s="19"/>
      <c r="R145" s="19"/>
      <c r="S145" s="19"/>
      <c r="T145" s="19"/>
    </row>
    <row r="146" customFormat="false" ht="15" hidden="false" customHeight="false" outlineLevel="0" collapsed="false">
      <c r="A146" s="17" t="n">
        <v>142</v>
      </c>
      <c r="B146" s="20" t="s">
        <v>316</v>
      </c>
      <c r="C146" s="17" t="s">
        <v>114</v>
      </c>
      <c r="D146" s="17"/>
      <c r="E146" s="24" t="n">
        <f aca="false">COUNT(F146:T146)</f>
        <v>2</v>
      </c>
      <c r="F146" s="19" t="n">
        <v>150</v>
      </c>
      <c r="G146" s="19"/>
      <c r="H146" s="19"/>
      <c r="I146" s="19" t="n">
        <v>120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customFormat="false" ht="15" hidden="false" customHeight="false" outlineLevel="0" collapsed="false">
      <c r="A147" s="17" t="n">
        <v>143</v>
      </c>
      <c r="B147" s="20" t="s">
        <v>425</v>
      </c>
      <c r="C147" s="17" t="s">
        <v>111</v>
      </c>
      <c r="D147" s="17" t="s">
        <v>120</v>
      </c>
      <c r="E147" s="24" t="n">
        <f aca="false">COUNT(F147:T147)</f>
        <v>2</v>
      </c>
      <c r="F147" s="19" t="n">
        <v>120</v>
      </c>
      <c r="G147" s="19"/>
      <c r="H147" s="19"/>
      <c r="I147" s="19"/>
      <c r="J147" s="19"/>
      <c r="K147" s="19"/>
      <c r="L147" s="19"/>
      <c r="M147" s="19"/>
      <c r="N147" s="19"/>
      <c r="O147" s="19" t="n">
        <v>120</v>
      </c>
      <c r="P147" s="19"/>
      <c r="Q147" s="19"/>
      <c r="R147" s="19"/>
      <c r="S147" s="19"/>
      <c r="T147" s="19"/>
    </row>
    <row r="148" customFormat="false" ht="15" hidden="false" customHeight="false" outlineLevel="0" collapsed="false">
      <c r="A148" s="17" t="n">
        <v>144</v>
      </c>
      <c r="B148" s="20" t="s">
        <v>355</v>
      </c>
      <c r="C148" s="17" t="s">
        <v>114</v>
      </c>
      <c r="D148" s="17"/>
      <c r="E148" s="24" t="n">
        <f aca="false">COUNT(F148:T148)</f>
        <v>2</v>
      </c>
      <c r="F148" s="19" t="n">
        <v>120</v>
      </c>
      <c r="G148" s="19"/>
      <c r="H148" s="19"/>
      <c r="I148" s="19" t="n">
        <v>120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customFormat="false" ht="15" hidden="false" customHeight="false" outlineLevel="0" collapsed="false">
      <c r="A149" s="17" t="n">
        <v>145</v>
      </c>
      <c r="B149" s="20" t="s">
        <v>426</v>
      </c>
      <c r="C149" s="17" t="s">
        <v>111</v>
      </c>
      <c r="D149" s="17" t="s">
        <v>120</v>
      </c>
      <c r="E149" s="24" t="n">
        <f aca="false">COUNT(F149:T149)</f>
        <v>2</v>
      </c>
      <c r="F149" s="19" t="n">
        <v>120</v>
      </c>
      <c r="G149" s="19"/>
      <c r="H149" s="19"/>
      <c r="I149" s="19"/>
      <c r="J149" s="19"/>
      <c r="K149" s="19"/>
      <c r="L149" s="19"/>
      <c r="M149" s="19"/>
      <c r="N149" s="19"/>
      <c r="O149" s="19" t="n">
        <v>120</v>
      </c>
      <c r="P149" s="19"/>
      <c r="Q149" s="19"/>
      <c r="R149" s="19"/>
      <c r="S149" s="19"/>
      <c r="T149" s="19"/>
    </row>
    <row r="150" customFormat="false" ht="15" hidden="false" customHeight="false" outlineLevel="0" collapsed="false">
      <c r="A150" s="17" t="n">
        <v>146</v>
      </c>
      <c r="B150" s="20" t="s">
        <v>427</v>
      </c>
      <c r="C150" s="17" t="s">
        <v>114</v>
      </c>
      <c r="D150" s="17"/>
      <c r="E150" s="24" t="n">
        <f aca="false">COUNT(F150:T150)</f>
        <v>2</v>
      </c>
      <c r="F150" s="19" t="n">
        <v>95</v>
      </c>
      <c r="G150" s="19"/>
      <c r="H150" s="19"/>
      <c r="I150" s="19" t="n">
        <v>120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customFormat="false" ht="15" hidden="false" customHeight="false" outlineLevel="0" collapsed="false">
      <c r="A151" s="17" t="n">
        <v>147</v>
      </c>
      <c r="B151" s="20" t="s">
        <v>428</v>
      </c>
      <c r="C151" s="17" t="s">
        <v>122</v>
      </c>
      <c r="D151" s="17"/>
      <c r="E151" s="24" t="n">
        <f aca="false">COUNT(F151:T151)</f>
        <v>1</v>
      </c>
      <c r="F151" s="19" t="n">
        <v>35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customFormat="false" ht="15" hidden="false" customHeight="false" outlineLevel="0" collapsed="false">
      <c r="A152" s="17" t="n">
        <v>148</v>
      </c>
      <c r="B152" s="20" t="s">
        <v>429</v>
      </c>
      <c r="C152" s="17" t="s">
        <v>113</v>
      </c>
      <c r="D152" s="17"/>
      <c r="E152" s="24" t="n">
        <f aca="false">COUNT(F152:T152)</f>
        <v>1</v>
      </c>
      <c r="F152" s="19" t="n">
        <v>35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customFormat="false" ht="15" hidden="false" customHeight="false" outlineLevel="0" collapsed="false">
      <c r="A153" s="17" t="n">
        <v>149</v>
      </c>
      <c r="B153" s="20" t="s">
        <v>430</v>
      </c>
      <c r="C153" s="17" t="s">
        <v>122</v>
      </c>
      <c r="D153" s="17" t="s">
        <v>118</v>
      </c>
      <c r="E153" s="24" t="n">
        <f aca="false">COUNT(F153:T153)</f>
        <v>1</v>
      </c>
      <c r="F153" s="19"/>
      <c r="G153" s="19"/>
      <c r="H153" s="19"/>
      <c r="I153" s="19"/>
      <c r="J153" s="19"/>
      <c r="K153" s="19"/>
      <c r="L153" s="19"/>
      <c r="M153" s="19" t="n">
        <v>35</v>
      </c>
      <c r="N153" s="19"/>
      <c r="O153" s="19"/>
      <c r="P153" s="19"/>
      <c r="Q153" s="19"/>
      <c r="R153" s="19"/>
      <c r="S153" s="19"/>
      <c r="T153" s="19"/>
    </row>
    <row r="154" customFormat="false" ht="15" hidden="false" customHeight="false" outlineLevel="0" collapsed="false">
      <c r="A154" s="17" t="n">
        <v>150</v>
      </c>
      <c r="B154" s="20" t="s">
        <v>431</v>
      </c>
      <c r="C154" s="17" t="s">
        <v>122</v>
      </c>
      <c r="D154" s="17" t="s">
        <v>118</v>
      </c>
      <c r="E154" s="24" t="n">
        <f aca="false">COUNT(F154:T154)</f>
        <v>1</v>
      </c>
      <c r="F154" s="19"/>
      <c r="G154" s="19"/>
      <c r="H154" s="19"/>
      <c r="I154" s="19"/>
      <c r="J154" s="19"/>
      <c r="K154" s="19"/>
      <c r="L154" s="19"/>
      <c r="M154" s="19" t="n">
        <v>35</v>
      </c>
      <c r="N154" s="19"/>
      <c r="O154" s="19"/>
      <c r="P154" s="19"/>
      <c r="Q154" s="19"/>
      <c r="R154" s="19"/>
      <c r="S154" s="19"/>
      <c r="T154" s="19"/>
    </row>
    <row r="155" customFormat="false" ht="15" hidden="false" customHeight="false" outlineLevel="0" collapsed="false">
      <c r="A155" s="17" t="n">
        <v>151</v>
      </c>
      <c r="B155" s="20" t="s">
        <v>432</v>
      </c>
      <c r="C155" s="17" t="s">
        <v>111</v>
      </c>
      <c r="D155" s="17"/>
      <c r="E155" s="24" t="n">
        <f aca="false">COUNT(F155:T155)</f>
        <v>0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</sheetData>
  <autoFilter ref="A4:T155"/>
  <conditionalFormatting sqref="F5:T155">
    <cfRule type="colorScale" priority="2">
      <colorScale>
        <cfvo type="num" val="20"/>
        <cfvo type="num" val="80"/>
        <cfvo type="num" val="150"/>
        <color rgb="FFFFFFFF"/>
        <color rgb="FFFFE699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6"/>
    <col collapsed="false" customWidth="true" hidden="false" outlineLevel="0" max="5" min="4" style="0" width="16"/>
    <col collapsed="false" customWidth="true" hidden="false" outlineLevel="0" max="6" min="6" style="0" width="30"/>
    <col collapsed="false" customWidth="true" hidden="false" outlineLevel="0" max="8" min="7" style="0" width="32"/>
  </cols>
  <sheetData>
    <row r="1" customFormat="false" ht="17.3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4" customFormat="false" ht="15" hidden="false" customHeight="false" outlineLevel="0" collapsed="false">
      <c r="A4" s="6" t="s">
        <v>262</v>
      </c>
      <c r="B4" s="6" t="s">
        <v>435</v>
      </c>
      <c r="C4" s="6" t="s">
        <v>436</v>
      </c>
      <c r="D4" s="6" t="s">
        <v>437</v>
      </c>
      <c r="E4" s="6" t="s">
        <v>438</v>
      </c>
      <c r="F4" s="6" t="s">
        <v>439</v>
      </c>
      <c r="G4" s="6" t="s">
        <v>440</v>
      </c>
      <c r="H4" s="6" t="s">
        <v>441</v>
      </c>
    </row>
    <row r="5" customFormat="false" ht="15" hidden="false" customHeight="false" outlineLevel="0" collapsed="false">
      <c r="A5" s="8" t="n">
        <v>1</v>
      </c>
      <c r="B5" s="7" t="s">
        <v>442</v>
      </c>
      <c r="C5" s="8" t="n">
        <v>4</v>
      </c>
      <c r="D5" s="8" t="s">
        <v>443</v>
      </c>
      <c r="E5" s="8" t="s">
        <v>444</v>
      </c>
      <c r="F5" s="8" t="s">
        <v>445</v>
      </c>
      <c r="G5" s="8" t="s">
        <v>446</v>
      </c>
      <c r="H5" s="8" t="s">
        <v>447</v>
      </c>
    </row>
    <row r="6" customFormat="false" ht="15" hidden="false" customHeight="false" outlineLevel="0" collapsed="false">
      <c r="A6" s="8" t="n">
        <v>2</v>
      </c>
      <c r="B6" s="7" t="s">
        <v>448</v>
      </c>
      <c r="C6" s="8" t="n">
        <v>4</v>
      </c>
      <c r="D6" s="8" t="s">
        <v>119</v>
      </c>
      <c r="E6" s="8" t="s">
        <v>444</v>
      </c>
      <c r="F6" s="8" t="s">
        <v>449</v>
      </c>
      <c r="G6" s="8" t="s">
        <v>450</v>
      </c>
      <c r="H6" s="8" t="s">
        <v>283</v>
      </c>
    </row>
    <row r="7" customFormat="false" ht="15" hidden="false" customHeight="false" outlineLevel="0" collapsed="false">
      <c r="A7" s="8" t="n">
        <v>3</v>
      </c>
      <c r="B7" s="7" t="s">
        <v>451</v>
      </c>
      <c r="C7" s="8" t="n">
        <v>3</v>
      </c>
      <c r="D7" s="8" t="s">
        <v>452</v>
      </c>
      <c r="E7" s="8" t="s">
        <v>444</v>
      </c>
      <c r="F7" s="8" t="s">
        <v>453</v>
      </c>
      <c r="G7" s="8" t="s">
        <v>454</v>
      </c>
      <c r="H7" s="8" t="s">
        <v>455</v>
      </c>
    </row>
    <row r="8" customFormat="false" ht="15" hidden="false" customHeight="false" outlineLevel="0" collapsed="false">
      <c r="A8" s="8" t="n">
        <v>4</v>
      </c>
      <c r="B8" s="7" t="s">
        <v>456</v>
      </c>
      <c r="C8" s="8" t="n">
        <v>3</v>
      </c>
      <c r="D8" s="8" t="s">
        <v>119</v>
      </c>
      <c r="E8" s="8" t="s">
        <v>444</v>
      </c>
      <c r="F8" s="8" t="s">
        <v>457</v>
      </c>
      <c r="G8" s="8" t="s">
        <v>458</v>
      </c>
      <c r="H8" s="8" t="s">
        <v>198</v>
      </c>
    </row>
    <row r="9" customFormat="false" ht="15" hidden="false" customHeight="false" outlineLevel="0" collapsed="false">
      <c r="A9" s="8" t="n">
        <v>5</v>
      </c>
      <c r="B9" s="7" t="s">
        <v>125</v>
      </c>
      <c r="C9" s="8" t="n">
        <v>2</v>
      </c>
      <c r="D9" s="8" t="s">
        <v>444</v>
      </c>
      <c r="E9" s="8" t="s">
        <v>444</v>
      </c>
      <c r="F9" s="8" t="s">
        <v>459</v>
      </c>
      <c r="G9" s="8" t="s">
        <v>460</v>
      </c>
      <c r="H9" s="8" t="s">
        <v>461</v>
      </c>
    </row>
    <row r="10" customFormat="false" ht="15" hidden="false" customHeight="false" outlineLevel="0" collapsed="false">
      <c r="A10" s="8" t="n">
        <v>6</v>
      </c>
      <c r="B10" s="7" t="s">
        <v>462</v>
      </c>
      <c r="C10" s="8" t="n">
        <v>2</v>
      </c>
      <c r="D10" s="8" t="s">
        <v>119</v>
      </c>
      <c r="E10" s="8" t="s">
        <v>444</v>
      </c>
      <c r="F10" s="8" t="s">
        <v>463</v>
      </c>
      <c r="G10" s="8" t="s">
        <v>464</v>
      </c>
      <c r="H10" s="8" t="s">
        <v>465</v>
      </c>
    </row>
    <row r="11" customFormat="false" ht="15" hidden="false" customHeight="false" outlineLevel="0" collapsed="false">
      <c r="A11" s="8" t="n">
        <v>7</v>
      </c>
      <c r="B11" s="7" t="s">
        <v>466</v>
      </c>
      <c r="C11" s="8" t="n">
        <v>2</v>
      </c>
      <c r="D11" s="8" t="s">
        <v>119</v>
      </c>
      <c r="E11" s="8" t="s">
        <v>116</v>
      </c>
      <c r="F11" s="8" t="s">
        <v>467</v>
      </c>
      <c r="G11" s="8" t="s">
        <v>468</v>
      </c>
      <c r="H11" s="8" t="s">
        <v>196</v>
      </c>
    </row>
    <row r="12" customFormat="false" ht="15" hidden="false" customHeight="false" outlineLevel="0" collapsed="false">
      <c r="A12" s="8" t="n">
        <v>8</v>
      </c>
      <c r="B12" s="7" t="s">
        <v>469</v>
      </c>
      <c r="C12" s="8" t="n">
        <v>2</v>
      </c>
      <c r="D12" s="8" t="s">
        <v>119</v>
      </c>
      <c r="E12" s="8" t="s">
        <v>114</v>
      </c>
      <c r="F12" s="8" t="s">
        <v>123</v>
      </c>
      <c r="G12" s="8" t="s">
        <v>470</v>
      </c>
      <c r="H12" s="8" t="s">
        <v>197</v>
      </c>
    </row>
    <row r="13" customFormat="false" ht="15" hidden="false" customHeight="false" outlineLevel="0" collapsed="false">
      <c r="A13" s="8" t="n">
        <v>9</v>
      </c>
      <c r="B13" s="7" t="s">
        <v>471</v>
      </c>
      <c r="C13" s="8" t="n">
        <v>2</v>
      </c>
      <c r="D13" s="8" t="s">
        <v>444</v>
      </c>
      <c r="E13" s="8" t="s">
        <v>444</v>
      </c>
      <c r="F13" s="8" t="s">
        <v>472</v>
      </c>
      <c r="G13" s="8" t="s">
        <v>473</v>
      </c>
      <c r="H13" s="8" t="s">
        <v>474</v>
      </c>
    </row>
    <row r="14" customFormat="false" ht="15" hidden="false" customHeight="false" outlineLevel="0" collapsed="false">
      <c r="A14" s="8" t="n">
        <v>10</v>
      </c>
      <c r="B14" s="7" t="s">
        <v>111</v>
      </c>
      <c r="C14" s="8" t="n">
        <v>1</v>
      </c>
      <c r="D14" s="8" t="s">
        <v>124</v>
      </c>
      <c r="E14" s="8" t="s">
        <v>444</v>
      </c>
      <c r="F14" s="8" t="s">
        <v>117</v>
      </c>
      <c r="G14" s="8" t="s">
        <v>444</v>
      </c>
      <c r="H14" s="8" t="s">
        <v>475</v>
      </c>
    </row>
    <row r="15" customFormat="false" ht="15" hidden="false" customHeight="false" outlineLevel="0" collapsed="false">
      <c r="A15" s="8" t="n">
        <v>11</v>
      </c>
      <c r="B15" s="7" t="s">
        <v>113</v>
      </c>
      <c r="C15" s="8" t="n">
        <v>1</v>
      </c>
      <c r="D15" s="8" t="s">
        <v>444</v>
      </c>
      <c r="E15" s="8" t="s">
        <v>444</v>
      </c>
      <c r="F15" s="8" t="s">
        <v>476</v>
      </c>
      <c r="G15" s="8" t="s">
        <v>477</v>
      </c>
      <c r="H15" s="8" t="s">
        <v>478</v>
      </c>
    </row>
    <row r="16" customFormat="false" ht="15" hidden="false" customHeight="false" outlineLevel="0" collapsed="false">
      <c r="A16" s="8" t="n">
        <v>12</v>
      </c>
      <c r="B16" s="7" t="s">
        <v>479</v>
      </c>
      <c r="C16" s="8" t="n">
        <v>1</v>
      </c>
      <c r="D16" s="8" t="s">
        <v>444</v>
      </c>
      <c r="E16" s="8" t="s">
        <v>444</v>
      </c>
      <c r="F16" s="8" t="s">
        <v>480</v>
      </c>
      <c r="G16" s="8" t="s">
        <v>481</v>
      </c>
      <c r="H16" s="8" t="s">
        <v>482</v>
      </c>
    </row>
    <row r="17" customFormat="false" ht="23.85" hidden="false" customHeight="false" outlineLevel="0" collapsed="false">
      <c r="A17" s="8" t="n">
        <v>13</v>
      </c>
      <c r="B17" s="7" t="s">
        <v>114</v>
      </c>
      <c r="C17" s="8" t="n">
        <v>1</v>
      </c>
      <c r="D17" s="8" t="s">
        <v>444</v>
      </c>
      <c r="E17" s="8" t="s">
        <v>444</v>
      </c>
      <c r="F17" s="8" t="s">
        <v>119</v>
      </c>
      <c r="G17" s="8" t="s">
        <v>483</v>
      </c>
      <c r="H17" s="8" t="s">
        <v>484</v>
      </c>
    </row>
    <row r="18" customFormat="false" ht="15" hidden="false" customHeight="false" outlineLevel="0" collapsed="false">
      <c r="A18" s="8" t="n">
        <v>14</v>
      </c>
      <c r="B18" s="7" t="s">
        <v>485</v>
      </c>
      <c r="C18" s="8" t="n">
        <v>1</v>
      </c>
      <c r="D18" s="8" t="s">
        <v>114</v>
      </c>
      <c r="E18" s="8" t="s">
        <v>444</v>
      </c>
      <c r="F18" s="8" t="s">
        <v>486</v>
      </c>
      <c r="G18" s="8" t="s">
        <v>487</v>
      </c>
      <c r="H18" s="8" t="s">
        <v>488</v>
      </c>
    </row>
    <row r="19" customFormat="false" ht="15" hidden="false" customHeight="false" outlineLevel="0" collapsed="false">
      <c r="A19" s="8" t="n">
        <v>15</v>
      </c>
      <c r="B19" s="7" t="s">
        <v>118</v>
      </c>
      <c r="C19" s="8" t="n">
        <v>1</v>
      </c>
      <c r="D19" s="8" t="s">
        <v>444</v>
      </c>
      <c r="E19" s="8" t="s">
        <v>444</v>
      </c>
      <c r="F19" s="8" t="s">
        <v>489</v>
      </c>
      <c r="G19" s="8" t="s">
        <v>490</v>
      </c>
      <c r="H19" s="8" t="s">
        <v>491</v>
      </c>
    </row>
    <row r="20" customFormat="false" ht="15" hidden="false" customHeight="false" outlineLevel="0" collapsed="false">
      <c r="A20" s="8" t="n">
        <v>16</v>
      </c>
      <c r="B20" s="7" t="s">
        <v>492</v>
      </c>
      <c r="C20" s="8" t="n">
        <v>1</v>
      </c>
      <c r="D20" s="8" t="s">
        <v>444</v>
      </c>
      <c r="E20" s="8" t="s">
        <v>444</v>
      </c>
      <c r="F20" s="8" t="s">
        <v>493</v>
      </c>
      <c r="G20" s="8" t="s">
        <v>494</v>
      </c>
      <c r="H20" s="8" t="s">
        <v>188</v>
      </c>
    </row>
    <row r="21" customFormat="false" ht="15" hidden="false" customHeight="false" outlineLevel="0" collapsed="false">
      <c r="A21" s="8" t="n">
        <v>17</v>
      </c>
      <c r="B21" s="7" t="s">
        <v>119</v>
      </c>
      <c r="C21" s="8" t="n">
        <v>1</v>
      </c>
      <c r="D21" s="8" t="s">
        <v>114</v>
      </c>
      <c r="E21" s="8" t="s">
        <v>444</v>
      </c>
      <c r="F21" s="8" t="s">
        <v>495</v>
      </c>
      <c r="G21" s="8" t="s">
        <v>496</v>
      </c>
      <c r="H21" s="8" t="s">
        <v>497</v>
      </c>
    </row>
    <row r="22" customFormat="false" ht="15" hidden="false" customHeight="false" outlineLevel="0" collapsed="false">
      <c r="A22" s="8" t="n">
        <v>18</v>
      </c>
      <c r="B22" s="7" t="s">
        <v>121</v>
      </c>
      <c r="C22" s="8" t="n">
        <v>0</v>
      </c>
      <c r="D22" s="8" t="s">
        <v>444</v>
      </c>
      <c r="E22" s="8" t="s">
        <v>444</v>
      </c>
      <c r="F22" s="8" t="s">
        <v>498</v>
      </c>
      <c r="G22" s="8" t="s">
        <v>499</v>
      </c>
      <c r="H22" s="8" t="s">
        <v>500</v>
      </c>
    </row>
    <row r="23" customFormat="false" ht="23.85" hidden="false" customHeight="false" outlineLevel="0" collapsed="false">
      <c r="A23" s="8" t="n">
        <v>19</v>
      </c>
      <c r="B23" s="7" t="s">
        <v>112</v>
      </c>
      <c r="C23" s="8" t="n">
        <v>0</v>
      </c>
      <c r="D23" s="8" t="s">
        <v>444</v>
      </c>
      <c r="E23" s="8" t="s">
        <v>444</v>
      </c>
      <c r="F23" s="8" t="s">
        <v>501</v>
      </c>
      <c r="G23" s="8" t="s">
        <v>502</v>
      </c>
      <c r="H23" s="8" t="s">
        <v>503</v>
      </c>
    </row>
    <row r="24" customFormat="false" ht="23.85" hidden="false" customHeight="false" outlineLevel="0" collapsed="false">
      <c r="A24" s="8" t="n">
        <v>20</v>
      </c>
      <c r="B24" s="7" t="s">
        <v>117</v>
      </c>
      <c r="C24" s="8" t="n">
        <v>0</v>
      </c>
      <c r="D24" s="8" t="s">
        <v>444</v>
      </c>
      <c r="E24" s="8" t="s">
        <v>444</v>
      </c>
      <c r="F24" s="8" t="s">
        <v>504</v>
      </c>
      <c r="G24" s="8" t="s">
        <v>505</v>
      </c>
      <c r="H24" s="8" t="s">
        <v>506</v>
      </c>
    </row>
    <row r="25" customFormat="false" ht="15" hidden="false" customHeight="false" outlineLevel="0" collapsed="false">
      <c r="A25" s="8" t="n">
        <v>21</v>
      </c>
      <c r="B25" s="7" t="s">
        <v>507</v>
      </c>
      <c r="C25" s="8" t="n">
        <v>0</v>
      </c>
      <c r="D25" s="8" t="s">
        <v>119</v>
      </c>
      <c r="E25" s="8" t="s">
        <v>123</v>
      </c>
      <c r="F25" s="8" t="s">
        <v>508</v>
      </c>
      <c r="G25" s="8" t="s">
        <v>509</v>
      </c>
      <c r="H25" s="8" t="s">
        <v>510</v>
      </c>
    </row>
    <row r="26" customFormat="false" ht="15" hidden="false" customHeight="false" outlineLevel="0" collapsed="false">
      <c r="A26" s="8" t="n">
        <v>22</v>
      </c>
      <c r="B26" s="7" t="s">
        <v>511</v>
      </c>
      <c r="C26" s="8" t="n">
        <v>-1</v>
      </c>
      <c r="D26" s="8" t="s">
        <v>444</v>
      </c>
      <c r="E26" s="8" t="s">
        <v>444</v>
      </c>
      <c r="F26" s="8" t="s">
        <v>512</v>
      </c>
      <c r="G26" s="8" t="s">
        <v>513</v>
      </c>
      <c r="H26" s="8" t="s">
        <v>514</v>
      </c>
    </row>
    <row r="27" customFormat="false" ht="15" hidden="false" customHeight="false" outlineLevel="0" collapsed="false">
      <c r="A27" s="8" t="n">
        <v>23</v>
      </c>
      <c r="B27" s="7" t="s">
        <v>515</v>
      </c>
      <c r="C27" s="8" t="n">
        <v>-1</v>
      </c>
      <c r="D27" s="8" t="s">
        <v>119</v>
      </c>
      <c r="E27" s="8" t="s">
        <v>123</v>
      </c>
      <c r="F27" s="8" t="s">
        <v>516</v>
      </c>
      <c r="G27" s="8" t="s">
        <v>454</v>
      </c>
      <c r="H27" s="8" t="s">
        <v>296</v>
      </c>
    </row>
    <row r="28" customFormat="false" ht="15" hidden="false" customHeight="false" outlineLevel="0" collapsed="false">
      <c r="A28" s="8" t="n">
        <v>24</v>
      </c>
      <c r="B28" s="7" t="s">
        <v>122</v>
      </c>
      <c r="C28" s="8" t="n">
        <v>-1</v>
      </c>
      <c r="D28" s="8" t="s">
        <v>444</v>
      </c>
      <c r="E28" s="8" t="s">
        <v>444</v>
      </c>
      <c r="F28" s="8" t="s">
        <v>517</v>
      </c>
      <c r="G28" s="8" t="s">
        <v>518</v>
      </c>
      <c r="H28" s="8" t="s">
        <v>519</v>
      </c>
    </row>
    <row r="29" customFormat="false" ht="15" hidden="false" customHeight="false" outlineLevel="0" collapsed="false">
      <c r="A29" s="8" t="n">
        <v>25</v>
      </c>
      <c r="B29" s="7" t="s">
        <v>520</v>
      </c>
      <c r="C29" s="8" t="n">
        <v>-1</v>
      </c>
      <c r="D29" s="8" t="s">
        <v>444</v>
      </c>
      <c r="E29" s="8" t="s">
        <v>115</v>
      </c>
      <c r="F29" s="8" t="s">
        <v>521</v>
      </c>
      <c r="G29" s="8" t="s">
        <v>522</v>
      </c>
      <c r="H29" s="8" t="s">
        <v>523</v>
      </c>
    </row>
    <row r="30" customFormat="false" ht="15" hidden="false" customHeight="false" outlineLevel="0" collapsed="false">
      <c r="A30" s="8" t="n">
        <v>26</v>
      </c>
      <c r="B30" s="7" t="s">
        <v>115</v>
      </c>
      <c r="C30" s="8" t="n">
        <v>-1</v>
      </c>
      <c r="D30" s="8" t="s">
        <v>444</v>
      </c>
      <c r="E30" s="8" t="s">
        <v>444</v>
      </c>
      <c r="F30" s="8" t="s">
        <v>524</v>
      </c>
      <c r="G30" s="8" t="s">
        <v>525</v>
      </c>
      <c r="H30" s="8" t="s">
        <v>148</v>
      </c>
    </row>
    <row r="31" customFormat="false" ht="15" hidden="false" customHeight="false" outlineLevel="0" collapsed="false">
      <c r="A31" s="8" t="n">
        <v>27</v>
      </c>
      <c r="B31" s="7" t="s">
        <v>526</v>
      </c>
      <c r="C31" s="8" t="n">
        <v>-2</v>
      </c>
      <c r="D31" s="8" t="s">
        <v>444</v>
      </c>
      <c r="E31" s="8" t="s">
        <v>444</v>
      </c>
      <c r="F31" s="8" t="s">
        <v>527</v>
      </c>
      <c r="G31" s="8" t="s">
        <v>528</v>
      </c>
      <c r="H31" s="8" t="s">
        <v>529</v>
      </c>
    </row>
    <row r="32" customFormat="false" ht="15" hidden="false" customHeight="false" outlineLevel="0" collapsed="false">
      <c r="A32" s="8" t="n">
        <v>28</v>
      </c>
      <c r="B32" s="7" t="s">
        <v>530</v>
      </c>
      <c r="C32" s="8" t="n">
        <v>-2</v>
      </c>
      <c r="D32" s="8" t="s">
        <v>114</v>
      </c>
      <c r="E32" s="8" t="s">
        <v>531</v>
      </c>
      <c r="F32" s="8" t="s">
        <v>532</v>
      </c>
      <c r="G32" s="8" t="s">
        <v>533</v>
      </c>
      <c r="H32" s="8" t="s">
        <v>534</v>
      </c>
    </row>
    <row r="33" customFormat="false" ht="15" hidden="false" customHeight="false" outlineLevel="0" collapsed="false">
      <c r="A33" s="8" t="n">
        <v>29</v>
      </c>
      <c r="B33" s="7" t="s">
        <v>535</v>
      </c>
      <c r="C33" s="8" t="n">
        <v>-2</v>
      </c>
      <c r="D33" s="8" t="s">
        <v>444</v>
      </c>
      <c r="E33" s="8" t="s">
        <v>444</v>
      </c>
      <c r="F33" s="8" t="s">
        <v>536</v>
      </c>
      <c r="G33" s="8" t="s">
        <v>537</v>
      </c>
      <c r="H33" s="8" t="s">
        <v>538</v>
      </c>
    </row>
    <row r="34" customFormat="false" ht="23.85" hidden="false" customHeight="false" outlineLevel="0" collapsed="false">
      <c r="A34" s="8" t="n">
        <v>30</v>
      </c>
      <c r="B34" s="7" t="s">
        <v>539</v>
      </c>
      <c r="C34" s="8" t="n">
        <v>-2</v>
      </c>
      <c r="D34" s="8" t="s">
        <v>444</v>
      </c>
      <c r="E34" s="8" t="s">
        <v>122</v>
      </c>
      <c r="F34" s="8" t="s">
        <v>540</v>
      </c>
      <c r="G34" s="8" t="s">
        <v>541</v>
      </c>
      <c r="H34" s="8" t="s">
        <v>542</v>
      </c>
    </row>
    <row r="35" customFormat="false" ht="15" hidden="false" customHeight="false" outlineLevel="0" collapsed="false">
      <c r="A35" s="8" t="n">
        <v>31</v>
      </c>
      <c r="B35" s="7" t="s">
        <v>543</v>
      </c>
      <c r="C35" s="8" t="n">
        <v>-2</v>
      </c>
      <c r="D35" s="8" t="s">
        <v>114</v>
      </c>
      <c r="E35" s="8" t="s">
        <v>531</v>
      </c>
      <c r="F35" s="8" t="s">
        <v>532</v>
      </c>
      <c r="G35" s="8" t="s">
        <v>533</v>
      </c>
      <c r="H35" s="8" t="s">
        <v>544</v>
      </c>
    </row>
    <row r="36" customFormat="false" ht="15" hidden="false" customHeight="false" outlineLevel="0" collapsed="false">
      <c r="A36" s="8" t="n">
        <v>32</v>
      </c>
      <c r="B36" s="7" t="s">
        <v>545</v>
      </c>
      <c r="C36" s="8" t="n">
        <v>-2</v>
      </c>
      <c r="D36" s="8" t="s">
        <v>444</v>
      </c>
      <c r="E36" s="8" t="s">
        <v>444</v>
      </c>
      <c r="F36" s="8" t="s">
        <v>546</v>
      </c>
      <c r="G36" s="8" t="s">
        <v>547</v>
      </c>
      <c r="H36" s="8" t="s">
        <v>184</v>
      </c>
    </row>
    <row r="37" customFormat="false" ht="15" hidden="false" customHeight="false" outlineLevel="0" collapsed="false">
      <c r="A37" s="8" t="n">
        <v>33</v>
      </c>
      <c r="B37" s="7" t="s">
        <v>548</v>
      </c>
      <c r="C37" s="8" t="n">
        <v>-3</v>
      </c>
      <c r="D37" s="8" t="s">
        <v>119</v>
      </c>
      <c r="E37" s="8" t="s">
        <v>123</v>
      </c>
      <c r="F37" s="8" t="s">
        <v>549</v>
      </c>
      <c r="G37" s="8" t="s">
        <v>550</v>
      </c>
      <c r="H37" s="8" t="s">
        <v>551</v>
      </c>
    </row>
    <row r="38" customFormat="false" ht="23.85" hidden="false" customHeight="false" outlineLevel="0" collapsed="false">
      <c r="A38" s="8" t="n">
        <v>34</v>
      </c>
      <c r="B38" s="7" t="s">
        <v>552</v>
      </c>
      <c r="C38" s="8" t="n">
        <v>-7</v>
      </c>
      <c r="D38" s="8" t="s">
        <v>444</v>
      </c>
      <c r="E38" s="8" t="s">
        <v>553</v>
      </c>
      <c r="F38" s="8" t="s">
        <v>554</v>
      </c>
      <c r="G38" s="8" t="s">
        <v>555</v>
      </c>
      <c r="H38" s="8" t="s">
        <v>556</v>
      </c>
    </row>
  </sheetData>
  <conditionalFormatting sqref="C5:C38">
    <cfRule type="cellIs" priority="2" operator="greaterThanOrEqual" aboveAverage="0" equalAverage="0" bottom="0" percent="0" rank="0" text="" dxfId="6">
      <formula>3</formula>
    </cfRule>
    <cfRule type="cellIs" priority="3" operator="lessThanOrEqual" aboveAverage="0" equalAverage="0" bottom="0" percent="0" rank="0" text="" dxfId="12">
      <formula>-2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72"/>
  </cols>
  <sheetData>
    <row r="1" customFormat="false" ht="17.35" hidden="false" customHeight="false" outlineLevel="0" collapsed="false">
      <c r="A1" s="1" t="s">
        <v>557</v>
      </c>
    </row>
    <row r="2" customFormat="false" ht="15" hidden="false" customHeight="false" outlineLevel="0" collapsed="false">
      <c r="A2" s="2" t="s">
        <v>558</v>
      </c>
    </row>
    <row r="4" customFormat="false" ht="15" hidden="false" customHeight="false" outlineLevel="0" collapsed="false">
      <c r="A4" s="6" t="s">
        <v>559</v>
      </c>
      <c r="B4" s="6" t="s">
        <v>132</v>
      </c>
      <c r="C4" s="6" t="s">
        <v>560</v>
      </c>
      <c r="D4" s="6" t="s">
        <v>561</v>
      </c>
      <c r="E4" s="6" t="s">
        <v>435</v>
      </c>
      <c r="F4" s="6" t="s">
        <v>264</v>
      </c>
      <c r="G4" s="6" t="s">
        <v>267</v>
      </c>
      <c r="H4" s="6" t="s">
        <v>562</v>
      </c>
      <c r="I4" s="6" t="s">
        <v>563</v>
      </c>
    </row>
    <row r="5" customFormat="false" ht="51.75" hidden="false" customHeight="true" outlineLevel="0" collapsed="false">
      <c r="A5" s="7" t="s">
        <v>429</v>
      </c>
      <c r="B5" s="8" t="n">
        <v>18</v>
      </c>
      <c r="C5" s="8" t="s">
        <v>197</v>
      </c>
      <c r="D5" s="8" t="s">
        <v>564</v>
      </c>
      <c r="E5" s="8" t="s">
        <v>469</v>
      </c>
      <c r="F5" s="21" t="n">
        <v>22</v>
      </c>
      <c r="G5" s="21" t="n">
        <v>21</v>
      </c>
      <c r="H5" s="25" t="s">
        <v>565</v>
      </c>
      <c r="I5" s="8" t="s">
        <v>566</v>
      </c>
    </row>
    <row r="6" customFormat="false" ht="51.75" hidden="false" customHeight="true" outlineLevel="0" collapsed="false">
      <c r="A6" s="7" t="s">
        <v>567</v>
      </c>
      <c r="B6" s="8" t="n">
        <v>10</v>
      </c>
      <c r="C6" s="8" t="s">
        <v>177</v>
      </c>
      <c r="D6" s="8" t="s">
        <v>568</v>
      </c>
      <c r="E6" s="8" t="s">
        <v>485</v>
      </c>
      <c r="F6" s="21" t="n">
        <v>22</v>
      </c>
      <c r="G6" s="21" t="n">
        <v>43</v>
      </c>
      <c r="H6" s="25" t="s">
        <v>565</v>
      </c>
      <c r="I6" s="8" t="s">
        <v>569</v>
      </c>
    </row>
    <row r="7" customFormat="false" ht="51.75" hidden="false" customHeight="true" outlineLevel="0" collapsed="false">
      <c r="A7" s="7" t="s">
        <v>137</v>
      </c>
      <c r="B7" s="8" t="n">
        <v>11</v>
      </c>
      <c r="C7" s="8" t="s">
        <v>282</v>
      </c>
      <c r="D7" s="8" t="s">
        <v>570</v>
      </c>
      <c r="E7" s="8" t="s">
        <v>543</v>
      </c>
      <c r="F7" s="21" t="n">
        <v>24</v>
      </c>
      <c r="G7" s="21" t="n">
        <v>47</v>
      </c>
      <c r="H7" s="25" t="s">
        <v>565</v>
      </c>
      <c r="I7" s="8" t="s">
        <v>571</v>
      </c>
    </row>
    <row r="8" customFormat="false" ht="51.75" hidden="false" customHeight="true" outlineLevel="0" collapsed="false">
      <c r="A8" s="7" t="s">
        <v>378</v>
      </c>
      <c r="B8" s="8" t="n">
        <v>13</v>
      </c>
      <c r="C8" s="8" t="s">
        <v>168</v>
      </c>
      <c r="D8" s="8" t="s">
        <v>572</v>
      </c>
      <c r="E8" s="8" t="s">
        <v>507</v>
      </c>
      <c r="F8" s="21" t="n">
        <v>15</v>
      </c>
      <c r="G8" s="21" t="n">
        <v>34</v>
      </c>
      <c r="H8" s="25" t="s">
        <v>565</v>
      </c>
      <c r="I8" s="8" t="s">
        <v>573</v>
      </c>
    </row>
    <row r="9" customFormat="false" ht="51.75" hidden="false" customHeight="true" outlineLevel="0" collapsed="false">
      <c r="A9" s="7" t="s">
        <v>369</v>
      </c>
      <c r="B9" s="8" t="n">
        <v>12</v>
      </c>
      <c r="C9" s="8" t="s">
        <v>294</v>
      </c>
      <c r="D9" s="8" t="s">
        <v>574</v>
      </c>
      <c r="E9" s="8" t="s">
        <v>111</v>
      </c>
      <c r="F9" s="21" t="n">
        <v>21</v>
      </c>
      <c r="G9" s="21" t="n">
        <v>7</v>
      </c>
      <c r="H9" s="25" t="s">
        <v>565</v>
      </c>
      <c r="I9" s="8" t="s">
        <v>575</v>
      </c>
    </row>
    <row r="10" customFormat="false" ht="51.75" hidden="false" customHeight="true" outlineLevel="0" collapsed="false">
      <c r="A10" s="7" t="s">
        <v>84</v>
      </c>
      <c r="B10" s="8" t="n">
        <v>19</v>
      </c>
      <c r="C10" s="8" t="s">
        <v>84</v>
      </c>
      <c r="D10" s="8" t="s">
        <v>576</v>
      </c>
      <c r="E10" s="8" t="s">
        <v>114</v>
      </c>
      <c r="F10" s="21" t="n">
        <v>15</v>
      </c>
      <c r="G10" s="21" t="n">
        <v>50</v>
      </c>
      <c r="H10" s="25" t="s">
        <v>577</v>
      </c>
      <c r="I10" s="8" t="s">
        <v>578</v>
      </c>
    </row>
    <row r="11" customFormat="false" ht="51.75" hidden="false" customHeight="true" outlineLevel="0" collapsed="false">
      <c r="A11" s="7" t="s">
        <v>425</v>
      </c>
      <c r="B11" s="8" t="n">
        <v>12</v>
      </c>
      <c r="C11" s="8" t="s">
        <v>200</v>
      </c>
      <c r="D11" s="8" t="s">
        <v>579</v>
      </c>
      <c r="E11" s="8" t="s">
        <v>451</v>
      </c>
      <c r="F11" s="21" t="n">
        <v>11</v>
      </c>
      <c r="G11" s="21" t="n">
        <v>40</v>
      </c>
      <c r="H11" s="25" t="s">
        <v>580</v>
      </c>
      <c r="I11" s="8" t="s">
        <v>581</v>
      </c>
    </row>
    <row r="12" customFormat="false" ht="51.75" hidden="false" customHeight="true" outlineLevel="0" collapsed="false">
      <c r="A12" s="7" t="s">
        <v>141</v>
      </c>
      <c r="B12" s="8" t="n">
        <v>12</v>
      </c>
      <c r="C12" s="8" t="s">
        <v>344</v>
      </c>
      <c r="D12" s="8" t="s">
        <v>582</v>
      </c>
      <c r="E12" s="8" t="s">
        <v>113</v>
      </c>
      <c r="F12" s="21" t="n">
        <v>16</v>
      </c>
      <c r="G12" s="21" t="n">
        <v>29</v>
      </c>
      <c r="H12" s="25" t="s">
        <v>580</v>
      </c>
      <c r="I12" s="8" t="s">
        <v>583</v>
      </c>
    </row>
    <row r="13" customFormat="false" ht="51.75" hidden="false" customHeight="true" outlineLevel="0" collapsed="false">
      <c r="A13" s="7" t="s">
        <v>397</v>
      </c>
      <c r="B13" s="8" t="n">
        <v>5</v>
      </c>
      <c r="C13" s="8" t="s">
        <v>169</v>
      </c>
      <c r="D13" s="8" t="s">
        <v>584</v>
      </c>
      <c r="E13" s="8" t="s">
        <v>112</v>
      </c>
      <c r="F13" s="21" t="n">
        <v>16</v>
      </c>
      <c r="G13" s="21" t="n">
        <v>30</v>
      </c>
      <c r="H13" s="25" t="s">
        <v>580</v>
      </c>
      <c r="I13" s="8" t="s">
        <v>585</v>
      </c>
    </row>
    <row r="14" customFormat="false" ht="51.75" hidden="false" customHeight="true" outlineLevel="0" collapsed="false">
      <c r="A14" s="7" t="s">
        <v>395</v>
      </c>
      <c r="B14" s="8" t="n">
        <v>13</v>
      </c>
      <c r="C14" s="8" t="s">
        <v>401</v>
      </c>
      <c r="D14" s="8" t="s">
        <v>586</v>
      </c>
      <c r="E14" s="8" t="s">
        <v>552</v>
      </c>
      <c r="F14" s="21" t="n">
        <v>13</v>
      </c>
      <c r="G14" s="21" t="n">
        <v>50</v>
      </c>
      <c r="H14" s="25" t="s">
        <v>587</v>
      </c>
      <c r="I14" s="8" t="s">
        <v>588</v>
      </c>
    </row>
    <row r="15" customFormat="false" ht="51.75" hidden="false" customHeight="true" outlineLevel="0" collapsed="false">
      <c r="A15" s="7" t="s">
        <v>404</v>
      </c>
      <c r="B15" s="8" t="n">
        <v>18</v>
      </c>
      <c r="C15" s="8" t="s">
        <v>404</v>
      </c>
      <c r="D15" s="8" t="s">
        <v>589</v>
      </c>
      <c r="E15" s="8" t="s">
        <v>535</v>
      </c>
      <c r="F15" s="21" t="n">
        <v>5</v>
      </c>
      <c r="G15" s="21" t="n">
        <v>53</v>
      </c>
      <c r="H15" s="25" t="s">
        <v>587</v>
      </c>
      <c r="I15" s="8" t="s">
        <v>590</v>
      </c>
    </row>
  </sheetData>
  <conditionalFormatting sqref="H5:H15">
    <cfRule type="cellIs" priority="2" operator="equal" aboveAverage="0" equalAverage="0" bottom="0" percent="0" rank="0" text="" dxfId="6">
      <formula>"CORE"</formula>
    </cfRule>
    <cfRule type="cellIs" priority="3" operator="equal" aboveAverage="0" equalAverage="0" bottom="0" percent="0" rank="0" text="" dxfId="12">
      <formula>"BOX"</formula>
    </cfRule>
    <cfRule type="cellIs" priority="4" operator="equal" aboveAverage="0" equalAverage="0" bottom="0" percent="0" rank="0" text="" dxfId="8">
      <formula>"BENCH"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2026-07-13T21:17:05Z</dcterms:created>
  <dc:creator>openpyxl</dc:creator>
  <dc:description/>
  <dc:language>en-US</dc:language>
  <cp:lastModifiedBy/>
  <dcterms:modified xsi:type="dcterms:W3CDTF">2026-07-13T21:17:05Z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