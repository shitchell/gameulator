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ype Chart" sheetId="2" state="visible" r:id="rId4"/>
    <sheet name="Gen1 Quirks" sheetId="3" state="visible" r:id="rId5"/>
    <sheet name="Pokedex" sheetId="4" state="visible" r:id="rId6"/>
    <sheet name="Effectiveness" sheetId="5" state="visible" r:id="rId7"/>
    <sheet name="Yellow Bosses" sheetId="6" state="visible" r:id="rId8"/>
    <sheet name="Move Reality" sheetId="7" state="visible" r:id="rId9"/>
    <sheet name="Type Scorecard" sheetId="8" state="visible" r:id="rId10"/>
    <sheet name="Combo Search" sheetId="9" state="visible" r:id="rId11"/>
    <sheet name="Recommended Team" sheetId="10" state="visible" r:id="rId12"/>
  </sheets>
  <definedNames>
    <definedName function="false" hidden="true" localSheetId="8" name="_xlnm._FilterDatabase" vbProcedure="false">'Combo Search'!$A$4:$M$1369</definedName>
    <definedName function="false" hidden="true" localSheetId="7" name="_xlnm._FilterDatabase" vbProcedure="false">'Type Scorecard'!$A$4:$M$19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<sst xmlns="http://schemas.openxmlformats.org/spreadsheetml/2006/main" count="6564" uniqueCount="394">
  <si>
    <t xml:space="preserve">Pokemon Yellow — Type Coverage Model</t>
  </si>
  <si>
    <t xml:space="preserve">Generation 1 rules. Every number in this workbook is a live formula; edit the Type Chart and everything downstream recalculates.</t>
  </si>
  <si>
    <t xml:space="preserve">HOW TO USE</t>
  </si>
  <si>
    <t xml:space="preserve">Type Chart</t>
  </si>
  <si>
    <t xml:space="preserve">The Gen 1 matrix. BLUE cells are the only hardcoded inputs in the workbook. Change one and every other sheet updates.</t>
  </si>
  <si>
    <t xml:space="preserve">Gen1 Quirks</t>
  </si>
  <si>
    <t xml:space="preserve">Read this FIRST. Gen 1 is not modern Pokemon. Five differences will actively mislead you if you play on instinct.</t>
  </si>
  <si>
    <t xml:space="preserve">Pokedex</t>
  </si>
  <si>
    <t xml:space="preserve">All 151 with types.</t>
  </si>
  <si>
    <t xml:space="preserve">Effectiveness</t>
  </si>
  <si>
    <t xml:space="preserve">151 x 15 grid: what each attacking type does to each species. The engine room.</t>
  </si>
  <si>
    <t xml:space="preserve">Type Scorecard</t>
  </si>
  <si>
    <t xml:space="preserve">Per attacking type: raw coverage vs. the full dex AND vs. Yellow's 49 boss Pokemon, then discounted by whether Gen 1 gives you a move worth using.</t>
  </si>
  <si>
    <t xml:space="preserve">Yellow Bosses</t>
  </si>
  <si>
    <t xml:space="preserve">All 49 Pokemon across 8 gyms + Elite Four + Champion, with every type's multiplier against them. Yellow-specific rosters (they differ from Red/Blue).</t>
  </si>
  <si>
    <t xml:space="preserve">Move Reality</t>
  </si>
  <si>
    <t xml:space="preserve">The layer that matters. A type's coverage is worthless if its best move is 20 base power.</t>
  </si>
  <si>
    <t xml:space="preserve">Combo Search</t>
  </si>
  <si>
    <t xml:space="preserve">Brute force: all 1,365 four-type combinations, scored against the actual boss gauntlet.</t>
  </si>
  <si>
    <t xml:space="preserve">Recommended Team</t>
  </si>
  <si>
    <t xml:space="preserve">The conclusion.</t>
  </si>
  <si>
    <t xml:space="preserve">SCORING</t>
  </si>
  <si>
    <t xml:space="preserve">Boss SE</t>
  </si>
  <si>
    <t xml:space="preserve">Count of the 49 boss Pokemon hit for 2x or better by at least one type in the set.</t>
  </si>
  <si>
    <t xml:space="preserve">Walled</t>
  </si>
  <si>
    <t xml:space="preserve">Count of bosses where EVERY type in the set is resisted or immune. Zero is the goal.</t>
  </si>
  <si>
    <t xml:space="preserve">Move Viability</t>
  </si>
  <si>
    <t xml:space="preserve">0-10, hand-scored. Reflects base power, accuracy, whether a TM/HM exists in Yellow, and Gen 1's physical/special split by type. Documented per-move on 'Move Reality'.</t>
  </si>
  <si>
    <t xml:space="preserve">Practical Score</t>
  </si>
  <si>
    <t xml:space="preserve">Boss SE % x Move Viability / 10. Punishes types that look great on the chart but have no move to exploit it (looking at you, Bug).</t>
  </si>
  <si>
    <t xml:space="preserve">SOURCES</t>
  </si>
  <si>
    <t xml:space="preserve">Boss rosters</t>
  </si>
  <si>
    <t xml:space="preserve">dittobase.com/yellow/gym-leaders-elite-four — Yellow-specific teams. Notable Yellow deviations: Lt. Surge is a lone Lv28 Raichu; Koga runs three Venonat + Venomoth (not Koffing/Muk); Sabrina is the pure Abra line at Lv50.</t>
  </si>
  <si>
    <t xml:space="preserve">Type chart / mechanics</t>
  </si>
  <si>
    <t xml:space="preserve">Generation 1 rules as shipped, bugs included.</t>
  </si>
  <si>
    <t xml:space="preserve">Champion caveat</t>
  </si>
  <si>
    <t xml:space="preserve">Blue's team has 3 variants keyed to his Eevee's evolution. The Vaporeon branch is modeled here. The other two swap that one slot for Jolteon or Flareon; it does not change any conclusion.</t>
  </si>
  <si>
    <t xml:space="preserve">Generation 1 Type Chart</t>
  </si>
  <si>
    <t xml:space="preserve">Rows = ATTACKING type. Columns = DEFENDING type. Blue = hardcoded input (the only ones in this file). Red fill = Gen 1 deviates from modern here.</t>
  </si>
  <si>
    <t xml:space="preserve">ATK \ DEF</t>
  </si>
  <si>
    <t xml:space="preserve">Normal</t>
  </si>
  <si>
    <t xml:space="preserve">Fire</t>
  </si>
  <si>
    <t xml:space="preserve">Water</t>
  </si>
  <si>
    <t xml:space="preserve">Electric</t>
  </si>
  <si>
    <t xml:space="preserve">Grass</t>
  </si>
  <si>
    <t xml:space="preserve">Ice</t>
  </si>
  <si>
    <t xml:space="preserve">Fighting</t>
  </si>
  <si>
    <t xml:space="preserve">Poison</t>
  </si>
  <si>
    <t xml:space="preserve">Ground</t>
  </si>
  <si>
    <t xml:space="preserve">Flying</t>
  </si>
  <si>
    <t xml:space="preserve">Psychic</t>
  </si>
  <si>
    <t xml:space="preserve">Bug</t>
  </si>
  <si>
    <t xml:space="preserve">Rock</t>
  </si>
  <si>
    <t xml:space="preserve">Ghost</t>
  </si>
  <si>
    <t xml:space="preserve">Dragon</t>
  </si>
  <si>
    <t xml:space="preserve">Green = super effective (2x) | Yellow = resisted (0.5x) | Black = immune (0x) | RED = differs from modern Pokemon</t>
  </si>
  <si>
    <t xml:space="preserve">Gen 1 vs. Modern — What Will Trip You Up</t>
  </si>
  <si>
    <t xml:space="preserve">If you learned Pokemon after 1999, these five rules are counterintuitive and they matter.</t>
  </si>
  <si>
    <t xml:space="preserve">Interaction</t>
  </si>
  <si>
    <t xml:space="preserve">Gen 1 (Yellow)</t>
  </si>
  <si>
    <t xml:space="preserve">Modern</t>
  </si>
  <si>
    <t xml:space="preserve">Why you care</t>
  </si>
  <si>
    <t xml:space="preserve">Ghost -&gt; Psychic</t>
  </si>
  <si>
    <t xml:space="preserve">0x (was meant to be 2x)</t>
  </si>
  <si>
    <t xml:space="preserve">2x</t>
  </si>
  <si>
    <t xml:space="preserve">The single most famous Gen 1 bug. Ghost moves literally cannot touch Psychic. Sabrina/Alakazam have NO exploitable weakness.</t>
  </si>
  <si>
    <t xml:space="preserve">Bug -&gt; Psychic</t>
  </si>
  <si>
    <t xml:space="preserve">Bug is Psychic's only working weakness in Gen 1 -- but every Bug move is garbage (Twineedle 25, Pin Missile 14, Leech Life 20). Coverage that exists on paper only.</t>
  </si>
  <si>
    <t xml:space="preserve">Poison -&gt; Bug</t>
  </si>
  <si>
    <t xml:space="preserve">1x</t>
  </si>
  <si>
    <t xml:space="preserve">Gen 1 only. Poison beats Bug.</t>
  </si>
  <si>
    <t xml:space="preserve">Bug -&gt; Poison</t>
  </si>
  <si>
    <t xml:space="preserve">Gen 1 only, and it goes BOTH ways. Bug beats Poison too.</t>
  </si>
  <si>
    <t xml:space="preserve">Ice -&gt; Fire</t>
  </si>
  <si>
    <t xml:space="preserve">0.5x</t>
  </si>
  <si>
    <t xml:space="preserve">Fire does NOT resist Ice in Gen 1. Blizzard hits Blaine's whole gym for neutral.</t>
  </si>
  <si>
    <t xml:space="preserve">Dragon -&gt; Dragon</t>
  </si>
  <si>
    <t xml:space="preserve">Moot: the only Dragon move in Gen 1 is Dragon Rage, fixed 40 damage.</t>
  </si>
  <si>
    <t xml:space="preserve">No Dark / Steel / Fairy</t>
  </si>
  <si>
    <t xml:space="preserve">n/a</t>
  </si>
  <si>
    <t xml:space="preserve">exists</t>
  </si>
  <si>
    <t xml:space="preserve">Only 15 types. Psychic has no counterplay because the types that would check it don't exist yet.</t>
  </si>
  <si>
    <t xml:space="preserve">Physical/Special split</t>
  </si>
  <si>
    <t xml:space="preserve">Does not exist</t>
  </si>
  <si>
    <t xml:space="preserve">Per-move</t>
  </si>
  <si>
    <t xml:space="preserve">Type determines category. Normal/Fighting/Flying/Ground/Rock/Bug/Ghost/Poison = Physical (uses Attack). Water/Grass/Fire/Ice/Electric/Psychic/Dragon = Special. A Pokemon's ONE Special stat is both its special attack AND special defense.</t>
  </si>
  <si>
    <t xml:space="preserve">Kanto Pokedex — Types</t>
  </si>
  <si>
    <t xml:space="preserve">Reference table. Type 2 blank = single-typed.</t>
  </si>
  <si>
    <t xml:space="preserve">#</t>
  </si>
  <si>
    <t xml:space="preserve">Name</t>
  </si>
  <si>
    <t xml:space="preserve">Type 1</t>
  </si>
  <si>
    <t xml:space="preserve">Type 2</t>
  </si>
  <si>
    <t xml:space="preserve">Bulbasaur</t>
  </si>
  <si>
    <t xml:space="preserve">Ivysaur</t>
  </si>
  <si>
    <t xml:space="preserve">Venusaur</t>
  </si>
  <si>
    <t xml:space="preserve">Charmander</t>
  </si>
  <si>
    <t xml:space="preserve">Charmeleon</t>
  </si>
  <si>
    <t xml:space="preserve">Charizard</t>
  </si>
  <si>
    <t xml:space="preserve">Squirtle</t>
  </si>
  <si>
    <t xml:space="preserve">Wartortle</t>
  </si>
  <si>
    <t xml:space="preserve">Blastoise</t>
  </si>
  <si>
    <t xml:space="preserve">Caterpie</t>
  </si>
  <si>
    <t xml:space="preserve">Metapod</t>
  </si>
  <si>
    <t xml:space="preserve">Butterfree</t>
  </si>
  <si>
    <t xml:space="preserve">Weedle</t>
  </si>
  <si>
    <t xml:space="preserve">Kakuna</t>
  </si>
  <si>
    <t xml:space="preserve">Beedrill</t>
  </si>
  <si>
    <t xml:space="preserve">Pidgey</t>
  </si>
  <si>
    <t xml:space="preserve">Pidgeotto</t>
  </si>
  <si>
    <t xml:space="preserve">Pidgeot</t>
  </si>
  <si>
    <t xml:space="preserve">Rattata</t>
  </si>
  <si>
    <t xml:space="preserve">Raticate</t>
  </si>
  <si>
    <t xml:space="preserve">Spearow</t>
  </si>
  <si>
    <t xml:space="preserve">Fearow</t>
  </si>
  <si>
    <t xml:space="preserve">Ekans</t>
  </si>
  <si>
    <t xml:space="preserve">Arbok</t>
  </si>
  <si>
    <t xml:space="preserve">Pikachu</t>
  </si>
  <si>
    <t xml:space="preserve">Raichu</t>
  </si>
  <si>
    <t xml:space="preserve">Sandshrew</t>
  </si>
  <si>
    <t xml:space="preserve">Sandslash</t>
  </si>
  <si>
    <t xml:space="preserve">Nidoran-F</t>
  </si>
  <si>
    <t xml:space="preserve">Nidorina</t>
  </si>
  <si>
    <t xml:space="preserve">Nidoqueen</t>
  </si>
  <si>
    <t xml:space="preserve">Nidoran-M</t>
  </si>
  <si>
    <t xml:space="preserve">Nidorino</t>
  </si>
  <si>
    <t xml:space="preserve">Nidoking</t>
  </si>
  <si>
    <t xml:space="preserve">Clefairy</t>
  </si>
  <si>
    <t xml:space="preserve">Clefable</t>
  </si>
  <si>
    <t xml:space="preserve">Vulpix</t>
  </si>
  <si>
    <t xml:space="preserve">Ninetales</t>
  </si>
  <si>
    <t xml:space="preserve">Jigglypuff</t>
  </si>
  <si>
    <t xml:space="preserve">Wigglytuff</t>
  </si>
  <si>
    <t xml:space="preserve">Zubat</t>
  </si>
  <si>
    <t xml:space="preserve">Golbat</t>
  </si>
  <si>
    <t xml:space="preserve">Oddish</t>
  </si>
  <si>
    <t xml:space="preserve">Gloom</t>
  </si>
  <si>
    <t xml:space="preserve">Vileplume</t>
  </si>
  <si>
    <t xml:space="preserve">Paras</t>
  </si>
  <si>
    <t xml:space="preserve">Parasect</t>
  </si>
  <si>
    <t xml:space="preserve">Venonat</t>
  </si>
  <si>
    <t xml:space="preserve">Venomoth</t>
  </si>
  <si>
    <t xml:space="preserve">Diglett</t>
  </si>
  <si>
    <t xml:space="preserve">Dugtrio</t>
  </si>
  <si>
    <t xml:space="preserve">Meowth</t>
  </si>
  <si>
    <t xml:space="preserve">Persian</t>
  </si>
  <si>
    <t xml:space="preserve">Psyduck</t>
  </si>
  <si>
    <t xml:space="preserve">Golduck</t>
  </si>
  <si>
    <t xml:space="preserve">Mankey</t>
  </si>
  <si>
    <t xml:space="preserve">Primeape</t>
  </si>
  <si>
    <t xml:space="preserve">Growlithe</t>
  </si>
  <si>
    <t xml:space="preserve">Arcanine</t>
  </si>
  <si>
    <t xml:space="preserve">Poliwag</t>
  </si>
  <si>
    <t xml:space="preserve">Poliwhirl</t>
  </si>
  <si>
    <t xml:space="preserve">Poliwrath</t>
  </si>
  <si>
    <t xml:space="preserve">Abra</t>
  </si>
  <si>
    <t xml:space="preserve">Kadabra</t>
  </si>
  <si>
    <t xml:space="preserve">Alakazam</t>
  </si>
  <si>
    <t xml:space="preserve">Machop</t>
  </si>
  <si>
    <t xml:space="preserve">Machoke</t>
  </si>
  <si>
    <t xml:space="preserve">Machamp</t>
  </si>
  <si>
    <t xml:space="preserve">Bellsprout</t>
  </si>
  <si>
    <t xml:space="preserve">Weepinbell</t>
  </si>
  <si>
    <t xml:space="preserve">Victreebel</t>
  </si>
  <si>
    <t xml:space="preserve">Tentacool</t>
  </si>
  <si>
    <t xml:space="preserve">Tentacruel</t>
  </si>
  <si>
    <t xml:space="preserve">Geodude</t>
  </si>
  <si>
    <t xml:space="preserve">Graveler</t>
  </si>
  <si>
    <t xml:space="preserve">Golem</t>
  </si>
  <si>
    <t xml:space="preserve">Ponyta</t>
  </si>
  <si>
    <t xml:space="preserve">Rapidash</t>
  </si>
  <si>
    <t xml:space="preserve">Slowpoke</t>
  </si>
  <si>
    <t xml:space="preserve">Slowbro</t>
  </si>
  <si>
    <t xml:space="preserve">Magnemite</t>
  </si>
  <si>
    <t xml:space="preserve">Magneton</t>
  </si>
  <si>
    <t xml:space="preserve">Farfetch'd</t>
  </si>
  <si>
    <t xml:space="preserve">Doduo</t>
  </si>
  <si>
    <t xml:space="preserve">Dodrio</t>
  </si>
  <si>
    <t xml:space="preserve">Seel</t>
  </si>
  <si>
    <t xml:space="preserve">Dewgong</t>
  </si>
  <si>
    <t xml:space="preserve">Grimer</t>
  </si>
  <si>
    <t xml:space="preserve">Muk</t>
  </si>
  <si>
    <t xml:space="preserve">Shellder</t>
  </si>
  <si>
    <t xml:space="preserve">Cloyster</t>
  </si>
  <si>
    <t xml:space="preserve">Gastly</t>
  </si>
  <si>
    <t xml:space="preserve">Haunter</t>
  </si>
  <si>
    <t xml:space="preserve">Gengar</t>
  </si>
  <si>
    <t xml:space="preserve">Onix</t>
  </si>
  <si>
    <t xml:space="preserve">Drowzee</t>
  </si>
  <si>
    <t xml:space="preserve">Hypno</t>
  </si>
  <si>
    <t xml:space="preserve">Krabby</t>
  </si>
  <si>
    <t xml:space="preserve">Kingler</t>
  </si>
  <si>
    <t xml:space="preserve">Voltorb</t>
  </si>
  <si>
    <t xml:space="preserve">Electrode</t>
  </si>
  <si>
    <t xml:space="preserve">Exeggcute</t>
  </si>
  <si>
    <t xml:space="preserve">Exeggutor</t>
  </si>
  <si>
    <t xml:space="preserve">Cubone</t>
  </si>
  <si>
    <t xml:space="preserve">Marowak</t>
  </si>
  <si>
    <t xml:space="preserve">Hitmonlee</t>
  </si>
  <si>
    <t xml:space="preserve">Hitmonchan</t>
  </si>
  <si>
    <t xml:space="preserve">Lickitung</t>
  </si>
  <si>
    <t xml:space="preserve">Koffing</t>
  </si>
  <si>
    <t xml:space="preserve">Weezing</t>
  </si>
  <si>
    <t xml:space="preserve">Rhyhorn</t>
  </si>
  <si>
    <t xml:space="preserve">Rhydon</t>
  </si>
  <si>
    <t xml:space="preserve">Chansey</t>
  </si>
  <si>
    <t xml:space="preserve">Tangela</t>
  </si>
  <si>
    <t xml:space="preserve">Kangaskhan</t>
  </si>
  <si>
    <t xml:space="preserve">Horsea</t>
  </si>
  <si>
    <t xml:space="preserve">Seadra</t>
  </si>
  <si>
    <t xml:space="preserve">Goldeen</t>
  </si>
  <si>
    <t xml:space="preserve">Seaking</t>
  </si>
  <si>
    <t xml:space="preserve">Staryu</t>
  </si>
  <si>
    <t xml:space="preserve">Starmie</t>
  </si>
  <si>
    <t xml:space="preserve">Mr. Mime</t>
  </si>
  <si>
    <t xml:space="preserve">Scyther</t>
  </si>
  <si>
    <t xml:space="preserve">Jynx</t>
  </si>
  <si>
    <t xml:space="preserve">Electabuzz</t>
  </si>
  <si>
    <t xml:space="preserve">Magmar</t>
  </si>
  <si>
    <t xml:space="preserve">Pinsir</t>
  </si>
  <si>
    <t xml:space="preserve">Tauros</t>
  </si>
  <si>
    <t xml:space="preserve">Magikarp</t>
  </si>
  <si>
    <t xml:space="preserve">Gyarados</t>
  </si>
  <si>
    <t xml:space="preserve">Lapras</t>
  </si>
  <si>
    <t xml:space="preserve">Ditto</t>
  </si>
  <si>
    <t xml:space="preserve">Eevee</t>
  </si>
  <si>
    <t xml:space="preserve">Vaporeon</t>
  </si>
  <si>
    <t xml:space="preserve">Jolteon</t>
  </si>
  <si>
    <t xml:space="preserve">Flareon</t>
  </si>
  <si>
    <t xml:space="preserve">Porygon</t>
  </si>
  <si>
    <t xml:space="preserve">Omanyte</t>
  </si>
  <si>
    <t xml:space="preserve">Omastar</t>
  </si>
  <si>
    <t xml:space="preserve">Kabuto</t>
  </si>
  <si>
    <t xml:space="preserve">Kabutops</t>
  </si>
  <si>
    <t xml:space="preserve">Aerodactyl</t>
  </si>
  <si>
    <t xml:space="preserve">Snorlax</t>
  </si>
  <si>
    <t xml:space="preserve">Articuno</t>
  </si>
  <si>
    <t xml:space="preserve">Zapdos</t>
  </si>
  <si>
    <t xml:space="preserve">Moltres</t>
  </si>
  <si>
    <t xml:space="preserve">Dratini</t>
  </si>
  <si>
    <t xml:space="preserve">Dragonair</t>
  </si>
  <si>
    <t xml:space="preserve">Dragonite</t>
  </si>
  <si>
    <t xml:space="preserve">Mewtwo</t>
  </si>
  <si>
    <t xml:space="preserve">Mew</t>
  </si>
  <si>
    <t xml:space="preserve">Damage Multiplier — Every Attacking Type vs. All 151</t>
  </si>
  <si>
    <t xml:space="preserve">Live INDEX/MATCH against 'Type Chart'. Column letters E:S map to the 15 attacking types.</t>
  </si>
  <si>
    <t xml:space="preserve">The Yellow Gauntlet — 49 Boss Pokemon</t>
  </si>
  <si>
    <t xml:space="preserve">8 Gym Leaders + Elite Four + Champion. Yellow rosters (NOT Red/Blue). Multipliers are live formulas.</t>
  </si>
  <si>
    <t xml:space="preserve">Trainer</t>
  </si>
  <si>
    <t xml:space="preserve">Stage</t>
  </si>
  <si>
    <t xml:space="preserve">Pokemon</t>
  </si>
  <si>
    <t xml:space="preserve">Lv</t>
  </si>
  <si>
    <t xml:space="preserve">Ace</t>
  </si>
  <si>
    <t xml:space="preserve">Brock</t>
  </si>
  <si>
    <t xml:space="preserve">Gym 1</t>
  </si>
  <si>
    <t xml:space="preserve">ACE</t>
  </si>
  <si>
    <t xml:space="preserve">Misty</t>
  </si>
  <si>
    <t xml:space="preserve">Gym 2</t>
  </si>
  <si>
    <t xml:space="preserve">Lt. Surge</t>
  </si>
  <si>
    <t xml:space="preserve">Gym 3</t>
  </si>
  <si>
    <t xml:space="preserve">Erika</t>
  </si>
  <si>
    <t xml:space="preserve">Gym 4</t>
  </si>
  <si>
    <t xml:space="preserve">Koga</t>
  </si>
  <si>
    <t xml:space="preserve">Gym 5</t>
  </si>
  <si>
    <t xml:space="preserve">Sabrina</t>
  </si>
  <si>
    <t xml:space="preserve">Gym 6</t>
  </si>
  <si>
    <t xml:space="preserve">Blaine</t>
  </si>
  <si>
    <t xml:space="preserve">Gym 7</t>
  </si>
  <si>
    <t xml:space="preserve">Giovanni</t>
  </si>
  <si>
    <t xml:space="preserve">Gym 8</t>
  </si>
  <si>
    <t xml:space="preserve">Lorelei</t>
  </si>
  <si>
    <t xml:space="preserve">Elite Four</t>
  </si>
  <si>
    <t xml:space="preserve">Bruno</t>
  </si>
  <si>
    <t xml:space="preserve">Agatha</t>
  </si>
  <si>
    <t xml:space="preserve">Lance</t>
  </si>
  <si>
    <t xml:space="preserve">Blue (Champion)</t>
  </si>
  <si>
    <t xml:space="preserve">Champion</t>
  </si>
  <si>
    <t xml:space="preserve">Source: dittobase.com/yellow/gym-leaders-elite-four. Champion = Vaporeon branch of Blue's 3 Eevee variants.</t>
  </si>
  <si>
    <t xml:space="preserve">Move Reality Check — Can You Actually Use That Type?</t>
  </si>
  <si>
    <t xml:space="preserve">Coverage on the chart means nothing without a move. Viability is hand-scored 0-10 (see notes); it is the only judgment call in this workbook.</t>
  </si>
  <si>
    <t xml:space="preserve">Type</t>
  </si>
  <si>
    <t xml:space="preserve">Best Move in Yellow</t>
  </si>
  <si>
    <t xml:space="preserve">Power</t>
  </si>
  <si>
    <t xml:space="preserve">Category</t>
  </si>
  <si>
    <t xml:space="preserve">How to get it</t>
  </si>
  <si>
    <t xml:space="preserve">Viability (0-10)</t>
  </si>
  <si>
    <t xml:space="preserve">Notes</t>
  </si>
  <si>
    <t xml:space="preserve">Body Slam</t>
  </si>
  <si>
    <t xml:space="preserve">Physical</t>
  </si>
  <si>
    <t xml:space="preserve">TM08 (buyable, Celadon)</t>
  </si>
  <si>
    <t xml:space="preserve">Plus Hyper Beam (150, TM15) and Double-Edge (100, TM10). 30% paralysis. Nearly universal learner.</t>
  </si>
  <si>
    <t xml:space="preserve">Blizzard</t>
  </si>
  <si>
    <t xml:space="preserve">Special</t>
  </si>
  <si>
    <t xml:space="preserve">TM14 (Celadon Dept, 5500)</t>
  </si>
  <si>
    <t xml:space="preserve">THE best move in Gen 1. 90% accuracy here, 30% freeze, and freeze is PERMANENT with no thaw timer. Ice Beam (TM13) is the safer 95 BP option.</t>
  </si>
  <si>
    <t xml:space="preserve">TM29 (Saffron Fighting Dojo area / Game Corner)</t>
  </si>
  <si>
    <t xml:space="preserve">Also drops Special. Psychic is unresisted except by itself; its one weakness (Ghost) is broken to 0x.</t>
  </si>
  <si>
    <t xml:space="preserve">Thunderbolt</t>
  </si>
  <si>
    <t xml:space="preserve">TM24 (from Lt. Surge)</t>
  </si>
  <si>
    <t xml:space="preserve">Free from the gym. Thunder (TM25, 110) hits harder at 70% acc. Walled hard by Ground.</t>
  </si>
  <si>
    <t xml:space="preserve">Earthquake</t>
  </si>
  <si>
    <t xml:space="preserve">TM26 (Silph Co. 5F)</t>
  </si>
  <si>
    <t xml:space="preserve">Best physical move that isn't Normal. Only Flying is immune. Dig (TM28) is a 100-BP 2-turn fallback.</t>
  </si>
  <si>
    <t xml:space="preserve">Surf</t>
  </si>
  <si>
    <t xml:space="preserve">HM03 (Safari Zone)</t>
  </si>
  <si>
    <t xml:space="preserve">Free, unlimited, high PP, plus field use. Hydro Pump (TM))(120) if you want the extra punch.</t>
  </si>
  <si>
    <t xml:space="preserve">Fire Blast</t>
  </si>
  <si>
    <t xml:space="preserve">TM38 (from Blaine)</t>
  </si>
  <si>
    <t xml:space="preserve">Strong but Fire's targets (Grass/Bug/Ice) are largely also covered by Ice/Flying. Redundant on most teams.</t>
  </si>
  <si>
    <t xml:space="preserve">Rock Slide</t>
  </si>
  <si>
    <t xml:space="preserve">TM48 (Celadon Dept)</t>
  </si>
  <si>
    <t xml:space="preserve">Only decent Rock move. Physical, so it wants a high-Attack user.</t>
  </si>
  <si>
    <t xml:space="preserve">Submission</t>
  </si>
  <si>
    <t xml:space="preserve">TM17 (Celadon Dept)</t>
  </si>
  <si>
    <t xml:space="preserve">25% recoil. Seismic Toss (TM19) is fixed damage = level, reliable but never scales up.</t>
  </si>
  <si>
    <t xml:space="preserve">Drill Peck</t>
  </si>
  <si>
    <t xml:space="preserve">Level-up only (Fearow/Dodrio/Zapdos)</t>
  </si>
  <si>
    <t xml:space="preserve">No TM. Fly (HM02) is only 70 BP and burns a turn. Sky Attack (TM43, 140) charges.</t>
  </si>
  <si>
    <t xml:space="preserve">Razor Leaf</t>
  </si>
  <si>
    <t xml:space="preserve">Level-up (Bulbasaur line, Victreebel)</t>
  </si>
  <si>
    <t xml:space="preserve">High crit ratio partly saves it. SolarBeam (TM22, 120) needs a charge turn. Grass coverage overlaps Water badly.</t>
  </si>
  <si>
    <t xml:space="preserve">Sludge</t>
  </si>
  <si>
    <t xml:space="preserve">Level-up (Grimer/Muk line)</t>
  </si>
  <si>
    <t xml:space="preserve">Poison is a PHYSICAL type in Gen 1, so it runs off Attack -- and Poison mons have bad Attack. Dead end.</t>
  </si>
  <si>
    <t xml:space="preserve">Twineedle</t>
  </si>
  <si>
    <t xml:space="preserve">Level-up (Beedrill only)</t>
  </si>
  <si>
    <t xml:space="preserve">Bug is Psychic's only real weakness and Gen 1 gives you nothing to exploit it with. Pin Missile (14 BP), Leech Life (20 BP). A cruel joke.</t>
  </si>
  <si>
    <t xml:space="preserve">Night Shade</t>
  </si>
  <si>
    <t xml:space="preserve">fixed</t>
  </si>
  <si>
    <t xml:space="preserve">Level-up (Gastly line)</t>
  </si>
  <si>
    <t xml:space="preserve">Fixed damage = user's level. Lick is 20 BP. And Ghost does 0x to Psychic due to the bug, killing its entire reason to exist.</t>
  </si>
  <si>
    <t xml:space="preserve">Dragon Rage</t>
  </si>
  <si>
    <t xml:space="preserve">TM23 (Celadon Dept)</t>
  </si>
  <si>
    <t xml:space="preserve">Fixed 40 damage, forever. Useless past the early game.</t>
  </si>
  <si>
    <t xml:space="preserve">Attacking Type Scorecard</t>
  </si>
  <si>
    <t xml:space="preserve">Sorted by Practical Score. 'Boss SE' = how many of Yellow's 49 boss Pokemon this type hits for 2x+.</t>
  </si>
  <si>
    <t xml:space="preserve">Best Move</t>
  </si>
  <si>
    <t xml:space="preserve">Viability</t>
  </si>
  <si>
    <t xml:space="preserve">Dex 2x+</t>
  </si>
  <si>
    <t xml:space="preserve">Dex 4x</t>
  </si>
  <si>
    <t xml:space="preserve">Dex resists</t>
  </si>
  <si>
    <t xml:space="preserve">Dex immune</t>
  </si>
  <si>
    <t xml:space="preserve">Boss 2x+ (of 49)</t>
  </si>
  <si>
    <t xml:space="preserve">Boss SE %</t>
  </si>
  <si>
    <t xml:space="preserve">Boss resists</t>
  </si>
  <si>
    <t xml:space="preserve">Boss immune</t>
  </si>
  <si>
    <t xml:space="preserve">PRACTICAL SCORE</t>
  </si>
  <si>
    <t xml:space="preserve">PRACTICAL SCORE = Boss SE% x Viability / 10. Assumption: viability weights are hand-scored on 'Move Reality' and are the single subjective input here.</t>
  </si>
  <si>
    <t xml:space="preserve">Watch Bug and Ghost: elite raw coverage, near-zero practical value. That gap IS the Gen 1 experience.</t>
  </si>
  <si>
    <t xml:space="preserve">LIMITATION, read this: Practical Score measures SUPER-EFFECTIVE coverage, so Normal scores 0.0% by construction. That is the metric failing, not Normal. Normal is resisted by only 1 type and immune-blocked by 1, has the best moves in the game (Body Slam 85 / Hyper Beam 150), and is carried by the best stat-lines (Tauros, Snorlax). Read its low score as 'brings no coverage', NOT as 'do not use'. Every good Gen 1 team runs a Normal move.</t>
  </si>
  <si>
    <t xml:space="preserve">Brute Force: All 1,365 Four-Type Attack Combos</t>
  </si>
  <si>
    <t xml:space="preserve">A 4-move Pokemon, or a team's whole offensive spread. Scored against Yellow's actual 49 bosses. Sorted by Boss 2x+, then Dex 2x+.</t>
  </si>
  <si>
    <t xml:space="preserve">Rank</t>
  </si>
  <si>
    <t xml:space="preserve">Type 3</t>
  </si>
  <si>
    <t xml:space="preserve">Type 4</t>
  </si>
  <si>
    <t xml:space="preserve">Bosses WALLED</t>
  </si>
  <si>
    <t xml:space="preserve">Bosses IMMUNE to all 4</t>
  </si>
  <si>
    <t xml:space="preserve">Dex 2x+ (of 151)</t>
  </si>
  <si>
    <t xml:space="preserve">Dex SE %</t>
  </si>
  <si>
    <t xml:space="preserve">Weakest move viability</t>
  </si>
  <si>
    <t xml:space="preserve">Actually buildable?</t>
  </si>
  <si>
    <t xml:space="preserve">Filter column M = YES to see only combos you can actually build in Yellow. That filter is the whole point.</t>
  </si>
  <si>
    <t xml:space="preserve">The Answer</t>
  </si>
  <si>
    <t xml:space="preserve">Six slots. Coverage columns are live formulas pulling from 'Yellow Bosses'.</t>
  </si>
  <si>
    <t xml:space="preserve">Key Moves</t>
  </si>
  <si>
    <t xml:space="preserve">Where to get it</t>
  </si>
  <si>
    <t xml:space="preserve">Covers</t>
  </si>
  <si>
    <t xml:space="preserve">Why</t>
  </si>
  <si>
    <t xml:space="preserve">Thunderbolt / Thunder</t>
  </si>
  <si>
    <t xml:space="preserve">Forced (you start with it)</t>
  </si>
  <si>
    <t xml:space="preserve">Non-negotiable, and honestly fine. Electric is a top-5 practical type. Its problem is Ground immunity, which slots 3 and 5 fix.</t>
  </si>
  <si>
    <t xml:space="preserve">Earthquake / Blizzard / Thunderbolt / Body Slam</t>
  </si>
  <si>
    <t xml:space="preserve">Moon Stone a Nidorino (Route 3 / Mt. Moon)</t>
  </si>
  <si>
    <t xml:space="preserve">The single best TM sponge in Gen 1. One Pokemon carrying Ground + Ice + Electric + Normal is why the 4-combo search keeps returning that set.</t>
  </si>
  <si>
    <t xml:space="preserve">Psychic / Recover / Seismic Toss / Thunder Wave</t>
  </si>
  <si>
    <t xml:space="preserve">Trade a Kadabra, or Abra from Route 24-25</t>
  </si>
  <si>
    <t xml:space="preserve">Psychic is unresisted except by itself in Gen 1, and its only weakness (Ghost) is bugged to 0x. This thing is a cheat code.</t>
  </si>
  <si>
    <t xml:space="preserve">Surf / Blizzard / Body Slam / Thunderbolt</t>
  </si>
  <si>
    <t xml:space="preserve">Free gift, Silph Co. 7F</t>
  </si>
  <si>
    <t xml:space="preserve">Water + Ice on one bulky frame. Blizzard is the strongest move in the game (120 BP, 90% acc, 30% permanent freeze).</t>
  </si>
  <si>
    <t xml:space="preserve">Earthquake / Dig / Slash</t>
  </si>
  <si>
    <t xml:space="preserve">Diglett's Cave (Route 2 / Vermilion)</t>
  </si>
  <si>
    <t xml:space="preserve">Speed demon and your hard answer to Lt. Surge — Electric does literally 0x to it. Frail, but it deletes Blaine and Surge.</t>
  </si>
  <si>
    <t xml:space="preserve">Body Slam / Earthquake / Hyper Beam / Blizzard</t>
  </si>
  <si>
    <t xml:space="preserve">Sleeping on Route 12 or 16 (Poke Flute)</t>
  </si>
  <si>
    <t xml:space="preserve">Normal hits nothing super effectively and it does not matter: Body Slam off a huge Attack stat with 30% paralysis is Gen 1's real coverage. Tauros is the alternative if you want more Speed.</t>
  </si>
  <si>
    <t xml:space="preserve">TEAM OFFENSIVE SPREAD: Electric + Ground + Psychic + Ice + Normal + Water.</t>
  </si>
  <si>
    <t xml:space="preserve">That set leaves ZERO of the 49 bosses walled, and hits 43 of 49 for super-effective damage.</t>
  </si>
  <si>
    <t xml:space="preserve">THE SIX IT CANNOT HIT SUPER-EFFECTIVELY — and why that is fine:</t>
  </si>
  <si>
    <t xml:space="preserve">  Sabrina's Abra / Kadabra / Alakazam + Blue's Alakazam — Psychic has no working weakness in Gen 1 (Bug moves are useless, Ghost is bugged to 0x). Nothing can. You out-stat them: Psychic mirror, or paralyze and hit with Body Slam / Earthquake.</t>
  </si>
  <si>
    <t xml:space="preserve">  Giovanni's Persian (Normal) — only Fighting hits it, and Gen 1 Fighting moves are bad. Body Slam it.</t>
  </si>
  <si>
    <t xml:space="preserve">  Lorelei's Jynx (Ice/Psychic) — resists Ice, resists Psychic. Body Slam / Earthquake it.</t>
  </si>
  <si>
    <t xml:space="preserve">SWAPS: Starter is free real estate — take Bulbasaur (trivializes Brock + Misty) or Squirtle. Charmander is the hard mode pick; Fire is the most redundant type on this list (see 'Type Scorecard').</t>
  </si>
  <si>
    <t xml:space="preserve">Gyarados works over Lapras if you want Water/Flying. Golem over Dugtrio if you want bulk instead of speed.</t>
  </si>
  <si>
    <t xml:space="preserve">Tauros over Snorlax: faster, hits nearly as hard, arguably the best Pokemon in Gen 1. Snorlax is bulkier and easier to get.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</si>
</sst>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General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404040"/>
        <bgColor rgb="FF1F3864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C6EFCE"/>
        </patternFill>
      </fill>
    </dxf>
    <dxf>
      <font>
        <color rgb="FFFFFFFF"/>
      </font>
      <fill>
        <patternFill>
          <bgColor rgb="FF404040"/>
        </patternFill>
      </fill>
    </dxf>
    <dxf>
      <fill>
        <patternFill>
          <bgColor rgb="FFFFF2CC"/>
        </patternFill>
      </fill>
    </dxf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23.85" hidden="false" customHeight="false" outlineLevel="0" collapsed="false">
      <c r="A9" s="4" t="s">
        <v>11</v>
      </c>
      <c r="B9" s="5" t="s">
        <v>12</v>
      </c>
    </row>
    <row r="10" customFormat="false" ht="23.8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2" customFormat="false" ht="15" hidden="false" customHeight="false" outlineLevel="0" collapsed="false">
      <c r="A12" s="4" t="s">
        <v>17</v>
      </c>
      <c r="B12" s="5" t="s">
        <v>18</v>
      </c>
    </row>
    <row r="13" customFormat="false" ht="15" hidden="false" customHeight="false" outlineLevel="0" collapsed="false">
      <c r="A13" s="4" t="s">
        <v>19</v>
      </c>
      <c r="B13" s="5" t="s">
        <v>20</v>
      </c>
    </row>
    <row r="14" customFormat="false" ht="15" hidden="false" customHeight="false" outlineLevel="0" collapsed="false">
      <c r="A14" s="4"/>
      <c r="B14" s="5"/>
    </row>
    <row r="15" customFormat="false" ht="15" hidden="false" customHeight="false" outlineLevel="0" collapsed="false">
      <c r="A15" s="3" t="s">
        <v>21</v>
      </c>
    </row>
    <row r="16" customFormat="false" ht="15" hidden="false" customHeight="false" outlineLevel="0" collapsed="false">
      <c r="A16" s="4" t="s">
        <v>22</v>
      </c>
      <c r="B16" s="5" t="s">
        <v>23</v>
      </c>
    </row>
    <row r="17" customFormat="false" ht="15" hidden="false" customHeight="false" outlineLevel="0" collapsed="false">
      <c r="A17" s="4" t="s">
        <v>24</v>
      </c>
      <c r="B17" s="5" t="s">
        <v>25</v>
      </c>
    </row>
    <row r="18" customFormat="false" ht="23.85" hidden="false" customHeight="false" outlineLevel="0" collapsed="false">
      <c r="A18" s="4" t="s">
        <v>26</v>
      </c>
      <c r="B18" s="5" t="s">
        <v>27</v>
      </c>
    </row>
    <row r="19" customFormat="false" ht="15" hidden="false" customHeight="false" outlineLevel="0" collapsed="false">
      <c r="A19" s="4" t="s">
        <v>28</v>
      </c>
      <c r="B19" s="5" t="s">
        <v>29</v>
      </c>
    </row>
    <row r="20" customFormat="false" ht="15" hidden="false" customHeight="false" outlineLevel="0" collapsed="false">
      <c r="A20" s="4"/>
      <c r="B20" s="5"/>
    </row>
    <row r="21" customFormat="false" ht="15" hidden="false" customHeight="false" outlineLevel="0" collapsed="false">
      <c r="A21" s="3" t="s">
        <v>30</v>
      </c>
    </row>
    <row r="22" customFormat="false" ht="23.85" hidden="false" customHeight="false" outlineLevel="0" collapsed="false">
      <c r="A22" s="4" t="s">
        <v>31</v>
      </c>
      <c r="B22" s="5" t="s">
        <v>32</v>
      </c>
    </row>
    <row r="23" customFormat="false" ht="15" hidden="false" customHeight="false" outlineLevel="0" collapsed="false">
      <c r="A23" s="4" t="s">
        <v>33</v>
      </c>
      <c r="B23" s="5" t="s">
        <v>34</v>
      </c>
    </row>
    <row r="24" customFormat="false" ht="23.85" hidden="false" customHeight="false" outlineLevel="0" collapsed="false">
      <c r="A24" s="4" t="s">
        <v>35</v>
      </c>
      <c r="B24" s="5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6" min="2" style="0" width="6.51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40.25" hidden="false" customHeight="false" outlineLevel="0" collapsed="false">
      <c r="A4" s="6" t="s">
        <v>39</v>
      </c>
      <c r="B4" s="7" t="s">
        <v>40</v>
      </c>
      <c r="C4" s="7" t="s">
        <v>41</v>
      </c>
      <c r="D4" s="7" t="s">
        <v>42</v>
      </c>
      <c r="E4" s="7" t="s">
        <v>43</v>
      </c>
      <c r="F4" s="7" t="s">
        <v>44</v>
      </c>
      <c r="G4" s="7" t="s">
        <v>45</v>
      </c>
      <c r="H4" s="7" t="s">
        <v>46</v>
      </c>
      <c r="I4" s="7" t="s">
        <v>47</v>
      </c>
      <c r="J4" s="7" t="s">
        <v>48</v>
      </c>
      <c r="K4" s="7" t="s">
        <v>49</v>
      </c>
      <c r="L4" s="7" t="s">
        <v>50</v>
      </c>
      <c r="M4" s="7" t="s">
        <v>51</v>
      </c>
      <c r="N4" s="7" t="s">
        <v>52</v>
      </c>
      <c r="O4" s="7" t="s">
        <v>53</v>
      </c>
      <c r="P4" s="7" t="s">
        <v>54</v>
      </c>
    </row>
    <row r="5" customFormat="false" ht="15" hidden="false" customHeight="false" outlineLevel="0" collapsed="false">
      <c r="A5" s="8" t="s">
        <v>40</v>
      </c>
      <c r="B5" s="9" t="n">
        <v>1</v>
      </c>
      <c r="C5" s="9" t="n">
        <v>1</v>
      </c>
      <c r="D5" s="9" t="n">
        <v>1</v>
      </c>
      <c r="E5" s="9" t="n">
        <v>1</v>
      </c>
      <c r="F5" s="9" t="n">
        <v>1</v>
      </c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9" t="n">
        <v>1</v>
      </c>
      <c r="M5" s="9" t="n">
        <v>1</v>
      </c>
      <c r="N5" s="10" t="n">
        <v>0.5</v>
      </c>
      <c r="O5" s="11" t="n">
        <v>0</v>
      </c>
      <c r="P5" s="9" t="n">
        <v>1</v>
      </c>
    </row>
    <row r="6" customFormat="false" ht="15" hidden="false" customHeight="false" outlineLevel="0" collapsed="false">
      <c r="A6" s="8" t="s">
        <v>41</v>
      </c>
      <c r="B6" s="9" t="n">
        <v>1</v>
      </c>
      <c r="C6" s="10" t="n">
        <v>0.5</v>
      </c>
      <c r="D6" s="10" t="n">
        <v>0.5</v>
      </c>
      <c r="E6" s="9" t="n">
        <v>1</v>
      </c>
      <c r="F6" s="12" t="n">
        <v>2</v>
      </c>
      <c r="G6" s="12" t="n">
        <v>2</v>
      </c>
      <c r="H6" s="9" t="n">
        <v>1</v>
      </c>
      <c r="I6" s="9" t="n">
        <v>1</v>
      </c>
      <c r="J6" s="9" t="n">
        <v>1</v>
      </c>
      <c r="K6" s="9" t="n">
        <v>1</v>
      </c>
      <c r="L6" s="9" t="n">
        <v>1</v>
      </c>
      <c r="M6" s="12" t="n">
        <v>2</v>
      </c>
      <c r="N6" s="10" t="n">
        <v>0.5</v>
      </c>
      <c r="O6" s="9" t="n">
        <v>1</v>
      </c>
      <c r="P6" s="10" t="n">
        <v>0.5</v>
      </c>
    </row>
    <row r="7" customFormat="false" ht="15" hidden="false" customHeight="false" outlineLevel="0" collapsed="false">
      <c r="A7" s="8" t="s">
        <v>42</v>
      </c>
      <c r="B7" s="9" t="n">
        <v>1</v>
      </c>
      <c r="C7" s="12" t="n">
        <v>2</v>
      </c>
      <c r="D7" s="10" t="n">
        <v>0.5</v>
      </c>
      <c r="E7" s="9" t="n">
        <v>1</v>
      </c>
      <c r="F7" s="10" t="n">
        <v>0.5</v>
      </c>
      <c r="G7" s="9" t="n">
        <v>1</v>
      </c>
      <c r="H7" s="9" t="n">
        <v>1</v>
      </c>
      <c r="I7" s="9" t="n">
        <v>1</v>
      </c>
      <c r="J7" s="12" t="n">
        <v>2</v>
      </c>
      <c r="K7" s="9" t="n">
        <v>1</v>
      </c>
      <c r="L7" s="9" t="n">
        <v>1</v>
      </c>
      <c r="M7" s="9" t="n">
        <v>1</v>
      </c>
      <c r="N7" s="12" t="n">
        <v>2</v>
      </c>
      <c r="O7" s="9" t="n">
        <v>1</v>
      </c>
      <c r="P7" s="10" t="n">
        <v>0.5</v>
      </c>
    </row>
    <row r="8" customFormat="false" ht="15" hidden="false" customHeight="false" outlineLevel="0" collapsed="false">
      <c r="A8" s="8" t="s">
        <v>43</v>
      </c>
      <c r="B8" s="9" t="n">
        <v>1</v>
      </c>
      <c r="C8" s="9" t="n">
        <v>1</v>
      </c>
      <c r="D8" s="12" t="n">
        <v>2</v>
      </c>
      <c r="E8" s="10" t="n">
        <v>0.5</v>
      </c>
      <c r="F8" s="10" t="n">
        <v>0.5</v>
      </c>
      <c r="G8" s="9" t="n">
        <v>1</v>
      </c>
      <c r="H8" s="9" t="n">
        <v>1</v>
      </c>
      <c r="I8" s="9" t="n">
        <v>1</v>
      </c>
      <c r="J8" s="11" t="n">
        <v>0</v>
      </c>
      <c r="K8" s="12" t="n">
        <v>2</v>
      </c>
      <c r="L8" s="9" t="n">
        <v>1</v>
      </c>
      <c r="M8" s="9" t="n">
        <v>1</v>
      </c>
      <c r="N8" s="9" t="n">
        <v>1</v>
      </c>
      <c r="O8" s="9" t="n">
        <v>1</v>
      </c>
      <c r="P8" s="10" t="n">
        <v>0.5</v>
      </c>
    </row>
    <row r="9" customFormat="false" ht="15" hidden="false" customHeight="false" outlineLevel="0" collapsed="false">
      <c r="A9" s="8" t="s">
        <v>44</v>
      </c>
      <c r="B9" s="9" t="n">
        <v>1</v>
      </c>
      <c r="C9" s="10" t="n">
        <v>0.5</v>
      </c>
      <c r="D9" s="12" t="n">
        <v>2</v>
      </c>
      <c r="E9" s="9" t="n">
        <v>1</v>
      </c>
      <c r="F9" s="10" t="n">
        <v>0.5</v>
      </c>
      <c r="G9" s="9" t="n">
        <v>1</v>
      </c>
      <c r="H9" s="9" t="n">
        <v>1</v>
      </c>
      <c r="I9" s="10" t="n">
        <v>0.5</v>
      </c>
      <c r="J9" s="12" t="n">
        <v>2</v>
      </c>
      <c r="K9" s="10" t="n">
        <v>0.5</v>
      </c>
      <c r="L9" s="9" t="n">
        <v>1</v>
      </c>
      <c r="M9" s="10" t="n">
        <v>0.5</v>
      </c>
      <c r="N9" s="12" t="n">
        <v>2</v>
      </c>
      <c r="O9" s="9" t="n">
        <v>1</v>
      </c>
      <c r="P9" s="10" t="n">
        <v>0.5</v>
      </c>
    </row>
    <row r="10" customFormat="false" ht="15" hidden="false" customHeight="false" outlineLevel="0" collapsed="false">
      <c r="A10" s="8" t="s">
        <v>45</v>
      </c>
      <c r="B10" s="9" t="n">
        <v>1</v>
      </c>
      <c r="C10" s="13" t="n">
        <v>1</v>
      </c>
      <c r="D10" s="10" t="n">
        <v>0.5</v>
      </c>
      <c r="E10" s="9" t="n">
        <v>1</v>
      </c>
      <c r="F10" s="12" t="n">
        <v>2</v>
      </c>
      <c r="G10" s="10" t="n">
        <v>0.5</v>
      </c>
      <c r="H10" s="9" t="n">
        <v>1</v>
      </c>
      <c r="I10" s="9" t="n">
        <v>1</v>
      </c>
      <c r="J10" s="12" t="n">
        <v>2</v>
      </c>
      <c r="K10" s="12" t="n">
        <v>2</v>
      </c>
      <c r="L10" s="9" t="n">
        <v>1</v>
      </c>
      <c r="M10" s="9" t="n">
        <v>1</v>
      </c>
      <c r="N10" s="9" t="n">
        <v>1</v>
      </c>
      <c r="O10" s="9" t="n">
        <v>1</v>
      </c>
      <c r="P10" s="12" t="n">
        <v>2</v>
      </c>
    </row>
    <row r="11" customFormat="false" ht="15" hidden="false" customHeight="false" outlineLevel="0" collapsed="false">
      <c r="A11" s="8" t="s">
        <v>46</v>
      </c>
      <c r="B11" s="12" t="n">
        <v>2</v>
      </c>
      <c r="C11" s="9" t="n">
        <v>1</v>
      </c>
      <c r="D11" s="9" t="n">
        <v>1</v>
      </c>
      <c r="E11" s="9" t="n">
        <v>1</v>
      </c>
      <c r="F11" s="9" t="n">
        <v>1</v>
      </c>
      <c r="G11" s="12" t="n">
        <v>2</v>
      </c>
      <c r="H11" s="9" t="n">
        <v>1</v>
      </c>
      <c r="I11" s="10" t="n">
        <v>0.5</v>
      </c>
      <c r="J11" s="9" t="n">
        <v>1</v>
      </c>
      <c r="K11" s="10" t="n">
        <v>0.5</v>
      </c>
      <c r="L11" s="10" t="n">
        <v>0.5</v>
      </c>
      <c r="M11" s="10" t="n">
        <v>0.5</v>
      </c>
      <c r="N11" s="12" t="n">
        <v>2</v>
      </c>
      <c r="O11" s="11" t="n">
        <v>0</v>
      </c>
      <c r="P11" s="9" t="n">
        <v>1</v>
      </c>
    </row>
    <row r="12" customFormat="false" ht="15" hidden="false" customHeight="false" outlineLevel="0" collapsed="false">
      <c r="A12" s="8" t="s">
        <v>47</v>
      </c>
      <c r="B12" s="9" t="n">
        <v>1</v>
      </c>
      <c r="C12" s="9" t="n">
        <v>1</v>
      </c>
      <c r="D12" s="9" t="n">
        <v>1</v>
      </c>
      <c r="E12" s="9" t="n">
        <v>1</v>
      </c>
      <c r="F12" s="12" t="n">
        <v>2</v>
      </c>
      <c r="G12" s="9" t="n">
        <v>1</v>
      </c>
      <c r="H12" s="9" t="n">
        <v>1</v>
      </c>
      <c r="I12" s="10" t="n">
        <v>0.5</v>
      </c>
      <c r="J12" s="10" t="n">
        <v>0.5</v>
      </c>
      <c r="K12" s="9" t="n">
        <v>1</v>
      </c>
      <c r="L12" s="9" t="n">
        <v>1</v>
      </c>
      <c r="M12" s="13" t="n">
        <v>2</v>
      </c>
      <c r="N12" s="10" t="n">
        <v>0.5</v>
      </c>
      <c r="O12" s="10" t="n">
        <v>0.5</v>
      </c>
      <c r="P12" s="9" t="n">
        <v>1</v>
      </c>
    </row>
    <row r="13" customFormat="false" ht="15" hidden="false" customHeight="false" outlineLevel="0" collapsed="false">
      <c r="A13" s="8" t="s">
        <v>48</v>
      </c>
      <c r="B13" s="9" t="n">
        <v>1</v>
      </c>
      <c r="C13" s="12" t="n">
        <v>2</v>
      </c>
      <c r="D13" s="9" t="n">
        <v>1</v>
      </c>
      <c r="E13" s="12" t="n">
        <v>2</v>
      </c>
      <c r="F13" s="10" t="n">
        <v>0.5</v>
      </c>
      <c r="G13" s="9" t="n">
        <v>1</v>
      </c>
      <c r="H13" s="9" t="n">
        <v>1</v>
      </c>
      <c r="I13" s="12" t="n">
        <v>2</v>
      </c>
      <c r="J13" s="9" t="n">
        <v>1</v>
      </c>
      <c r="K13" s="11" t="n">
        <v>0</v>
      </c>
      <c r="L13" s="9" t="n">
        <v>1</v>
      </c>
      <c r="M13" s="10" t="n">
        <v>0.5</v>
      </c>
      <c r="N13" s="12" t="n">
        <v>2</v>
      </c>
      <c r="O13" s="9" t="n">
        <v>1</v>
      </c>
      <c r="P13" s="9" t="n">
        <v>1</v>
      </c>
    </row>
    <row r="14" customFormat="false" ht="15" hidden="false" customHeight="false" outlineLevel="0" collapsed="false">
      <c r="A14" s="8" t="s">
        <v>49</v>
      </c>
      <c r="B14" s="9" t="n">
        <v>1</v>
      </c>
      <c r="C14" s="9" t="n">
        <v>1</v>
      </c>
      <c r="D14" s="9" t="n">
        <v>1</v>
      </c>
      <c r="E14" s="10" t="n">
        <v>0.5</v>
      </c>
      <c r="F14" s="12" t="n">
        <v>2</v>
      </c>
      <c r="G14" s="9" t="n">
        <v>1</v>
      </c>
      <c r="H14" s="12" t="n">
        <v>2</v>
      </c>
      <c r="I14" s="9" t="n">
        <v>1</v>
      </c>
      <c r="J14" s="9" t="n">
        <v>1</v>
      </c>
      <c r="K14" s="9" t="n">
        <v>1</v>
      </c>
      <c r="L14" s="9" t="n">
        <v>1</v>
      </c>
      <c r="M14" s="12" t="n">
        <v>2</v>
      </c>
      <c r="N14" s="10" t="n">
        <v>0.5</v>
      </c>
      <c r="O14" s="9" t="n">
        <v>1</v>
      </c>
      <c r="P14" s="9" t="n">
        <v>1</v>
      </c>
    </row>
    <row r="15" customFormat="false" ht="15" hidden="false" customHeight="false" outlineLevel="0" collapsed="false">
      <c r="A15" s="8" t="s">
        <v>50</v>
      </c>
      <c r="B15" s="9" t="n">
        <v>1</v>
      </c>
      <c r="C15" s="9" t="n">
        <v>1</v>
      </c>
      <c r="D15" s="9" t="n">
        <v>1</v>
      </c>
      <c r="E15" s="9" t="n">
        <v>1</v>
      </c>
      <c r="F15" s="9" t="n">
        <v>1</v>
      </c>
      <c r="G15" s="9" t="n">
        <v>1</v>
      </c>
      <c r="H15" s="12" t="n">
        <v>2</v>
      </c>
      <c r="I15" s="12" t="n">
        <v>2</v>
      </c>
      <c r="J15" s="9" t="n">
        <v>1</v>
      </c>
      <c r="K15" s="9" t="n">
        <v>1</v>
      </c>
      <c r="L15" s="10" t="n">
        <v>0.5</v>
      </c>
      <c r="M15" s="9" t="n">
        <v>1</v>
      </c>
      <c r="N15" s="9" t="n">
        <v>1</v>
      </c>
      <c r="O15" s="9" t="n">
        <v>1</v>
      </c>
      <c r="P15" s="9" t="n">
        <v>1</v>
      </c>
    </row>
    <row r="16" customFormat="false" ht="15" hidden="false" customHeight="false" outlineLevel="0" collapsed="false">
      <c r="A16" s="8" t="s">
        <v>51</v>
      </c>
      <c r="B16" s="9" t="n">
        <v>1</v>
      </c>
      <c r="C16" s="10" t="n">
        <v>0.5</v>
      </c>
      <c r="D16" s="9" t="n">
        <v>1</v>
      </c>
      <c r="E16" s="9" t="n">
        <v>1</v>
      </c>
      <c r="F16" s="12" t="n">
        <v>2</v>
      </c>
      <c r="G16" s="9" t="n">
        <v>1</v>
      </c>
      <c r="H16" s="10" t="n">
        <v>0.5</v>
      </c>
      <c r="I16" s="13" t="n">
        <v>2</v>
      </c>
      <c r="J16" s="9" t="n">
        <v>1</v>
      </c>
      <c r="K16" s="10" t="n">
        <v>0.5</v>
      </c>
      <c r="L16" s="12" t="n">
        <v>2</v>
      </c>
      <c r="M16" s="9" t="n">
        <v>1</v>
      </c>
      <c r="N16" s="9" t="n">
        <v>1</v>
      </c>
      <c r="O16" s="10" t="n">
        <v>0.5</v>
      </c>
      <c r="P16" s="9" t="n">
        <v>1</v>
      </c>
    </row>
    <row r="17" customFormat="false" ht="15" hidden="false" customHeight="false" outlineLevel="0" collapsed="false">
      <c r="A17" s="8" t="s">
        <v>52</v>
      </c>
      <c r="B17" s="9" t="n">
        <v>1</v>
      </c>
      <c r="C17" s="12" t="n">
        <v>2</v>
      </c>
      <c r="D17" s="9" t="n">
        <v>1</v>
      </c>
      <c r="E17" s="9" t="n">
        <v>1</v>
      </c>
      <c r="F17" s="9" t="n">
        <v>1</v>
      </c>
      <c r="G17" s="12" t="n">
        <v>2</v>
      </c>
      <c r="H17" s="10" t="n">
        <v>0.5</v>
      </c>
      <c r="I17" s="9" t="n">
        <v>1</v>
      </c>
      <c r="J17" s="10" t="n">
        <v>0.5</v>
      </c>
      <c r="K17" s="12" t="n">
        <v>2</v>
      </c>
      <c r="L17" s="9" t="n">
        <v>1</v>
      </c>
      <c r="M17" s="12" t="n">
        <v>2</v>
      </c>
      <c r="N17" s="9" t="n">
        <v>1</v>
      </c>
      <c r="O17" s="9" t="n">
        <v>1</v>
      </c>
      <c r="P17" s="9" t="n">
        <v>1</v>
      </c>
    </row>
    <row r="18" customFormat="false" ht="15" hidden="false" customHeight="false" outlineLevel="0" collapsed="false">
      <c r="A18" s="8" t="s">
        <v>53</v>
      </c>
      <c r="B18" s="11" t="n">
        <v>0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  <c r="J18" s="9" t="n">
        <v>1</v>
      </c>
      <c r="K18" s="9" t="n">
        <v>1</v>
      </c>
      <c r="L18" s="13" t="n">
        <v>0</v>
      </c>
      <c r="M18" s="9" t="n">
        <v>1</v>
      </c>
      <c r="N18" s="9" t="n">
        <v>1</v>
      </c>
      <c r="O18" s="12" t="n">
        <v>2</v>
      </c>
      <c r="P18" s="9" t="n">
        <v>1</v>
      </c>
    </row>
    <row r="19" customFormat="false" ht="15" hidden="false" customHeight="false" outlineLevel="0" collapsed="false">
      <c r="A19" s="8" t="s">
        <v>54</v>
      </c>
      <c r="B19" s="9" t="n">
        <v>1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 t="n">
        <v>1</v>
      </c>
      <c r="J19" s="9" t="n">
        <v>1</v>
      </c>
      <c r="K19" s="9" t="n">
        <v>1</v>
      </c>
      <c r="L19" s="9" t="n">
        <v>1</v>
      </c>
      <c r="M19" s="9" t="n">
        <v>1</v>
      </c>
      <c r="N19" s="9" t="n">
        <v>1</v>
      </c>
      <c r="O19" s="9" t="n">
        <v>1</v>
      </c>
      <c r="P19" s="12" t="n">
        <v>2</v>
      </c>
    </row>
    <row r="21" customFormat="false" ht="15" hidden="false" customHeight="false" outlineLevel="0" collapsed="false">
      <c r="A21" s="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14" t="s">
        <v>58</v>
      </c>
      <c r="B4" s="14" t="s">
        <v>59</v>
      </c>
      <c r="C4" s="14" t="s">
        <v>60</v>
      </c>
      <c r="D4" s="14" t="s">
        <v>61</v>
      </c>
    </row>
    <row r="5" customFormat="false" ht="43.5" hidden="false" customHeight="true" outlineLevel="0" collapsed="false">
      <c r="A5" s="15" t="s">
        <v>62</v>
      </c>
      <c r="B5" s="16" t="s">
        <v>63</v>
      </c>
      <c r="C5" s="16" t="s">
        <v>64</v>
      </c>
      <c r="D5" s="16" t="s">
        <v>65</v>
      </c>
    </row>
    <row r="6" customFormat="false" ht="43.5" hidden="false" customHeight="true" outlineLevel="0" collapsed="false">
      <c r="A6" s="15" t="s">
        <v>66</v>
      </c>
      <c r="B6" s="16" t="s">
        <v>64</v>
      </c>
      <c r="C6" s="16" t="s">
        <v>64</v>
      </c>
      <c r="D6" s="16" t="s">
        <v>67</v>
      </c>
    </row>
    <row r="7" customFormat="false" ht="43.5" hidden="false" customHeight="true" outlineLevel="0" collapsed="false">
      <c r="A7" s="15" t="s">
        <v>68</v>
      </c>
      <c r="B7" s="16" t="s">
        <v>64</v>
      </c>
      <c r="C7" s="16" t="s">
        <v>69</v>
      </c>
      <c r="D7" s="16" t="s">
        <v>70</v>
      </c>
    </row>
    <row r="8" customFormat="false" ht="43.5" hidden="false" customHeight="true" outlineLevel="0" collapsed="false">
      <c r="A8" s="15" t="s">
        <v>71</v>
      </c>
      <c r="B8" s="16" t="s">
        <v>64</v>
      </c>
      <c r="C8" s="16" t="s">
        <v>69</v>
      </c>
      <c r="D8" s="16" t="s">
        <v>72</v>
      </c>
    </row>
    <row r="9" customFormat="false" ht="43.5" hidden="false" customHeight="true" outlineLevel="0" collapsed="false">
      <c r="A9" s="15" t="s">
        <v>73</v>
      </c>
      <c r="B9" s="16" t="s">
        <v>69</v>
      </c>
      <c r="C9" s="16" t="s">
        <v>74</v>
      </c>
      <c r="D9" s="16" t="s">
        <v>75</v>
      </c>
    </row>
    <row r="10" customFormat="false" ht="43.5" hidden="false" customHeight="true" outlineLevel="0" collapsed="false">
      <c r="A10" s="15" t="s">
        <v>76</v>
      </c>
      <c r="B10" s="16" t="s">
        <v>64</v>
      </c>
      <c r="C10" s="16" t="s">
        <v>64</v>
      </c>
      <c r="D10" s="16" t="s">
        <v>77</v>
      </c>
    </row>
    <row r="11" customFormat="false" ht="43.5" hidden="false" customHeight="true" outlineLevel="0" collapsed="false">
      <c r="A11" s="15" t="s">
        <v>78</v>
      </c>
      <c r="B11" s="16" t="s">
        <v>79</v>
      </c>
      <c r="C11" s="16" t="s">
        <v>80</v>
      </c>
      <c r="D11" s="16" t="s">
        <v>81</v>
      </c>
    </row>
    <row r="12" customFormat="false" ht="43.5" hidden="false" customHeight="true" outlineLevel="0" collapsed="false">
      <c r="A12" s="15" t="s">
        <v>82</v>
      </c>
      <c r="B12" s="16" t="s">
        <v>83</v>
      </c>
      <c r="C12" s="16" t="s">
        <v>84</v>
      </c>
      <c r="D12" s="16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4" min="3" style="0" width="12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15" hidden="false" customHeight="false" outlineLevel="0" collapsed="false">
      <c r="A4" s="14" t="s">
        <v>88</v>
      </c>
      <c r="B4" s="14" t="s">
        <v>89</v>
      </c>
      <c r="C4" s="14" t="s">
        <v>90</v>
      </c>
      <c r="D4" s="14" t="s">
        <v>91</v>
      </c>
    </row>
    <row r="5" customFormat="false" ht="15" hidden="false" customHeight="false" outlineLevel="0" collapsed="false">
      <c r="A5" s="17" t="n">
        <v>1</v>
      </c>
      <c r="B5" s="17" t="s">
        <v>92</v>
      </c>
      <c r="C5" s="18" t="s">
        <v>44</v>
      </c>
      <c r="D5" s="18" t="s">
        <v>47</v>
      </c>
    </row>
    <row r="6" customFormat="false" ht="15" hidden="false" customHeight="false" outlineLevel="0" collapsed="false">
      <c r="A6" s="17" t="n">
        <v>2</v>
      </c>
      <c r="B6" s="17" t="s">
        <v>93</v>
      </c>
      <c r="C6" s="18" t="s">
        <v>44</v>
      </c>
      <c r="D6" s="18" t="s">
        <v>47</v>
      </c>
    </row>
    <row r="7" customFormat="false" ht="15" hidden="false" customHeight="false" outlineLevel="0" collapsed="false">
      <c r="A7" s="17" t="n">
        <v>3</v>
      </c>
      <c r="B7" s="17" t="s">
        <v>94</v>
      </c>
      <c r="C7" s="18" t="s">
        <v>44</v>
      </c>
      <c r="D7" s="18" t="s">
        <v>47</v>
      </c>
    </row>
    <row r="8" customFormat="false" ht="15" hidden="false" customHeight="false" outlineLevel="0" collapsed="false">
      <c r="A8" s="17" t="n">
        <v>4</v>
      </c>
      <c r="B8" s="17" t="s">
        <v>95</v>
      </c>
      <c r="C8" s="18" t="s">
        <v>41</v>
      </c>
      <c r="D8" s="18"/>
    </row>
    <row r="9" customFormat="false" ht="15" hidden="false" customHeight="false" outlineLevel="0" collapsed="false">
      <c r="A9" s="17" t="n">
        <v>5</v>
      </c>
      <c r="B9" s="17" t="s">
        <v>96</v>
      </c>
      <c r="C9" s="18" t="s">
        <v>41</v>
      </c>
      <c r="D9" s="18"/>
    </row>
    <row r="10" customFormat="false" ht="15" hidden="false" customHeight="false" outlineLevel="0" collapsed="false">
      <c r="A10" s="17" t="n">
        <v>6</v>
      </c>
      <c r="B10" s="17" t="s">
        <v>97</v>
      </c>
      <c r="C10" s="18" t="s">
        <v>41</v>
      </c>
      <c r="D10" s="18" t="s">
        <v>49</v>
      </c>
    </row>
    <row r="11" customFormat="false" ht="15" hidden="false" customHeight="false" outlineLevel="0" collapsed="false">
      <c r="A11" s="17" t="n">
        <v>7</v>
      </c>
      <c r="B11" s="17" t="s">
        <v>98</v>
      </c>
      <c r="C11" s="18" t="s">
        <v>42</v>
      </c>
      <c r="D11" s="18"/>
    </row>
    <row r="12" customFormat="false" ht="15" hidden="false" customHeight="false" outlineLevel="0" collapsed="false">
      <c r="A12" s="17" t="n">
        <v>8</v>
      </c>
      <c r="B12" s="17" t="s">
        <v>99</v>
      </c>
      <c r="C12" s="18" t="s">
        <v>42</v>
      </c>
      <c r="D12" s="18"/>
    </row>
    <row r="13" customFormat="false" ht="15" hidden="false" customHeight="false" outlineLevel="0" collapsed="false">
      <c r="A13" s="17" t="n">
        <v>9</v>
      </c>
      <c r="B13" s="17" t="s">
        <v>100</v>
      </c>
      <c r="C13" s="18" t="s">
        <v>42</v>
      </c>
      <c r="D13" s="18"/>
    </row>
    <row r="14" customFormat="false" ht="15" hidden="false" customHeight="false" outlineLevel="0" collapsed="false">
      <c r="A14" s="17" t="n">
        <v>10</v>
      </c>
      <c r="B14" s="17" t="s">
        <v>101</v>
      </c>
      <c r="C14" s="18" t="s">
        <v>51</v>
      </c>
      <c r="D14" s="18"/>
    </row>
    <row r="15" customFormat="false" ht="15" hidden="false" customHeight="false" outlineLevel="0" collapsed="false">
      <c r="A15" s="17" t="n">
        <v>11</v>
      </c>
      <c r="B15" s="17" t="s">
        <v>102</v>
      </c>
      <c r="C15" s="18" t="s">
        <v>51</v>
      </c>
      <c r="D15" s="18"/>
    </row>
    <row r="16" customFormat="false" ht="15" hidden="false" customHeight="false" outlineLevel="0" collapsed="false">
      <c r="A16" s="17" t="n">
        <v>12</v>
      </c>
      <c r="B16" s="17" t="s">
        <v>103</v>
      </c>
      <c r="C16" s="18" t="s">
        <v>51</v>
      </c>
      <c r="D16" s="18" t="s">
        <v>49</v>
      </c>
    </row>
    <row r="17" customFormat="false" ht="15" hidden="false" customHeight="false" outlineLevel="0" collapsed="false">
      <c r="A17" s="17" t="n">
        <v>13</v>
      </c>
      <c r="B17" s="17" t="s">
        <v>104</v>
      </c>
      <c r="C17" s="18" t="s">
        <v>51</v>
      </c>
      <c r="D17" s="18" t="s">
        <v>47</v>
      </c>
    </row>
    <row r="18" customFormat="false" ht="15" hidden="false" customHeight="false" outlineLevel="0" collapsed="false">
      <c r="A18" s="17" t="n">
        <v>14</v>
      </c>
      <c r="B18" s="17" t="s">
        <v>105</v>
      </c>
      <c r="C18" s="18" t="s">
        <v>51</v>
      </c>
      <c r="D18" s="18" t="s">
        <v>47</v>
      </c>
    </row>
    <row r="19" customFormat="false" ht="15" hidden="false" customHeight="false" outlineLevel="0" collapsed="false">
      <c r="A19" s="17" t="n">
        <v>15</v>
      </c>
      <c r="B19" s="17" t="s">
        <v>106</v>
      </c>
      <c r="C19" s="18" t="s">
        <v>51</v>
      </c>
      <c r="D19" s="18" t="s">
        <v>47</v>
      </c>
    </row>
    <row r="20" customFormat="false" ht="15" hidden="false" customHeight="false" outlineLevel="0" collapsed="false">
      <c r="A20" s="17" t="n">
        <v>16</v>
      </c>
      <c r="B20" s="17" t="s">
        <v>107</v>
      </c>
      <c r="C20" s="18" t="s">
        <v>40</v>
      </c>
      <c r="D20" s="18" t="s">
        <v>49</v>
      </c>
    </row>
    <row r="21" customFormat="false" ht="15" hidden="false" customHeight="false" outlineLevel="0" collapsed="false">
      <c r="A21" s="17" t="n">
        <v>17</v>
      </c>
      <c r="B21" s="17" t="s">
        <v>108</v>
      </c>
      <c r="C21" s="18" t="s">
        <v>40</v>
      </c>
      <c r="D21" s="18" t="s">
        <v>49</v>
      </c>
    </row>
    <row r="22" customFormat="false" ht="15" hidden="false" customHeight="false" outlineLevel="0" collapsed="false">
      <c r="A22" s="17" t="n">
        <v>18</v>
      </c>
      <c r="B22" s="17" t="s">
        <v>109</v>
      </c>
      <c r="C22" s="18" t="s">
        <v>40</v>
      </c>
      <c r="D22" s="18" t="s">
        <v>49</v>
      </c>
    </row>
    <row r="23" customFormat="false" ht="15" hidden="false" customHeight="false" outlineLevel="0" collapsed="false">
      <c r="A23" s="17" t="n">
        <v>19</v>
      </c>
      <c r="B23" s="17" t="s">
        <v>110</v>
      </c>
      <c r="C23" s="18" t="s">
        <v>40</v>
      </c>
      <c r="D23" s="18"/>
    </row>
    <row r="24" customFormat="false" ht="15" hidden="false" customHeight="false" outlineLevel="0" collapsed="false">
      <c r="A24" s="17" t="n">
        <v>20</v>
      </c>
      <c r="B24" s="17" t="s">
        <v>111</v>
      </c>
      <c r="C24" s="18" t="s">
        <v>40</v>
      </c>
      <c r="D24" s="18"/>
    </row>
    <row r="25" customFormat="false" ht="15" hidden="false" customHeight="false" outlineLevel="0" collapsed="false">
      <c r="A25" s="17" t="n">
        <v>21</v>
      </c>
      <c r="B25" s="17" t="s">
        <v>112</v>
      </c>
      <c r="C25" s="18" t="s">
        <v>40</v>
      </c>
      <c r="D25" s="18" t="s">
        <v>49</v>
      </c>
    </row>
    <row r="26" customFormat="false" ht="15" hidden="false" customHeight="false" outlineLevel="0" collapsed="false">
      <c r="A26" s="17" t="n">
        <v>22</v>
      </c>
      <c r="B26" s="17" t="s">
        <v>113</v>
      </c>
      <c r="C26" s="18" t="s">
        <v>40</v>
      </c>
      <c r="D26" s="18" t="s">
        <v>49</v>
      </c>
    </row>
    <row r="27" customFormat="false" ht="15" hidden="false" customHeight="false" outlineLevel="0" collapsed="false">
      <c r="A27" s="17" t="n">
        <v>23</v>
      </c>
      <c r="B27" s="17" t="s">
        <v>114</v>
      </c>
      <c r="C27" s="18" t="s">
        <v>47</v>
      </c>
      <c r="D27" s="18"/>
    </row>
    <row r="28" customFormat="false" ht="15" hidden="false" customHeight="false" outlineLevel="0" collapsed="false">
      <c r="A28" s="17" t="n">
        <v>24</v>
      </c>
      <c r="B28" s="17" t="s">
        <v>115</v>
      </c>
      <c r="C28" s="18" t="s">
        <v>47</v>
      </c>
      <c r="D28" s="18"/>
    </row>
    <row r="29" customFormat="false" ht="15" hidden="false" customHeight="false" outlineLevel="0" collapsed="false">
      <c r="A29" s="17" t="n">
        <v>25</v>
      </c>
      <c r="B29" s="17" t="s">
        <v>116</v>
      </c>
      <c r="C29" s="18" t="s">
        <v>43</v>
      </c>
      <c r="D29" s="18"/>
    </row>
    <row r="30" customFormat="false" ht="15" hidden="false" customHeight="false" outlineLevel="0" collapsed="false">
      <c r="A30" s="17" t="n">
        <v>26</v>
      </c>
      <c r="B30" s="17" t="s">
        <v>117</v>
      </c>
      <c r="C30" s="18" t="s">
        <v>43</v>
      </c>
      <c r="D30" s="18"/>
    </row>
    <row r="31" customFormat="false" ht="15" hidden="false" customHeight="false" outlineLevel="0" collapsed="false">
      <c r="A31" s="17" t="n">
        <v>27</v>
      </c>
      <c r="B31" s="17" t="s">
        <v>118</v>
      </c>
      <c r="C31" s="18" t="s">
        <v>48</v>
      </c>
      <c r="D31" s="18"/>
    </row>
    <row r="32" customFormat="false" ht="15" hidden="false" customHeight="false" outlineLevel="0" collapsed="false">
      <c r="A32" s="17" t="n">
        <v>28</v>
      </c>
      <c r="B32" s="17" t="s">
        <v>119</v>
      </c>
      <c r="C32" s="18" t="s">
        <v>48</v>
      </c>
      <c r="D32" s="18"/>
    </row>
    <row r="33" customFormat="false" ht="15" hidden="false" customHeight="false" outlineLevel="0" collapsed="false">
      <c r="A33" s="17" t="n">
        <v>29</v>
      </c>
      <c r="B33" s="17" t="s">
        <v>120</v>
      </c>
      <c r="C33" s="18" t="s">
        <v>47</v>
      </c>
      <c r="D33" s="18"/>
    </row>
    <row r="34" customFormat="false" ht="15" hidden="false" customHeight="false" outlineLevel="0" collapsed="false">
      <c r="A34" s="17" t="n">
        <v>30</v>
      </c>
      <c r="B34" s="17" t="s">
        <v>121</v>
      </c>
      <c r="C34" s="18" t="s">
        <v>47</v>
      </c>
      <c r="D34" s="18"/>
    </row>
    <row r="35" customFormat="false" ht="15" hidden="false" customHeight="false" outlineLevel="0" collapsed="false">
      <c r="A35" s="17" t="n">
        <v>31</v>
      </c>
      <c r="B35" s="17" t="s">
        <v>122</v>
      </c>
      <c r="C35" s="18" t="s">
        <v>47</v>
      </c>
      <c r="D35" s="18" t="s">
        <v>48</v>
      </c>
    </row>
    <row r="36" customFormat="false" ht="15" hidden="false" customHeight="false" outlineLevel="0" collapsed="false">
      <c r="A36" s="17" t="n">
        <v>32</v>
      </c>
      <c r="B36" s="17" t="s">
        <v>123</v>
      </c>
      <c r="C36" s="18" t="s">
        <v>47</v>
      </c>
      <c r="D36" s="18"/>
    </row>
    <row r="37" customFormat="false" ht="15" hidden="false" customHeight="false" outlineLevel="0" collapsed="false">
      <c r="A37" s="17" t="n">
        <v>33</v>
      </c>
      <c r="B37" s="17" t="s">
        <v>124</v>
      </c>
      <c r="C37" s="18" t="s">
        <v>47</v>
      </c>
      <c r="D37" s="18"/>
    </row>
    <row r="38" customFormat="false" ht="15" hidden="false" customHeight="false" outlineLevel="0" collapsed="false">
      <c r="A38" s="17" t="n">
        <v>34</v>
      </c>
      <c r="B38" s="17" t="s">
        <v>125</v>
      </c>
      <c r="C38" s="18" t="s">
        <v>47</v>
      </c>
      <c r="D38" s="18" t="s">
        <v>48</v>
      </c>
    </row>
    <row r="39" customFormat="false" ht="15" hidden="false" customHeight="false" outlineLevel="0" collapsed="false">
      <c r="A39" s="17" t="n">
        <v>35</v>
      </c>
      <c r="B39" s="17" t="s">
        <v>126</v>
      </c>
      <c r="C39" s="18" t="s">
        <v>40</v>
      </c>
      <c r="D39" s="18"/>
    </row>
    <row r="40" customFormat="false" ht="15" hidden="false" customHeight="false" outlineLevel="0" collapsed="false">
      <c r="A40" s="17" t="n">
        <v>36</v>
      </c>
      <c r="B40" s="17" t="s">
        <v>127</v>
      </c>
      <c r="C40" s="18" t="s">
        <v>40</v>
      </c>
      <c r="D40" s="18"/>
    </row>
    <row r="41" customFormat="false" ht="15" hidden="false" customHeight="false" outlineLevel="0" collapsed="false">
      <c r="A41" s="17" t="n">
        <v>37</v>
      </c>
      <c r="B41" s="17" t="s">
        <v>128</v>
      </c>
      <c r="C41" s="18" t="s">
        <v>41</v>
      </c>
      <c r="D41" s="18"/>
    </row>
    <row r="42" customFormat="false" ht="15" hidden="false" customHeight="false" outlineLevel="0" collapsed="false">
      <c r="A42" s="17" t="n">
        <v>38</v>
      </c>
      <c r="B42" s="17" t="s">
        <v>129</v>
      </c>
      <c r="C42" s="18" t="s">
        <v>41</v>
      </c>
      <c r="D42" s="18"/>
    </row>
    <row r="43" customFormat="false" ht="15" hidden="false" customHeight="false" outlineLevel="0" collapsed="false">
      <c r="A43" s="17" t="n">
        <v>39</v>
      </c>
      <c r="B43" s="17" t="s">
        <v>130</v>
      </c>
      <c r="C43" s="18" t="s">
        <v>40</v>
      </c>
      <c r="D43" s="18"/>
    </row>
    <row r="44" customFormat="false" ht="15" hidden="false" customHeight="false" outlineLevel="0" collapsed="false">
      <c r="A44" s="17" t="n">
        <v>40</v>
      </c>
      <c r="B44" s="17" t="s">
        <v>131</v>
      </c>
      <c r="C44" s="18" t="s">
        <v>40</v>
      </c>
      <c r="D44" s="18"/>
    </row>
    <row r="45" customFormat="false" ht="15" hidden="false" customHeight="false" outlineLevel="0" collapsed="false">
      <c r="A45" s="17" t="n">
        <v>41</v>
      </c>
      <c r="B45" s="17" t="s">
        <v>132</v>
      </c>
      <c r="C45" s="18" t="s">
        <v>47</v>
      </c>
      <c r="D45" s="18" t="s">
        <v>49</v>
      </c>
    </row>
    <row r="46" customFormat="false" ht="15" hidden="false" customHeight="false" outlineLevel="0" collapsed="false">
      <c r="A46" s="17" t="n">
        <v>42</v>
      </c>
      <c r="B46" s="17" t="s">
        <v>133</v>
      </c>
      <c r="C46" s="18" t="s">
        <v>47</v>
      </c>
      <c r="D46" s="18" t="s">
        <v>49</v>
      </c>
    </row>
    <row r="47" customFormat="false" ht="15" hidden="false" customHeight="false" outlineLevel="0" collapsed="false">
      <c r="A47" s="17" t="n">
        <v>43</v>
      </c>
      <c r="B47" s="17" t="s">
        <v>134</v>
      </c>
      <c r="C47" s="18" t="s">
        <v>44</v>
      </c>
      <c r="D47" s="18" t="s">
        <v>47</v>
      </c>
    </row>
    <row r="48" customFormat="false" ht="15" hidden="false" customHeight="false" outlineLevel="0" collapsed="false">
      <c r="A48" s="17" t="n">
        <v>44</v>
      </c>
      <c r="B48" s="17" t="s">
        <v>135</v>
      </c>
      <c r="C48" s="18" t="s">
        <v>44</v>
      </c>
      <c r="D48" s="18" t="s">
        <v>47</v>
      </c>
    </row>
    <row r="49" customFormat="false" ht="15" hidden="false" customHeight="false" outlineLevel="0" collapsed="false">
      <c r="A49" s="17" t="n">
        <v>45</v>
      </c>
      <c r="B49" s="17" t="s">
        <v>136</v>
      </c>
      <c r="C49" s="18" t="s">
        <v>44</v>
      </c>
      <c r="D49" s="18" t="s">
        <v>47</v>
      </c>
    </row>
    <row r="50" customFormat="false" ht="15" hidden="false" customHeight="false" outlineLevel="0" collapsed="false">
      <c r="A50" s="17" t="n">
        <v>46</v>
      </c>
      <c r="B50" s="17" t="s">
        <v>137</v>
      </c>
      <c r="C50" s="18" t="s">
        <v>51</v>
      </c>
      <c r="D50" s="18" t="s">
        <v>44</v>
      </c>
    </row>
    <row r="51" customFormat="false" ht="15" hidden="false" customHeight="false" outlineLevel="0" collapsed="false">
      <c r="A51" s="17" t="n">
        <v>47</v>
      </c>
      <c r="B51" s="17" t="s">
        <v>138</v>
      </c>
      <c r="C51" s="18" t="s">
        <v>51</v>
      </c>
      <c r="D51" s="18" t="s">
        <v>44</v>
      </c>
    </row>
    <row r="52" customFormat="false" ht="15" hidden="false" customHeight="false" outlineLevel="0" collapsed="false">
      <c r="A52" s="17" t="n">
        <v>48</v>
      </c>
      <c r="B52" s="17" t="s">
        <v>139</v>
      </c>
      <c r="C52" s="18" t="s">
        <v>51</v>
      </c>
      <c r="D52" s="18" t="s">
        <v>47</v>
      </c>
    </row>
    <row r="53" customFormat="false" ht="15" hidden="false" customHeight="false" outlineLevel="0" collapsed="false">
      <c r="A53" s="17" t="n">
        <v>49</v>
      </c>
      <c r="B53" s="17" t="s">
        <v>140</v>
      </c>
      <c r="C53" s="18" t="s">
        <v>51</v>
      </c>
      <c r="D53" s="18" t="s">
        <v>47</v>
      </c>
    </row>
    <row r="54" customFormat="false" ht="15" hidden="false" customHeight="false" outlineLevel="0" collapsed="false">
      <c r="A54" s="17" t="n">
        <v>50</v>
      </c>
      <c r="B54" s="17" t="s">
        <v>141</v>
      </c>
      <c r="C54" s="18" t="s">
        <v>48</v>
      </c>
      <c r="D54" s="18"/>
    </row>
    <row r="55" customFormat="false" ht="15" hidden="false" customHeight="false" outlineLevel="0" collapsed="false">
      <c r="A55" s="17" t="n">
        <v>51</v>
      </c>
      <c r="B55" s="17" t="s">
        <v>142</v>
      </c>
      <c r="C55" s="18" t="s">
        <v>48</v>
      </c>
      <c r="D55" s="18"/>
    </row>
    <row r="56" customFormat="false" ht="15" hidden="false" customHeight="false" outlineLevel="0" collapsed="false">
      <c r="A56" s="17" t="n">
        <v>52</v>
      </c>
      <c r="B56" s="17" t="s">
        <v>143</v>
      </c>
      <c r="C56" s="18" t="s">
        <v>40</v>
      </c>
      <c r="D56" s="18"/>
    </row>
    <row r="57" customFormat="false" ht="15" hidden="false" customHeight="false" outlineLevel="0" collapsed="false">
      <c r="A57" s="17" t="n">
        <v>53</v>
      </c>
      <c r="B57" s="17" t="s">
        <v>144</v>
      </c>
      <c r="C57" s="18" t="s">
        <v>40</v>
      </c>
      <c r="D57" s="18"/>
    </row>
    <row r="58" customFormat="false" ht="15" hidden="false" customHeight="false" outlineLevel="0" collapsed="false">
      <c r="A58" s="17" t="n">
        <v>54</v>
      </c>
      <c r="B58" s="17" t="s">
        <v>145</v>
      </c>
      <c r="C58" s="18" t="s">
        <v>42</v>
      </c>
      <c r="D58" s="18"/>
    </row>
    <row r="59" customFormat="false" ht="15" hidden="false" customHeight="false" outlineLevel="0" collapsed="false">
      <c r="A59" s="17" t="n">
        <v>55</v>
      </c>
      <c r="B59" s="17" t="s">
        <v>146</v>
      </c>
      <c r="C59" s="18" t="s">
        <v>42</v>
      </c>
      <c r="D59" s="18"/>
    </row>
    <row r="60" customFormat="false" ht="15" hidden="false" customHeight="false" outlineLevel="0" collapsed="false">
      <c r="A60" s="17" t="n">
        <v>56</v>
      </c>
      <c r="B60" s="17" t="s">
        <v>147</v>
      </c>
      <c r="C60" s="18" t="s">
        <v>46</v>
      </c>
      <c r="D60" s="18"/>
    </row>
    <row r="61" customFormat="false" ht="15" hidden="false" customHeight="false" outlineLevel="0" collapsed="false">
      <c r="A61" s="17" t="n">
        <v>57</v>
      </c>
      <c r="B61" s="17" t="s">
        <v>148</v>
      </c>
      <c r="C61" s="18" t="s">
        <v>46</v>
      </c>
      <c r="D61" s="18"/>
    </row>
    <row r="62" customFormat="false" ht="15" hidden="false" customHeight="false" outlineLevel="0" collapsed="false">
      <c r="A62" s="17" t="n">
        <v>58</v>
      </c>
      <c r="B62" s="17" t="s">
        <v>149</v>
      </c>
      <c r="C62" s="18" t="s">
        <v>41</v>
      </c>
      <c r="D62" s="18"/>
    </row>
    <row r="63" customFormat="false" ht="15" hidden="false" customHeight="false" outlineLevel="0" collapsed="false">
      <c r="A63" s="17" t="n">
        <v>59</v>
      </c>
      <c r="B63" s="17" t="s">
        <v>150</v>
      </c>
      <c r="C63" s="18" t="s">
        <v>41</v>
      </c>
      <c r="D63" s="18"/>
    </row>
    <row r="64" customFormat="false" ht="15" hidden="false" customHeight="false" outlineLevel="0" collapsed="false">
      <c r="A64" s="17" t="n">
        <v>60</v>
      </c>
      <c r="B64" s="17" t="s">
        <v>151</v>
      </c>
      <c r="C64" s="18" t="s">
        <v>42</v>
      </c>
      <c r="D64" s="18"/>
    </row>
    <row r="65" customFormat="false" ht="15" hidden="false" customHeight="false" outlineLevel="0" collapsed="false">
      <c r="A65" s="17" t="n">
        <v>61</v>
      </c>
      <c r="B65" s="17" t="s">
        <v>152</v>
      </c>
      <c r="C65" s="18" t="s">
        <v>42</v>
      </c>
      <c r="D65" s="18"/>
    </row>
    <row r="66" customFormat="false" ht="15" hidden="false" customHeight="false" outlineLevel="0" collapsed="false">
      <c r="A66" s="17" t="n">
        <v>62</v>
      </c>
      <c r="B66" s="17" t="s">
        <v>153</v>
      </c>
      <c r="C66" s="18" t="s">
        <v>42</v>
      </c>
      <c r="D66" s="18" t="s">
        <v>46</v>
      </c>
    </row>
    <row r="67" customFormat="false" ht="15" hidden="false" customHeight="false" outlineLevel="0" collapsed="false">
      <c r="A67" s="17" t="n">
        <v>63</v>
      </c>
      <c r="B67" s="17" t="s">
        <v>154</v>
      </c>
      <c r="C67" s="18" t="s">
        <v>50</v>
      </c>
      <c r="D67" s="18"/>
    </row>
    <row r="68" customFormat="false" ht="15" hidden="false" customHeight="false" outlineLevel="0" collapsed="false">
      <c r="A68" s="17" t="n">
        <v>64</v>
      </c>
      <c r="B68" s="17" t="s">
        <v>155</v>
      </c>
      <c r="C68" s="18" t="s">
        <v>50</v>
      </c>
      <c r="D68" s="18"/>
    </row>
    <row r="69" customFormat="false" ht="15" hidden="false" customHeight="false" outlineLevel="0" collapsed="false">
      <c r="A69" s="17" t="n">
        <v>65</v>
      </c>
      <c r="B69" s="17" t="s">
        <v>156</v>
      </c>
      <c r="C69" s="18" t="s">
        <v>50</v>
      </c>
      <c r="D69" s="18"/>
    </row>
    <row r="70" customFormat="false" ht="15" hidden="false" customHeight="false" outlineLevel="0" collapsed="false">
      <c r="A70" s="17" t="n">
        <v>66</v>
      </c>
      <c r="B70" s="17" t="s">
        <v>157</v>
      </c>
      <c r="C70" s="18" t="s">
        <v>46</v>
      </c>
      <c r="D70" s="18"/>
    </row>
    <row r="71" customFormat="false" ht="15" hidden="false" customHeight="false" outlineLevel="0" collapsed="false">
      <c r="A71" s="17" t="n">
        <v>67</v>
      </c>
      <c r="B71" s="17" t="s">
        <v>158</v>
      </c>
      <c r="C71" s="18" t="s">
        <v>46</v>
      </c>
      <c r="D71" s="18"/>
    </row>
    <row r="72" customFormat="false" ht="15" hidden="false" customHeight="false" outlineLevel="0" collapsed="false">
      <c r="A72" s="17" t="n">
        <v>68</v>
      </c>
      <c r="B72" s="17" t="s">
        <v>159</v>
      </c>
      <c r="C72" s="18" t="s">
        <v>46</v>
      </c>
      <c r="D72" s="18"/>
    </row>
    <row r="73" customFormat="false" ht="15" hidden="false" customHeight="false" outlineLevel="0" collapsed="false">
      <c r="A73" s="17" t="n">
        <v>69</v>
      </c>
      <c r="B73" s="17" t="s">
        <v>160</v>
      </c>
      <c r="C73" s="18" t="s">
        <v>44</v>
      </c>
      <c r="D73" s="18" t="s">
        <v>47</v>
      </c>
    </row>
    <row r="74" customFormat="false" ht="15" hidden="false" customHeight="false" outlineLevel="0" collapsed="false">
      <c r="A74" s="17" t="n">
        <v>70</v>
      </c>
      <c r="B74" s="17" t="s">
        <v>161</v>
      </c>
      <c r="C74" s="18" t="s">
        <v>44</v>
      </c>
      <c r="D74" s="18" t="s">
        <v>47</v>
      </c>
    </row>
    <row r="75" customFormat="false" ht="15" hidden="false" customHeight="false" outlineLevel="0" collapsed="false">
      <c r="A75" s="17" t="n">
        <v>71</v>
      </c>
      <c r="B75" s="17" t="s">
        <v>162</v>
      </c>
      <c r="C75" s="18" t="s">
        <v>44</v>
      </c>
      <c r="D75" s="18" t="s">
        <v>47</v>
      </c>
    </row>
    <row r="76" customFormat="false" ht="15" hidden="false" customHeight="false" outlineLevel="0" collapsed="false">
      <c r="A76" s="17" t="n">
        <v>72</v>
      </c>
      <c r="B76" s="17" t="s">
        <v>163</v>
      </c>
      <c r="C76" s="18" t="s">
        <v>42</v>
      </c>
      <c r="D76" s="18" t="s">
        <v>47</v>
      </c>
    </row>
    <row r="77" customFormat="false" ht="15" hidden="false" customHeight="false" outlineLevel="0" collapsed="false">
      <c r="A77" s="17" t="n">
        <v>73</v>
      </c>
      <c r="B77" s="17" t="s">
        <v>164</v>
      </c>
      <c r="C77" s="18" t="s">
        <v>42</v>
      </c>
      <c r="D77" s="18" t="s">
        <v>47</v>
      </c>
    </row>
    <row r="78" customFormat="false" ht="15" hidden="false" customHeight="false" outlineLevel="0" collapsed="false">
      <c r="A78" s="17" t="n">
        <v>74</v>
      </c>
      <c r="B78" s="17" t="s">
        <v>165</v>
      </c>
      <c r="C78" s="18" t="s">
        <v>52</v>
      </c>
      <c r="D78" s="18" t="s">
        <v>48</v>
      </c>
    </row>
    <row r="79" customFormat="false" ht="15" hidden="false" customHeight="false" outlineLevel="0" collapsed="false">
      <c r="A79" s="17" t="n">
        <v>75</v>
      </c>
      <c r="B79" s="17" t="s">
        <v>166</v>
      </c>
      <c r="C79" s="18" t="s">
        <v>52</v>
      </c>
      <c r="D79" s="18" t="s">
        <v>48</v>
      </c>
    </row>
    <row r="80" customFormat="false" ht="15" hidden="false" customHeight="false" outlineLevel="0" collapsed="false">
      <c r="A80" s="17" t="n">
        <v>76</v>
      </c>
      <c r="B80" s="17" t="s">
        <v>167</v>
      </c>
      <c r="C80" s="18" t="s">
        <v>52</v>
      </c>
      <c r="D80" s="18" t="s">
        <v>48</v>
      </c>
    </row>
    <row r="81" customFormat="false" ht="15" hidden="false" customHeight="false" outlineLevel="0" collapsed="false">
      <c r="A81" s="17" t="n">
        <v>77</v>
      </c>
      <c r="B81" s="17" t="s">
        <v>168</v>
      </c>
      <c r="C81" s="18" t="s">
        <v>41</v>
      </c>
      <c r="D81" s="18"/>
    </row>
    <row r="82" customFormat="false" ht="15" hidden="false" customHeight="false" outlineLevel="0" collapsed="false">
      <c r="A82" s="17" t="n">
        <v>78</v>
      </c>
      <c r="B82" s="17" t="s">
        <v>169</v>
      </c>
      <c r="C82" s="18" t="s">
        <v>41</v>
      </c>
      <c r="D82" s="18"/>
    </row>
    <row r="83" customFormat="false" ht="15" hidden="false" customHeight="false" outlineLevel="0" collapsed="false">
      <c r="A83" s="17" t="n">
        <v>79</v>
      </c>
      <c r="B83" s="17" t="s">
        <v>170</v>
      </c>
      <c r="C83" s="18" t="s">
        <v>42</v>
      </c>
      <c r="D83" s="18" t="s">
        <v>50</v>
      </c>
    </row>
    <row r="84" customFormat="false" ht="15" hidden="false" customHeight="false" outlineLevel="0" collapsed="false">
      <c r="A84" s="17" t="n">
        <v>80</v>
      </c>
      <c r="B84" s="17" t="s">
        <v>171</v>
      </c>
      <c r="C84" s="18" t="s">
        <v>42</v>
      </c>
      <c r="D84" s="18" t="s">
        <v>50</v>
      </c>
    </row>
    <row r="85" customFormat="false" ht="15" hidden="false" customHeight="false" outlineLevel="0" collapsed="false">
      <c r="A85" s="17" t="n">
        <v>81</v>
      </c>
      <c r="B85" s="17" t="s">
        <v>172</v>
      </c>
      <c r="C85" s="18" t="s">
        <v>43</v>
      </c>
      <c r="D85" s="18"/>
    </row>
    <row r="86" customFormat="false" ht="15" hidden="false" customHeight="false" outlineLevel="0" collapsed="false">
      <c r="A86" s="17" t="n">
        <v>82</v>
      </c>
      <c r="B86" s="17" t="s">
        <v>173</v>
      </c>
      <c r="C86" s="18" t="s">
        <v>43</v>
      </c>
      <c r="D86" s="18"/>
    </row>
    <row r="87" customFormat="false" ht="15" hidden="false" customHeight="false" outlineLevel="0" collapsed="false">
      <c r="A87" s="17" t="n">
        <v>83</v>
      </c>
      <c r="B87" s="17" t="s">
        <v>174</v>
      </c>
      <c r="C87" s="18" t="s">
        <v>40</v>
      </c>
      <c r="D87" s="18" t="s">
        <v>49</v>
      </c>
    </row>
    <row r="88" customFormat="false" ht="15" hidden="false" customHeight="false" outlineLevel="0" collapsed="false">
      <c r="A88" s="17" t="n">
        <v>84</v>
      </c>
      <c r="B88" s="17" t="s">
        <v>175</v>
      </c>
      <c r="C88" s="18" t="s">
        <v>40</v>
      </c>
      <c r="D88" s="18" t="s">
        <v>49</v>
      </c>
    </row>
    <row r="89" customFormat="false" ht="15" hidden="false" customHeight="false" outlineLevel="0" collapsed="false">
      <c r="A89" s="17" t="n">
        <v>85</v>
      </c>
      <c r="B89" s="17" t="s">
        <v>176</v>
      </c>
      <c r="C89" s="18" t="s">
        <v>40</v>
      </c>
      <c r="D89" s="18" t="s">
        <v>49</v>
      </c>
    </row>
    <row r="90" customFormat="false" ht="15" hidden="false" customHeight="false" outlineLevel="0" collapsed="false">
      <c r="A90" s="17" t="n">
        <v>86</v>
      </c>
      <c r="B90" s="17" t="s">
        <v>177</v>
      </c>
      <c r="C90" s="18" t="s">
        <v>42</v>
      </c>
      <c r="D90" s="18"/>
    </row>
    <row r="91" customFormat="false" ht="15" hidden="false" customHeight="false" outlineLevel="0" collapsed="false">
      <c r="A91" s="17" t="n">
        <v>87</v>
      </c>
      <c r="B91" s="17" t="s">
        <v>178</v>
      </c>
      <c r="C91" s="18" t="s">
        <v>42</v>
      </c>
      <c r="D91" s="18" t="s">
        <v>45</v>
      </c>
    </row>
    <row r="92" customFormat="false" ht="15" hidden="false" customHeight="false" outlineLevel="0" collapsed="false">
      <c r="A92" s="17" t="n">
        <v>88</v>
      </c>
      <c r="B92" s="17" t="s">
        <v>179</v>
      </c>
      <c r="C92" s="18" t="s">
        <v>47</v>
      </c>
      <c r="D92" s="18"/>
    </row>
    <row r="93" customFormat="false" ht="15" hidden="false" customHeight="false" outlineLevel="0" collapsed="false">
      <c r="A93" s="17" t="n">
        <v>89</v>
      </c>
      <c r="B93" s="17" t="s">
        <v>180</v>
      </c>
      <c r="C93" s="18" t="s">
        <v>47</v>
      </c>
      <c r="D93" s="18"/>
    </row>
    <row r="94" customFormat="false" ht="15" hidden="false" customHeight="false" outlineLevel="0" collapsed="false">
      <c r="A94" s="17" t="n">
        <v>90</v>
      </c>
      <c r="B94" s="17" t="s">
        <v>181</v>
      </c>
      <c r="C94" s="18" t="s">
        <v>42</v>
      </c>
      <c r="D94" s="18"/>
    </row>
    <row r="95" customFormat="false" ht="15" hidden="false" customHeight="false" outlineLevel="0" collapsed="false">
      <c r="A95" s="17" t="n">
        <v>91</v>
      </c>
      <c r="B95" s="17" t="s">
        <v>182</v>
      </c>
      <c r="C95" s="18" t="s">
        <v>42</v>
      </c>
      <c r="D95" s="18" t="s">
        <v>45</v>
      </c>
    </row>
    <row r="96" customFormat="false" ht="15" hidden="false" customHeight="false" outlineLevel="0" collapsed="false">
      <c r="A96" s="17" t="n">
        <v>92</v>
      </c>
      <c r="B96" s="17" t="s">
        <v>183</v>
      </c>
      <c r="C96" s="18" t="s">
        <v>53</v>
      </c>
      <c r="D96" s="18" t="s">
        <v>47</v>
      </c>
    </row>
    <row r="97" customFormat="false" ht="15" hidden="false" customHeight="false" outlineLevel="0" collapsed="false">
      <c r="A97" s="17" t="n">
        <v>93</v>
      </c>
      <c r="B97" s="17" t="s">
        <v>184</v>
      </c>
      <c r="C97" s="18" t="s">
        <v>53</v>
      </c>
      <c r="D97" s="18" t="s">
        <v>47</v>
      </c>
    </row>
    <row r="98" customFormat="false" ht="15" hidden="false" customHeight="false" outlineLevel="0" collapsed="false">
      <c r="A98" s="17" t="n">
        <v>94</v>
      </c>
      <c r="B98" s="17" t="s">
        <v>185</v>
      </c>
      <c r="C98" s="18" t="s">
        <v>53</v>
      </c>
      <c r="D98" s="18" t="s">
        <v>47</v>
      </c>
    </row>
    <row r="99" customFormat="false" ht="15" hidden="false" customHeight="false" outlineLevel="0" collapsed="false">
      <c r="A99" s="17" t="n">
        <v>95</v>
      </c>
      <c r="B99" s="17" t="s">
        <v>186</v>
      </c>
      <c r="C99" s="18" t="s">
        <v>52</v>
      </c>
      <c r="D99" s="18" t="s">
        <v>48</v>
      </c>
    </row>
    <row r="100" customFormat="false" ht="15" hidden="false" customHeight="false" outlineLevel="0" collapsed="false">
      <c r="A100" s="17" t="n">
        <v>96</v>
      </c>
      <c r="B100" s="17" t="s">
        <v>187</v>
      </c>
      <c r="C100" s="18" t="s">
        <v>50</v>
      </c>
      <c r="D100" s="18"/>
    </row>
    <row r="101" customFormat="false" ht="15" hidden="false" customHeight="false" outlineLevel="0" collapsed="false">
      <c r="A101" s="17" t="n">
        <v>97</v>
      </c>
      <c r="B101" s="17" t="s">
        <v>188</v>
      </c>
      <c r="C101" s="18" t="s">
        <v>50</v>
      </c>
      <c r="D101" s="18"/>
    </row>
    <row r="102" customFormat="false" ht="15" hidden="false" customHeight="false" outlineLevel="0" collapsed="false">
      <c r="A102" s="17" t="n">
        <v>98</v>
      </c>
      <c r="B102" s="17" t="s">
        <v>189</v>
      </c>
      <c r="C102" s="18" t="s">
        <v>42</v>
      </c>
      <c r="D102" s="18"/>
    </row>
    <row r="103" customFormat="false" ht="15" hidden="false" customHeight="false" outlineLevel="0" collapsed="false">
      <c r="A103" s="17" t="n">
        <v>99</v>
      </c>
      <c r="B103" s="17" t="s">
        <v>190</v>
      </c>
      <c r="C103" s="18" t="s">
        <v>42</v>
      </c>
      <c r="D103" s="18"/>
    </row>
    <row r="104" customFormat="false" ht="15" hidden="false" customHeight="false" outlineLevel="0" collapsed="false">
      <c r="A104" s="17" t="n">
        <v>100</v>
      </c>
      <c r="B104" s="17" t="s">
        <v>191</v>
      </c>
      <c r="C104" s="18" t="s">
        <v>43</v>
      </c>
      <c r="D104" s="18"/>
    </row>
    <row r="105" customFormat="false" ht="15" hidden="false" customHeight="false" outlineLevel="0" collapsed="false">
      <c r="A105" s="17" t="n">
        <v>101</v>
      </c>
      <c r="B105" s="17" t="s">
        <v>192</v>
      </c>
      <c r="C105" s="18" t="s">
        <v>43</v>
      </c>
      <c r="D105" s="18"/>
    </row>
    <row r="106" customFormat="false" ht="15" hidden="false" customHeight="false" outlineLevel="0" collapsed="false">
      <c r="A106" s="17" t="n">
        <v>102</v>
      </c>
      <c r="B106" s="17" t="s">
        <v>193</v>
      </c>
      <c r="C106" s="18" t="s">
        <v>44</v>
      </c>
      <c r="D106" s="18" t="s">
        <v>50</v>
      </c>
    </row>
    <row r="107" customFormat="false" ht="15" hidden="false" customHeight="false" outlineLevel="0" collapsed="false">
      <c r="A107" s="17" t="n">
        <v>103</v>
      </c>
      <c r="B107" s="17" t="s">
        <v>194</v>
      </c>
      <c r="C107" s="18" t="s">
        <v>44</v>
      </c>
      <c r="D107" s="18" t="s">
        <v>50</v>
      </c>
    </row>
    <row r="108" customFormat="false" ht="15" hidden="false" customHeight="false" outlineLevel="0" collapsed="false">
      <c r="A108" s="17" t="n">
        <v>104</v>
      </c>
      <c r="B108" s="17" t="s">
        <v>195</v>
      </c>
      <c r="C108" s="18" t="s">
        <v>48</v>
      </c>
      <c r="D108" s="18"/>
    </row>
    <row r="109" customFormat="false" ht="15" hidden="false" customHeight="false" outlineLevel="0" collapsed="false">
      <c r="A109" s="17" t="n">
        <v>105</v>
      </c>
      <c r="B109" s="17" t="s">
        <v>196</v>
      </c>
      <c r="C109" s="18" t="s">
        <v>48</v>
      </c>
      <c r="D109" s="18"/>
    </row>
    <row r="110" customFormat="false" ht="15" hidden="false" customHeight="false" outlineLevel="0" collapsed="false">
      <c r="A110" s="17" t="n">
        <v>106</v>
      </c>
      <c r="B110" s="17" t="s">
        <v>197</v>
      </c>
      <c r="C110" s="18" t="s">
        <v>46</v>
      </c>
      <c r="D110" s="18"/>
    </row>
    <row r="111" customFormat="false" ht="15" hidden="false" customHeight="false" outlineLevel="0" collapsed="false">
      <c r="A111" s="17" t="n">
        <v>107</v>
      </c>
      <c r="B111" s="17" t="s">
        <v>198</v>
      </c>
      <c r="C111" s="18" t="s">
        <v>46</v>
      </c>
      <c r="D111" s="18"/>
    </row>
    <row r="112" customFormat="false" ht="15" hidden="false" customHeight="false" outlineLevel="0" collapsed="false">
      <c r="A112" s="17" t="n">
        <v>108</v>
      </c>
      <c r="B112" s="17" t="s">
        <v>199</v>
      </c>
      <c r="C112" s="18" t="s">
        <v>40</v>
      </c>
      <c r="D112" s="18"/>
    </row>
    <row r="113" customFormat="false" ht="15" hidden="false" customHeight="false" outlineLevel="0" collapsed="false">
      <c r="A113" s="17" t="n">
        <v>109</v>
      </c>
      <c r="B113" s="17" t="s">
        <v>200</v>
      </c>
      <c r="C113" s="18" t="s">
        <v>47</v>
      </c>
      <c r="D113" s="18"/>
    </row>
    <row r="114" customFormat="false" ht="15" hidden="false" customHeight="false" outlineLevel="0" collapsed="false">
      <c r="A114" s="17" t="n">
        <v>110</v>
      </c>
      <c r="B114" s="17" t="s">
        <v>201</v>
      </c>
      <c r="C114" s="18" t="s">
        <v>47</v>
      </c>
      <c r="D114" s="18"/>
    </row>
    <row r="115" customFormat="false" ht="15" hidden="false" customHeight="false" outlineLevel="0" collapsed="false">
      <c r="A115" s="17" t="n">
        <v>111</v>
      </c>
      <c r="B115" s="17" t="s">
        <v>202</v>
      </c>
      <c r="C115" s="18" t="s">
        <v>48</v>
      </c>
      <c r="D115" s="18" t="s">
        <v>52</v>
      </c>
    </row>
    <row r="116" customFormat="false" ht="15" hidden="false" customHeight="false" outlineLevel="0" collapsed="false">
      <c r="A116" s="17" t="n">
        <v>112</v>
      </c>
      <c r="B116" s="17" t="s">
        <v>203</v>
      </c>
      <c r="C116" s="18" t="s">
        <v>48</v>
      </c>
      <c r="D116" s="18" t="s">
        <v>52</v>
      </c>
    </row>
    <row r="117" customFormat="false" ht="15" hidden="false" customHeight="false" outlineLevel="0" collapsed="false">
      <c r="A117" s="17" t="n">
        <v>113</v>
      </c>
      <c r="B117" s="17" t="s">
        <v>204</v>
      </c>
      <c r="C117" s="18" t="s">
        <v>40</v>
      </c>
      <c r="D117" s="18"/>
    </row>
    <row r="118" customFormat="false" ht="15" hidden="false" customHeight="false" outlineLevel="0" collapsed="false">
      <c r="A118" s="17" t="n">
        <v>114</v>
      </c>
      <c r="B118" s="17" t="s">
        <v>205</v>
      </c>
      <c r="C118" s="18" t="s">
        <v>44</v>
      </c>
      <c r="D118" s="18"/>
    </row>
    <row r="119" customFormat="false" ht="15" hidden="false" customHeight="false" outlineLevel="0" collapsed="false">
      <c r="A119" s="17" t="n">
        <v>115</v>
      </c>
      <c r="B119" s="17" t="s">
        <v>206</v>
      </c>
      <c r="C119" s="18" t="s">
        <v>40</v>
      </c>
      <c r="D119" s="18"/>
    </row>
    <row r="120" customFormat="false" ht="15" hidden="false" customHeight="false" outlineLevel="0" collapsed="false">
      <c r="A120" s="17" t="n">
        <v>116</v>
      </c>
      <c r="B120" s="17" t="s">
        <v>207</v>
      </c>
      <c r="C120" s="18" t="s">
        <v>42</v>
      </c>
      <c r="D120" s="18"/>
    </row>
    <row r="121" customFormat="false" ht="15" hidden="false" customHeight="false" outlineLevel="0" collapsed="false">
      <c r="A121" s="17" t="n">
        <v>117</v>
      </c>
      <c r="B121" s="17" t="s">
        <v>208</v>
      </c>
      <c r="C121" s="18" t="s">
        <v>42</v>
      </c>
      <c r="D121" s="18"/>
    </row>
    <row r="122" customFormat="false" ht="15" hidden="false" customHeight="false" outlineLevel="0" collapsed="false">
      <c r="A122" s="17" t="n">
        <v>118</v>
      </c>
      <c r="B122" s="17" t="s">
        <v>209</v>
      </c>
      <c r="C122" s="18" t="s">
        <v>42</v>
      </c>
      <c r="D122" s="18"/>
    </row>
    <row r="123" customFormat="false" ht="15" hidden="false" customHeight="false" outlineLevel="0" collapsed="false">
      <c r="A123" s="17" t="n">
        <v>119</v>
      </c>
      <c r="B123" s="17" t="s">
        <v>210</v>
      </c>
      <c r="C123" s="18" t="s">
        <v>42</v>
      </c>
      <c r="D123" s="18"/>
    </row>
    <row r="124" customFormat="false" ht="15" hidden="false" customHeight="false" outlineLevel="0" collapsed="false">
      <c r="A124" s="17" t="n">
        <v>120</v>
      </c>
      <c r="B124" s="17" t="s">
        <v>211</v>
      </c>
      <c r="C124" s="18" t="s">
        <v>42</v>
      </c>
      <c r="D124" s="18"/>
    </row>
    <row r="125" customFormat="false" ht="15" hidden="false" customHeight="false" outlineLevel="0" collapsed="false">
      <c r="A125" s="17" t="n">
        <v>121</v>
      </c>
      <c r="B125" s="17" t="s">
        <v>212</v>
      </c>
      <c r="C125" s="18" t="s">
        <v>42</v>
      </c>
      <c r="D125" s="18" t="s">
        <v>50</v>
      </c>
    </row>
    <row r="126" customFormat="false" ht="15" hidden="false" customHeight="false" outlineLevel="0" collapsed="false">
      <c r="A126" s="17" t="n">
        <v>122</v>
      </c>
      <c r="B126" s="17" t="s">
        <v>213</v>
      </c>
      <c r="C126" s="18" t="s">
        <v>50</v>
      </c>
      <c r="D126" s="18"/>
    </row>
    <row r="127" customFormat="false" ht="15" hidden="false" customHeight="false" outlineLevel="0" collapsed="false">
      <c r="A127" s="17" t="n">
        <v>123</v>
      </c>
      <c r="B127" s="17" t="s">
        <v>214</v>
      </c>
      <c r="C127" s="18" t="s">
        <v>51</v>
      </c>
      <c r="D127" s="18" t="s">
        <v>49</v>
      </c>
    </row>
    <row r="128" customFormat="false" ht="15" hidden="false" customHeight="false" outlineLevel="0" collapsed="false">
      <c r="A128" s="17" t="n">
        <v>124</v>
      </c>
      <c r="B128" s="17" t="s">
        <v>215</v>
      </c>
      <c r="C128" s="18" t="s">
        <v>45</v>
      </c>
      <c r="D128" s="18" t="s">
        <v>50</v>
      </c>
    </row>
    <row r="129" customFormat="false" ht="15" hidden="false" customHeight="false" outlineLevel="0" collapsed="false">
      <c r="A129" s="17" t="n">
        <v>125</v>
      </c>
      <c r="B129" s="17" t="s">
        <v>216</v>
      </c>
      <c r="C129" s="18" t="s">
        <v>43</v>
      </c>
      <c r="D129" s="18"/>
    </row>
    <row r="130" customFormat="false" ht="15" hidden="false" customHeight="false" outlineLevel="0" collapsed="false">
      <c r="A130" s="17" t="n">
        <v>126</v>
      </c>
      <c r="B130" s="17" t="s">
        <v>217</v>
      </c>
      <c r="C130" s="18" t="s">
        <v>41</v>
      </c>
      <c r="D130" s="18"/>
    </row>
    <row r="131" customFormat="false" ht="15" hidden="false" customHeight="false" outlineLevel="0" collapsed="false">
      <c r="A131" s="17" t="n">
        <v>127</v>
      </c>
      <c r="B131" s="17" t="s">
        <v>218</v>
      </c>
      <c r="C131" s="18" t="s">
        <v>51</v>
      </c>
      <c r="D131" s="18"/>
    </row>
    <row r="132" customFormat="false" ht="15" hidden="false" customHeight="false" outlineLevel="0" collapsed="false">
      <c r="A132" s="17" t="n">
        <v>128</v>
      </c>
      <c r="B132" s="17" t="s">
        <v>219</v>
      </c>
      <c r="C132" s="18" t="s">
        <v>40</v>
      </c>
      <c r="D132" s="18"/>
    </row>
    <row r="133" customFormat="false" ht="15" hidden="false" customHeight="false" outlineLevel="0" collapsed="false">
      <c r="A133" s="17" t="n">
        <v>129</v>
      </c>
      <c r="B133" s="17" t="s">
        <v>220</v>
      </c>
      <c r="C133" s="18" t="s">
        <v>42</v>
      </c>
      <c r="D133" s="18"/>
    </row>
    <row r="134" customFormat="false" ht="15" hidden="false" customHeight="false" outlineLevel="0" collapsed="false">
      <c r="A134" s="17" t="n">
        <v>130</v>
      </c>
      <c r="B134" s="17" t="s">
        <v>221</v>
      </c>
      <c r="C134" s="18" t="s">
        <v>42</v>
      </c>
      <c r="D134" s="18" t="s">
        <v>49</v>
      </c>
    </row>
    <row r="135" customFormat="false" ht="15" hidden="false" customHeight="false" outlineLevel="0" collapsed="false">
      <c r="A135" s="17" t="n">
        <v>131</v>
      </c>
      <c r="B135" s="17" t="s">
        <v>222</v>
      </c>
      <c r="C135" s="18" t="s">
        <v>42</v>
      </c>
      <c r="D135" s="18" t="s">
        <v>45</v>
      </c>
    </row>
    <row r="136" customFormat="false" ht="15" hidden="false" customHeight="false" outlineLevel="0" collapsed="false">
      <c r="A136" s="17" t="n">
        <v>132</v>
      </c>
      <c r="B136" s="17" t="s">
        <v>223</v>
      </c>
      <c r="C136" s="18" t="s">
        <v>40</v>
      </c>
      <c r="D136" s="18"/>
    </row>
    <row r="137" customFormat="false" ht="15" hidden="false" customHeight="false" outlineLevel="0" collapsed="false">
      <c r="A137" s="17" t="n">
        <v>133</v>
      </c>
      <c r="B137" s="17" t="s">
        <v>224</v>
      </c>
      <c r="C137" s="18" t="s">
        <v>40</v>
      </c>
      <c r="D137" s="18"/>
    </row>
    <row r="138" customFormat="false" ht="15" hidden="false" customHeight="false" outlineLevel="0" collapsed="false">
      <c r="A138" s="17" t="n">
        <v>134</v>
      </c>
      <c r="B138" s="17" t="s">
        <v>225</v>
      </c>
      <c r="C138" s="18" t="s">
        <v>42</v>
      </c>
      <c r="D138" s="18"/>
    </row>
    <row r="139" customFormat="false" ht="15" hidden="false" customHeight="false" outlineLevel="0" collapsed="false">
      <c r="A139" s="17" t="n">
        <v>135</v>
      </c>
      <c r="B139" s="17" t="s">
        <v>226</v>
      </c>
      <c r="C139" s="18" t="s">
        <v>43</v>
      </c>
      <c r="D139" s="18"/>
    </row>
    <row r="140" customFormat="false" ht="15" hidden="false" customHeight="false" outlineLevel="0" collapsed="false">
      <c r="A140" s="17" t="n">
        <v>136</v>
      </c>
      <c r="B140" s="17" t="s">
        <v>227</v>
      </c>
      <c r="C140" s="18" t="s">
        <v>41</v>
      </c>
      <c r="D140" s="18"/>
    </row>
    <row r="141" customFormat="false" ht="15" hidden="false" customHeight="false" outlineLevel="0" collapsed="false">
      <c r="A141" s="17" t="n">
        <v>137</v>
      </c>
      <c r="B141" s="17" t="s">
        <v>228</v>
      </c>
      <c r="C141" s="18" t="s">
        <v>40</v>
      </c>
      <c r="D141" s="18"/>
    </row>
    <row r="142" customFormat="false" ht="15" hidden="false" customHeight="false" outlineLevel="0" collapsed="false">
      <c r="A142" s="17" t="n">
        <v>138</v>
      </c>
      <c r="B142" s="17" t="s">
        <v>229</v>
      </c>
      <c r="C142" s="18" t="s">
        <v>52</v>
      </c>
      <c r="D142" s="18" t="s">
        <v>42</v>
      </c>
    </row>
    <row r="143" customFormat="false" ht="15" hidden="false" customHeight="false" outlineLevel="0" collapsed="false">
      <c r="A143" s="17" t="n">
        <v>139</v>
      </c>
      <c r="B143" s="17" t="s">
        <v>230</v>
      </c>
      <c r="C143" s="18" t="s">
        <v>52</v>
      </c>
      <c r="D143" s="18" t="s">
        <v>42</v>
      </c>
    </row>
    <row r="144" customFormat="false" ht="15" hidden="false" customHeight="false" outlineLevel="0" collapsed="false">
      <c r="A144" s="17" t="n">
        <v>140</v>
      </c>
      <c r="B144" s="17" t="s">
        <v>231</v>
      </c>
      <c r="C144" s="18" t="s">
        <v>52</v>
      </c>
      <c r="D144" s="18" t="s">
        <v>42</v>
      </c>
    </row>
    <row r="145" customFormat="false" ht="15" hidden="false" customHeight="false" outlineLevel="0" collapsed="false">
      <c r="A145" s="17" t="n">
        <v>141</v>
      </c>
      <c r="B145" s="17" t="s">
        <v>232</v>
      </c>
      <c r="C145" s="18" t="s">
        <v>52</v>
      </c>
      <c r="D145" s="18" t="s">
        <v>42</v>
      </c>
    </row>
    <row r="146" customFormat="false" ht="15" hidden="false" customHeight="false" outlineLevel="0" collapsed="false">
      <c r="A146" s="17" t="n">
        <v>142</v>
      </c>
      <c r="B146" s="17" t="s">
        <v>233</v>
      </c>
      <c r="C146" s="18" t="s">
        <v>52</v>
      </c>
      <c r="D146" s="18" t="s">
        <v>49</v>
      </c>
    </row>
    <row r="147" customFormat="false" ht="15" hidden="false" customHeight="false" outlineLevel="0" collapsed="false">
      <c r="A147" s="17" t="n">
        <v>143</v>
      </c>
      <c r="B147" s="17" t="s">
        <v>234</v>
      </c>
      <c r="C147" s="18" t="s">
        <v>40</v>
      </c>
      <c r="D147" s="18"/>
    </row>
    <row r="148" customFormat="false" ht="15" hidden="false" customHeight="false" outlineLevel="0" collapsed="false">
      <c r="A148" s="17" t="n">
        <v>144</v>
      </c>
      <c r="B148" s="17" t="s">
        <v>235</v>
      </c>
      <c r="C148" s="18" t="s">
        <v>45</v>
      </c>
      <c r="D148" s="18" t="s">
        <v>49</v>
      </c>
    </row>
    <row r="149" customFormat="false" ht="15" hidden="false" customHeight="false" outlineLevel="0" collapsed="false">
      <c r="A149" s="17" t="n">
        <v>145</v>
      </c>
      <c r="B149" s="17" t="s">
        <v>236</v>
      </c>
      <c r="C149" s="18" t="s">
        <v>43</v>
      </c>
      <c r="D149" s="18" t="s">
        <v>49</v>
      </c>
    </row>
    <row r="150" customFormat="false" ht="15" hidden="false" customHeight="false" outlineLevel="0" collapsed="false">
      <c r="A150" s="17" t="n">
        <v>146</v>
      </c>
      <c r="B150" s="17" t="s">
        <v>237</v>
      </c>
      <c r="C150" s="18" t="s">
        <v>41</v>
      </c>
      <c r="D150" s="18" t="s">
        <v>49</v>
      </c>
    </row>
    <row r="151" customFormat="false" ht="15" hidden="false" customHeight="false" outlineLevel="0" collapsed="false">
      <c r="A151" s="17" t="n">
        <v>147</v>
      </c>
      <c r="B151" s="17" t="s">
        <v>238</v>
      </c>
      <c r="C151" s="18" t="s">
        <v>54</v>
      </c>
      <c r="D151" s="18"/>
    </row>
    <row r="152" customFormat="false" ht="15" hidden="false" customHeight="false" outlineLevel="0" collapsed="false">
      <c r="A152" s="17" t="n">
        <v>148</v>
      </c>
      <c r="B152" s="17" t="s">
        <v>239</v>
      </c>
      <c r="C152" s="18" t="s">
        <v>54</v>
      </c>
      <c r="D152" s="18"/>
    </row>
    <row r="153" customFormat="false" ht="15" hidden="false" customHeight="false" outlineLevel="0" collapsed="false">
      <c r="A153" s="17" t="n">
        <v>149</v>
      </c>
      <c r="B153" s="17" t="s">
        <v>240</v>
      </c>
      <c r="C153" s="18" t="s">
        <v>54</v>
      </c>
      <c r="D153" s="18" t="s">
        <v>49</v>
      </c>
    </row>
    <row r="154" customFormat="false" ht="15" hidden="false" customHeight="false" outlineLevel="0" collapsed="false">
      <c r="A154" s="17" t="n">
        <v>150</v>
      </c>
      <c r="B154" s="17" t="s">
        <v>241</v>
      </c>
      <c r="C154" s="18" t="s">
        <v>50</v>
      </c>
      <c r="D154" s="18"/>
    </row>
    <row r="155" customFormat="false" ht="15" hidden="false" customHeight="false" outlineLevel="0" collapsed="false">
      <c r="A155" s="17" t="n">
        <v>151</v>
      </c>
      <c r="B155" s="17" t="s">
        <v>242</v>
      </c>
      <c r="C155" s="18" t="s">
        <v>50</v>
      </c>
      <c r="D155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19" min="5" style="0" width="8"/>
  </cols>
  <sheetData>
    <row r="1" customFormat="false" ht="17.35" hidden="false" customHeight="false" outlineLevel="0" collapsed="false">
      <c r="A1" s="1" t="s">
        <v>243</v>
      </c>
    </row>
    <row r="2" customFormat="false" ht="15" hidden="false" customHeight="false" outlineLevel="0" collapsed="false">
      <c r="A2" s="2" t="s">
        <v>244</v>
      </c>
    </row>
    <row r="4" customFormat="false" ht="15" hidden="false" customHeight="false" outlineLevel="0" collapsed="false">
      <c r="A4" s="14" t="s">
        <v>88</v>
      </c>
      <c r="B4" s="14" t="s">
        <v>89</v>
      </c>
      <c r="C4" s="14" t="s">
        <v>90</v>
      </c>
      <c r="D4" s="14" t="s">
        <v>91</v>
      </c>
      <c r="E4" s="14" t="s">
        <v>40</v>
      </c>
      <c r="F4" s="14" t="s">
        <v>41</v>
      </c>
      <c r="G4" s="14" t="s">
        <v>42</v>
      </c>
      <c r="H4" s="14" t="s">
        <v>43</v>
      </c>
      <c r="I4" s="14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4" t="s">
        <v>53</v>
      </c>
      <c r="S4" s="14" t="s">
        <v>54</v>
      </c>
    </row>
    <row r="5" customFormat="false" ht="15" hidden="false" customHeight="false" outlineLevel="0" collapsed="false">
      <c r="A5" s="19" t="n">
        <v>1</v>
      </c>
      <c r="B5" s="19" t="s">
        <v>92</v>
      </c>
      <c r="C5" s="20" t="str">
        <f aca="false">Pokedex!C5</f>
        <v>Grass</v>
      </c>
      <c r="D5" s="20" t="str">
        <f aca="false">Pokedex!D5</f>
        <v>Poison</v>
      </c>
      <c r="E5" s="21" t="n">
        <f aca="false">INDEX('Type Chart'!$B$5:$P$19,MATCH(E$4,'Type Chart'!$A$5:$A$19,0),MATCH($C5,'Type Chart'!$B$4:$P$4,0))*IF($D5="",1,INDEX('Type Chart'!$B$5:$P$19,MATCH(E$4,'Type Chart'!$A$5:$A$19,0),MATCH($D5,'Type Chart'!$B$4:$P$4,0)))</f>
        <v>1</v>
      </c>
      <c r="F5" s="21" t="n">
        <f aca="false">INDEX('Type Chart'!$B$5:$P$19,MATCH(F$4,'Type Chart'!$A$5:$A$19,0),MATCH($C5,'Type Chart'!$B$4:$P$4,0))*IF($D5="",1,INDEX('Type Chart'!$B$5:$P$19,MATCH(F$4,'Type Chart'!$A$5:$A$19,0),MATCH($D5,'Type Chart'!$B$4:$P$4,0)))</f>
        <v>2</v>
      </c>
      <c r="G5" s="21" t="n">
        <f aca="false">INDEX('Type Chart'!$B$5:$P$19,MATCH(G$4,'Type Chart'!$A$5:$A$19,0),MATCH($C5,'Type Chart'!$B$4:$P$4,0))*IF($D5="",1,INDEX('Type Chart'!$B$5:$P$19,MATCH(G$4,'Type Chart'!$A$5:$A$19,0),MATCH($D5,'Type Chart'!$B$4:$P$4,0)))</f>
        <v>0.5</v>
      </c>
      <c r="H5" s="21" t="n">
        <f aca="false">INDEX('Type Chart'!$B$5:$P$19,MATCH(H$4,'Type Chart'!$A$5:$A$19,0),MATCH($C5,'Type Chart'!$B$4:$P$4,0))*IF($D5="",1,INDEX('Type Chart'!$B$5:$P$19,MATCH(H$4,'Type Chart'!$A$5:$A$19,0),MATCH($D5,'Type Chart'!$B$4:$P$4,0)))</f>
        <v>0.5</v>
      </c>
      <c r="I5" s="21" t="n">
        <f aca="false">INDEX('Type Chart'!$B$5:$P$19,MATCH(I$4,'Type Chart'!$A$5:$A$19,0),MATCH($C5,'Type Chart'!$B$4:$P$4,0))*IF($D5="",1,INDEX('Type Chart'!$B$5:$P$19,MATCH(I$4,'Type Chart'!$A$5:$A$19,0),MATCH($D5,'Type Chart'!$B$4:$P$4,0)))</f>
        <v>0.25</v>
      </c>
      <c r="J5" s="21" t="n">
        <f aca="false">INDEX('Type Chart'!$B$5:$P$19,MATCH(J$4,'Type Chart'!$A$5:$A$19,0),MATCH($C5,'Type Chart'!$B$4:$P$4,0))*IF($D5="",1,INDEX('Type Chart'!$B$5:$P$19,MATCH(J$4,'Type Chart'!$A$5:$A$19,0),MATCH($D5,'Type Chart'!$B$4:$P$4,0)))</f>
        <v>2</v>
      </c>
      <c r="K5" s="21" t="n">
        <f aca="false">INDEX('Type Chart'!$B$5:$P$19,MATCH(K$4,'Type Chart'!$A$5:$A$19,0),MATCH($C5,'Type Chart'!$B$4:$P$4,0))*IF($D5="",1,INDEX('Type Chart'!$B$5:$P$19,MATCH(K$4,'Type Chart'!$A$5:$A$19,0),MATCH($D5,'Type Chart'!$B$4:$P$4,0)))</f>
        <v>0.5</v>
      </c>
      <c r="L5" s="21" t="n">
        <f aca="false">INDEX('Type Chart'!$B$5:$P$19,MATCH(L$4,'Type Chart'!$A$5:$A$19,0),MATCH($C5,'Type Chart'!$B$4:$P$4,0))*IF($D5="",1,INDEX('Type Chart'!$B$5:$P$19,MATCH(L$4,'Type Chart'!$A$5:$A$19,0),MATCH($D5,'Type Chart'!$B$4:$P$4,0)))</f>
        <v>1</v>
      </c>
      <c r="M5" s="21" t="n">
        <f aca="false">INDEX('Type Chart'!$B$5:$P$19,MATCH(M$4,'Type Chart'!$A$5:$A$19,0),MATCH($C5,'Type Chart'!$B$4:$P$4,0))*IF($D5="",1,INDEX('Type Chart'!$B$5:$P$19,MATCH(M$4,'Type Chart'!$A$5:$A$19,0),MATCH($D5,'Type Chart'!$B$4:$P$4,0)))</f>
        <v>1</v>
      </c>
      <c r="N5" s="21" t="n">
        <f aca="false">INDEX('Type Chart'!$B$5:$P$19,MATCH(N$4,'Type Chart'!$A$5:$A$19,0),MATCH($C5,'Type Chart'!$B$4:$P$4,0))*IF($D5="",1,INDEX('Type Chart'!$B$5:$P$19,MATCH(N$4,'Type Chart'!$A$5:$A$19,0),MATCH($D5,'Type Chart'!$B$4:$P$4,0)))</f>
        <v>2</v>
      </c>
      <c r="O5" s="21" t="n">
        <f aca="false">INDEX('Type Chart'!$B$5:$P$19,MATCH(O$4,'Type Chart'!$A$5:$A$19,0),MATCH($C5,'Type Chart'!$B$4:$P$4,0))*IF($D5="",1,INDEX('Type Chart'!$B$5:$P$19,MATCH(O$4,'Type Chart'!$A$5:$A$19,0),MATCH($D5,'Type Chart'!$B$4:$P$4,0)))</f>
        <v>2</v>
      </c>
      <c r="P5" s="21" t="n">
        <f aca="false">INDEX('Type Chart'!$B$5:$P$19,MATCH(P$4,'Type Chart'!$A$5:$A$19,0),MATCH($C5,'Type Chart'!$B$4:$P$4,0))*IF($D5="",1,INDEX('Type Chart'!$B$5:$P$19,MATCH(P$4,'Type Chart'!$A$5:$A$19,0),MATCH($D5,'Type Chart'!$B$4:$P$4,0)))</f>
        <v>4</v>
      </c>
      <c r="Q5" s="21" t="n">
        <f aca="false">INDEX('Type Chart'!$B$5:$P$19,MATCH(Q$4,'Type Chart'!$A$5:$A$19,0),MATCH($C5,'Type Chart'!$B$4:$P$4,0))*IF($D5="",1,INDEX('Type Chart'!$B$5:$P$19,MATCH(Q$4,'Type Chart'!$A$5:$A$19,0),MATCH($D5,'Type Chart'!$B$4:$P$4,0)))</f>
        <v>1</v>
      </c>
      <c r="R5" s="21" t="n">
        <f aca="false">INDEX('Type Chart'!$B$5:$P$19,MATCH(R$4,'Type Chart'!$A$5:$A$19,0),MATCH($C5,'Type Chart'!$B$4:$P$4,0))*IF($D5="",1,INDEX('Type Chart'!$B$5:$P$19,MATCH(R$4,'Type Chart'!$A$5:$A$19,0),MATCH($D5,'Type Chart'!$B$4:$P$4,0)))</f>
        <v>1</v>
      </c>
      <c r="S5" s="21" t="n">
        <f aca="false">INDEX('Type Chart'!$B$5:$P$19,MATCH(S$4,'Type Chart'!$A$5:$A$19,0),MATCH($C5,'Type Chart'!$B$4:$P$4,0))*IF($D5="",1,INDEX('Type Chart'!$B$5:$P$19,MATCH(S$4,'Type Chart'!$A$5:$A$19,0),MATCH($D5,'Type Chart'!$B$4:$P$4,0)))</f>
        <v>1</v>
      </c>
    </row>
    <row r="6" customFormat="false" ht="15" hidden="false" customHeight="false" outlineLevel="0" collapsed="false">
      <c r="A6" s="19" t="n">
        <v>2</v>
      </c>
      <c r="B6" s="19" t="s">
        <v>93</v>
      </c>
      <c r="C6" s="20" t="str">
        <f aca="false">Pokedex!C6</f>
        <v>Grass</v>
      </c>
      <c r="D6" s="20" t="str">
        <f aca="false">Pokedex!D6</f>
        <v>Poison</v>
      </c>
      <c r="E6" s="21" t="n">
        <f aca="false">INDEX('Type Chart'!$B$5:$P$19,MATCH(E$4,'Type Chart'!$A$5:$A$19,0),MATCH($C6,'Type Chart'!$B$4:$P$4,0))*IF($D6="",1,INDEX('Type Chart'!$B$5:$P$19,MATCH(E$4,'Type Chart'!$A$5:$A$19,0),MATCH($D6,'Type Chart'!$B$4:$P$4,0)))</f>
        <v>1</v>
      </c>
      <c r="F6" s="21" t="n">
        <f aca="false">INDEX('Type Chart'!$B$5:$P$19,MATCH(F$4,'Type Chart'!$A$5:$A$19,0),MATCH($C6,'Type Chart'!$B$4:$P$4,0))*IF($D6="",1,INDEX('Type Chart'!$B$5:$P$19,MATCH(F$4,'Type Chart'!$A$5:$A$19,0),MATCH($D6,'Type Chart'!$B$4:$P$4,0)))</f>
        <v>2</v>
      </c>
      <c r="G6" s="21" t="n">
        <f aca="false">INDEX('Type Chart'!$B$5:$P$19,MATCH(G$4,'Type Chart'!$A$5:$A$19,0),MATCH($C6,'Type Chart'!$B$4:$P$4,0))*IF($D6="",1,INDEX('Type Chart'!$B$5:$P$19,MATCH(G$4,'Type Chart'!$A$5:$A$19,0),MATCH($D6,'Type Chart'!$B$4:$P$4,0)))</f>
        <v>0.5</v>
      </c>
      <c r="H6" s="21" t="n">
        <f aca="false">INDEX('Type Chart'!$B$5:$P$19,MATCH(H$4,'Type Chart'!$A$5:$A$19,0),MATCH($C6,'Type Chart'!$B$4:$P$4,0))*IF($D6="",1,INDEX('Type Chart'!$B$5:$P$19,MATCH(H$4,'Type Chart'!$A$5:$A$19,0),MATCH($D6,'Type Chart'!$B$4:$P$4,0)))</f>
        <v>0.5</v>
      </c>
      <c r="I6" s="21" t="n">
        <f aca="false">INDEX('Type Chart'!$B$5:$P$19,MATCH(I$4,'Type Chart'!$A$5:$A$19,0),MATCH($C6,'Type Chart'!$B$4:$P$4,0))*IF($D6="",1,INDEX('Type Chart'!$B$5:$P$19,MATCH(I$4,'Type Chart'!$A$5:$A$19,0),MATCH($D6,'Type Chart'!$B$4:$P$4,0)))</f>
        <v>0.25</v>
      </c>
      <c r="J6" s="21" t="n">
        <f aca="false">INDEX('Type Chart'!$B$5:$P$19,MATCH(J$4,'Type Chart'!$A$5:$A$19,0),MATCH($C6,'Type Chart'!$B$4:$P$4,0))*IF($D6="",1,INDEX('Type Chart'!$B$5:$P$19,MATCH(J$4,'Type Chart'!$A$5:$A$19,0),MATCH($D6,'Type Chart'!$B$4:$P$4,0)))</f>
        <v>2</v>
      </c>
      <c r="K6" s="21" t="n">
        <f aca="false">INDEX('Type Chart'!$B$5:$P$19,MATCH(K$4,'Type Chart'!$A$5:$A$19,0),MATCH($C6,'Type Chart'!$B$4:$P$4,0))*IF($D6="",1,INDEX('Type Chart'!$B$5:$P$19,MATCH(K$4,'Type Chart'!$A$5:$A$19,0),MATCH($D6,'Type Chart'!$B$4:$P$4,0)))</f>
        <v>0.5</v>
      </c>
      <c r="L6" s="21" t="n">
        <f aca="false">INDEX('Type Chart'!$B$5:$P$19,MATCH(L$4,'Type Chart'!$A$5:$A$19,0),MATCH($C6,'Type Chart'!$B$4:$P$4,0))*IF($D6="",1,INDEX('Type Chart'!$B$5:$P$19,MATCH(L$4,'Type Chart'!$A$5:$A$19,0),MATCH($D6,'Type Chart'!$B$4:$P$4,0)))</f>
        <v>1</v>
      </c>
      <c r="M6" s="21" t="n">
        <f aca="false">INDEX('Type Chart'!$B$5:$P$19,MATCH(M$4,'Type Chart'!$A$5:$A$19,0),MATCH($C6,'Type Chart'!$B$4:$P$4,0))*IF($D6="",1,INDEX('Type Chart'!$B$5:$P$19,MATCH(M$4,'Type Chart'!$A$5:$A$19,0),MATCH($D6,'Type Chart'!$B$4:$P$4,0)))</f>
        <v>1</v>
      </c>
      <c r="N6" s="21" t="n">
        <f aca="false">INDEX('Type Chart'!$B$5:$P$19,MATCH(N$4,'Type Chart'!$A$5:$A$19,0),MATCH($C6,'Type Chart'!$B$4:$P$4,0))*IF($D6="",1,INDEX('Type Chart'!$B$5:$P$19,MATCH(N$4,'Type Chart'!$A$5:$A$19,0),MATCH($D6,'Type Chart'!$B$4:$P$4,0)))</f>
        <v>2</v>
      </c>
      <c r="O6" s="21" t="n">
        <f aca="false">INDEX('Type Chart'!$B$5:$P$19,MATCH(O$4,'Type Chart'!$A$5:$A$19,0),MATCH($C6,'Type Chart'!$B$4:$P$4,0))*IF($D6="",1,INDEX('Type Chart'!$B$5:$P$19,MATCH(O$4,'Type Chart'!$A$5:$A$19,0),MATCH($D6,'Type Chart'!$B$4:$P$4,0)))</f>
        <v>2</v>
      </c>
      <c r="P6" s="21" t="n">
        <f aca="false">INDEX('Type Chart'!$B$5:$P$19,MATCH(P$4,'Type Chart'!$A$5:$A$19,0),MATCH($C6,'Type Chart'!$B$4:$P$4,0))*IF($D6="",1,INDEX('Type Chart'!$B$5:$P$19,MATCH(P$4,'Type Chart'!$A$5:$A$19,0),MATCH($D6,'Type Chart'!$B$4:$P$4,0)))</f>
        <v>4</v>
      </c>
      <c r="Q6" s="21" t="n">
        <f aca="false">INDEX('Type Chart'!$B$5:$P$19,MATCH(Q$4,'Type Chart'!$A$5:$A$19,0),MATCH($C6,'Type Chart'!$B$4:$P$4,0))*IF($D6="",1,INDEX('Type Chart'!$B$5:$P$19,MATCH(Q$4,'Type Chart'!$A$5:$A$19,0),MATCH($D6,'Type Chart'!$B$4:$P$4,0)))</f>
        <v>1</v>
      </c>
      <c r="R6" s="21" t="n">
        <f aca="false">INDEX('Type Chart'!$B$5:$P$19,MATCH(R$4,'Type Chart'!$A$5:$A$19,0),MATCH($C6,'Type Chart'!$B$4:$P$4,0))*IF($D6="",1,INDEX('Type Chart'!$B$5:$P$19,MATCH(R$4,'Type Chart'!$A$5:$A$19,0),MATCH($D6,'Type Chart'!$B$4:$P$4,0)))</f>
        <v>1</v>
      </c>
      <c r="S6" s="21" t="n">
        <f aca="false">INDEX('Type Chart'!$B$5:$P$19,MATCH(S$4,'Type Chart'!$A$5:$A$19,0),MATCH($C6,'Type Chart'!$B$4:$P$4,0))*IF($D6="",1,INDEX('Type Chart'!$B$5:$P$19,MATCH(S$4,'Type Chart'!$A$5:$A$19,0),MATCH($D6,'Type Chart'!$B$4:$P$4,0)))</f>
        <v>1</v>
      </c>
    </row>
    <row r="7" customFormat="false" ht="15" hidden="false" customHeight="false" outlineLevel="0" collapsed="false">
      <c r="A7" s="19" t="n">
        <v>3</v>
      </c>
      <c r="B7" s="19" t="s">
        <v>94</v>
      </c>
      <c r="C7" s="20" t="str">
        <f aca="false">Pokedex!C7</f>
        <v>Grass</v>
      </c>
      <c r="D7" s="20" t="str">
        <f aca="false">Pokedex!D7</f>
        <v>Poison</v>
      </c>
      <c r="E7" s="21" t="n">
        <f aca="false">INDEX('Type Chart'!$B$5:$P$19,MATCH(E$4,'Type Chart'!$A$5:$A$19,0),MATCH($C7,'Type Chart'!$B$4:$P$4,0))*IF($D7="",1,INDEX('Type Chart'!$B$5:$P$19,MATCH(E$4,'Type Chart'!$A$5:$A$19,0),MATCH($D7,'Type Chart'!$B$4:$P$4,0)))</f>
        <v>1</v>
      </c>
      <c r="F7" s="21" t="n">
        <f aca="false">INDEX('Type Chart'!$B$5:$P$19,MATCH(F$4,'Type Chart'!$A$5:$A$19,0),MATCH($C7,'Type Chart'!$B$4:$P$4,0))*IF($D7="",1,INDEX('Type Chart'!$B$5:$P$19,MATCH(F$4,'Type Chart'!$A$5:$A$19,0),MATCH($D7,'Type Chart'!$B$4:$P$4,0)))</f>
        <v>2</v>
      </c>
      <c r="G7" s="21" t="n">
        <f aca="false">INDEX('Type Chart'!$B$5:$P$19,MATCH(G$4,'Type Chart'!$A$5:$A$19,0),MATCH($C7,'Type Chart'!$B$4:$P$4,0))*IF($D7="",1,INDEX('Type Chart'!$B$5:$P$19,MATCH(G$4,'Type Chart'!$A$5:$A$19,0),MATCH($D7,'Type Chart'!$B$4:$P$4,0)))</f>
        <v>0.5</v>
      </c>
      <c r="H7" s="21" t="n">
        <f aca="false">INDEX('Type Chart'!$B$5:$P$19,MATCH(H$4,'Type Chart'!$A$5:$A$19,0),MATCH($C7,'Type Chart'!$B$4:$P$4,0))*IF($D7="",1,INDEX('Type Chart'!$B$5:$P$19,MATCH(H$4,'Type Chart'!$A$5:$A$19,0),MATCH($D7,'Type Chart'!$B$4:$P$4,0)))</f>
        <v>0.5</v>
      </c>
      <c r="I7" s="21" t="n">
        <f aca="false">INDEX('Type Chart'!$B$5:$P$19,MATCH(I$4,'Type Chart'!$A$5:$A$19,0),MATCH($C7,'Type Chart'!$B$4:$P$4,0))*IF($D7="",1,INDEX('Type Chart'!$B$5:$P$19,MATCH(I$4,'Type Chart'!$A$5:$A$19,0),MATCH($D7,'Type Chart'!$B$4:$P$4,0)))</f>
        <v>0.25</v>
      </c>
      <c r="J7" s="21" t="n">
        <f aca="false">INDEX('Type Chart'!$B$5:$P$19,MATCH(J$4,'Type Chart'!$A$5:$A$19,0),MATCH($C7,'Type Chart'!$B$4:$P$4,0))*IF($D7="",1,INDEX('Type Chart'!$B$5:$P$19,MATCH(J$4,'Type Chart'!$A$5:$A$19,0),MATCH($D7,'Type Chart'!$B$4:$P$4,0)))</f>
        <v>2</v>
      </c>
      <c r="K7" s="21" t="n">
        <f aca="false">INDEX('Type Chart'!$B$5:$P$19,MATCH(K$4,'Type Chart'!$A$5:$A$19,0),MATCH($C7,'Type Chart'!$B$4:$P$4,0))*IF($D7="",1,INDEX('Type Chart'!$B$5:$P$19,MATCH(K$4,'Type Chart'!$A$5:$A$19,0),MATCH($D7,'Type Chart'!$B$4:$P$4,0)))</f>
        <v>0.5</v>
      </c>
      <c r="L7" s="21" t="n">
        <f aca="false">INDEX('Type Chart'!$B$5:$P$19,MATCH(L$4,'Type Chart'!$A$5:$A$19,0),MATCH($C7,'Type Chart'!$B$4:$P$4,0))*IF($D7="",1,INDEX('Type Chart'!$B$5:$P$19,MATCH(L$4,'Type Chart'!$A$5:$A$19,0),MATCH($D7,'Type Chart'!$B$4:$P$4,0)))</f>
        <v>1</v>
      </c>
      <c r="M7" s="21" t="n">
        <f aca="false">INDEX('Type Chart'!$B$5:$P$19,MATCH(M$4,'Type Chart'!$A$5:$A$19,0),MATCH($C7,'Type Chart'!$B$4:$P$4,0))*IF($D7="",1,INDEX('Type Chart'!$B$5:$P$19,MATCH(M$4,'Type Chart'!$A$5:$A$19,0),MATCH($D7,'Type Chart'!$B$4:$P$4,0)))</f>
        <v>1</v>
      </c>
      <c r="N7" s="21" t="n">
        <f aca="false">INDEX('Type Chart'!$B$5:$P$19,MATCH(N$4,'Type Chart'!$A$5:$A$19,0),MATCH($C7,'Type Chart'!$B$4:$P$4,0))*IF($D7="",1,INDEX('Type Chart'!$B$5:$P$19,MATCH(N$4,'Type Chart'!$A$5:$A$19,0),MATCH($D7,'Type Chart'!$B$4:$P$4,0)))</f>
        <v>2</v>
      </c>
      <c r="O7" s="21" t="n">
        <f aca="false">INDEX('Type Chart'!$B$5:$P$19,MATCH(O$4,'Type Chart'!$A$5:$A$19,0),MATCH($C7,'Type Chart'!$B$4:$P$4,0))*IF($D7="",1,INDEX('Type Chart'!$B$5:$P$19,MATCH(O$4,'Type Chart'!$A$5:$A$19,0),MATCH($D7,'Type Chart'!$B$4:$P$4,0)))</f>
        <v>2</v>
      </c>
      <c r="P7" s="21" t="n">
        <f aca="false">INDEX('Type Chart'!$B$5:$P$19,MATCH(P$4,'Type Chart'!$A$5:$A$19,0),MATCH($C7,'Type Chart'!$B$4:$P$4,0))*IF($D7="",1,INDEX('Type Chart'!$B$5:$P$19,MATCH(P$4,'Type Chart'!$A$5:$A$19,0),MATCH($D7,'Type Chart'!$B$4:$P$4,0)))</f>
        <v>4</v>
      </c>
      <c r="Q7" s="21" t="n">
        <f aca="false">INDEX('Type Chart'!$B$5:$P$19,MATCH(Q$4,'Type Chart'!$A$5:$A$19,0),MATCH($C7,'Type Chart'!$B$4:$P$4,0))*IF($D7="",1,INDEX('Type Chart'!$B$5:$P$19,MATCH(Q$4,'Type Chart'!$A$5:$A$19,0),MATCH($D7,'Type Chart'!$B$4:$P$4,0)))</f>
        <v>1</v>
      </c>
      <c r="R7" s="21" t="n">
        <f aca="false">INDEX('Type Chart'!$B$5:$P$19,MATCH(R$4,'Type Chart'!$A$5:$A$19,0),MATCH($C7,'Type Chart'!$B$4:$P$4,0))*IF($D7="",1,INDEX('Type Chart'!$B$5:$P$19,MATCH(R$4,'Type Chart'!$A$5:$A$19,0),MATCH($D7,'Type Chart'!$B$4:$P$4,0)))</f>
        <v>1</v>
      </c>
      <c r="S7" s="21" t="n">
        <f aca="false">INDEX('Type Chart'!$B$5:$P$19,MATCH(S$4,'Type Chart'!$A$5:$A$19,0),MATCH($C7,'Type Chart'!$B$4:$P$4,0))*IF($D7="",1,INDEX('Type Chart'!$B$5:$P$19,MATCH(S$4,'Type Chart'!$A$5:$A$19,0),MATCH($D7,'Type Chart'!$B$4:$P$4,0)))</f>
        <v>1</v>
      </c>
    </row>
    <row r="8" customFormat="false" ht="15" hidden="false" customHeight="false" outlineLevel="0" collapsed="false">
      <c r="A8" s="19" t="n">
        <v>4</v>
      </c>
      <c r="B8" s="19" t="s">
        <v>95</v>
      </c>
      <c r="C8" s="20" t="str">
        <f aca="false">Pokedex!C8</f>
        <v>Fire</v>
      </c>
      <c r="D8" s="20" t="n">
        <f aca="false">Pokedex!D8</f>
        <v>0</v>
      </c>
      <c r="E8" s="21" t="n">
        <f aca="false">INDEX('Type Chart'!$B$5:$P$19,MATCH(E$4,'Type Chart'!$A$5:$A$19,0),MATCH($C8,'Type Chart'!$B$4:$P$4,0))*IF($D8="",1,INDEX('Type Chart'!$B$5:$P$19,MATCH(E$4,'Type Chart'!$A$5:$A$19,0),MATCH($D8,'Type Chart'!$B$4:$P$4,0)))</f>
        <v>1</v>
      </c>
      <c r="F8" s="21" t="n">
        <f aca="false">INDEX('Type Chart'!$B$5:$P$19,MATCH(F$4,'Type Chart'!$A$5:$A$19,0),MATCH($C8,'Type Chart'!$B$4:$P$4,0))*IF($D8="",1,INDEX('Type Chart'!$B$5:$P$19,MATCH(F$4,'Type Chart'!$A$5:$A$19,0),MATCH($D8,'Type Chart'!$B$4:$P$4,0)))</f>
        <v>0.5</v>
      </c>
      <c r="G8" s="21" t="n">
        <f aca="false">INDEX('Type Chart'!$B$5:$P$19,MATCH(G$4,'Type Chart'!$A$5:$A$19,0),MATCH($C8,'Type Chart'!$B$4:$P$4,0))*IF($D8="",1,INDEX('Type Chart'!$B$5:$P$19,MATCH(G$4,'Type Chart'!$A$5:$A$19,0),MATCH($D8,'Type Chart'!$B$4:$P$4,0)))</f>
        <v>2</v>
      </c>
      <c r="H8" s="21" t="n">
        <f aca="false">INDEX('Type Chart'!$B$5:$P$19,MATCH(H$4,'Type Chart'!$A$5:$A$19,0),MATCH($C8,'Type Chart'!$B$4:$P$4,0))*IF($D8="",1,INDEX('Type Chart'!$B$5:$P$19,MATCH(H$4,'Type Chart'!$A$5:$A$19,0),MATCH($D8,'Type Chart'!$B$4:$P$4,0)))</f>
        <v>1</v>
      </c>
      <c r="I8" s="21" t="n">
        <f aca="false">INDEX('Type Chart'!$B$5:$P$19,MATCH(I$4,'Type Chart'!$A$5:$A$19,0),MATCH($C8,'Type Chart'!$B$4:$P$4,0))*IF($D8="",1,INDEX('Type Chart'!$B$5:$P$19,MATCH(I$4,'Type Chart'!$A$5:$A$19,0),MATCH($D8,'Type Chart'!$B$4:$P$4,0)))</f>
        <v>0.5</v>
      </c>
      <c r="J8" s="21" t="n">
        <f aca="false">INDEX('Type Chart'!$B$5:$P$19,MATCH(J$4,'Type Chart'!$A$5:$A$19,0),MATCH($C8,'Type Chart'!$B$4:$P$4,0))*IF($D8="",1,INDEX('Type Chart'!$B$5:$P$19,MATCH(J$4,'Type Chart'!$A$5:$A$19,0),MATCH($D8,'Type Chart'!$B$4:$P$4,0)))</f>
        <v>1</v>
      </c>
      <c r="K8" s="21" t="n">
        <f aca="false">INDEX('Type Chart'!$B$5:$P$19,MATCH(K$4,'Type Chart'!$A$5:$A$19,0),MATCH($C8,'Type Chart'!$B$4:$P$4,0))*IF($D8="",1,INDEX('Type Chart'!$B$5:$P$19,MATCH(K$4,'Type Chart'!$A$5:$A$19,0),MATCH($D8,'Type Chart'!$B$4:$P$4,0)))</f>
        <v>1</v>
      </c>
      <c r="L8" s="21" t="n">
        <f aca="false">INDEX('Type Chart'!$B$5:$P$19,MATCH(L$4,'Type Chart'!$A$5:$A$19,0),MATCH($C8,'Type Chart'!$B$4:$P$4,0))*IF($D8="",1,INDEX('Type Chart'!$B$5:$P$19,MATCH(L$4,'Type Chart'!$A$5:$A$19,0),MATCH($D8,'Type Chart'!$B$4:$P$4,0)))</f>
        <v>1</v>
      </c>
      <c r="M8" s="21" t="n">
        <f aca="false">INDEX('Type Chart'!$B$5:$P$19,MATCH(M$4,'Type Chart'!$A$5:$A$19,0),MATCH($C8,'Type Chart'!$B$4:$P$4,0))*IF($D8="",1,INDEX('Type Chart'!$B$5:$P$19,MATCH(M$4,'Type Chart'!$A$5:$A$19,0),MATCH($D8,'Type Chart'!$B$4:$P$4,0)))</f>
        <v>2</v>
      </c>
      <c r="N8" s="21" t="n">
        <f aca="false">INDEX('Type Chart'!$B$5:$P$19,MATCH(N$4,'Type Chart'!$A$5:$A$19,0),MATCH($C8,'Type Chart'!$B$4:$P$4,0))*IF($D8="",1,INDEX('Type Chart'!$B$5:$P$19,MATCH(N$4,'Type Chart'!$A$5:$A$19,0),MATCH($D8,'Type Chart'!$B$4:$P$4,0)))</f>
        <v>1</v>
      </c>
      <c r="O8" s="21" t="n">
        <f aca="false">INDEX('Type Chart'!$B$5:$P$19,MATCH(O$4,'Type Chart'!$A$5:$A$19,0),MATCH($C8,'Type Chart'!$B$4:$P$4,0))*IF($D8="",1,INDEX('Type Chart'!$B$5:$P$19,MATCH(O$4,'Type Chart'!$A$5:$A$19,0),MATCH($D8,'Type Chart'!$B$4:$P$4,0)))</f>
        <v>1</v>
      </c>
      <c r="P8" s="21" t="n">
        <f aca="false">INDEX('Type Chart'!$B$5:$P$19,MATCH(P$4,'Type Chart'!$A$5:$A$19,0),MATCH($C8,'Type Chart'!$B$4:$P$4,0))*IF($D8="",1,INDEX('Type Chart'!$B$5:$P$19,MATCH(P$4,'Type Chart'!$A$5:$A$19,0),MATCH($D8,'Type Chart'!$B$4:$P$4,0)))</f>
        <v>0.5</v>
      </c>
      <c r="Q8" s="21" t="n">
        <f aca="false">INDEX('Type Chart'!$B$5:$P$19,MATCH(Q$4,'Type Chart'!$A$5:$A$19,0),MATCH($C8,'Type Chart'!$B$4:$P$4,0))*IF($D8="",1,INDEX('Type Chart'!$B$5:$P$19,MATCH(Q$4,'Type Chart'!$A$5:$A$19,0),MATCH($D8,'Type Chart'!$B$4:$P$4,0)))</f>
        <v>2</v>
      </c>
      <c r="R8" s="21" t="n">
        <f aca="false">INDEX('Type Chart'!$B$5:$P$19,MATCH(R$4,'Type Chart'!$A$5:$A$19,0),MATCH($C8,'Type Chart'!$B$4:$P$4,0))*IF($D8="",1,INDEX('Type Chart'!$B$5:$P$19,MATCH(R$4,'Type Chart'!$A$5:$A$19,0),MATCH($D8,'Type Chart'!$B$4:$P$4,0)))</f>
        <v>1</v>
      </c>
      <c r="S8" s="21" t="n">
        <f aca="false">INDEX('Type Chart'!$B$5:$P$19,MATCH(S$4,'Type Chart'!$A$5:$A$19,0),MATCH($C8,'Type Chart'!$B$4:$P$4,0))*IF($D8="",1,INDEX('Type Chart'!$B$5:$P$19,MATCH(S$4,'Type Chart'!$A$5:$A$19,0),MATCH($D8,'Type Chart'!$B$4:$P$4,0)))</f>
        <v>1</v>
      </c>
    </row>
    <row r="9" customFormat="false" ht="15" hidden="false" customHeight="false" outlineLevel="0" collapsed="false">
      <c r="A9" s="19" t="n">
        <v>5</v>
      </c>
      <c r="B9" s="19" t="s">
        <v>96</v>
      </c>
      <c r="C9" s="20" t="str">
        <f aca="false">Pokedex!C9</f>
        <v>Fire</v>
      </c>
      <c r="D9" s="20" t="n">
        <f aca="false">Pokedex!D9</f>
        <v>0</v>
      </c>
      <c r="E9" s="21" t="n">
        <f aca="false">INDEX('Type Chart'!$B$5:$P$19,MATCH(E$4,'Type Chart'!$A$5:$A$19,0),MATCH($C9,'Type Chart'!$B$4:$P$4,0))*IF($D9="",1,INDEX('Type Chart'!$B$5:$P$19,MATCH(E$4,'Type Chart'!$A$5:$A$19,0),MATCH($D9,'Type Chart'!$B$4:$P$4,0)))</f>
        <v>1</v>
      </c>
      <c r="F9" s="21" t="n">
        <f aca="false">INDEX('Type Chart'!$B$5:$P$19,MATCH(F$4,'Type Chart'!$A$5:$A$19,0),MATCH($C9,'Type Chart'!$B$4:$P$4,0))*IF($D9="",1,INDEX('Type Chart'!$B$5:$P$19,MATCH(F$4,'Type Chart'!$A$5:$A$19,0),MATCH($D9,'Type Chart'!$B$4:$P$4,0)))</f>
        <v>0.5</v>
      </c>
      <c r="G9" s="21" t="n">
        <f aca="false">INDEX('Type Chart'!$B$5:$P$19,MATCH(G$4,'Type Chart'!$A$5:$A$19,0),MATCH($C9,'Type Chart'!$B$4:$P$4,0))*IF($D9="",1,INDEX('Type Chart'!$B$5:$P$19,MATCH(G$4,'Type Chart'!$A$5:$A$19,0),MATCH($D9,'Type Chart'!$B$4:$P$4,0)))</f>
        <v>2</v>
      </c>
      <c r="H9" s="21" t="n">
        <f aca="false">INDEX('Type Chart'!$B$5:$P$19,MATCH(H$4,'Type Chart'!$A$5:$A$19,0),MATCH($C9,'Type Chart'!$B$4:$P$4,0))*IF($D9="",1,INDEX('Type Chart'!$B$5:$P$19,MATCH(H$4,'Type Chart'!$A$5:$A$19,0),MATCH($D9,'Type Chart'!$B$4:$P$4,0)))</f>
        <v>1</v>
      </c>
      <c r="I9" s="21" t="n">
        <f aca="false">INDEX('Type Chart'!$B$5:$P$19,MATCH(I$4,'Type Chart'!$A$5:$A$19,0),MATCH($C9,'Type Chart'!$B$4:$P$4,0))*IF($D9="",1,INDEX('Type Chart'!$B$5:$P$19,MATCH(I$4,'Type Chart'!$A$5:$A$19,0),MATCH($D9,'Type Chart'!$B$4:$P$4,0)))</f>
        <v>0.5</v>
      </c>
      <c r="J9" s="21" t="n">
        <f aca="false">INDEX('Type Chart'!$B$5:$P$19,MATCH(J$4,'Type Chart'!$A$5:$A$19,0),MATCH($C9,'Type Chart'!$B$4:$P$4,0))*IF($D9="",1,INDEX('Type Chart'!$B$5:$P$19,MATCH(J$4,'Type Chart'!$A$5:$A$19,0),MATCH($D9,'Type Chart'!$B$4:$P$4,0)))</f>
        <v>1</v>
      </c>
      <c r="K9" s="21" t="n">
        <f aca="false">INDEX('Type Chart'!$B$5:$P$19,MATCH(K$4,'Type Chart'!$A$5:$A$19,0),MATCH($C9,'Type Chart'!$B$4:$P$4,0))*IF($D9="",1,INDEX('Type Chart'!$B$5:$P$19,MATCH(K$4,'Type Chart'!$A$5:$A$19,0),MATCH($D9,'Type Chart'!$B$4:$P$4,0)))</f>
        <v>1</v>
      </c>
      <c r="L9" s="21" t="n">
        <f aca="false">INDEX('Type Chart'!$B$5:$P$19,MATCH(L$4,'Type Chart'!$A$5:$A$19,0),MATCH($C9,'Type Chart'!$B$4:$P$4,0))*IF($D9="",1,INDEX('Type Chart'!$B$5:$P$19,MATCH(L$4,'Type Chart'!$A$5:$A$19,0),MATCH($D9,'Type Chart'!$B$4:$P$4,0)))</f>
        <v>1</v>
      </c>
      <c r="M9" s="21" t="n">
        <f aca="false">INDEX('Type Chart'!$B$5:$P$19,MATCH(M$4,'Type Chart'!$A$5:$A$19,0),MATCH($C9,'Type Chart'!$B$4:$P$4,0))*IF($D9="",1,INDEX('Type Chart'!$B$5:$P$19,MATCH(M$4,'Type Chart'!$A$5:$A$19,0),MATCH($D9,'Type Chart'!$B$4:$P$4,0)))</f>
        <v>2</v>
      </c>
      <c r="N9" s="21" t="n">
        <f aca="false">INDEX('Type Chart'!$B$5:$P$19,MATCH(N$4,'Type Chart'!$A$5:$A$19,0),MATCH($C9,'Type Chart'!$B$4:$P$4,0))*IF($D9="",1,INDEX('Type Chart'!$B$5:$P$19,MATCH(N$4,'Type Chart'!$A$5:$A$19,0),MATCH($D9,'Type Chart'!$B$4:$P$4,0)))</f>
        <v>1</v>
      </c>
      <c r="O9" s="21" t="n">
        <f aca="false">INDEX('Type Chart'!$B$5:$P$19,MATCH(O$4,'Type Chart'!$A$5:$A$19,0),MATCH($C9,'Type Chart'!$B$4:$P$4,0))*IF($D9="",1,INDEX('Type Chart'!$B$5:$P$19,MATCH(O$4,'Type Chart'!$A$5:$A$19,0),MATCH($D9,'Type Chart'!$B$4:$P$4,0)))</f>
        <v>1</v>
      </c>
      <c r="P9" s="21" t="n">
        <f aca="false">INDEX('Type Chart'!$B$5:$P$19,MATCH(P$4,'Type Chart'!$A$5:$A$19,0),MATCH($C9,'Type Chart'!$B$4:$P$4,0))*IF($D9="",1,INDEX('Type Chart'!$B$5:$P$19,MATCH(P$4,'Type Chart'!$A$5:$A$19,0),MATCH($D9,'Type Chart'!$B$4:$P$4,0)))</f>
        <v>0.5</v>
      </c>
      <c r="Q9" s="21" t="n">
        <f aca="false">INDEX('Type Chart'!$B$5:$P$19,MATCH(Q$4,'Type Chart'!$A$5:$A$19,0),MATCH($C9,'Type Chart'!$B$4:$P$4,0))*IF($D9="",1,INDEX('Type Chart'!$B$5:$P$19,MATCH(Q$4,'Type Chart'!$A$5:$A$19,0),MATCH($D9,'Type Chart'!$B$4:$P$4,0)))</f>
        <v>2</v>
      </c>
      <c r="R9" s="21" t="n">
        <f aca="false">INDEX('Type Chart'!$B$5:$P$19,MATCH(R$4,'Type Chart'!$A$5:$A$19,0),MATCH($C9,'Type Chart'!$B$4:$P$4,0))*IF($D9="",1,INDEX('Type Chart'!$B$5:$P$19,MATCH(R$4,'Type Chart'!$A$5:$A$19,0),MATCH($D9,'Type Chart'!$B$4:$P$4,0)))</f>
        <v>1</v>
      </c>
      <c r="S9" s="21" t="n">
        <f aca="false">INDEX('Type Chart'!$B$5:$P$19,MATCH(S$4,'Type Chart'!$A$5:$A$19,0),MATCH($C9,'Type Chart'!$B$4:$P$4,0))*IF($D9="",1,INDEX('Type Chart'!$B$5:$P$19,MATCH(S$4,'Type Chart'!$A$5:$A$19,0),MATCH($D9,'Type Chart'!$B$4:$P$4,0)))</f>
        <v>1</v>
      </c>
    </row>
    <row r="10" customFormat="false" ht="15" hidden="false" customHeight="false" outlineLevel="0" collapsed="false">
      <c r="A10" s="19" t="n">
        <v>6</v>
      </c>
      <c r="B10" s="19" t="s">
        <v>97</v>
      </c>
      <c r="C10" s="20" t="str">
        <f aca="false">Pokedex!C10</f>
        <v>Fire</v>
      </c>
      <c r="D10" s="20" t="str">
        <f aca="false">Pokedex!D10</f>
        <v>Flying</v>
      </c>
      <c r="E10" s="21" t="n">
        <f aca="false">INDEX('Type Chart'!$B$5:$P$19,MATCH(E$4,'Type Chart'!$A$5:$A$19,0),MATCH($C10,'Type Chart'!$B$4:$P$4,0))*IF($D10="",1,INDEX('Type Chart'!$B$5:$P$19,MATCH(E$4,'Type Chart'!$A$5:$A$19,0),MATCH($D10,'Type Chart'!$B$4:$P$4,0)))</f>
        <v>1</v>
      </c>
      <c r="F10" s="21" t="n">
        <f aca="false">INDEX('Type Chart'!$B$5:$P$19,MATCH(F$4,'Type Chart'!$A$5:$A$19,0),MATCH($C10,'Type Chart'!$B$4:$P$4,0))*IF($D10="",1,INDEX('Type Chart'!$B$5:$P$19,MATCH(F$4,'Type Chart'!$A$5:$A$19,0),MATCH($D10,'Type Chart'!$B$4:$P$4,0)))</f>
        <v>0.5</v>
      </c>
      <c r="G10" s="21" t="n">
        <f aca="false">INDEX('Type Chart'!$B$5:$P$19,MATCH(G$4,'Type Chart'!$A$5:$A$19,0),MATCH($C10,'Type Chart'!$B$4:$P$4,0))*IF($D10="",1,INDEX('Type Chart'!$B$5:$P$19,MATCH(G$4,'Type Chart'!$A$5:$A$19,0),MATCH($D10,'Type Chart'!$B$4:$P$4,0)))</f>
        <v>2</v>
      </c>
      <c r="H10" s="21" t="n">
        <f aca="false">INDEX('Type Chart'!$B$5:$P$19,MATCH(H$4,'Type Chart'!$A$5:$A$19,0),MATCH($C10,'Type Chart'!$B$4:$P$4,0))*IF($D10="",1,INDEX('Type Chart'!$B$5:$P$19,MATCH(H$4,'Type Chart'!$A$5:$A$19,0),MATCH($D10,'Type Chart'!$B$4:$P$4,0)))</f>
        <v>2</v>
      </c>
      <c r="I10" s="21" t="n">
        <f aca="false">INDEX('Type Chart'!$B$5:$P$19,MATCH(I$4,'Type Chart'!$A$5:$A$19,0),MATCH($C10,'Type Chart'!$B$4:$P$4,0))*IF($D10="",1,INDEX('Type Chart'!$B$5:$P$19,MATCH(I$4,'Type Chart'!$A$5:$A$19,0),MATCH($D10,'Type Chart'!$B$4:$P$4,0)))</f>
        <v>0.25</v>
      </c>
      <c r="J10" s="21" t="n">
        <f aca="false">INDEX('Type Chart'!$B$5:$P$19,MATCH(J$4,'Type Chart'!$A$5:$A$19,0),MATCH($C10,'Type Chart'!$B$4:$P$4,0))*IF($D10="",1,INDEX('Type Chart'!$B$5:$P$19,MATCH(J$4,'Type Chart'!$A$5:$A$19,0),MATCH($D10,'Type Chart'!$B$4:$P$4,0)))</f>
        <v>2</v>
      </c>
      <c r="K10" s="21" t="n">
        <f aca="false">INDEX('Type Chart'!$B$5:$P$19,MATCH(K$4,'Type Chart'!$A$5:$A$19,0),MATCH($C10,'Type Chart'!$B$4:$P$4,0))*IF($D10="",1,INDEX('Type Chart'!$B$5:$P$19,MATCH(K$4,'Type Chart'!$A$5:$A$19,0),MATCH($D10,'Type Chart'!$B$4:$P$4,0)))</f>
        <v>0.5</v>
      </c>
      <c r="L10" s="21" t="n">
        <f aca="false">INDEX('Type Chart'!$B$5:$P$19,MATCH(L$4,'Type Chart'!$A$5:$A$19,0),MATCH($C10,'Type Chart'!$B$4:$P$4,0))*IF($D10="",1,INDEX('Type Chart'!$B$5:$P$19,MATCH(L$4,'Type Chart'!$A$5:$A$19,0),MATCH($D10,'Type Chart'!$B$4:$P$4,0)))</f>
        <v>1</v>
      </c>
      <c r="M10" s="21" t="n">
        <f aca="false">INDEX('Type Chart'!$B$5:$P$19,MATCH(M$4,'Type Chart'!$A$5:$A$19,0),MATCH($C10,'Type Chart'!$B$4:$P$4,0))*IF($D10="",1,INDEX('Type Chart'!$B$5:$P$19,MATCH(M$4,'Type Chart'!$A$5:$A$19,0),MATCH($D10,'Type Chart'!$B$4:$P$4,0)))</f>
        <v>0</v>
      </c>
      <c r="N10" s="21" t="n">
        <f aca="false">INDEX('Type Chart'!$B$5:$P$19,MATCH(N$4,'Type Chart'!$A$5:$A$19,0),MATCH($C10,'Type Chart'!$B$4:$P$4,0))*IF($D10="",1,INDEX('Type Chart'!$B$5:$P$19,MATCH(N$4,'Type Chart'!$A$5:$A$19,0),MATCH($D10,'Type Chart'!$B$4:$P$4,0)))</f>
        <v>1</v>
      </c>
      <c r="O10" s="21" t="n">
        <f aca="false">INDEX('Type Chart'!$B$5:$P$19,MATCH(O$4,'Type Chart'!$A$5:$A$19,0),MATCH($C10,'Type Chart'!$B$4:$P$4,0))*IF($D10="",1,INDEX('Type Chart'!$B$5:$P$19,MATCH(O$4,'Type Chart'!$A$5:$A$19,0),MATCH($D10,'Type Chart'!$B$4:$P$4,0)))</f>
        <v>1</v>
      </c>
      <c r="P10" s="21" t="n">
        <f aca="false">INDEX('Type Chart'!$B$5:$P$19,MATCH(P$4,'Type Chart'!$A$5:$A$19,0),MATCH($C10,'Type Chart'!$B$4:$P$4,0))*IF($D10="",1,INDEX('Type Chart'!$B$5:$P$19,MATCH(P$4,'Type Chart'!$A$5:$A$19,0),MATCH($D10,'Type Chart'!$B$4:$P$4,0)))</f>
        <v>0.25</v>
      </c>
      <c r="Q10" s="21" t="n">
        <f aca="false">INDEX('Type Chart'!$B$5:$P$19,MATCH(Q$4,'Type Chart'!$A$5:$A$19,0),MATCH($C10,'Type Chart'!$B$4:$P$4,0))*IF($D10="",1,INDEX('Type Chart'!$B$5:$P$19,MATCH(Q$4,'Type Chart'!$A$5:$A$19,0),MATCH($D10,'Type Chart'!$B$4:$P$4,0)))</f>
        <v>4</v>
      </c>
      <c r="R10" s="21" t="n">
        <f aca="false">INDEX('Type Chart'!$B$5:$P$19,MATCH(R$4,'Type Chart'!$A$5:$A$19,0),MATCH($C10,'Type Chart'!$B$4:$P$4,0))*IF($D10="",1,INDEX('Type Chart'!$B$5:$P$19,MATCH(R$4,'Type Chart'!$A$5:$A$19,0),MATCH($D10,'Type Chart'!$B$4:$P$4,0)))</f>
        <v>1</v>
      </c>
      <c r="S10" s="21" t="n">
        <f aca="false">INDEX('Type Chart'!$B$5:$P$19,MATCH(S$4,'Type Chart'!$A$5:$A$19,0),MATCH($C10,'Type Chart'!$B$4:$P$4,0))*IF($D10="",1,INDEX('Type Chart'!$B$5:$P$19,MATCH(S$4,'Type Chart'!$A$5:$A$19,0),MATCH($D10,'Type Chart'!$B$4:$P$4,0)))</f>
        <v>1</v>
      </c>
    </row>
    <row r="11" customFormat="false" ht="15" hidden="false" customHeight="false" outlineLevel="0" collapsed="false">
      <c r="A11" s="19" t="n">
        <v>7</v>
      </c>
      <c r="B11" s="19" t="s">
        <v>98</v>
      </c>
      <c r="C11" s="20" t="str">
        <f aca="false">Pokedex!C11</f>
        <v>Water</v>
      </c>
      <c r="D11" s="20" t="n">
        <f aca="false">Pokedex!D11</f>
        <v>0</v>
      </c>
      <c r="E11" s="21" t="n">
        <f aca="false">INDEX('Type Chart'!$B$5:$P$19,MATCH(E$4,'Type Chart'!$A$5:$A$19,0),MATCH($C11,'Type Chart'!$B$4:$P$4,0))*IF($D11="",1,INDEX('Type Chart'!$B$5:$P$19,MATCH(E$4,'Type Chart'!$A$5:$A$19,0),MATCH($D11,'Type Chart'!$B$4:$P$4,0)))</f>
        <v>1</v>
      </c>
      <c r="F11" s="21" t="n">
        <f aca="false">INDEX('Type Chart'!$B$5:$P$19,MATCH(F$4,'Type Chart'!$A$5:$A$19,0),MATCH($C11,'Type Chart'!$B$4:$P$4,0))*IF($D11="",1,INDEX('Type Chart'!$B$5:$P$19,MATCH(F$4,'Type Chart'!$A$5:$A$19,0),MATCH($D11,'Type Chart'!$B$4:$P$4,0)))</f>
        <v>0.5</v>
      </c>
      <c r="G11" s="21" t="n">
        <f aca="false">INDEX('Type Chart'!$B$5:$P$19,MATCH(G$4,'Type Chart'!$A$5:$A$19,0),MATCH($C11,'Type Chart'!$B$4:$P$4,0))*IF($D11="",1,INDEX('Type Chart'!$B$5:$P$19,MATCH(G$4,'Type Chart'!$A$5:$A$19,0),MATCH($D11,'Type Chart'!$B$4:$P$4,0)))</f>
        <v>0.5</v>
      </c>
      <c r="H11" s="21" t="n">
        <f aca="false">INDEX('Type Chart'!$B$5:$P$19,MATCH(H$4,'Type Chart'!$A$5:$A$19,0),MATCH($C11,'Type Chart'!$B$4:$P$4,0))*IF($D11="",1,INDEX('Type Chart'!$B$5:$P$19,MATCH(H$4,'Type Chart'!$A$5:$A$19,0),MATCH($D11,'Type Chart'!$B$4:$P$4,0)))</f>
        <v>2</v>
      </c>
      <c r="I11" s="21" t="n">
        <f aca="false">INDEX('Type Chart'!$B$5:$P$19,MATCH(I$4,'Type Chart'!$A$5:$A$19,0),MATCH($C11,'Type Chart'!$B$4:$P$4,0))*IF($D11="",1,INDEX('Type Chart'!$B$5:$P$19,MATCH(I$4,'Type Chart'!$A$5:$A$19,0),MATCH($D11,'Type Chart'!$B$4:$P$4,0)))</f>
        <v>2</v>
      </c>
      <c r="J11" s="21" t="n">
        <f aca="false">INDEX('Type Chart'!$B$5:$P$19,MATCH(J$4,'Type Chart'!$A$5:$A$19,0),MATCH($C11,'Type Chart'!$B$4:$P$4,0))*IF($D11="",1,INDEX('Type Chart'!$B$5:$P$19,MATCH(J$4,'Type Chart'!$A$5:$A$19,0),MATCH($D11,'Type Chart'!$B$4:$P$4,0)))</f>
        <v>0.5</v>
      </c>
      <c r="K11" s="21" t="n">
        <f aca="false">INDEX('Type Chart'!$B$5:$P$19,MATCH(K$4,'Type Chart'!$A$5:$A$19,0),MATCH($C11,'Type Chart'!$B$4:$P$4,0))*IF($D11="",1,INDEX('Type Chart'!$B$5:$P$19,MATCH(K$4,'Type Chart'!$A$5:$A$19,0),MATCH($D11,'Type Chart'!$B$4:$P$4,0)))</f>
        <v>1</v>
      </c>
      <c r="L11" s="21" t="n">
        <f aca="false">INDEX('Type Chart'!$B$5:$P$19,MATCH(L$4,'Type Chart'!$A$5:$A$19,0),MATCH($C11,'Type Chart'!$B$4:$P$4,0))*IF($D11="",1,INDEX('Type Chart'!$B$5:$P$19,MATCH(L$4,'Type Chart'!$A$5:$A$19,0),MATCH($D11,'Type Chart'!$B$4:$P$4,0)))</f>
        <v>1</v>
      </c>
      <c r="M11" s="21" t="n">
        <f aca="false">INDEX('Type Chart'!$B$5:$P$19,MATCH(M$4,'Type Chart'!$A$5:$A$19,0),MATCH($C11,'Type Chart'!$B$4:$P$4,0))*IF($D11="",1,INDEX('Type Chart'!$B$5:$P$19,MATCH(M$4,'Type Chart'!$A$5:$A$19,0),MATCH($D11,'Type Chart'!$B$4:$P$4,0)))</f>
        <v>1</v>
      </c>
      <c r="N11" s="21" t="n">
        <f aca="false">INDEX('Type Chart'!$B$5:$P$19,MATCH(N$4,'Type Chart'!$A$5:$A$19,0),MATCH($C11,'Type Chart'!$B$4:$P$4,0))*IF($D11="",1,INDEX('Type Chart'!$B$5:$P$19,MATCH(N$4,'Type Chart'!$A$5:$A$19,0),MATCH($D11,'Type Chart'!$B$4:$P$4,0)))</f>
        <v>1</v>
      </c>
      <c r="O11" s="21" t="n">
        <f aca="false">INDEX('Type Chart'!$B$5:$P$19,MATCH(O$4,'Type Chart'!$A$5:$A$19,0),MATCH($C11,'Type Chart'!$B$4:$P$4,0))*IF($D11="",1,INDEX('Type Chart'!$B$5:$P$19,MATCH(O$4,'Type Chart'!$A$5:$A$19,0),MATCH($D11,'Type Chart'!$B$4:$P$4,0)))</f>
        <v>1</v>
      </c>
      <c r="P11" s="21" t="n">
        <f aca="false">INDEX('Type Chart'!$B$5:$P$19,MATCH(P$4,'Type Chart'!$A$5:$A$19,0),MATCH($C11,'Type Chart'!$B$4:$P$4,0))*IF($D11="",1,INDEX('Type Chart'!$B$5:$P$19,MATCH(P$4,'Type Chart'!$A$5:$A$19,0),MATCH($D11,'Type Chart'!$B$4:$P$4,0)))</f>
        <v>1</v>
      </c>
      <c r="Q11" s="21" t="n">
        <f aca="false">INDEX('Type Chart'!$B$5:$P$19,MATCH(Q$4,'Type Chart'!$A$5:$A$19,0),MATCH($C11,'Type Chart'!$B$4:$P$4,0))*IF($D11="",1,INDEX('Type Chart'!$B$5:$P$19,MATCH(Q$4,'Type Chart'!$A$5:$A$19,0),MATCH($D11,'Type Chart'!$B$4:$P$4,0)))</f>
        <v>1</v>
      </c>
      <c r="R11" s="21" t="n">
        <f aca="false">INDEX('Type Chart'!$B$5:$P$19,MATCH(R$4,'Type Chart'!$A$5:$A$19,0),MATCH($C11,'Type Chart'!$B$4:$P$4,0))*IF($D11="",1,INDEX('Type Chart'!$B$5:$P$19,MATCH(R$4,'Type Chart'!$A$5:$A$19,0),MATCH($D11,'Type Chart'!$B$4:$P$4,0)))</f>
        <v>1</v>
      </c>
      <c r="S11" s="21" t="n">
        <f aca="false">INDEX('Type Chart'!$B$5:$P$19,MATCH(S$4,'Type Chart'!$A$5:$A$19,0),MATCH($C11,'Type Chart'!$B$4:$P$4,0))*IF($D11="",1,INDEX('Type Chart'!$B$5:$P$19,MATCH(S$4,'Type Chart'!$A$5:$A$19,0),MATCH($D11,'Type Chart'!$B$4:$P$4,0)))</f>
        <v>1</v>
      </c>
    </row>
    <row r="12" customFormat="false" ht="15" hidden="false" customHeight="false" outlineLevel="0" collapsed="false">
      <c r="A12" s="19" t="n">
        <v>8</v>
      </c>
      <c r="B12" s="19" t="s">
        <v>99</v>
      </c>
      <c r="C12" s="20" t="str">
        <f aca="false">Pokedex!C12</f>
        <v>Water</v>
      </c>
      <c r="D12" s="20" t="n">
        <f aca="false">Pokedex!D12</f>
        <v>0</v>
      </c>
      <c r="E12" s="21" t="n">
        <f aca="false">INDEX('Type Chart'!$B$5:$P$19,MATCH(E$4,'Type Chart'!$A$5:$A$19,0),MATCH($C12,'Type Chart'!$B$4:$P$4,0))*IF($D12="",1,INDEX('Type Chart'!$B$5:$P$19,MATCH(E$4,'Type Chart'!$A$5:$A$19,0),MATCH($D12,'Type Chart'!$B$4:$P$4,0)))</f>
        <v>1</v>
      </c>
      <c r="F12" s="21" t="n">
        <f aca="false">INDEX('Type Chart'!$B$5:$P$19,MATCH(F$4,'Type Chart'!$A$5:$A$19,0),MATCH($C12,'Type Chart'!$B$4:$P$4,0))*IF($D12="",1,INDEX('Type Chart'!$B$5:$P$19,MATCH(F$4,'Type Chart'!$A$5:$A$19,0),MATCH($D12,'Type Chart'!$B$4:$P$4,0)))</f>
        <v>0.5</v>
      </c>
      <c r="G12" s="21" t="n">
        <f aca="false">INDEX('Type Chart'!$B$5:$P$19,MATCH(G$4,'Type Chart'!$A$5:$A$19,0),MATCH($C12,'Type Chart'!$B$4:$P$4,0))*IF($D12="",1,INDEX('Type Chart'!$B$5:$P$19,MATCH(G$4,'Type Chart'!$A$5:$A$19,0),MATCH($D12,'Type Chart'!$B$4:$P$4,0)))</f>
        <v>0.5</v>
      </c>
      <c r="H12" s="21" t="n">
        <f aca="false">INDEX('Type Chart'!$B$5:$P$19,MATCH(H$4,'Type Chart'!$A$5:$A$19,0),MATCH($C12,'Type Chart'!$B$4:$P$4,0))*IF($D12="",1,INDEX('Type Chart'!$B$5:$P$19,MATCH(H$4,'Type Chart'!$A$5:$A$19,0),MATCH($D12,'Type Chart'!$B$4:$P$4,0)))</f>
        <v>2</v>
      </c>
      <c r="I12" s="21" t="n">
        <f aca="false">INDEX('Type Chart'!$B$5:$P$19,MATCH(I$4,'Type Chart'!$A$5:$A$19,0),MATCH($C12,'Type Chart'!$B$4:$P$4,0))*IF($D12="",1,INDEX('Type Chart'!$B$5:$P$19,MATCH(I$4,'Type Chart'!$A$5:$A$19,0),MATCH($D12,'Type Chart'!$B$4:$P$4,0)))</f>
        <v>2</v>
      </c>
      <c r="J12" s="21" t="n">
        <f aca="false">INDEX('Type Chart'!$B$5:$P$19,MATCH(J$4,'Type Chart'!$A$5:$A$19,0),MATCH($C12,'Type Chart'!$B$4:$P$4,0))*IF($D12="",1,INDEX('Type Chart'!$B$5:$P$19,MATCH(J$4,'Type Chart'!$A$5:$A$19,0),MATCH($D12,'Type Chart'!$B$4:$P$4,0)))</f>
        <v>0.5</v>
      </c>
      <c r="K12" s="21" t="n">
        <f aca="false">INDEX('Type Chart'!$B$5:$P$19,MATCH(K$4,'Type Chart'!$A$5:$A$19,0),MATCH($C12,'Type Chart'!$B$4:$P$4,0))*IF($D12="",1,INDEX('Type Chart'!$B$5:$P$19,MATCH(K$4,'Type Chart'!$A$5:$A$19,0),MATCH($D12,'Type Chart'!$B$4:$P$4,0)))</f>
        <v>1</v>
      </c>
      <c r="L12" s="21" t="n">
        <f aca="false">INDEX('Type Chart'!$B$5:$P$19,MATCH(L$4,'Type Chart'!$A$5:$A$19,0),MATCH($C12,'Type Chart'!$B$4:$P$4,0))*IF($D12="",1,INDEX('Type Chart'!$B$5:$P$19,MATCH(L$4,'Type Chart'!$A$5:$A$19,0),MATCH($D12,'Type Chart'!$B$4:$P$4,0)))</f>
        <v>1</v>
      </c>
      <c r="M12" s="21" t="n">
        <f aca="false">INDEX('Type Chart'!$B$5:$P$19,MATCH(M$4,'Type Chart'!$A$5:$A$19,0),MATCH($C12,'Type Chart'!$B$4:$P$4,0))*IF($D12="",1,INDEX('Type Chart'!$B$5:$P$19,MATCH(M$4,'Type Chart'!$A$5:$A$19,0),MATCH($D12,'Type Chart'!$B$4:$P$4,0)))</f>
        <v>1</v>
      </c>
      <c r="N12" s="21" t="n">
        <f aca="false">INDEX('Type Chart'!$B$5:$P$19,MATCH(N$4,'Type Chart'!$A$5:$A$19,0),MATCH($C12,'Type Chart'!$B$4:$P$4,0))*IF($D12="",1,INDEX('Type Chart'!$B$5:$P$19,MATCH(N$4,'Type Chart'!$A$5:$A$19,0),MATCH($D12,'Type Chart'!$B$4:$P$4,0)))</f>
        <v>1</v>
      </c>
      <c r="O12" s="21" t="n">
        <f aca="false">INDEX('Type Chart'!$B$5:$P$19,MATCH(O$4,'Type Chart'!$A$5:$A$19,0),MATCH($C12,'Type Chart'!$B$4:$P$4,0))*IF($D12="",1,INDEX('Type Chart'!$B$5:$P$19,MATCH(O$4,'Type Chart'!$A$5:$A$19,0),MATCH($D12,'Type Chart'!$B$4:$P$4,0)))</f>
        <v>1</v>
      </c>
      <c r="P12" s="21" t="n">
        <f aca="false">INDEX('Type Chart'!$B$5:$P$19,MATCH(P$4,'Type Chart'!$A$5:$A$19,0),MATCH($C12,'Type Chart'!$B$4:$P$4,0))*IF($D12="",1,INDEX('Type Chart'!$B$5:$P$19,MATCH(P$4,'Type Chart'!$A$5:$A$19,0),MATCH($D12,'Type Chart'!$B$4:$P$4,0)))</f>
        <v>1</v>
      </c>
      <c r="Q12" s="21" t="n">
        <f aca="false">INDEX('Type Chart'!$B$5:$P$19,MATCH(Q$4,'Type Chart'!$A$5:$A$19,0),MATCH($C12,'Type Chart'!$B$4:$P$4,0))*IF($D12="",1,INDEX('Type Chart'!$B$5:$P$19,MATCH(Q$4,'Type Chart'!$A$5:$A$19,0),MATCH($D12,'Type Chart'!$B$4:$P$4,0)))</f>
        <v>1</v>
      </c>
      <c r="R12" s="21" t="n">
        <f aca="false">INDEX('Type Chart'!$B$5:$P$19,MATCH(R$4,'Type Chart'!$A$5:$A$19,0),MATCH($C12,'Type Chart'!$B$4:$P$4,0))*IF($D12="",1,INDEX('Type Chart'!$B$5:$P$19,MATCH(R$4,'Type Chart'!$A$5:$A$19,0),MATCH($D12,'Type Chart'!$B$4:$P$4,0)))</f>
        <v>1</v>
      </c>
      <c r="S12" s="21" t="n">
        <f aca="false">INDEX('Type Chart'!$B$5:$P$19,MATCH(S$4,'Type Chart'!$A$5:$A$19,0),MATCH($C12,'Type Chart'!$B$4:$P$4,0))*IF($D12="",1,INDEX('Type Chart'!$B$5:$P$19,MATCH(S$4,'Type Chart'!$A$5:$A$19,0),MATCH($D12,'Type Chart'!$B$4:$P$4,0)))</f>
        <v>1</v>
      </c>
    </row>
    <row r="13" customFormat="false" ht="15" hidden="false" customHeight="false" outlineLevel="0" collapsed="false">
      <c r="A13" s="19" t="n">
        <v>9</v>
      </c>
      <c r="B13" s="19" t="s">
        <v>100</v>
      </c>
      <c r="C13" s="20" t="str">
        <f aca="false">Pokedex!C13</f>
        <v>Water</v>
      </c>
      <c r="D13" s="20" t="n">
        <f aca="false">Pokedex!D13</f>
        <v>0</v>
      </c>
      <c r="E13" s="21" t="n">
        <f aca="false">INDEX('Type Chart'!$B$5:$P$19,MATCH(E$4,'Type Chart'!$A$5:$A$19,0),MATCH($C13,'Type Chart'!$B$4:$P$4,0))*IF($D13="",1,INDEX('Type Chart'!$B$5:$P$19,MATCH(E$4,'Type Chart'!$A$5:$A$19,0),MATCH($D13,'Type Chart'!$B$4:$P$4,0)))</f>
        <v>1</v>
      </c>
      <c r="F13" s="21" t="n">
        <f aca="false">INDEX('Type Chart'!$B$5:$P$19,MATCH(F$4,'Type Chart'!$A$5:$A$19,0),MATCH($C13,'Type Chart'!$B$4:$P$4,0))*IF($D13="",1,INDEX('Type Chart'!$B$5:$P$19,MATCH(F$4,'Type Chart'!$A$5:$A$19,0),MATCH($D13,'Type Chart'!$B$4:$P$4,0)))</f>
        <v>0.5</v>
      </c>
      <c r="G13" s="21" t="n">
        <f aca="false">INDEX('Type Chart'!$B$5:$P$19,MATCH(G$4,'Type Chart'!$A$5:$A$19,0),MATCH($C13,'Type Chart'!$B$4:$P$4,0))*IF($D13="",1,INDEX('Type Chart'!$B$5:$P$19,MATCH(G$4,'Type Chart'!$A$5:$A$19,0),MATCH($D13,'Type Chart'!$B$4:$P$4,0)))</f>
        <v>0.5</v>
      </c>
      <c r="H13" s="21" t="n">
        <f aca="false">INDEX('Type Chart'!$B$5:$P$19,MATCH(H$4,'Type Chart'!$A$5:$A$19,0),MATCH($C13,'Type Chart'!$B$4:$P$4,0))*IF($D13="",1,INDEX('Type Chart'!$B$5:$P$19,MATCH(H$4,'Type Chart'!$A$5:$A$19,0),MATCH($D13,'Type Chart'!$B$4:$P$4,0)))</f>
        <v>2</v>
      </c>
      <c r="I13" s="21" t="n">
        <f aca="false">INDEX('Type Chart'!$B$5:$P$19,MATCH(I$4,'Type Chart'!$A$5:$A$19,0),MATCH($C13,'Type Chart'!$B$4:$P$4,0))*IF($D13="",1,INDEX('Type Chart'!$B$5:$P$19,MATCH(I$4,'Type Chart'!$A$5:$A$19,0),MATCH($D13,'Type Chart'!$B$4:$P$4,0)))</f>
        <v>2</v>
      </c>
      <c r="J13" s="21" t="n">
        <f aca="false">INDEX('Type Chart'!$B$5:$P$19,MATCH(J$4,'Type Chart'!$A$5:$A$19,0),MATCH($C13,'Type Chart'!$B$4:$P$4,0))*IF($D13="",1,INDEX('Type Chart'!$B$5:$P$19,MATCH(J$4,'Type Chart'!$A$5:$A$19,0),MATCH($D13,'Type Chart'!$B$4:$P$4,0)))</f>
        <v>0.5</v>
      </c>
      <c r="K13" s="21" t="n">
        <f aca="false">INDEX('Type Chart'!$B$5:$P$19,MATCH(K$4,'Type Chart'!$A$5:$A$19,0),MATCH($C13,'Type Chart'!$B$4:$P$4,0))*IF($D13="",1,INDEX('Type Chart'!$B$5:$P$19,MATCH(K$4,'Type Chart'!$A$5:$A$19,0),MATCH($D13,'Type Chart'!$B$4:$P$4,0)))</f>
        <v>1</v>
      </c>
      <c r="L13" s="21" t="n">
        <f aca="false">INDEX('Type Chart'!$B$5:$P$19,MATCH(L$4,'Type Chart'!$A$5:$A$19,0),MATCH($C13,'Type Chart'!$B$4:$P$4,0))*IF($D13="",1,INDEX('Type Chart'!$B$5:$P$19,MATCH(L$4,'Type Chart'!$A$5:$A$19,0),MATCH($D13,'Type Chart'!$B$4:$P$4,0)))</f>
        <v>1</v>
      </c>
      <c r="M13" s="21" t="n">
        <f aca="false">INDEX('Type Chart'!$B$5:$P$19,MATCH(M$4,'Type Chart'!$A$5:$A$19,0),MATCH($C13,'Type Chart'!$B$4:$P$4,0))*IF($D13="",1,INDEX('Type Chart'!$B$5:$P$19,MATCH(M$4,'Type Chart'!$A$5:$A$19,0),MATCH($D13,'Type Chart'!$B$4:$P$4,0)))</f>
        <v>1</v>
      </c>
      <c r="N13" s="21" t="n">
        <f aca="false">INDEX('Type Chart'!$B$5:$P$19,MATCH(N$4,'Type Chart'!$A$5:$A$19,0),MATCH($C13,'Type Chart'!$B$4:$P$4,0))*IF($D13="",1,INDEX('Type Chart'!$B$5:$P$19,MATCH(N$4,'Type Chart'!$A$5:$A$19,0),MATCH($D13,'Type Chart'!$B$4:$P$4,0)))</f>
        <v>1</v>
      </c>
      <c r="O13" s="21" t="n">
        <f aca="false">INDEX('Type Chart'!$B$5:$P$19,MATCH(O$4,'Type Chart'!$A$5:$A$19,0),MATCH($C13,'Type Chart'!$B$4:$P$4,0))*IF($D13="",1,INDEX('Type Chart'!$B$5:$P$19,MATCH(O$4,'Type Chart'!$A$5:$A$19,0),MATCH($D13,'Type Chart'!$B$4:$P$4,0)))</f>
        <v>1</v>
      </c>
      <c r="P13" s="21" t="n">
        <f aca="false">INDEX('Type Chart'!$B$5:$P$19,MATCH(P$4,'Type Chart'!$A$5:$A$19,0),MATCH($C13,'Type Chart'!$B$4:$P$4,0))*IF($D13="",1,INDEX('Type Chart'!$B$5:$P$19,MATCH(P$4,'Type Chart'!$A$5:$A$19,0),MATCH($D13,'Type Chart'!$B$4:$P$4,0)))</f>
        <v>1</v>
      </c>
      <c r="Q13" s="21" t="n">
        <f aca="false">INDEX('Type Chart'!$B$5:$P$19,MATCH(Q$4,'Type Chart'!$A$5:$A$19,0),MATCH($C13,'Type Chart'!$B$4:$P$4,0))*IF($D13="",1,INDEX('Type Chart'!$B$5:$P$19,MATCH(Q$4,'Type Chart'!$A$5:$A$19,0),MATCH($D13,'Type Chart'!$B$4:$P$4,0)))</f>
        <v>1</v>
      </c>
      <c r="R13" s="21" t="n">
        <f aca="false">INDEX('Type Chart'!$B$5:$P$19,MATCH(R$4,'Type Chart'!$A$5:$A$19,0),MATCH($C13,'Type Chart'!$B$4:$P$4,0))*IF($D13="",1,INDEX('Type Chart'!$B$5:$P$19,MATCH(R$4,'Type Chart'!$A$5:$A$19,0),MATCH($D13,'Type Chart'!$B$4:$P$4,0)))</f>
        <v>1</v>
      </c>
      <c r="S13" s="21" t="n">
        <f aca="false">INDEX('Type Chart'!$B$5:$P$19,MATCH(S$4,'Type Chart'!$A$5:$A$19,0),MATCH($C13,'Type Chart'!$B$4:$P$4,0))*IF($D13="",1,INDEX('Type Chart'!$B$5:$P$19,MATCH(S$4,'Type Chart'!$A$5:$A$19,0),MATCH($D13,'Type Chart'!$B$4:$P$4,0)))</f>
        <v>1</v>
      </c>
    </row>
    <row r="14" customFormat="false" ht="15" hidden="false" customHeight="false" outlineLevel="0" collapsed="false">
      <c r="A14" s="19" t="n">
        <v>10</v>
      </c>
      <c r="B14" s="19" t="s">
        <v>101</v>
      </c>
      <c r="C14" s="20" t="str">
        <f aca="false">Pokedex!C14</f>
        <v>Bug</v>
      </c>
      <c r="D14" s="20" t="n">
        <f aca="false">Pokedex!D14</f>
        <v>0</v>
      </c>
      <c r="E14" s="21" t="n">
        <f aca="false">INDEX('Type Chart'!$B$5:$P$19,MATCH(E$4,'Type Chart'!$A$5:$A$19,0),MATCH($C14,'Type Chart'!$B$4:$P$4,0))*IF($D14="",1,INDEX('Type Chart'!$B$5:$P$19,MATCH(E$4,'Type Chart'!$A$5:$A$19,0),MATCH($D14,'Type Chart'!$B$4:$P$4,0)))</f>
        <v>1</v>
      </c>
      <c r="F14" s="21" t="n">
        <f aca="false">INDEX('Type Chart'!$B$5:$P$19,MATCH(F$4,'Type Chart'!$A$5:$A$19,0),MATCH($C14,'Type Chart'!$B$4:$P$4,0))*IF($D14="",1,INDEX('Type Chart'!$B$5:$P$19,MATCH(F$4,'Type Chart'!$A$5:$A$19,0),MATCH($D14,'Type Chart'!$B$4:$P$4,0)))</f>
        <v>2</v>
      </c>
      <c r="G14" s="21" t="n">
        <f aca="false">INDEX('Type Chart'!$B$5:$P$19,MATCH(G$4,'Type Chart'!$A$5:$A$19,0),MATCH($C14,'Type Chart'!$B$4:$P$4,0))*IF($D14="",1,INDEX('Type Chart'!$B$5:$P$19,MATCH(G$4,'Type Chart'!$A$5:$A$19,0),MATCH($D14,'Type Chart'!$B$4:$P$4,0)))</f>
        <v>1</v>
      </c>
      <c r="H14" s="21" t="n">
        <f aca="false">INDEX('Type Chart'!$B$5:$P$19,MATCH(H$4,'Type Chart'!$A$5:$A$19,0),MATCH($C14,'Type Chart'!$B$4:$P$4,0))*IF($D14="",1,INDEX('Type Chart'!$B$5:$P$19,MATCH(H$4,'Type Chart'!$A$5:$A$19,0),MATCH($D14,'Type Chart'!$B$4:$P$4,0)))</f>
        <v>1</v>
      </c>
      <c r="I14" s="21" t="n">
        <f aca="false">INDEX('Type Chart'!$B$5:$P$19,MATCH(I$4,'Type Chart'!$A$5:$A$19,0),MATCH($C14,'Type Chart'!$B$4:$P$4,0))*IF($D14="",1,INDEX('Type Chart'!$B$5:$P$19,MATCH(I$4,'Type Chart'!$A$5:$A$19,0),MATCH($D14,'Type Chart'!$B$4:$P$4,0)))</f>
        <v>0.5</v>
      </c>
      <c r="J14" s="21" t="n">
        <f aca="false">INDEX('Type Chart'!$B$5:$P$19,MATCH(J$4,'Type Chart'!$A$5:$A$19,0),MATCH($C14,'Type Chart'!$B$4:$P$4,0))*IF($D14="",1,INDEX('Type Chart'!$B$5:$P$19,MATCH(J$4,'Type Chart'!$A$5:$A$19,0),MATCH($D14,'Type Chart'!$B$4:$P$4,0)))</f>
        <v>1</v>
      </c>
      <c r="K14" s="21" t="n">
        <f aca="false">INDEX('Type Chart'!$B$5:$P$19,MATCH(K$4,'Type Chart'!$A$5:$A$19,0),MATCH($C14,'Type Chart'!$B$4:$P$4,0))*IF($D14="",1,INDEX('Type Chart'!$B$5:$P$19,MATCH(K$4,'Type Chart'!$A$5:$A$19,0),MATCH($D14,'Type Chart'!$B$4:$P$4,0)))</f>
        <v>0.5</v>
      </c>
      <c r="L14" s="21" t="n">
        <f aca="false">INDEX('Type Chart'!$B$5:$P$19,MATCH(L$4,'Type Chart'!$A$5:$A$19,0),MATCH($C14,'Type Chart'!$B$4:$P$4,0))*IF($D14="",1,INDEX('Type Chart'!$B$5:$P$19,MATCH(L$4,'Type Chart'!$A$5:$A$19,0),MATCH($D14,'Type Chart'!$B$4:$P$4,0)))</f>
        <v>2</v>
      </c>
      <c r="M14" s="21" t="n">
        <f aca="false">INDEX('Type Chart'!$B$5:$P$19,MATCH(M$4,'Type Chart'!$A$5:$A$19,0),MATCH($C14,'Type Chart'!$B$4:$P$4,0))*IF($D14="",1,INDEX('Type Chart'!$B$5:$P$19,MATCH(M$4,'Type Chart'!$A$5:$A$19,0),MATCH($D14,'Type Chart'!$B$4:$P$4,0)))</f>
        <v>0.5</v>
      </c>
      <c r="N14" s="21" t="n">
        <f aca="false">INDEX('Type Chart'!$B$5:$P$19,MATCH(N$4,'Type Chart'!$A$5:$A$19,0),MATCH($C14,'Type Chart'!$B$4:$P$4,0))*IF($D14="",1,INDEX('Type Chart'!$B$5:$P$19,MATCH(N$4,'Type Chart'!$A$5:$A$19,0),MATCH($D14,'Type Chart'!$B$4:$P$4,0)))</f>
        <v>2</v>
      </c>
      <c r="O14" s="21" t="n">
        <f aca="false">INDEX('Type Chart'!$B$5:$P$19,MATCH(O$4,'Type Chart'!$A$5:$A$19,0),MATCH($C14,'Type Chart'!$B$4:$P$4,0))*IF($D14="",1,INDEX('Type Chart'!$B$5:$P$19,MATCH(O$4,'Type Chart'!$A$5:$A$19,0),MATCH($D14,'Type Chart'!$B$4:$P$4,0)))</f>
        <v>1</v>
      </c>
      <c r="P14" s="21" t="n">
        <f aca="false">INDEX('Type Chart'!$B$5:$P$19,MATCH(P$4,'Type Chart'!$A$5:$A$19,0),MATCH($C14,'Type Chart'!$B$4:$P$4,0))*IF($D14="",1,INDEX('Type Chart'!$B$5:$P$19,MATCH(P$4,'Type Chart'!$A$5:$A$19,0),MATCH($D14,'Type Chart'!$B$4:$P$4,0)))</f>
        <v>1</v>
      </c>
      <c r="Q14" s="21" t="n">
        <f aca="false">INDEX('Type Chart'!$B$5:$P$19,MATCH(Q$4,'Type Chart'!$A$5:$A$19,0),MATCH($C14,'Type Chart'!$B$4:$P$4,0))*IF($D14="",1,INDEX('Type Chart'!$B$5:$P$19,MATCH(Q$4,'Type Chart'!$A$5:$A$19,0),MATCH($D14,'Type Chart'!$B$4:$P$4,0)))</f>
        <v>2</v>
      </c>
      <c r="R14" s="21" t="n">
        <f aca="false">INDEX('Type Chart'!$B$5:$P$19,MATCH(R$4,'Type Chart'!$A$5:$A$19,0),MATCH($C14,'Type Chart'!$B$4:$P$4,0))*IF($D14="",1,INDEX('Type Chart'!$B$5:$P$19,MATCH(R$4,'Type Chart'!$A$5:$A$19,0),MATCH($D14,'Type Chart'!$B$4:$P$4,0)))</f>
        <v>1</v>
      </c>
      <c r="S14" s="21" t="n">
        <f aca="false">INDEX('Type Chart'!$B$5:$P$19,MATCH(S$4,'Type Chart'!$A$5:$A$19,0),MATCH($C14,'Type Chart'!$B$4:$P$4,0))*IF($D14="",1,INDEX('Type Chart'!$B$5:$P$19,MATCH(S$4,'Type Chart'!$A$5:$A$19,0),MATCH($D14,'Type Chart'!$B$4:$P$4,0)))</f>
        <v>1</v>
      </c>
    </row>
    <row r="15" customFormat="false" ht="15" hidden="false" customHeight="false" outlineLevel="0" collapsed="false">
      <c r="A15" s="19" t="n">
        <v>11</v>
      </c>
      <c r="B15" s="19" t="s">
        <v>102</v>
      </c>
      <c r="C15" s="20" t="str">
        <f aca="false">Pokedex!C15</f>
        <v>Bug</v>
      </c>
      <c r="D15" s="20" t="n">
        <f aca="false">Pokedex!D15</f>
        <v>0</v>
      </c>
      <c r="E15" s="21" t="n">
        <f aca="false">INDEX('Type Chart'!$B$5:$P$19,MATCH(E$4,'Type Chart'!$A$5:$A$19,0),MATCH($C15,'Type Chart'!$B$4:$P$4,0))*IF($D15="",1,INDEX('Type Chart'!$B$5:$P$19,MATCH(E$4,'Type Chart'!$A$5:$A$19,0),MATCH($D15,'Type Chart'!$B$4:$P$4,0)))</f>
        <v>1</v>
      </c>
      <c r="F15" s="21" t="n">
        <f aca="false">INDEX('Type Chart'!$B$5:$P$19,MATCH(F$4,'Type Chart'!$A$5:$A$19,0),MATCH($C15,'Type Chart'!$B$4:$P$4,0))*IF($D15="",1,INDEX('Type Chart'!$B$5:$P$19,MATCH(F$4,'Type Chart'!$A$5:$A$19,0),MATCH($D15,'Type Chart'!$B$4:$P$4,0)))</f>
        <v>2</v>
      </c>
      <c r="G15" s="21" t="n">
        <f aca="false">INDEX('Type Chart'!$B$5:$P$19,MATCH(G$4,'Type Chart'!$A$5:$A$19,0),MATCH($C15,'Type Chart'!$B$4:$P$4,0))*IF($D15="",1,INDEX('Type Chart'!$B$5:$P$19,MATCH(G$4,'Type Chart'!$A$5:$A$19,0),MATCH($D15,'Type Chart'!$B$4:$P$4,0)))</f>
        <v>1</v>
      </c>
      <c r="H15" s="21" t="n">
        <f aca="false">INDEX('Type Chart'!$B$5:$P$19,MATCH(H$4,'Type Chart'!$A$5:$A$19,0),MATCH($C15,'Type Chart'!$B$4:$P$4,0))*IF($D15="",1,INDEX('Type Chart'!$B$5:$P$19,MATCH(H$4,'Type Chart'!$A$5:$A$19,0),MATCH($D15,'Type Chart'!$B$4:$P$4,0)))</f>
        <v>1</v>
      </c>
      <c r="I15" s="21" t="n">
        <f aca="false">INDEX('Type Chart'!$B$5:$P$19,MATCH(I$4,'Type Chart'!$A$5:$A$19,0),MATCH($C15,'Type Chart'!$B$4:$P$4,0))*IF($D15="",1,INDEX('Type Chart'!$B$5:$P$19,MATCH(I$4,'Type Chart'!$A$5:$A$19,0),MATCH($D15,'Type Chart'!$B$4:$P$4,0)))</f>
        <v>0.5</v>
      </c>
      <c r="J15" s="21" t="n">
        <f aca="false">INDEX('Type Chart'!$B$5:$P$19,MATCH(J$4,'Type Chart'!$A$5:$A$19,0),MATCH($C15,'Type Chart'!$B$4:$P$4,0))*IF($D15="",1,INDEX('Type Chart'!$B$5:$P$19,MATCH(J$4,'Type Chart'!$A$5:$A$19,0),MATCH($D15,'Type Chart'!$B$4:$P$4,0)))</f>
        <v>1</v>
      </c>
      <c r="K15" s="21" t="n">
        <f aca="false">INDEX('Type Chart'!$B$5:$P$19,MATCH(K$4,'Type Chart'!$A$5:$A$19,0),MATCH($C15,'Type Chart'!$B$4:$P$4,0))*IF($D15="",1,INDEX('Type Chart'!$B$5:$P$19,MATCH(K$4,'Type Chart'!$A$5:$A$19,0),MATCH($D15,'Type Chart'!$B$4:$P$4,0)))</f>
        <v>0.5</v>
      </c>
      <c r="L15" s="21" t="n">
        <f aca="false">INDEX('Type Chart'!$B$5:$P$19,MATCH(L$4,'Type Chart'!$A$5:$A$19,0),MATCH($C15,'Type Chart'!$B$4:$P$4,0))*IF($D15="",1,INDEX('Type Chart'!$B$5:$P$19,MATCH(L$4,'Type Chart'!$A$5:$A$19,0),MATCH($D15,'Type Chart'!$B$4:$P$4,0)))</f>
        <v>2</v>
      </c>
      <c r="M15" s="21" t="n">
        <f aca="false">INDEX('Type Chart'!$B$5:$P$19,MATCH(M$4,'Type Chart'!$A$5:$A$19,0),MATCH($C15,'Type Chart'!$B$4:$P$4,0))*IF($D15="",1,INDEX('Type Chart'!$B$5:$P$19,MATCH(M$4,'Type Chart'!$A$5:$A$19,0),MATCH($D15,'Type Chart'!$B$4:$P$4,0)))</f>
        <v>0.5</v>
      </c>
      <c r="N15" s="21" t="n">
        <f aca="false">INDEX('Type Chart'!$B$5:$P$19,MATCH(N$4,'Type Chart'!$A$5:$A$19,0),MATCH($C15,'Type Chart'!$B$4:$P$4,0))*IF($D15="",1,INDEX('Type Chart'!$B$5:$P$19,MATCH(N$4,'Type Chart'!$A$5:$A$19,0),MATCH($D15,'Type Chart'!$B$4:$P$4,0)))</f>
        <v>2</v>
      </c>
      <c r="O15" s="21" t="n">
        <f aca="false">INDEX('Type Chart'!$B$5:$P$19,MATCH(O$4,'Type Chart'!$A$5:$A$19,0),MATCH($C15,'Type Chart'!$B$4:$P$4,0))*IF($D15="",1,INDEX('Type Chart'!$B$5:$P$19,MATCH(O$4,'Type Chart'!$A$5:$A$19,0),MATCH($D15,'Type Chart'!$B$4:$P$4,0)))</f>
        <v>1</v>
      </c>
      <c r="P15" s="21" t="n">
        <f aca="false">INDEX('Type Chart'!$B$5:$P$19,MATCH(P$4,'Type Chart'!$A$5:$A$19,0),MATCH($C15,'Type Chart'!$B$4:$P$4,0))*IF($D15="",1,INDEX('Type Chart'!$B$5:$P$19,MATCH(P$4,'Type Chart'!$A$5:$A$19,0),MATCH($D15,'Type Chart'!$B$4:$P$4,0)))</f>
        <v>1</v>
      </c>
      <c r="Q15" s="21" t="n">
        <f aca="false">INDEX('Type Chart'!$B$5:$P$19,MATCH(Q$4,'Type Chart'!$A$5:$A$19,0),MATCH($C15,'Type Chart'!$B$4:$P$4,0))*IF($D15="",1,INDEX('Type Chart'!$B$5:$P$19,MATCH(Q$4,'Type Chart'!$A$5:$A$19,0),MATCH($D15,'Type Chart'!$B$4:$P$4,0)))</f>
        <v>2</v>
      </c>
      <c r="R15" s="21" t="n">
        <f aca="false">INDEX('Type Chart'!$B$5:$P$19,MATCH(R$4,'Type Chart'!$A$5:$A$19,0),MATCH($C15,'Type Chart'!$B$4:$P$4,0))*IF($D15="",1,INDEX('Type Chart'!$B$5:$P$19,MATCH(R$4,'Type Chart'!$A$5:$A$19,0),MATCH($D15,'Type Chart'!$B$4:$P$4,0)))</f>
        <v>1</v>
      </c>
      <c r="S15" s="21" t="n">
        <f aca="false">INDEX('Type Chart'!$B$5:$P$19,MATCH(S$4,'Type Chart'!$A$5:$A$19,0),MATCH($C15,'Type Chart'!$B$4:$P$4,0))*IF($D15="",1,INDEX('Type Chart'!$B$5:$P$19,MATCH(S$4,'Type Chart'!$A$5:$A$19,0),MATCH($D15,'Type Chart'!$B$4:$P$4,0)))</f>
        <v>1</v>
      </c>
    </row>
    <row r="16" customFormat="false" ht="15" hidden="false" customHeight="false" outlineLevel="0" collapsed="false">
      <c r="A16" s="19" t="n">
        <v>12</v>
      </c>
      <c r="B16" s="19" t="s">
        <v>103</v>
      </c>
      <c r="C16" s="20" t="str">
        <f aca="false">Pokedex!C16</f>
        <v>Bug</v>
      </c>
      <c r="D16" s="20" t="str">
        <f aca="false">Pokedex!D16</f>
        <v>Flying</v>
      </c>
      <c r="E16" s="21" t="n">
        <f aca="false">INDEX('Type Chart'!$B$5:$P$19,MATCH(E$4,'Type Chart'!$A$5:$A$19,0),MATCH($C16,'Type Chart'!$B$4:$P$4,0))*IF($D16="",1,INDEX('Type Chart'!$B$5:$P$19,MATCH(E$4,'Type Chart'!$A$5:$A$19,0),MATCH($D16,'Type Chart'!$B$4:$P$4,0)))</f>
        <v>1</v>
      </c>
      <c r="F16" s="21" t="n">
        <f aca="false">INDEX('Type Chart'!$B$5:$P$19,MATCH(F$4,'Type Chart'!$A$5:$A$19,0),MATCH($C16,'Type Chart'!$B$4:$P$4,0))*IF($D16="",1,INDEX('Type Chart'!$B$5:$P$19,MATCH(F$4,'Type Chart'!$A$5:$A$19,0),MATCH($D16,'Type Chart'!$B$4:$P$4,0)))</f>
        <v>2</v>
      </c>
      <c r="G16" s="21" t="n">
        <f aca="false">INDEX('Type Chart'!$B$5:$P$19,MATCH(G$4,'Type Chart'!$A$5:$A$19,0),MATCH($C16,'Type Chart'!$B$4:$P$4,0))*IF($D16="",1,INDEX('Type Chart'!$B$5:$P$19,MATCH(G$4,'Type Chart'!$A$5:$A$19,0),MATCH($D16,'Type Chart'!$B$4:$P$4,0)))</f>
        <v>1</v>
      </c>
      <c r="H16" s="21" t="n">
        <f aca="false">INDEX('Type Chart'!$B$5:$P$19,MATCH(H$4,'Type Chart'!$A$5:$A$19,0),MATCH($C16,'Type Chart'!$B$4:$P$4,0))*IF($D16="",1,INDEX('Type Chart'!$B$5:$P$19,MATCH(H$4,'Type Chart'!$A$5:$A$19,0),MATCH($D16,'Type Chart'!$B$4:$P$4,0)))</f>
        <v>2</v>
      </c>
      <c r="I16" s="21" t="n">
        <f aca="false">INDEX('Type Chart'!$B$5:$P$19,MATCH(I$4,'Type Chart'!$A$5:$A$19,0),MATCH($C16,'Type Chart'!$B$4:$P$4,0))*IF($D16="",1,INDEX('Type Chart'!$B$5:$P$19,MATCH(I$4,'Type Chart'!$A$5:$A$19,0),MATCH($D16,'Type Chart'!$B$4:$P$4,0)))</f>
        <v>0.25</v>
      </c>
      <c r="J16" s="21" t="n">
        <f aca="false">INDEX('Type Chart'!$B$5:$P$19,MATCH(J$4,'Type Chart'!$A$5:$A$19,0),MATCH($C16,'Type Chart'!$B$4:$P$4,0))*IF($D16="",1,INDEX('Type Chart'!$B$5:$P$19,MATCH(J$4,'Type Chart'!$A$5:$A$19,0),MATCH($D16,'Type Chart'!$B$4:$P$4,0)))</f>
        <v>2</v>
      </c>
      <c r="K16" s="21" t="n">
        <f aca="false">INDEX('Type Chart'!$B$5:$P$19,MATCH(K$4,'Type Chart'!$A$5:$A$19,0),MATCH($C16,'Type Chart'!$B$4:$P$4,0))*IF($D16="",1,INDEX('Type Chart'!$B$5:$P$19,MATCH(K$4,'Type Chart'!$A$5:$A$19,0),MATCH($D16,'Type Chart'!$B$4:$P$4,0)))</f>
        <v>0.25</v>
      </c>
      <c r="L16" s="21" t="n">
        <f aca="false">INDEX('Type Chart'!$B$5:$P$19,MATCH(L$4,'Type Chart'!$A$5:$A$19,0),MATCH($C16,'Type Chart'!$B$4:$P$4,0))*IF($D16="",1,INDEX('Type Chart'!$B$5:$P$19,MATCH(L$4,'Type Chart'!$A$5:$A$19,0),MATCH($D16,'Type Chart'!$B$4:$P$4,0)))</f>
        <v>2</v>
      </c>
      <c r="M16" s="21" t="n">
        <f aca="false">INDEX('Type Chart'!$B$5:$P$19,MATCH(M$4,'Type Chart'!$A$5:$A$19,0),MATCH($C16,'Type Chart'!$B$4:$P$4,0))*IF($D16="",1,INDEX('Type Chart'!$B$5:$P$19,MATCH(M$4,'Type Chart'!$A$5:$A$19,0),MATCH($D16,'Type Chart'!$B$4:$P$4,0)))</f>
        <v>0</v>
      </c>
      <c r="N16" s="21" t="n">
        <f aca="false">INDEX('Type Chart'!$B$5:$P$19,MATCH(N$4,'Type Chart'!$A$5:$A$19,0),MATCH($C16,'Type Chart'!$B$4:$P$4,0))*IF($D16="",1,INDEX('Type Chart'!$B$5:$P$19,MATCH(N$4,'Type Chart'!$A$5:$A$19,0),MATCH($D16,'Type Chart'!$B$4:$P$4,0)))</f>
        <v>2</v>
      </c>
      <c r="O16" s="21" t="n">
        <f aca="false">INDEX('Type Chart'!$B$5:$P$19,MATCH(O$4,'Type Chart'!$A$5:$A$19,0),MATCH($C16,'Type Chart'!$B$4:$P$4,0))*IF($D16="",1,INDEX('Type Chart'!$B$5:$P$19,MATCH(O$4,'Type Chart'!$A$5:$A$19,0),MATCH($D16,'Type Chart'!$B$4:$P$4,0)))</f>
        <v>1</v>
      </c>
      <c r="P16" s="21" t="n">
        <f aca="false">INDEX('Type Chart'!$B$5:$P$19,MATCH(P$4,'Type Chart'!$A$5:$A$19,0),MATCH($C16,'Type Chart'!$B$4:$P$4,0))*IF($D16="",1,INDEX('Type Chart'!$B$5:$P$19,MATCH(P$4,'Type Chart'!$A$5:$A$19,0),MATCH($D16,'Type Chart'!$B$4:$P$4,0)))</f>
        <v>0.5</v>
      </c>
      <c r="Q16" s="21" t="n">
        <f aca="false">INDEX('Type Chart'!$B$5:$P$19,MATCH(Q$4,'Type Chart'!$A$5:$A$19,0),MATCH($C16,'Type Chart'!$B$4:$P$4,0))*IF($D16="",1,INDEX('Type Chart'!$B$5:$P$19,MATCH(Q$4,'Type Chart'!$A$5:$A$19,0),MATCH($D16,'Type Chart'!$B$4:$P$4,0)))</f>
        <v>4</v>
      </c>
      <c r="R16" s="21" t="n">
        <f aca="false">INDEX('Type Chart'!$B$5:$P$19,MATCH(R$4,'Type Chart'!$A$5:$A$19,0),MATCH($C16,'Type Chart'!$B$4:$P$4,0))*IF($D16="",1,INDEX('Type Chart'!$B$5:$P$19,MATCH(R$4,'Type Chart'!$A$5:$A$19,0),MATCH($D16,'Type Chart'!$B$4:$P$4,0)))</f>
        <v>1</v>
      </c>
      <c r="S16" s="21" t="n">
        <f aca="false">INDEX('Type Chart'!$B$5:$P$19,MATCH(S$4,'Type Chart'!$A$5:$A$19,0),MATCH($C16,'Type Chart'!$B$4:$P$4,0))*IF($D16="",1,INDEX('Type Chart'!$B$5:$P$19,MATCH(S$4,'Type Chart'!$A$5:$A$19,0),MATCH($D16,'Type Chart'!$B$4:$P$4,0)))</f>
        <v>1</v>
      </c>
    </row>
    <row r="17" customFormat="false" ht="15" hidden="false" customHeight="false" outlineLevel="0" collapsed="false">
      <c r="A17" s="19" t="n">
        <v>13</v>
      </c>
      <c r="B17" s="19" t="s">
        <v>104</v>
      </c>
      <c r="C17" s="20" t="str">
        <f aca="false">Pokedex!C17</f>
        <v>Bug</v>
      </c>
      <c r="D17" s="20" t="str">
        <f aca="false">Pokedex!D17</f>
        <v>Poison</v>
      </c>
      <c r="E17" s="21" t="n">
        <f aca="false">INDEX('Type Chart'!$B$5:$P$19,MATCH(E$4,'Type Chart'!$A$5:$A$19,0),MATCH($C17,'Type Chart'!$B$4:$P$4,0))*IF($D17="",1,INDEX('Type Chart'!$B$5:$P$19,MATCH(E$4,'Type Chart'!$A$5:$A$19,0),MATCH($D17,'Type Chart'!$B$4:$P$4,0)))</f>
        <v>1</v>
      </c>
      <c r="F17" s="21" t="n">
        <f aca="false">INDEX('Type Chart'!$B$5:$P$19,MATCH(F$4,'Type Chart'!$A$5:$A$19,0),MATCH($C17,'Type Chart'!$B$4:$P$4,0))*IF($D17="",1,INDEX('Type Chart'!$B$5:$P$19,MATCH(F$4,'Type Chart'!$A$5:$A$19,0),MATCH($D17,'Type Chart'!$B$4:$P$4,0)))</f>
        <v>2</v>
      </c>
      <c r="G17" s="21" t="n">
        <f aca="false">INDEX('Type Chart'!$B$5:$P$19,MATCH(G$4,'Type Chart'!$A$5:$A$19,0),MATCH($C17,'Type Chart'!$B$4:$P$4,0))*IF($D17="",1,INDEX('Type Chart'!$B$5:$P$19,MATCH(G$4,'Type Chart'!$A$5:$A$19,0),MATCH($D17,'Type Chart'!$B$4:$P$4,0)))</f>
        <v>1</v>
      </c>
      <c r="H17" s="21" t="n">
        <f aca="false">INDEX('Type Chart'!$B$5:$P$19,MATCH(H$4,'Type Chart'!$A$5:$A$19,0),MATCH($C17,'Type Chart'!$B$4:$P$4,0))*IF($D17="",1,INDEX('Type Chart'!$B$5:$P$19,MATCH(H$4,'Type Chart'!$A$5:$A$19,0),MATCH($D17,'Type Chart'!$B$4:$P$4,0)))</f>
        <v>1</v>
      </c>
      <c r="I17" s="21" t="n">
        <f aca="false">INDEX('Type Chart'!$B$5:$P$19,MATCH(I$4,'Type Chart'!$A$5:$A$19,0),MATCH($C17,'Type Chart'!$B$4:$P$4,0))*IF($D17="",1,INDEX('Type Chart'!$B$5:$P$19,MATCH(I$4,'Type Chart'!$A$5:$A$19,0),MATCH($D17,'Type Chart'!$B$4:$P$4,0)))</f>
        <v>0.25</v>
      </c>
      <c r="J17" s="21" t="n">
        <f aca="false">INDEX('Type Chart'!$B$5:$P$19,MATCH(J$4,'Type Chart'!$A$5:$A$19,0),MATCH($C17,'Type Chart'!$B$4:$P$4,0))*IF($D17="",1,INDEX('Type Chart'!$B$5:$P$19,MATCH(J$4,'Type Chart'!$A$5:$A$19,0),MATCH($D17,'Type Chart'!$B$4:$P$4,0)))</f>
        <v>1</v>
      </c>
      <c r="K17" s="21" t="n">
        <f aca="false">INDEX('Type Chart'!$B$5:$P$19,MATCH(K$4,'Type Chart'!$A$5:$A$19,0),MATCH($C17,'Type Chart'!$B$4:$P$4,0))*IF($D17="",1,INDEX('Type Chart'!$B$5:$P$19,MATCH(K$4,'Type Chart'!$A$5:$A$19,0),MATCH($D17,'Type Chart'!$B$4:$P$4,0)))</f>
        <v>0.25</v>
      </c>
      <c r="L17" s="21" t="n">
        <f aca="false">INDEX('Type Chart'!$B$5:$P$19,MATCH(L$4,'Type Chart'!$A$5:$A$19,0),MATCH($C17,'Type Chart'!$B$4:$P$4,0))*IF($D17="",1,INDEX('Type Chart'!$B$5:$P$19,MATCH(L$4,'Type Chart'!$A$5:$A$19,0),MATCH($D17,'Type Chart'!$B$4:$P$4,0)))</f>
        <v>1</v>
      </c>
      <c r="M17" s="21" t="n">
        <f aca="false">INDEX('Type Chart'!$B$5:$P$19,MATCH(M$4,'Type Chart'!$A$5:$A$19,0),MATCH($C17,'Type Chart'!$B$4:$P$4,0))*IF($D17="",1,INDEX('Type Chart'!$B$5:$P$19,MATCH(M$4,'Type Chart'!$A$5:$A$19,0),MATCH($D17,'Type Chart'!$B$4:$P$4,0)))</f>
        <v>1</v>
      </c>
      <c r="N17" s="21" t="n">
        <f aca="false">INDEX('Type Chart'!$B$5:$P$19,MATCH(N$4,'Type Chart'!$A$5:$A$19,0),MATCH($C17,'Type Chart'!$B$4:$P$4,0))*IF($D17="",1,INDEX('Type Chart'!$B$5:$P$19,MATCH(N$4,'Type Chart'!$A$5:$A$19,0),MATCH($D17,'Type Chart'!$B$4:$P$4,0)))</f>
        <v>2</v>
      </c>
      <c r="O17" s="21" t="n">
        <f aca="false">INDEX('Type Chart'!$B$5:$P$19,MATCH(O$4,'Type Chart'!$A$5:$A$19,0),MATCH($C17,'Type Chart'!$B$4:$P$4,0))*IF($D17="",1,INDEX('Type Chart'!$B$5:$P$19,MATCH(O$4,'Type Chart'!$A$5:$A$19,0),MATCH($D17,'Type Chart'!$B$4:$P$4,0)))</f>
        <v>2</v>
      </c>
      <c r="P17" s="21" t="n">
        <f aca="false">INDEX('Type Chart'!$B$5:$P$19,MATCH(P$4,'Type Chart'!$A$5:$A$19,0),MATCH($C17,'Type Chart'!$B$4:$P$4,0))*IF($D17="",1,INDEX('Type Chart'!$B$5:$P$19,MATCH(P$4,'Type Chart'!$A$5:$A$19,0),MATCH($D17,'Type Chart'!$B$4:$P$4,0)))</f>
        <v>2</v>
      </c>
      <c r="Q17" s="21" t="n">
        <f aca="false">INDEX('Type Chart'!$B$5:$P$19,MATCH(Q$4,'Type Chart'!$A$5:$A$19,0),MATCH($C17,'Type Chart'!$B$4:$P$4,0))*IF($D17="",1,INDEX('Type Chart'!$B$5:$P$19,MATCH(Q$4,'Type Chart'!$A$5:$A$19,0),MATCH($D17,'Type Chart'!$B$4:$P$4,0)))</f>
        <v>2</v>
      </c>
      <c r="R17" s="21" t="n">
        <f aca="false">INDEX('Type Chart'!$B$5:$P$19,MATCH(R$4,'Type Chart'!$A$5:$A$19,0),MATCH($C17,'Type Chart'!$B$4:$P$4,0))*IF($D17="",1,INDEX('Type Chart'!$B$5:$P$19,MATCH(R$4,'Type Chart'!$A$5:$A$19,0),MATCH($D17,'Type Chart'!$B$4:$P$4,0)))</f>
        <v>1</v>
      </c>
      <c r="S17" s="21" t="n">
        <f aca="false">INDEX('Type Chart'!$B$5:$P$19,MATCH(S$4,'Type Chart'!$A$5:$A$19,0),MATCH($C17,'Type Chart'!$B$4:$P$4,0))*IF($D17="",1,INDEX('Type Chart'!$B$5:$P$19,MATCH(S$4,'Type Chart'!$A$5:$A$19,0),MATCH($D17,'Type Chart'!$B$4:$P$4,0)))</f>
        <v>1</v>
      </c>
    </row>
    <row r="18" customFormat="false" ht="15" hidden="false" customHeight="false" outlineLevel="0" collapsed="false">
      <c r="A18" s="19" t="n">
        <v>14</v>
      </c>
      <c r="B18" s="19" t="s">
        <v>105</v>
      </c>
      <c r="C18" s="20" t="str">
        <f aca="false">Pokedex!C18</f>
        <v>Bug</v>
      </c>
      <c r="D18" s="20" t="str">
        <f aca="false">Pokedex!D18</f>
        <v>Poison</v>
      </c>
      <c r="E18" s="21" t="n">
        <f aca="false">INDEX('Type Chart'!$B$5:$P$19,MATCH(E$4,'Type Chart'!$A$5:$A$19,0),MATCH($C18,'Type Chart'!$B$4:$P$4,0))*IF($D18="",1,INDEX('Type Chart'!$B$5:$P$19,MATCH(E$4,'Type Chart'!$A$5:$A$19,0),MATCH($D18,'Type Chart'!$B$4:$P$4,0)))</f>
        <v>1</v>
      </c>
      <c r="F18" s="21" t="n">
        <f aca="false">INDEX('Type Chart'!$B$5:$P$19,MATCH(F$4,'Type Chart'!$A$5:$A$19,0),MATCH($C18,'Type Chart'!$B$4:$P$4,0))*IF($D18="",1,INDEX('Type Chart'!$B$5:$P$19,MATCH(F$4,'Type Chart'!$A$5:$A$19,0),MATCH($D18,'Type Chart'!$B$4:$P$4,0)))</f>
        <v>2</v>
      </c>
      <c r="G18" s="21" t="n">
        <f aca="false">INDEX('Type Chart'!$B$5:$P$19,MATCH(G$4,'Type Chart'!$A$5:$A$19,0),MATCH($C18,'Type Chart'!$B$4:$P$4,0))*IF($D18="",1,INDEX('Type Chart'!$B$5:$P$19,MATCH(G$4,'Type Chart'!$A$5:$A$19,0),MATCH($D18,'Type Chart'!$B$4:$P$4,0)))</f>
        <v>1</v>
      </c>
      <c r="H18" s="21" t="n">
        <f aca="false">INDEX('Type Chart'!$B$5:$P$19,MATCH(H$4,'Type Chart'!$A$5:$A$19,0),MATCH($C18,'Type Chart'!$B$4:$P$4,0))*IF($D18="",1,INDEX('Type Chart'!$B$5:$P$19,MATCH(H$4,'Type Chart'!$A$5:$A$19,0),MATCH($D18,'Type Chart'!$B$4:$P$4,0)))</f>
        <v>1</v>
      </c>
      <c r="I18" s="21" t="n">
        <f aca="false">INDEX('Type Chart'!$B$5:$P$19,MATCH(I$4,'Type Chart'!$A$5:$A$19,0),MATCH($C18,'Type Chart'!$B$4:$P$4,0))*IF($D18="",1,INDEX('Type Chart'!$B$5:$P$19,MATCH(I$4,'Type Chart'!$A$5:$A$19,0),MATCH($D18,'Type Chart'!$B$4:$P$4,0)))</f>
        <v>0.25</v>
      </c>
      <c r="J18" s="21" t="n">
        <f aca="false">INDEX('Type Chart'!$B$5:$P$19,MATCH(J$4,'Type Chart'!$A$5:$A$19,0),MATCH($C18,'Type Chart'!$B$4:$P$4,0))*IF($D18="",1,INDEX('Type Chart'!$B$5:$P$19,MATCH(J$4,'Type Chart'!$A$5:$A$19,0),MATCH($D18,'Type Chart'!$B$4:$P$4,0)))</f>
        <v>1</v>
      </c>
      <c r="K18" s="21" t="n">
        <f aca="false">INDEX('Type Chart'!$B$5:$P$19,MATCH(K$4,'Type Chart'!$A$5:$A$19,0),MATCH($C18,'Type Chart'!$B$4:$P$4,0))*IF($D18="",1,INDEX('Type Chart'!$B$5:$P$19,MATCH(K$4,'Type Chart'!$A$5:$A$19,0),MATCH($D18,'Type Chart'!$B$4:$P$4,0)))</f>
        <v>0.25</v>
      </c>
      <c r="L18" s="21" t="n">
        <f aca="false">INDEX('Type Chart'!$B$5:$P$19,MATCH(L$4,'Type Chart'!$A$5:$A$19,0),MATCH($C18,'Type Chart'!$B$4:$P$4,0))*IF($D18="",1,INDEX('Type Chart'!$B$5:$P$19,MATCH(L$4,'Type Chart'!$A$5:$A$19,0),MATCH($D18,'Type Chart'!$B$4:$P$4,0)))</f>
        <v>1</v>
      </c>
      <c r="M18" s="21" t="n">
        <f aca="false">INDEX('Type Chart'!$B$5:$P$19,MATCH(M$4,'Type Chart'!$A$5:$A$19,0),MATCH($C18,'Type Chart'!$B$4:$P$4,0))*IF($D18="",1,INDEX('Type Chart'!$B$5:$P$19,MATCH(M$4,'Type Chart'!$A$5:$A$19,0),MATCH($D18,'Type Chart'!$B$4:$P$4,0)))</f>
        <v>1</v>
      </c>
      <c r="N18" s="21" t="n">
        <f aca="false">INDEX('Type Chart'!$B$5:$P$19,MATCH(N$4,'Type Chart'!$A$5:$A$19,0),MATCH($C18,'Type Chart'!$B$4:$P$4,0))*IF($D18="",1,INDEX('Type Chart'!$B$5:$P$19,MATCH(N$4,'Type Chart'!$A$5:$A$19,0),MATCH($D18,'Type Chart'!$B$4:$P$4,0)))</f>
        <v>2</v>
      </c>
      <c r="O18" s="21" t="n">
        <f aca="false">INDEX('Type Chart'!$B$5:$P$19,MATCH(O$4,'Type Chart'!$A$5:$A$19,0),MATCH($C18,'Type Chart'!$B$4:$P$4,0))*IF($D18="",1,INDEX('Type Chart'!$B$5:$P$19,MATCH(O$4,'Type Chart'!$A$5:$A$19,0),MATCH($D18,'Type Chart'!$B$4:$P$4,0)))</f>
        <v>2</v>
      </c>
      <c r="P18" s="21" t="n">
        <f aca="false">INDEX('Type Chart'!$B$5:$P$19,MATCH(P$4,'Type Chart'!$A$5:$A$19,0),MATCH($C18,'Type Chart'!$B$4:$P$4,0))*IF($D18="",1,INDEX('Type Chart'!$B$5:$P$19,MATCH(P$4,'Type Chart'!$A$5:$A$19,0),MATCH($D18,'Type Chart'!$B$4:$P$4,0)))</f>
        <v>2</v>
      </c>
      <c r="Q18" s="21" t="n">
        <f aca="false">INDEX('Type Chart'!$B$5:$P$19,MATCH(Q$4,'Type Chart'!$A$5:$A$19,0),MATCH($C18,'Type Chart'!$B$4:$P$4,0))*IF($D18="",1,INDEX('Type Chart'!$B$5:$P$19,MATCH(Q$4,'Type Chart'!$A$5:$A$19,0),MATCH($D18,'Type Chart'!$B$4:$P$4,0)))</f>
        <v>2</v>
      </c>
      <c r="R18" s="21" t="n">
        <f aca="false">INDEX('Type Chart'!$B$5:$P$19,MATCH(R$4,'Type Chart'!$A$5:$A$19,0),MATCH($C18,'Type Chart'!$B$4:$P$4,0))*IF($D18="",1,INDEX('Type Chart'!$B$5:$P$19,MATCH(R$4,'Type Chart'!$A$5:$A$19,0),MATCH($D18,'Type Chart'!$B$4:$P$4,0)))</f>
        <v>1</v>
      </c>
      <c r="S18" s="21" t="n">
        <f aca="false">INDEX('Type Chart'!$B$5:$P$19,MATCH(S$4,'Type Chart'!$A$5:$A$19,0),MATCH($C18,'Type Chart'!$B$4:$P$4,0))*IF($D18="",1,INDEX('Type Chart'!$B$5:$P$19,MATCH(S$4,'Type Chart'!$A$5:$A$19,0),MATCH($D18,'Type Chart'!$B$4:$P$4,0)))</f>
        <v>1</v>
      </c>
    </row>
    <row r="19" customFormat="false" ht="15" hidden="false" customHeight="false" outlineLevel="0" collapsed="false">
      <c r="A19" s="19" t="n">
        <v>15</v>
      </c>
      <c r="B19" s="19" t="s">
        <v>106</v>
      </c>
      <c r="C19" s="20" t="str">
        <f aca="false">Pokedex!C19</f>
        <v>Bug</v>
      </c>
      <c r="D19" s="20" t="str">
        <f aca="false">Pokedex!D19</f>
        <v>Poison</v>
      </c>
      <c r="E19" s="21" t="n">
        <f aca="false">INDEX('Type Chart'!$B$5:$P$19,MATCH(E$4,'Type Chart'!$A$5:$A$19,0),MATCH($C19,'Type Chart'!$B$4:$P$4,0))*IF($D19="",1,INDEX('Type Chart'!$B$5:$P$19,MATCH(E$4,'Type Chart'!$A$5:$A$19,0),MATCH($D19,'Type Chart'!$B$4:$P$4,0)))</f>
        <v>1</v>
      </c>
      <c r="F19" s="21" t="n">
        <f aca="false">INDEX('Type Chart'!$B$5:$P$19,MATCH(F$4,'Type Chart'!$A$5:$A$19,0),MATCH($C19,'Type Chart'!$B$4:$P$4,0))*IF($D19="",1,INDEX('Type Chart'!$B$5:$P$19,MATCH(F$4,'Type Chart'!$A$5:$A$19,0),MATCH($D19,'Type Chart'!$B$4:$P$4,0)))</f>
        <v>2</v>
      </c>
      <c r="G19" s="21" t="n">
        <f aca="false">INDEX('Type Chart'!$B$5:$P$19,MATCH(G$4,'Type Chart'!$A$5:$A$19,0),MATCH($C19,'Type Chart'!$B$4:$P$4,0))*IF($D19="",1,INDEX('Type Chart'!$B$5:$P$19,MATCH(G$4,'Type Chart'!$A$5:$A$19,0),MATCH($D19,'Type Chart'!$B$4:$P$4,0)))</f>
        <v>1</v>
      </c>
      <c r="H19" s="21" t="n">
        <f aca="false">INDEX('Type Chart'!$B$5:$P$19,MATCH(H$4,'Type Chart'!$A$5:$A$19,0),MATCH($C19,'Type Chart'!$B$4:$P$4,0))*IF($D19="",1,INDEX('Type Chart'!$B$5:$P$19,MATCH(H$4,'Type Chart'!$A$5:$A$19,0),MATCH($D19,'Type Chart'!$B$4:$P$4,0)))</f>
        <v>1</v>
      </c>
      <c r="I19" s="21" t="n">
        <f aca="false">INDEX('Type Chart'!$B$5:$P$19,MATCH(I$4,'Type Chart'!$A$5:$A$19,0),MATCH($C19,'Type Chart'!$B$4:$P$4,0))*IF($D19="",1,INDEX('Type Chart'!$B$5:$P$19,MATCH(I$4,'Type Chart'!$A$5:$A$19,0),MATCH($D19,'Type Chart'!$B$4:$P$4,0)))</f>
        <v>0.25</v>
      </c>
      <c r="J19" s="21" t="n">
        <f aca="false">INDEX('Type Chart'!$B$5:$P$19,MATCH(J$4,'Type Chart'!$A$5:$A$19,0),MATCH($C19,'Type Chart'!$B$4:$P$4,0))*IF($D19="",1,INDEX('Type Chart'!$B$5:$P$19,MATCH(J$4,'Type Chart'!$A$5:$A$19,0),MATCH($D19,'Type Chart'!$B$4:$P$4,0)))</f>
        <v>1</v>
      </c>
      <c r="K19" s="21" t="n">
        <f aca="false">INDEX('Type Chart'!$B$5:$P$19,MATCH(K$4,'Type Chart'!$A$5:$A$19,0),MATCH($C19,'Type Chart'!$B$4:$P$4,0))*IF($D19="",1,INDEX('Type Chart'!$B$5:$P$19,MATCH(K$4,'Type Chart'!$A$5:$A$19,0),MATCH($D19,'Type Chart'!$B$4:$P$4,0)))</f>
        <v>0.25</v>
      </c>
      <c r="L19" s="21" t="n">
        <f aca="false">INDEX('Type Chart'!$B$5:$P$19,MATCH(L$4,'Type Chart'!$A$5:$A$19,0),MATCH($C19,'Type Chart'!$B$4:$P$4,0))*IF($D19="",1,INDEX('Type Chart'!$B$5:$P$19,MATCH(L$4,'Type Chart'!$A$5:$A$19,0),MATCH($D19,'Type Chart'!$B$4:$P$4,0)))</f>
        <v>1</v>
      </c>
      <c r="M19" s="21" t="n">
        <f aca="false">INDEX('Type Chart'!$B$5:$P$19,MATCH(M$4,'Type Chart'!$A$5:$A$19,0),MATCH($C19,'Type Chart'!$B$4:$P$4,0))*IF($D19="",1,INDEX('Type Chart'!$B$5:$P$19,MATCH(M$4,'Type Chart'!$A$5:$A$19,0),MATCH($D19,'Type Chart'!$B$4:$P$4,0)))</f>
        <v>1</v>
      </c>
      <c r="N19" s="21" t="n">
        <f aca="false">INDEX('Type Chart'!$B$5:$P$19,MATCH(N$4,'Type Chart'!$A$5:$A$19,0),MATCH($C19,'Type Chart'!$B$4:$P$4,0))*IF($D19="",1,INDEX('Type Chart'!$B$5:$P$19,MATCH(N$4,'Type Chart'!$A$5:$A$19,0),MATCH($D19,'Type Chart'!$B$4:$P$4,0)))</f>
        <v>2</v>
      </c>
      <c r="O19" s="21" t="n">
        <f aca="false">INDEX('Type Chart'!$B$5:$P$19,MATCH(O$4,'Type Chart'!$A$5:$A$19,0),MATCH($C19,'Type Chart'!$B$4:$P$4,0))*IF($D19="",1,INDEX('Type Chart'!$B$5:$P$19,MATCH(O$4,'Type Chart'!$A$5:$A$19,0),MATCH($D19,'Type Chart'!$B$4:$P$4,0)))</f>
        <v>2</v>
      </c>
      <c r="P19" s="21" t="n">
        <f aca="false">INDEX('Type Chart'!$B$5:$P$19,MATCH(P$4,'Type Chart'!$A$5:$A$19,0),MATCH($C19,'Type Chart'!$B$4:$P$4,0))*IF($D19="",1,INDEX('Type Chart'!$B$5:$P$19,MATCH(P$4,'Type Chart'!$A$5:$A$19,0),MATCH($D19,'Type Chart'!$B$4:$P$4,0)))</f>
        <v>2</v>
      </c>
      <c r="Q19" s="21" t="n">
        <f aca="false">INDEX('Type Chart'!$B$5:$P$19,MATCH(Q$4,'Type Chart'!$A$5:$A$19,0),MATCH($C19,'Type Chart'!$B$4:$P$4,0))*IF($D19="",1,INDEX('Type Chart'!$B$5:$P$19,MATCH(Q$4,'Type Chart'!$A$5:$A$19,0),MATCH($D19,'Type Chart'!$B$4:$P$4,0)))</f>
        <v>2</v>
      </c>
      <c r="R19" s="21" t="n">
        <f aca="false">INDEX('Type Chart'!$B$5:$P$19,MATCH(R$4,'Type Chart'!$A$5:$A$19,0),MATCH($C19,'Type Chart'!$B$4:$P$4,0))*IF($D19="",1,INDEX('Type Chart'!$B$5:$P$19,MATCH(R$4,'Type Chart'!$A$5:$A$19,0),MATCH($D19,'Type Chart'!$B$4:$P$4,0)))</f>
        <v>1</v>
      </c>
      <c r="S19" s="21" t="n">
        <f aca="false">INDEX('Type Chart'!$B$5:$P$19,MATCH(S$4,'Type Chart'!$A$5:$A$19,0),MATCH($C19,'Type Chart'!$B$4:$P$4,0))*IF($D19="",1,INDEX('Type Chart'!$B$5:$P$19,MATCH(S$4,'Type Chart'!$A$5:$A$19,0),MATCH($D19,'Type Chart'!$B$4:$P$4,0)))</f>
        <v>1</v>
      </c>
    </row>
    <row r="20" customFormat="false" ht="15" hidden="false" customHeight="false" outlineLevel="0" collapsed="false">
      <c r="A20" s="19" t="n">
        <v>16</v>
      </c>
      <c r="B20" s="19" t="s">
        <v>107</v>
      </c>
      <c r="C20" s="20" t="str">
        <f aca="false">Pokedex!C20</f>
        <v>Normal</v>
      </c>
      <c r="D20" s="20" t="str">
        <f aca="false">Pokedex!D20</f>
        <v>Flying</v>
      </c>
      <c r="E20" s="21" t="n">
        <f aca="false">INDEX('Type Chart'!$B$5:$P$19,MATCH(E$4,'Type Chart'!$A$5:$A$19,0),MATCH($C20,'Type Chart'!$B$4:$P$4,0))*IF($D20="",1,INDEX('Type Chart'!$B$5:$P$19,MATCH(E$4,'Type Chart'!$A$5:$A$19,0),MATCH($D20,'Type Chart'!$B$4:$P$4,0)))</f>
        <v>1</v>
      </c>
      <c r="F20" s="21" t="n">
        <f aca="false">INDEX('Type Chart'!$B$5:$P$19,MATCH(F$4,'Type Chart'!$A$5:$A$19,0),MATCH($C20,'Type Chart'!$B$4:$P$4,0))*IF($D20="",1,INDEX('Type Chart'!$B$5:$P$19,MATCH(F$4,'Type Chart'!$A$5:$A$19,0),MATCH($D20,'Type Chart'!$B$4:$P$4,0)))</f>
        <v>1</v>
      </c>
      <c r="G20" s="21" t="n">
        <f aca="false">INDEX('Type Chart'!$B$5:$P$19,MATCH(G$4,'Type Chart'!$A$5:$A$19,0),MATCH($C20,'Type Chart'!$B$4:$P$4,0))*IF($D20="",1,INDEX('Type Chart'!$B$5:$P$19,MATCH(G$4,'Type Chart'!$A$5:$A$19,0),MATCH($D20,'Type Chart'!$B$4:$P$4,0)))</f>
        <v>1</v>
      </c>
      <c r="H20" s="21" t="n">
        <f aca="false">INDEX('Type Chart'!$B$5:$P$19,MATCH(H$4,'Type Chart'!$A$5:$A$19,0),MATCH($C20,'Type Chart'!$B$4:$P$4,0))*IF($D20="",1,INDEX('Type Chart'!$B$5:$P$19,MATCH(H$4,'Type Chart'!$A$5:$A$19,0),MATCH($D20,'Type Chart'!$B$4:$P$4,0)))</f>
        <v>2</v>
      </c>
      <c r="I20" s="21" t="n">
        <f aca="false">INDEX('Type Chart'!$B$5:$P$19,MATCH(I$4,'Type Chart'!$A$5:$A$19,0),MATCH($C20,'Type Chart'!$B$4:$P$4,0))*IF($D20="",1,INDEX('Type Chart'!$B$5:$P$19,MATCH(I$4,'Type Chart'!$A$5:$A$19,0),MATCH($D20,'Type Chart'!$B$4:$P$4,0)))</f>
        <v>0.5</v>
      </c>
      <c r="J20" s="21" t="n">
        <f aca="false">INDEX('Type Chart'!$B$5:$P$19,MATCH(J$4,'Type Chart'!$A$5:$A$19,0),MATCH($C20,'Type Chart'!$B$4:$P$4,0))*IF($D20="",1,INDEX('Type Chart'!$B$5:$P$19,MATCH(J$4,'Type Chart'!$A$5:$A$19,0),MATCH($D20,'Type Chart'!$B$4:$P$4,0)))</f>
        <v>2</v>
      </c>
      <c r="K20" s="21" t="n">
        <f aca="false">INDEX('Type Chart'!$B$5:$P$19,MATCH(K$4,'Type Chart'!$A$5:$A$19,0),MATCH($C20,'Type Chart'!$B$4:$P$4,0))*IF($D20="",1,INDEX('Type Chart'!$B$5:$P$19,MATCH(K$4,'Type Chart'!$A$5:$A$19,0),MATCH($D20,'Type Chart'!$B$4:$P$4,0)))</f>
        <v>1</v>
      </c>
      <c r="L20" s="21" t="n">
        <f aca="false">INDEX('Type Chart'!$B$5:$P$19,MATCH(L$4,'Type Chart'!$A$5:$A$19,0),MATCH($C20,'Type Chart'!$B$4:$P$4,0))*IF($D20="",1,INDEX('Type Chart'!$B$5:$P$19,MATCH(L$4,'Type Chart'!$A$5:$A$19,0),MATCH($D20,'Type Chart'!$B$4:$P$4,0)))</f>
        <v>1</v>
      </c>
      <c r="M20" s="21" t="n">
        <f aca="false">INDEX('Type Chart'!$B$5:$P$19,MATCH(M$4,'Type Chart'!$A$5:$A$19,0),MATCH($C20,'Type Chart'!$B$4:$P$4,0))*IF($D20="",1,INDEX('Type Chart'!$B$5:$P$19,MATCH(M$4,'Type Chart'!$A$5:$A$19,0),MATCH($D20,'Type Chart'!$B$4:$P$4,0)))</f>
        <v>0</v>
      </c>
      <c r="N20" s="21" t="n">
        <f aca="false">INDEX('Type Chart'!$B$5:$P$19,MATCH(N$4,'Type Chart'!$A$5:$A$19,0),MATCH($C20,'Type Chart'!$B$4:$P$4,0))*IF($D20="",1,INDEX('Type Chart'!$B$5:$P$19,MATCH(N$4,'Type Chart'!$A$5:$A$19,0),MATCH($D20,'Type Chart'!$B$4:$P$4,0)))</f>
        <v>1</v>
      </c>
      <c r="O20" s="21" t="n">
        <f aca="false">INDEX('Type Chart'!$B$5:$P$19,MATCH(O$4,'Type Chart'!$A$5:$A$19,0),MATCH($C20,'Type Chart'!$B$4:$P$4,0))*IF($D20="",1,INDEX('Type Chart'!$B$5:$P$19,MATCH(O$4,'Type Chart'!$A$5:$A$19,0),MATCH($D20,'Type Chart'!$B$4:$P$4,0)))</f>
        <v>1</v>
      </c>
      <c r="P20" s="21" t="n">
        <f aca="false">INDEX('Type Chart'!$B$5:$P$19,MATCH(P$4,'Type Chart'!$A$5:$A$19,0),MATCH($C20,'Type Chart'!$B$4:$P$4,0))*IF($D20="",1,INDEX('Type Chart'!$B$5:$P$19,MATCH(P$4,'Type Chart'!$A$5:$A$19,0),MATCH($D20,'Type Chart'!$B$4:$P$4,0)))</f>
        <v>0.5</v>
      </c>
      <c r="Q20" s="21" t="n">
        <f aca="false">INDEX('Type Chart'!$B$5:$P$19,MATCH(Q$4,'Type Chart'!$A$5:$A$19,0),MATCH($C20,'Type Chart'!$B$4:$P$4,0))*IF($D20="",1,INDEX('Type Chart'!$B$5:$P$19,MATCH(Q$4,'Type Chart'!$A$5:$A$19,0),MATCH($D20,'Type Chart'!$B$4:$P$4,0)))</f>
        <v>2</v>
      </c>
      <c r="R20" s="21" t="n">
        <f aca="false">INDEX('Type Chart'!$B$5:$P$19,MATCH(R$4,'Type Chart'!$A$5:$A$19,0),MATCH($C20,'Type Chart'!$B$4:$P$4,0))*IF($D20="",1,INDEX('Type Chart'!$B$5:$P$19,MATCH(R$4,'Type Chart'!$A$5:$A$19,0),MATCH($D20,'Type Chart'!$B$4:$P$4,0)))</f>
        <v>0</v>
      </c>
      <c r="S20" s="21" t="n">
        <f aca="false">INDEX('Type Chart'!$B$5:$P$19,MATCH(S$4,'Type Chart'!$A$5:$A$19,0),MATCH($C20,'Type Chart'!$B$4:$P$4,0))*IF($D20="",1,INDEX('Type Chart'!$B$5:$P$19,MATCH(S$4,'Type Chart'!$A$5:$A$19,0),MATCH($D20,'Type Chart'!$B$4:$P$4,0)))</f>
        <v>1</v>
      </c>
    </row>
    <row r="21" customFormat="false" ht="15" hidden="false" customHeight="false" outlineLevel="0" collapsed="false">
      <c r="A21" s="19" t="n">
        <v>17</v>
      </c>
      <c r="B21" s="19" t="s">
        <v>108</v>
      </c>
      <c r="C21" s="20" t="str">
        <f aca="false">Pokedex!C21</f>
        <v>Normal</v>
      </c>
      <c r="D21" s="20" t="str">
        <f aca="false">Pokedex!D21</f>
        <v>Flying</v>
      </c>
      <c r="E21" s="21" t="n">
        <f aca="false">INDEX('Type Chart'!$B$5:$P$19,MATCH(E$4,'Type Chart'!$A$5:$A$19,0),MATCH($C21,'Type Chart'!$B$4:$P$4,0))*IF($D21="",1,INDEX('Type Chart'!$B$5:$P$19,MATCH(E$4,'Type Chart'!$A$5:$A$19,0),MATCH($D21,'Type Chart'!$B$4:$P$4,0)))</f>
        <v>1</v>
      </c>
      <c r="F21" s="21" t="n">
        <f aca="false">INDEX('Type Chart'!$B$5:$P$19,MATCH(F$4,'Type Chart'!$A$5:$A$19,0),MATCH($C21,'Type Chart'!$B$4:$P$4,0))*IF($D21="",1,INDEX('Type Chart'!$B$5:$P$19,MATCH(F$4,'Type Chart'!$A$5:$A$19,0),MATCH($D21,'Type Chart'!$B$4:$P$4,0)))</f>
        <v>1</v>
      </c>
      <c r="G21" s="21" t="n">
        <f aca="false">INDEX('Type Chart'!$B$5:$P$19,MATCH(G$4,'Type Chart'!$A$5:$A$19,0),MATCH($C21,'Type Chart'!$B$4:$P$4,0))*IF($D21="",1,INDEX('Type Chart'!$B$5:$P$19,MATCH(G$4,'Type Chart'!$A$5:$A$19,0),MATCH($D21,'Type Chart'!$B$4:$P$4,0)))</f>
        <v>1</v>
      </c>
      <c r="H21" s="21" t="n">
        <f aca="false">INDEX('Type Chart'!$B$5:$P$19,MATCH(H$4,'Type Chart'!$A$5:$A$19,0),MATCH($C21,'Type Chart'!$B$4:$P$4,0))*IF($D21="",1,INDEX('Type Chart'!$B$5:$P$19,MATCH(H$4,'Type Chart'!$A$5:$A$19,0),MATCH($D21,'Type Chart'!$B$4:$P$4,0)))</f>
        <v>2</v>
      </c>
      <c r="I21" s="21" t="n">
        <f aca="false">INDEX('Type Chart'!$B$5:$P$19,MATCH(I$4,'Type Chart'!$A$5:$A$19,0),MATCH($C21,'Type Chart'!$B$4:$P$4,0))*IF($D21="",1,INDEX('Type Chart'!$B$5:$P$19,MATCH(I$4,'Type Chart'!$A$5:$A$19,0),MATCH($D21,'Type Chart'!$B$4:$P$4,0)))</f>
        <v>0.5</v>
      </c>
      <c r="J21" s="21" t="n">
        <f aca="false">INDEX('Type Chart'!$B$5:$P$19,MATCH(J$4,'Type Chart'!$A$5:$A$19,0),MATCH($C21,'Type Chart'!$B$4:$P$4,0))*IF($D21="",1,INDEX('Type Chart'!$B$5:$P$19,MATCH(J$4,'Type Chart'!$A$5:$A$19,0),MATCH($D21,'Type Chart'!$B$4:$P$4,0)))</f>
        <v>2</v>
      </c>
      <c r="K21" s="21" t="n">
        <f aca="false">INDEX('Type Chart'!$B$5:$P$19,MATCH(K$4,'Type Chart'!$A$5:$A$19,0),MATCH($C21,'Type Chart'!$B$4:$P$4,0))*IF($D21="",1,INDEX('Type Chart'!$B$5:$P$19,MATCH(K$4,'Type Chart'!$A$5:$A$19,0),MATCH($D21,'Type Chart'!$B$4:$P$4,0)))</f>
        <v>1</v>
      </c>
      <c r="L21" s="21" t="n">
        <f aca="false">INDEX('Type Chart'!$B$5:$P$19,MATCH(L$4,'Type Chart'!$A$5:$A$19,0),MATCH($C21,'Type Chart'!$B$4:$P$4,0))*IF($D21="",1,INDEX('Type Chart'!$B$5:$P$19,MATCH(L$4,'Type Chart'!$A$5:$A$19,0),MATCH($D21,'Type Chart'!$B$4:$P$4,0)))</f>
        <v>1</v>
      </c>
      <c r="M21" s="21" t="n">
        <f aca="false">INDEX('Type Chart'!$B$5:$P$19,MATCH(M$4,'Type Chart'!$A$5:$A$19,0),MATCH($C21,'Type Chart'!$B$4:$P$4,0))*IF($D21="",1,INDEX('Type Chart'!$B$5:$P$19,MATCH(M$4,'Type Chart'!$A$5:$A$19,0),MATCH($D21,'Type Chart'!$B$4:$P$4,0)))</f>
        <v>0</v>
      </c>
      <c r="N21" s="21" t="n">
        <f aca="false">INDEX('Type Chart'!$B$5:$P$19,MATCH(N$4,'Type Chart'!$A$5:$A$19,0),MATCH($C21,'Type Chart'!$B$4:$P$4,0))*IF($D21="",1,INDEX('Type Chart'!$B$5:$P$19,MATCH(N$4,'Type Chart'!$A$5:$A$19,0),MATCH($D21,'Type Chart'!$B$4:$P$4,0)))</f>
        <v>1</v>
      </c>
      <c r="O21" s="21" t="n">
        <f aca="false">INDEX('Type Chart'!$B$5:$P$19,MATCH(O$4,'Type Chart'!$A$5:$A$19,0),MATCH($C21,'Type Chart'!$B$4:$P$4,0))*IF($D21="",1,INDEX('Type Chart'!$B$5:$P$19,MATCH(O$4,'Type Chart'!$A$5:$A$19,0),MATCH($D21,'Type Chart'!$B$4:$P$4,0)))</f>
        <v>1</v>
      </c>
      <c r="P21" s="21" t="n">
        <f aca="false">INDEX('Type Chart'!$B$5:$P$19,MATCH(P$4,'Type Chart'!$A$5:$A$19,0),MATCH($C21,'Type Chart'!$B$4:$P$4,0))*IF($D21="",1,INDEX('Type Chart'!$B$5:$P$19,MATCH(P$4,'Type Chart'!$A$5:$A$19,0),MATCH($D21,'Type Chart'!$B$4:$P$4,0)))</f>
        <v>0.5</v>
      </c>
      <c r="Q21" s="21" t="n">
        <f aca="false">INDEX('Type Chart'!$B$5:$P$19,MATCH(Q$4,'Type Chart'!$A$5:$A$19,0),MATCH($C21,'Type Chart'!$B$4:$P$4,0))*IF($D21="",1,INDEX('Type Chart'!$B$5:$P$19,MATCH(Q$4,'Type Chart'!$A$5:$A$19,0),MATCH($D21,'Type Chart'!$B$4:$P$4,0)))</f>
        <v>2</v>
      </c>
      <c r="R21" s="21" t="n">
        <f aca="false">INDEX('Type Chart'!$B$5:$P$19,MATCH(R$4,'Type Chart'!$A$5:$A$19,0),MATCH($C21,'Type Chart'!$B$4:$P$4,0))*IF($D21="",1,INDEX('Type Chart'!$B$5:$P$19,MATCH(R$4,'Type Chart'!$A$5:$A$19,0),MATCH($D21,'Type Chart'!$B$4:$P$4,0)))</f>
        <v>0</v>
      </c>
      <c r="S21" s="21" t="n">
        <f aca="false">INDEX('Type Chart'!$B$5:$P$19,MATCH(S$4,'Type Chart'!$A$5:$A$19,0),MATCH($C21,'Type Chart'!$B$4:$P$4,0))*IF($D21="",1,INDEX('Type Chart'!$B$5:$P$19,MATCH(S$4,'Type Chart'!$A$5:$A$19,0),MATCH($D21,'Type Chart'!$B$4:$P$4,0)))</f>
        <v>1</v>
      </c>
    </row>
    <row r="22" customFormat="false" ht="15" hidden="false" customHeight="false" outlineLevel="0" collapsed="false">
      <c r="A22" s="19" t="n">
        <v>18</v>
      </c>
      <c r="B22" s="19" t="s">
        <v>109</v>
      </c>
      <c r="C22" s="20" t="str">
        <f aca="false">Pokedex!C22</f>
        <v>Normal</v>
      </c>
      <c r="D22" s="20" t="str">
        <f aca="false">Pokedex!D22</f>
        <v>Flying</v>
      </c>
      <c r="E22" s="21" t="n">
        <f aca="false">INDEX('Type Chart'!$B$5:$P$19,MATCH(E$4,'Type Chart'!$A$5:$A$19,0),MATCH($C22,'Type Chart'!$B$4:$P$4,0))*IF($D22="",1,INDEX('Type Chart'!$B$5:$P$19,MATCH(E$4,'Type Chart'!$A$5:$A$19,0),MATCH($D22,'Type Chart'!$B$4:$P$4,0)))</f>
        <v>1</v>
      </c>
      <c r="F22" s="21" t="n">
        <f aca="false">INDEX('Type Chart'!$B$5:$P$19,MATCH(F$4,'Type Chart'!$A$5:$A$19,0),MATCH($C22,'Type Chart'!$B$4:$P$4,0))*IF($D22="",1,INDEX('Type Chart'!$B$5:$P$19,MATCH(F$4,'Type Chart'!$A$5:$A$19,0),MATCH($D22,'Type Chart'!$B$4:$P$4,0)))</f>
        <v>1</v>
      </c>
      <c r="G22" s="21" t="n">
        <f aca="false">INDEX('Type Chart'!$B$5:$P$19,MATCH(G$4,'Type Chart'!$A$5:$A$19,0),MATCH($C22,'Type Chart'!$B$4:$P$4,0))*IF($D22="",1,INDEX('Type Chart'!$B$5:$P$19,MATCH(G$4,'Type Chart'!$A$5:$A$19,0),MATCH($D22,'Type Chart'!$B$4:$P$4,0)))</f>
        <v>1</v>
      </c>
      <c r="H22" s="21" t="n">
        <f aca="false">INDEX('Type Chart'!$B$5:$P$19,MATCH(H$4,'Type Chart'!$A$5:$A$19,0),MATCH($C22,'Type Chart'!$B$4:$P$4,0))*IF($D22="",1,INDEX('Type Chart'!$B$5:$P$19,MATCH(H$4,'Type Chart'!$A$5:$A$19,0),MATCH($D22,'Type Chart'!$B$4:$P$4,0)))</f>
        <v>2</v>
      </c>
      <c r="I22" s="21" t="n">
        <f aca="false">INDEX('Type Chart'!$B$5:$P$19,MATCH(I$4,'Type Chart'!$A$5:$A$19,0),MATCH($C22,'Type Chart'!$B$4:$P$4,0))*IF($D22="",1,INDEX('Type Chart'!$B$5:$P$19,MATCH(I$4,'Type Chart'!$A$5:$A$19,0),MATCH($D22,'Type Chart'!$B$4:$P$4,0)))</f>
        <v>0.5</v>
      </c>
      <c r="J22" s="21" t="n">
        <f aca="false">INDEX('Type Chart'!$B$5:$P$19,MATCH(J$4,'Type Chart'!$A$5:$A$19,0),MATCH($C22,'Type Chart'!$B$4:$P$4,0))*IF($D22="",1,INDEX('Type Chart'!$B$5:$P$19,MATCH(J$4,'Type Chart'!$A$5:$A$19,0),MATCH($D22,'Type Chart'!$B$4:$P$4,0)))</f>
        <v>2</v>
      </c>
      <c r="K22" s="21" t="n">
        <f aca="false">INDEX('Type Chart'!$B$5:$P$19,MATCH(K$4,'Type Chart'!$A$5:$A$19,0),MATCH($C22,'Type Chart'!$B$4:$P$4,0))*IF($D22="",1,INDEX('Type Chart'!$B$5:$P$19,MATCH(K$4,'Type Chart'!$A$5:$A$19,0),MATCH($D22,'Type Chart'!$B$4:$P$4,0)))</f>
        <v>1</v>
      </c>
      <c r="L22" s="21" t="n">
        <f aca="false">INDEX('Type Chart'!$B$5:$P$19,MATCH(L$4,'Type Chart'!$A$5:$A$19,0),MATCH($C22,'Type Chart'!$B$4:$P$4,0))*IF($D22="",1,INDEX('Type Chart'!$B$5:$P$19,MATCH(L$4,'Type Chart'!$A$5:$A$19,0),MATCH($D22,'Type Chart'!$B$4:$P$4,0)))</f>
        <v>1</v>
      </c>
      <c r="M22" s="21" t="n">
        <f aca="false">INDEX('Type Chart'!$B$5:$P$19,MATCH(M$4,'Type Chart'!$A$5:$A$19,0),MATCH($C22,'Type Chart'!$B$4:$P$4,0))*IF($D22="",1,INDEX('Type Chart'!$B$5:$P$19,MATCH(M$4,'Type Chart'!$A$5:$A$19,0),MATCH($D22,'Type Chart'!$B$4:$P$4,0)))</f>
        <v>0</v>
      </c>
      <c r="N22" s="21" t="n">
        <f aca="false">INDEX('Type Chart'!$B$5:$P$19,MATCH(N$4,'Type Chart'!$A$5:$A$19,0),MATCH($C22,'Type Chart'!$B$4:$P$4,0))*IF($D22="",1,INDEX('Type Chart'!$B$5:$P$19,MATCH(N$4,'Type Chart'!$A$5:$A$19,0),MATCH($D22,'Type Chart'!$B$4:$P$4,0)))</f>
        <v>1</v>
      </c>
      <c r="O22" s="21" t="n">
        <f aca="false">INDEX('Type Chart'!$B$5:$P$19,MATCH(O$4,'Type Chart'!$A$5:$A$19,0),MATCH($C22,'Type Chart'!$B$4:$P$4,0))*IF($D22="",1,INDEX('Type Chart'!$B$5:$P$19,MATCH(O$4,'Type Chart'!$A$5:$A$19,0),MATCH($D22,'Type Chart'!$B$4:$P$4,0)))</f>
        <v>1</v>
      </c>
      <c r="P22" s="21" t="n">
        <f aca="false">INDEX('Type Chart'!$B$5:$P$19,MATCH(P$4,'Type Chart'!$A$5:$A$19,0),MATCH($C22,'Type Chart'!$B$4:$P$4,0))*IF($D22="",1,INDEX('Type Chart'!$B$5:$P$19,MATCH(P$4,'Type Chart'!$A$5:$A$19,0),MATCH($D22,'Type Chart'!$B$4:$P$4,0)))</f>
        <v>0.5</v>
      </c>
      <c r="Q22" s="21" t="n">
        <f aca="false">INDEX('Type Chart'!$B$5:$P$19,MATCH(Q$4,'Type Chart'!$A$5:$A$19,0),MATCH($C22,'Type Chart'!$B$4:$P$4,0))*IF($D22="",1,INDEX('Type Chart'!$B$5:$P$19,MATCH(Q$4,'Type Chart'!$A$5:$A$19,0),MATCH($D22,'Type Chart'!$B$4:$P$4,0)))</f>
        <v>2</v>
      </c>
      <c r="R22" s="21" t="n">
        <f aca="false">INDEX('Type Chart'!$B$5:$P$19,MATCH(R$4,'Type Chart'!$A$5:$A$19,0),MATCH($C22,'Type Chart'!$B$4:$P$4,0))*IF($D22="",1,INDEX('Type Chart'!$B$5:$P$19,MATCH(R$4,'Type Chart'!$A$5:$A$19,0),MATCH($D22,'Type Chart'!$B$4:$P$4,0)))</f>
        <v>0</v>
      </c>
      <c r="S22" s="21" t="n">
        <f aca="false">INDEX('Type Chart'!$B$5:$P$19,MATCH(S$4,'Type Chart'!$A$5:$A$19,0),MATCH($C22,'Type Chart'!$B$4:$P$4,0))*IF($D22="",1,INDEX('Type Chart'!$B$5:$P$19,MATCH(S$4,'Type Chart'!$A$5:$A$19,0),MATCH($D22,'Type Chart'!$B$4:$P$4,0)))</f>
        <v>1</v>
      </c>
    </row>
    <row r="23" customFormat="false" ht="15" hidden="false" customHeight="false" outlineLevel="0" collapsed="false">
      <c r="A23" s="19" t="n">
        <v>19</v>
      </c>
      <c r="B23" s="19" t="s">
        <v>110</v>
      </c>
      <c r="C23" s="20" t="str">
        <f aca="false">Pokedex!C23</f>
        <v>Normal</v>
      </c>
      <c r="D23" s="20" t="n">
        <f aca="false">Pokedex!D23</f>
        <v>0</v>
      </c>
      <c r="E23" s="21" t="n">
        <f aca="false">INDEX('Type Chart'!$B$5:$P$19,MATCH(E$4,'Type Chart'!$A$5:$A$19,0),MATCH($C23,'Type Chart'!$B$4:$P$4,0))*IF($D23="",1,INDEX('Type Chart'!$B$5:$P$19,MATCH(E$4,'Type Chart'!$A$5:$A$19,0),MATCH($D23,'Type Chart'!$B$4:$P$4,0)))</f>
        <v>1</v>
      </c>
      <c r="F23" s="21" t="n">
        <f aca="false">INDEX('Type Chart'!$B$5:$P$19,MATCH(F$4,'Type Chart'!$A$5:$A$19,0),MATCH($C23,'Type Chart'!$B$4:$P$4,0))*IF($D23="",1,INDEX('Type Chart'!$B$5:$P$19,MATCH(F$4,'Type Chart'!$A$5:$A$19,0),MATCH($D23,'Type Chart'!$B$4:$P$4,0)))</f>
        <v>1</v>
      </c>
      <c r="G23" s="21" t="n">
        <f aca="false">INDEX('Type Chart'!$B$5:$P$19,MATCH(G$4,'Type Chart'!$A$5:$A$19,0),MATCH($C23,'Type Chart'!$B$4:$P$4,0))*IF($D23="",1,INDEX('Type Chart'!$B$5:$P$19,MATCH(G$4,'Type Chart'!$A$5:$A$19,0),MATCH($D23,'Type Chart'!$B$4:$P$4,0)))</f>
        <v>1</v>
      </c>
      <c r="H23" s="21" t="n">
        <f aca="false">INDEX('Type Chart'!$B$5:$P$19,MATCH(H$4,'Type Chart'!$A$5:$A$19,0),MATCH($C23,'Type Chart'!$B$4:$P$4,0))*IF($D23="",1,INDEX('Type Chart'!$B$5:$P$19,MATCH(H$4,'Type Chart'!$A$5:$A$19,0),MATCH($D23,'Type Chart'!$B$4:$P$4,0)))</f>
        <v>1</v>
      </c>
      <c r="I23" s="21" t="n">
        <f aca="false">INDEX('Type Chart'!$B$5:$P$19,MATCH(I$4,'Type Chart'!$A$5:$A$19,0),MATCH($C23,'Type Chart'!$B$4:$P$4,0))*IF($D23="",1,INDEX('Type Chart'!$B$5:$P$19,MATCH(I$4,'Type Chart'!$A$5:$A$19,0),MATCH($D23,'Type Chart'!$B$4:$P$4,0)))</f>
        <v>1</v>
      </c>
      <c r="J23" s="21" t="n">
        <f aca="false">INDEX('Type Chart'!$B$5:$P$19,MATCH(J$4,'Type Chart'!$A$5:$A$19,0),MATCH($C23,'Type Chart'!$B$4:$P$4,0))*IF($D23="",1,INDEX('Type Chart'!$B$5:$P$19,MATCH(J$4,'Type Chart'!$A$5:$A$19,0),MATCH($D23,'Type Chart'!$B$4:$P$4,0)))</f>
        <v>1</v>
      </c>
      <c r="K23" s="21" t="n">
        <f aca="false">INDEX('Type Chart'!$B$5:$P$19,MATCH(K$4,'Type Chart'!$A$5:$A$19,0),MATCH($C23,'Type Chart'!$B$4:$P$4,0))*IF($D23="",1,INDEX('Type Chart'!$B$5:$P$19,MATCH(K$4,'Type Chart'!$A$5:$A$19,0),MATCH($D23,'Type Chart'!$B$4:$P$4,0)))</f>
        <v>2</v>
      </c>
      <c r="L23" s="21" t="n">
        <f aca="false">INDEX('Type Chart'!$B$5:$P$19,MATCH(L$4,'Type Chart'!$A$5:$A$19,0),MATCH($C23,'Type Chart'!$B$4:$P$4,0))*IF($D23="",1,INDEX('Type Chart'!$B$5:$P$19,MATCH(L$4,'Type Chart'!$A$5:$A$19,0),MATCH($D23,'Type Chart'!$B$4:$P$4,0)))</f>
        <v>1</v>
      </c>
      <c r="M23" s="21" t="n">
        <f aca="false">INDEX('Type Chart'!$B$5:$P$19,MATCH(M$4,'Type Chart'!$A$5:$A$19,0),MATCH($C23,'Type Chart'!$B$4:$P$4,0))*IF($D23="",1,INDEX('Type Chart'!$B$5:$P$19,MATCH(M$4,'Type Chart'!$A$5:$A$19,0),MATCH($D23,'Type Chart'!$B$4:$P$4,0)))</f>
        <v>1</v>
      </c>
      <c r="N23" s="21" t="n">
        <f aca="false">INDEX('Type Chart'!$B$5:$P$19,MATCH(N$4,'Type Chart'!$A$5:$A$19,0),MATCH($C23,'Type Chart'!$B$4:$P$4,0))*IF($D23="",1,INDEX('Type Chart'!$B$5:$P$19,MATCH(N$4,'Type Chart'!$A$5:$A$19,0),MATCH($D23,'Type Chart'!$B$4:$P$4,0)))</f>
        <v>1</v>
      </c>
      <c r="O23" s="21" t="n">
        <f aca="false">INDEX('Type Chart'!$B$5:$P$19,MATCH(O$4,'Type Chart'!$A$5:$A$19,0),MATCH($C23,'Type Chart'!$B$4:$P$4,0))*IF($D23="",1,INDEX('Type Chart'!$B$5:$P$19,MATCH(O$4,'Type Chart'!$A$5:$A$19,0),MATCH($D23,'Type Chart'!$B$4:$P$4,0)))</f>
        <v>1</v>
      </c>
      <c r="P23" s="21" t="n">
        <f aca="false">INDEX('Type Chart'!$B$5:$P$19,MATCH(P$4,'Type Chart'!$A$5:$A$19,0),MATCH($C23,'Type Chart'!$B$4:$P$4,0))*IF($D23="",1,INDEX('Type Chart'!$B$5:$P$19,MATCH(P$4,'Type Chart'!$A$5:$A$19,0),MATCH($D23,'Type Chart'!$B$4:$P$4,0)))</f>
        <v>1</v>
      </c>
      <c r="Q23" s="21" t="n">
        <f aca="false">INDEX('Type Chart'!$B$5:$P$19,MATCH(Q$4,'Type Chart'!$A$5:$A$19,0),MATCH($C23,'Type Chart'!$B$4:$P$4,0))*IF($D23="",1,INDEX('Type Chart'!$B$5:$P$19,MATCH(Q$4,'Type Chart'!$A$5:$A$19,0),MATCH($D23,'Type Chart'!$B$4:$P$4,0)))</f>
        <v>1</v>
      </c>
      <c r="R23" s="21" t="n">
        <f aca="false">INDEX('Type Chart'!$B$5:$P$19,MATCH(R$4,'Type Chart'!$A$5:$A$19,0),MATCH($C23,'Type Chart'!$B$4:$P$4,0))*IF($D23="",1,INDEX('Type Chart'!$B$5:$P$19,MATCH(R$4,'Type Chart'!$A$5:$A$19,0),MATCH($D23,'Type Chart'!$B$4:$P$4,0)))</f>
        <v>0</v>
      </c>
      <c r="S23" s="21" t="n">
        <f aca="false">INDEX('Type Chart'!$B$5:$P$19,MATCH(S$4,'Type Chart'!$A$5:$A$19,0),MATCH($C23,'Type Chart'!$B$4:$P$4,0))*IF($D23="",1,INDEX('Type Chart'!$B$5:$P$19,MATCH(S$4,'Type Chart'!$A$5:$A$19,0),MATCH($D23,'Type Chart'!$B$4:$P$4,0)))</f>
        <v>1</v>
      </c>
    </row>
    <row r="24" customFormat="false" ht="15" hidden="false" customHeight="false" outlineLevel="0" collapsed="false">
      <c r="A24" s="19" t="n">
        <v>20</v>
      </c>
      <c r="B24" s="19" t="s">
        <v>111</v>
      </c>
      <c r="C24" s="20" t="str">
        <f aca="false">Pokedex!C24</f>
        <v>Normal</v>
      </c>
      <c r="D24" s="20" t="n">
        <f aca="false">Pokedex!D24</f>
        <v>0</v>
      </c>
      <c r="E24" s="21" t="n">
        <f aca="false">INDEX('Type Chart'!$B$5:$P$19,MATCH(E$4,'Type Chart'!$A$5:$A$19,0),MATCH($C24,'Type Chart'!$B$4:$P$4,0))*IF($D24="",1,INDEX('Type Chart'!$B$5:$P$19,MATCH(E$4,'Type Chart'!$A$5:$A$19,0),MATCH($D24,'Type Chart'!$B$4:$P$4,0)))</f>
        <v>1</v>
      </c>
      <c r="F24" s="21" t="n">
        <f aca="false">INDEX('Type Chart'!$B$5:$P$19,MATCH(F$4,'Type Chart'!$A$5:$A$19,0),MATCH($C24,'Type Chart'!$B$4:$P$4,0))*IF($D24="",1,INDEX('Type Chart'!$B$5:$P$19,MATCH(F$4,'Type Chart'!$A$5:$A$19,0),MATCH($D24,'Type Chart'!$B$4:$P$4,0)))</f>
        <v>1</v>
      </c>
      <c r="G24" s="21" t="n">
        <f aca="false">INDEX('Type Chart'!$B$5:$P$19,MATCH(G$4,'Type Chart'!$A$5:$A$19,0),MATCH($C24,'Type Chart'!$B$4:$P$4,0))*IF($D24="",1,INDEX('Type Chart'!$B$5:$P$19,MATCH(G$4,'Type Chart'!$A$5:$A$19,0),MATCH($D24,'Type Chart'!$B$4:$P$4,0)))</f>
        <v>1</v>
      </c>
      <c r="H24" s="21" t="n">
        <f aca="false">INDEX('Type Chart'!$B$5:$P$19,MATCH(H$4,'Type Chart'!$A$5:$A$19,0),MATCH($C24,'Type Chart'!$B$4:$P$4,0))*IF($D24="",1,INDEX('Type Chart'!$B$5:$P$19,MATCH(H$4,'Type Chart'!$A$5:$A$19,0),MATCH($D24,'Type Chart'!$B$4:$P$4,0)))</f>
        <v>1</v>
      </c>
      <c r="I24" s="21" t="n">
        <f aca="false">INDEX('Type Chart'!$B$5:$P$19,MATCH(I$4,'Type Chart'!$A$5:$A$19,0),MATCH($C24,'Type Chart'!$B$4:$P$4,0))*IF($D24="",1,INDEX('Type Chart'!$B$5:$P$19,MATCH(I$4,'Type Chart'!$A$5:$A$19,0),MATCH($D24,'Type Chart'!$B$4:$P$4,0)))</f>
        <v>1</v>
      </c>
      <c r="J24" s="21" t="n">
        <f aca="false">INDEX('Type Chart'!$B$5:$P$19,MATCH(J$4,'Type Chart'!$A$5:$A$19,0),MATCH($C24,'Type Chart'!$B$4:$P$4,0))*IF($D24="",1,INDEX('Type Chart'!$B$5:$P$19,MATCH(J$4,'Type Chart'!$A$5:$A$19,0),MATCH($D24,'Type Chart'!$B$4:$P$4,0)))</f>
        <v>1</v>
      </c>
      <c r="K24" s="21" t="n">
        <f aca="false">INDEX('Type Chart'!$B$5:$P$19,MATCH(K$4,'Type Chart'!$A$5:$A$19,0),MATCH($C24,'Type Chart'!$B$4:$P$4,0))*IF($D24="",1,INDEX('Type Chart'!$B$5:$P$19,MATCH(K$4,'Type Chart'!$A$5:$A$19,0),MATCH($D24,'Type Chart'!$B$4:$P$4,0)))</f>
        <v>2</v>
      </c>
      <c r="L24" s="21" t="n">
        <f aca="false">INDEX('Type Chart'!$B$5:$P$19,MATCH(L$4,'Type Chart'!$A$5:$A$19,0),MATCH($C24,'Type Chart'!$B$4:$P$4,0))*IF($D24="",1,INDEX('Type Chart'!$B$5:$P$19,MATCH(L$4,'Type Chart'!$A$5:$A$19,0),MATCH($D24,'Type Chart'!$B$4:$P$4,0)))</f>
        <v>1</v>
      </c>
      <c r="M24" s="21" t="n">
        <f aca="false">INDEX('Type Chart'!$B$5:$P$19,MATCH(M$4,'Type Chart'!$A$5:$A$19,0),MATCH($C24,'Type Chart'!$B$4:$P$4,0))*IF($D24="",1,INDEX('Type Chart'!$B$5:$P$19,MATCH(M$4,'Type Chart'!$A$5:$A$19,0),MATCH($D24,'Type Chart'!$B$4:$P$4,0)))</f>
        <v>1</v>
      </c>
      <c r="N24" s="21" t="n">
        <f aca="false">INDEX('Type Chart'!$B$5:$P$19,MATCH(N$4,'Type Chart'!$A$5:$A$19,0),MATCH($C24,'Type Chart'!$B$4:$P$4,0))*IF($D24="",1,INDEX('Type Chart'!$B$5:$P$19,MATCH(N$4,'Type Chart'!$A$5:$A$19,0),MATCH($D24,'Type Chart'!$B$4:$P$4,0)))</f>
        <v>1</v>
      </c>
      <c r="O24" s="21" t="n">
        <f aca="false">INDEX('Type Chart'!$B$5:$P$19,MATCH(O$4,'Type Chart'!$A$5:$A$19,0),MATCH($C24,'Type Chart'!$B$4:$P$4,0))*IF($D24="",1,INDEX('Type Chart'!$B$5:$P$19,MATCH(O$4,'Type Chart'!$A$5:$A$19,0),MATCH($D24,'Type Chart'!$B$4:$P$4,0)))</f>
        <v>1</v>
      </c>
      <c r="P24" s="21" t="n">
        <f aca="false">INDEX('Type Chart'!$B$5:$P$19,MATCH(P$4,'Type Chart'!$A$5:$A$19,0),MATCH($C24,'Type Chart'!$B$4:$P$4,0))*IF($D24="",1,INDEX('Type Chart'!$B$5:$P$19,MATCH(P$4,'Type Chart'!$A$5:$A$19,0),MATCH($D24,'Type Chart'!$B$4:$P$4,0)))</f>
        <v>1</v>
      </c>
      <c r="Q24" s="21" t="n">
        <f aca="false">INDEX('Type Chart'!$B$5:$P$19,MATCH(Q$4,'Type Chart'!$A$5:$A$19,0),MATCH($C24,'Type Chart'!$B$4:$P$4,0))*IF($D24="",1,INDEX('Type Chart'!$B$5:$P$19,MATCH(Q$4,'Type Chart'!$A$5:$A$19,0),MATCH($D24,'Type Chart'!$B$4:$P$4,0)))</f>
        <v>1</v>
      </c>
      <c r="R24" s="21" t="n">
        <f aca="false">INDEX('Type Chart'!$B$5:$P$19,MATCH(R$4,'Type Chart'!$A$5:$A$19,0),MATCH($C24,'Type Chart'!$B$4:$P$4,0))*IF($D24="",1,INDEX('Type Chart'!$B$5:$P$19,MATCH(R$4,'Type Chart'!$A$5:$A$19,0),MATCH($D24,'Type Chart'!$B$4:$P$4,0)))</f>
        <v>0</v>
      </c>
      <c r="S24" s="21" t="n">
        <f aca="false">INDEX('Type Chart'!$B$5:$P$19,MATCH(S$4,'Type Chart'!$A$5:$A$19,0),MATCH($C24,'Type Chart'!$B$4:$P$4,0))*IF($D24="",1,INDEX('Type Chart'!$B$5:$P$19,MATCH(S$4,'Type Chart'!$A$5:$A$19,0),MATCH($D24,'Type Chart'!$B$4:$P$4,0)))</f>
        <v>1</v>
      </c>
    </row>
    <row r="25" customFormat="false" ht="15" hidden="false" customHeight="false" outlineLevel="0" collapsed="false">
      <c r="A25" s="19" t="n">
        <v>21</v>
      </c>
      <c r="B25" s="19" t="s">
        <v>112</v>
      </c>
      <c r="C25" s="20" t="str">
        <f aca="false">Pokedex!C25</f>
        <v>Normal</v>
      </c>
      <c r="D25" s="20" t="str">
        <f aca="false">Pokedex!D25</f>
        <v>Flying</v>
      </c>
      <c r="E25" s="21" t="n">
        <f aca="false">INDEX('Type Chart'!$B$5:$P$19,MATCH(E$4,'Type Chart'!$A$5:$A$19,0),MATCH($C25,'Type Chart'!$B$4:$P$4,0))*IF($D25="",1,INDEX('Type Chart'!$B$5:$P$19,MATCH(E$4,'Type Chart'!$A$5:$A$19,0),MATCH($D25,'Type Chart'!$B$4:$P$4,0)))</f>
        <v>1</v>
      </c>
      <c r="F25" s="21" t="n">
        <f aca="false">INDEX('Type Chart'!$B$5:$P$19,MATCH(F$4,'Type Chart'!$A$5:$A$19,0),MATCH($C25,'Type Chart'!$B$4:$P$4,0))*IF($D25="",1,INDEX('Type Chart'!$B$5:$P$19,MATCH(F$4,'Type Chart'!$A$5:$A$19,0),MATCH($D25,'Type Chart'!$B$4:$P$4,0)))</f>
        <v>1</v>
      </c>
      <c r="G25" s="21" t="n">
        <f aca="false">INDEX('Type Chart'!$B$5:$P$19,MATCH(G$4,'Type Chart'!$A$5:$A$19,0),MATCH($C25,'Type Chart'!$B$4:$P$4,0))*IF($D25="",1,INDEX('Type Chart'!$B$5:$P$19,MATCH(G$4,'Type Chart'!$A$5:$A$19,0),MATCH($D25,'Type Chart'!$B$4:$P$4,0)))</f>
        <v>1</v>
      </c>
      <c r="H25" s="21" t="n">
        <f aca="false">INDEX('Type Chart'!$B$5:$P$19,MATCH(H$4,'Type Chart'!$A$5:$A$19,0),MATCH($C25,'Type Chart'!$B$4:$P$4,0))*IF($D25="",1,INDEX('Type Chart'!$B$5:$P$19,MATCH(H$4,'Type Chart'!$A$5:$A$19,0),MATCH($D25,'Type Chart'!$B$4:$P$4,0)))</f>
        <v>2</v>
      </c>
      <c r="I25" s="21" t="n">
        <f aca="false">INDEX('Type Chart'!$B$5:$P$19,MATCH(I$4,'Type Chart'!$A$5:$A$19,0),MATCH($C25,'Type Chart'!$B$4:$P$4,0))*IF($D25="",1,INDEX('Type Chart'!$B$5:$P$19,MATCH(I$4,'Type Chart'!$A$5:$A$19,0),MATCH($D25,'Type Chart'!$B$4:$P$4,0)))</f>
        <v>0.5</v>
      </c>
      <c r="J25" s="21" t="n">
        <f aca="false">INDEX('Type Chart'!$B$5:$P$19,MATCH(J$4,'Type Chart'!$A$5:$A$19,0),MATCH($C25,'Type Chart'!$B$4:$P$4,0))*IF($D25="",1,INDEX('Type Chart'!$B$5:$P$19,MATCH(J$4,'Type Chart'!$A$5:$A$19,0),MATCH($D25,'Type Chart'!$B$4:$P$4,0)))</f>
        <v>2</v>
      </c>
      <c r="K25" s="21" t="n">
        <f aca="false">INDEX('Type Chart'!$B$5:$P$19,MATCH(K$4,'Type Chart'!$A$5:$A$19,0),MATCH($C25,'Type Chart'!$B$4:$P$4,0))*IF($D25="",1,INDEX('Type Chart'!$B$5:$P$19,MATCH(K$4,'Type Chart'!$A$5:$A$19,0),MATCH($D25,'Type Chart'!$B$4:$P$4,0)))</f>
        <v>1</v>
      </c>
      <c r="L25" s="21" t="n">
        <f aca="false">INDEX('Type Chart'!$B$5:$P$19,MATCH(L$4,'Type Chart'!$A$5:$A$19,0),MATCH($C25,'Type Chart'!$B$4:$P$4,0))*IF($D25="",1,INDEX('Type Chart'!$B$5:$P$19,MATCH(L$4,'Type Chart'!$A$5:$A$19,0),MATCH($D25,'Type Chart'!$B$4:$P$4,0)))</f>
        <v>1</v>
      </c>
      <c r="M25" s="21" t="n">
        <f aca="false">INDEX('Type Chart'!$B$5:$P$19,MATCH(M$4,'Type Chart'!$A$5:$A$19,0),MATCH($C25,'Type Chart'!$B$4:$P$4,0))*IF($D25="",1,INDEX('Type Chart'!$B$5:$P$19,MATCH(M$4,'Type Chart'!$A$5:$A$19,0),MATCH($D25,'Type Chart'!$B$4:$P$4,0)))</f>
        <v>0</v>
      </c>
      <c r="N25" s="21" t="n">
        <f aca="false">INDEX('Type Chart'!$B$5:$P$19,MATCH(N$4,'Type Chart'!$A$5:$A$19,0),MATCH($C25,'Type Chart'!$B$4:$P$4,0))*IF($D25="",1,INDEX('Type Chart'!$B$5:$P$19,MATCH(N$4,'Type Chart'!$A$5:$A$19,0),MATCH($D25,'Type Chart'!$B$4:$P$4,0)))</f>
        <v>1</v>
      </c>
      <c r="O25" s="21" t="n">
        <f aca="false">INDEX('Type Chart'!$B$5:$P$19,MATCH(O$4,'Type Chart'!$A$5:$A$19,0),MATCH($C25,'Type Chart'!$B$4:$P$4,0))*IF($D25="",1,INDEX('Type Chart'!$B$5:$P$19,MATCH(O$4,'Type Chart'!$A$5:$A$19,0),MATCH($D25,'Type Chart'!$B$4:$P$4,0)))</f>
        <v>1</v>
      </c>
      <c r="P25" s="21" t="n">
        <f aca="false">INDEX('Type Chart'!$B$5:$P$19,MATCH(P$4,'Type Chart'!$A$5:$A$19,0),MATCH($C25,'Type Chart'!$B$4:$P$4,0))*IF($D25="",1,INDEX('Type Chart'!$B$5:$P$19,MATCH(P$4,'Type Chart'!$A$5:$A$19,0),MATCH($D25,'Type Chart'!$B$4:$P$4,0)))</f>
        <v>0.5</v>
      </c>
      <c r="Q25" s="21" t="n">
        <f aca="false">INDEX('Type Chart'!$B$5:$P$19,MATCH(Q$4,'Type Chart'!$A$5:$A$19,0),MATCH($C25,'Type Chart'!$B$4:$P$4,0))*IF($D25="",1,INDEX('Type Chart'!$B$5:$P$19,MATCH(Q$4,'Type Chart'!$A$5:$A$19,0),MATCH($D25,'Type Chart'!$B$4:$P$4,0)))</f>
        <v>2</v>
      </c>
      <c r="R25" s="21" t="n">
        <f aca="false">INDEX('Type Chart'!$B$5:$P$19,MATCH(R$4,'Type Chart'!$A$5:$A$19,0),MATCH($C25,'Type Chart'!$B$4:$P$4,0))*IF($D25="",1,INDEX('Type Chart'!$B$5:$P$19,MATCH(R$4,'Type Chart'!$A$5:$A$19,0),MATCH($D25,'Type Chart'!$B$4:$P$4,0)))</f>
        <v>0</v>
      </c>
      <c r="S25" s="21" t="n">
        <f aca="false">INDEX('Type Chart'!$B$5:$P$19,MATCH(S$4,'Type Chart'!$A$5:$A$19,0),MATCH($C25,'Type Chart'!$B$4:$P$4,0))*IF($D25="",1,INDEX('Type Chart'!$B$5:$P$19,MATCH(S$4,'Type Chart'!$A$5:$A$19,0),MATCH($D25,'Type Chart'!$B$4:$P$4,0)))</f>
        <v>1</v>
      </c>
    </row>
    <row r="26" customFormat="false" ht="15" hidden="false" customHeight="false" outlineLevel="0" collapsed="false">
      <c r="A26" s="19" t="n">
        <v>22</v>
      </c>
      <c r="B26" s="19" t="s">
        <v>113</v>
      </c>
      <c r="C26" s="20" t="str">
        <f aca="false">Pokedex!C26</f>
        <v>Normal</v>
      </c>
      <c r="D26" s="20" t="str">
        <f aca="false">Pokedex!D26</f>
        <v>Flying</v>
      </c>
      <c r="E26" s="21" t="n">
        <f aca="false">INDEX('Type Chart'!$B$5:$P$19,MATCH(E$4,'Type Chart'!$A$5:$A$19,0),MATCH($C26,'Type Chart'!$B$4:$P$4,0))*IF($D26="",1,INDEX('Type Chart'!$B$5:$P$19,MATCH(E$4,'Type Chart'!$A$5:$A$19,0),MATCH($D26,'Type Chart'!$B$4:$P$4,0)))</f>
        <v>1</v>
      </c>
      <c r="F26" s="21" t="n">
        <f aca="false">INDEX('Type Chart'!$B$5:$P$19,MATCH(F$4,'Type Chart'!$A$5:$A$19,0),MATCH($C26,'Type Chart'!$B$4:$P$4,0))*IF($D26="",1,INDEX('Type Chart'!$B$5:$P$19,MATCH(F$4,'Type Chart'!$A$5:$A$19,0),MATCH($D26,'Type Chart'!$B$4:$P$4,0)))</f>
        <v>1</v>
      </c>
      <c r="G26" s="21" t="n">
        <f aca="false">INDEX('Type Chart'!$B$5:$P$19,MATCH(G$4,'Type Chart'!$A$5:$A$19,0),MATCH($C26,'Type Chart'!$B$4:$P$4,0))*IF($D26="",1,INDEX('Type Chart'!$B$5:$P$19,MATCH(G$4,'Type Chart'!$A$5:$A$19,0),MATCH($D26,'Type Chart'!$B$4:$P$4,0)))</f>
        <v>1</v>
      </c>
      <c r="H26" s="21" t="n">
        <f aca="false">INDEX('Type Chart'!$B$5:$P$19,MATCH(H$4,'Type Chart'!$A$5:$A$19,0),MATCH($C26,'Type Chart'!$B$4:$P$4,0))*IF($D26="",1,INDEX('Type Chart'!$B$5:$P$19,MATCH(H$4,'Type Chart'!$A$5:$A$19,0),MATCH($D26,'Type Chart'!$B$4:$P$4,0)))</f>
        <v>2</v>
      </c>
      <c r="I26" s="21" t="n">
        <f aca="false">INDEX('Type Chart'!$B$5:$P$19,MATCH(I$4,'Type Chart'!$A$5:$A$19,0),MATCH($C26,'Type Chart'!$B$4:$P$4,0))*IF($D26="",1,INDEX('Type Chart'!$B$5:$P$19,MATCH(I$4,'Type Chart'!$A$5:$A$19,0),MATCH($D26,'Type Chart'!$B$4:$P$4,0)))</f>
        <v>0.5</v>
      </c>
      <c r="J26" s="21" t="n">
        <f aca="false">INDEX('Type Chart'!$B$5:$P$19,MATCH(J$4,'Type Chart'!$A$5:$A$19,0),MATCH($C26,'Type Chart'!$B$4:$P$4,0))*IF($D26="",1,INDEX('Type Chart'!$B$5:$P$19,MATCH(J$4,'Type Chart'!$A$5:$A$19,0),MATCH($D26,'Type Chart'!$B$4:$P$4,0)))</f>
        <v>2</v>
      </c>
      <c r="K26" s="21" t="n">
        <f aca="false">INDEX('Type Chart'!$B$5:$P$19,MATCH(K$4,'Type Chart'!$A$5:$A$19,0),MATCH($C26,'Type Chart'!$B$4:$P$4,0))*IF($D26="",1,INDEX('Type Chart'!$B$5:$P$19,MATCH(K$4,'Type Chart'!$A$5:$A$19,0),MATCH($D26,'Type Chart'!$B$4:$P$4,0)))</f>
        <v>1</v>
      </c>
      <c r="L26" s="21" t="n">
        <f aca="false">INDEX('Type Chart'!$B$5:$P$19,MATCH(L$4,'Type Chart'!$A$5:$A$19,0),MATCH($C26,'Type Chart'!$B$4:$P$4,0))*IF($D26="",1,INDEX('Type Chart'!$B$5:$P$19,MATCH(L$4,'Type Chart'!$A$5:$A$19,0),MATCH($D26,'Type Chart'!$B$4:$P$4,0)))</f>
        <v>1</v>
      </c>
      <c r="M26" s="21" t="n">
        <f aca="false">INDEX('Type Chart'!$B$5:$P$19,MATCH(M$4,'Type Chart'!$A$5:$A$19,0),MATCH($C26,'Type Chart'!$B$4:$P$4,0))*IF($D26="",1,INDEX('Type Chart'!$B$5:$P$19,MATCH(M$4,'Type Chart'!$A$5:$A$19,0),MATCH($D26,'Type Chart'!$B$4:$P$4,0)))</f>
        <v>0</v>
      </c>
      <c r="N26" s="21" t="n">
        <f aca="false">INDEX('Type Chart'!$B$5:$P$19,MATCH(N$4,'Type Chart'!$A$5:$A$19,0),MATCH($C26,'Type Chart'!$B$4:$P$4,0))*IF($D26="",1,INDEX('Type Chart'!$B$5:$P$19,MATCH(N$4,'Type Chart'!$A$5:$A$19,0),MATCH($D26,'Type Chart'!$B$4:$P$4,0)))</f>
        <v>1</v>
      </c>
      <c r="O26" s="21" t="n">
        <f aca="false">INDEX('Type Chart'!$B$5:$P$19,MATCH(O$4,'Type Chart'!$A$5:$A$19,0),MATCH($C26,'Type Chart'!$B$4:$P$4,0))*IF($D26="",1,INDEX('Type Chart'!$B$5:$P$19,MATCH(O$4,'Type Chart'!$A$5:$A$19,0),MATCH($D26,'Type Chart'!$B$4:$P$4,0)))</f>
        <v>1</v>
      </c>
      <c r="P26" s="21" t="n">
        <f aca="false">INDEX('Type Chart'!$B$5:$P$19,MATCH(P$4,'Type Chart'!$A$5:$A$19,0),MATCH($C26,'Type Chart'!$B$4:$P$4,0))*IF($D26="",1,INDEX('Type Chart'!$B$5:$P$19,MATCH(P$4,'Type Chart'!$A$5:$A$19,0),MATCH($D26,'Type Chart'!$B$4:$P$4,0)))</f>
        <v>0.5</v>
      </c>
      <c r="Q26" s="21" t="n">
        <f aca="false">INDEX('Type Chart'!$B$5:$P$19,MATCH(Q$4,'Type Chart'!$A$5:$A$19,0),MATCH($C26,'Type Chart'!$B$4:$P$4,0))*IF($D26="",1,INDEX('Type Chart'!$B$5:$P$19,MATCH(Q$4,'Type Chart'!$A$5:$A$19,0),MATCH($D26,'Type Chart'!$B$4:$P$4,0)))</f>
        <v>2</v>
      </c>
      <c r="R26" s="21" t="n">
        <f aca="false">INDEX('Type Chart'!$B$5:$P$19,MATCH(R$4,'Type Chart'!$A$5:$A$19,0),MATCH($C26,'Type Chart'!$B$4:$P$4,0))*IF($D26="",1,INDEX('Type Chart'!$B$5:$P$19,MATCH(R$4,'Type Chart'!$A$5:$A$19,0),MATCH($D26,'Type Chart'!$B$4:$P$4,0)))</f>
        <v>0</v>
      </c>
      <c r="S26" s="21" t="n">
        <f aca="false">INDEX('Type Chart'!$B$5:$P$19,MATCH(S$4,'Type Chart'!$A$5:$A$19,0),MATCH($C26,'Type Chart'!$B$4:$P$4,0))*IF($D26="",1,INDEX('Type Chart'!$B$5:$P$19,MATCH(S$4,'Type Chart'!$A$5:$A$19,0),MATCH($D26,'Type Chart'!$B$4:$P$4,0)))</f>
        <v>1</v>
      </c>
    </row>
    <row r="27" customFormat="false" ht="15" hidden="false" customHeight="false" outlineLevel="0" collapsed="false">
      <c r="A27" s="19" t="n">
        <v>23</v>
      </c>
      <c r="B27" s="19" t="s">
        <v>114</v>
      </c>
      <c r="C27" s="20" t="str">
        <f aca="false">Pokedex!C27</f>
        <v>Poison</v>
      </c>
      <c r="D27" s="20" t="n">
        <f aca="false">Pokedex!D27</f>
        <v>0</v>
      </c>
      <c r="E27" s="21" t="n">
        <f aca="false">INDEX('Type Chart'!$B$5:$P$19,MATCH(E$4,'Type Chart'!$A$5:$A$19,0),MATCH($C27,'Type Chart'!$B$4:$P$4,0))*IF($D27="",1,INDEX('Type Chart'!$B$5:$P$19,MATCH(E$4,'Type Chart'!$A$5:$A$19,0),MATCH($D27,'Type Chart'!$B$4:$P$4,0)))</f>
        <v>1</v>
      </c>
      <c r="F27" s="21" t="n">
        <f aca="false">INDEX('Type Chart'!$B$5:$P$19,MATCH(F$4,'Type Chart'!$A$5:$A$19,0),MATCH($C27,'Type Chart'!$B$4:$P$4,0))*IF($D27="",1,INDEX('Type Chart'!$B$5:$P$19,MATCH(F$4,'Type Chart'!$A$5:$A$19,0),MATCH($D27,'Type Chart'!$B$4:$P$4,0)))</f>
        <v>1</v>
      </c>
      <c r="G27" s="21" t="n">
        <f aca="false">INDEX('Type Chart'!$B$5:$P$19,MATCH(G$4,'Type Chart'!$A$5:$A$19,0),MATCH($C27,'Type Chart'!$B$4:$P$4,0))*IF($D27="",1,INDEX('Type Chart'!$B$5:$P$19,MATCH(G$4,'Type Chart'!$A$5:$A$19,0),MATCH($D27,'Type Chart'!$B$4:$P$4,0)))</f>
        <v>1</v>
      </c>
      <c r="H27" s="21" t="n">
        <f aca="false">INDEX('Type Chart'!$B$5:$P$19,MATCH(H$4,'Type Chart'!$A$5:$A$19,0),MATCH($C27,'Type Chart'!$B$4:$P$4,0))*IF($D27="",1,INDEX('Type Chart'!$B$5:$P$19,MATCH(H$4,'Type Chart'!$A$5:$A$19,0),MATCH($D27,'Type Chart'!$B$4:$P$4,0)))</f>
        <v>1</v>
      </c>
      <c r="I27" s="21" t="n">
        <f aca="false">INDEX('Type Chart'!$B$5:$P$19,MATCH(I$4,'Type Chart'!$A$5:$A$19,0),MATCH($C27,'Type Chart'!$B$4:$P$4,0))*IF($D27="",1,INDEX('Type Chart'!$B$5:$P$19,MATCH(I$4,'Type Chart'!$A$5:$A$19,0),MATCH($D27,'Type Chart'!$B$4:$P$4,0)))</f>
        <v>0.5</v>
      </c>
      <c r="J27" s="21" t="n">
        <f aca="false">INDEX('Type Chart'!$B$5:$P$19,MATCH(J$4,'Type Chart'!$A$5:$A$19,0),MATCH($C27,'Type Chart'!$B$4:$P$4,0))*IF($D27="",1,INDEX('Type Chart'!$B$5:$P$19,MATCH(J$4,'Type Chart'!$A$5:$A$19,0),MATCH($D27,'Type Chart'!$B$4:$P$4,0)))</f>
        <v>1</v>
      </c>
      <c r="K27" s="21" t="n">
        <f aca="false">INDEX('Type Chart'!$B$5:$P$19,MATCH(K$4,'Type Chart'!$A$5:$A$19,0),MATCH($C27,'Type Chart'!$B$4:$P$4,0))*IF($D27="",1,INDEX('Type Chart'!$B$5:$P$19,MATCH(K$4,'Type Chart'!$A$5:$A$19,0),MATCH($D27,'Type Chart'!$B$4:$P$4,0)))</f>
        <v>0.5</v>
      </c>
      <c r="L27" s="21" t="n">
        <f aca="false">INDEX('Type Chart'!$B$5:$P$19,MATCH(L$4,'Type Chart'!$A$5:$A$19,0),MATCH($C27,'Type Chart'!$B$4:$P$4,0))*IF($D27="",1,INDEX('Type Chart'!$B$5:$P$19,MATCH(L$4,'Type Chart'!$A$5:$A$19,0),MATCH($D27,'Type Chart'!$B$4:$P$4,0)))</f>
        <v>0.5</v>
      </c>
      <c r="M27" s="21" t="n">
        <f aca="false">INDEX('Type Chart'!$B$5:$P$19,MATCH(M$4,'Type Chart'!$A$5:$A$19,0),MATCH($C27,'Type Chart'!$B$4:$P$4,0))*IF($D27="",1,INDEX('Type Chart'!$B$5:$P$19,MATCH(M$4,'Type Chart'!$A$5:$A$19,0),MATCH($D27,'Type Chart'!$B$4:$P$4,0)))</f>
        <v>2</v>
      </c>
      <c r="N27" s="21" t="n">
        <f aca="false">INDEX('Type Chart'!$B$5:$P$19,MATCH(N$4,'Type Chart'!$A$5:$A$19,0),MATCH($C27,'Type Chart'!$B$4:$P$4,0))*IF($D27="",1,INDEX('Type Chart'!$B$5:$P$19,MATCH(N$4,'Type Chart'!$A$5:$A$19,0),MATCH($D27,'Type Chart'!$B$4:$P$4,0)))</f>
        <v>1</v>
      </c>
      <c r="O27" s="21" t="n">
        <f aca="false">INDEX('Type Chart'!$B$5:$P$19,MATCH(O$4,'Type Chart'!$A$5:$A$19,0),MATCH($C27,'Type Chart'!$B$4:$P$4,0))*IF($D27="",1,INDEX('Type Chart'!$B$5:$P$19,MATCH(O$4,'Type Chart'!$A$5:$A$19,0),MATCH($D27,'Type Chart'!$B$4:$P$4,0)))</f>
        <v>2</v>
      </c>
      <c r="P27" s="21" t="n">
        <f aca="false">INDEX('Type Chart'!$B$5:$P$19,MATCH(P$4,'Type Chart'!$A$5:$A$19,0),MATCH($C27,'Type Chart'!$B$4:$P$4,0))*IF($D27="",1,INDEX('Type Chart'!$B$5:$P$19,MATCH(P$4,'Type Chart'!$A$5:$A$19,0),MATCH($D27,'Type Chart'!$B$4:$P$4,0)))</f>
        <v>2</v>
      </c>
      <c r="Q27" s="21" t="n">
        <f aca="false">INDEX('Type Chart'!$B$5:$P$19,MATCH(Q$4,'Type Chart'!$A$5:$A$19,0),MATCH($C27,'Type Chart'!$B$4:$P$4,0))*IF($D27="",1,INDEX('Type Chart'!$B$5:$P$19,MATCH(Q$4,'Type Chart'!$A$5:$A$19,0),MATCH($D27,'Type Chart'!$B$4:$P$4,0)))</f>
        <v>1</v>
      </c>
      <c r="R27" s="21" t="n">
        <f aca="false">INDEX('Type Chart'!$B$5:$P$19,MATCH(R$4,'Type Chart'!$A$5:$A$19,0),MATCH($C27,'Type Chart'!$B$4:$P$4,0))*IF($D27="",1,INDEX('Type Chart'!$B$5:$P$19,MATCH(R$4,'Type Chart'!$A$5:$A$19,0),MATCH($D27,'Type Chart'!$B$4:$P$4,0)))</f>
        <v>1</v>
      </c>
      <c r="S27" s="21" t="n">
        <f aca="false">INDEX('Type Chart'!$B$5:$P$19,MATCH(S$4,'Type Chart'!$A$5:$A$19,0),MATCH($C27,'Type Chart'!$B$4:$P$4,0))*IF($D27="",1,INDEX('Type Chart'!$B$5:$P$19,MATCH(S$4,'Type Chart'!$A$5:$A$19,0),MATCH($D27,'Type Chart'!$B$4:$P$4,0)))</f>
        <v>1</v>
      </c>
    </row>
    <row r="28" customFormat="false" ht="15" hidden="false" customHeight="false" outlineLevel="0" collapsed="false">
      <c r="A28" s="19" t="n">
        <v>24</v>
      </c>
      <c r="B28" s="19" t="s">
        <v>115</v>
      </c>
      <c r="C28" s="20" t="str">
        <f aca="false">Pokedex!C28</f>
        <v>Poison</v>
      </c>
      <c r="D28" s="20" t="n">
        <f aca="false">Pokedex!D28</f>
        <v>0</v>
      </c>
      <c r="E28" s="21" t="n">
        <f aca="false">INDEX('Type Chart'!$B$5:$P$19,MATCH(E$4,'Type Chart'!$A$5:$A$19,0),MATCH($C28,'Type Chart'!$B$4:$P$4,0))*IF($D28="",1,INDEX('Type Chart'!$B$5:$P$19,MATCH(E$4,'Type Chart'!$A$5:$A$19,0),MATCH($D28,'Type Chart'!$B$4:$P$4,0)))</f>
        <v>1</v>
      </c>
      <c r="F28" s="21" t="n">
        <f aca="false">INDEX('Type Chart'!$B$5:$P$19,MATCH(F$4,'Type Chart'!$A$5:$A$19,0),MATCH($C28,'Type Chart'!$B$4:$P$4,0))*IF($D28="",1,INDEX('Type Chart'!$B$5:$P$19,MATCH(F$4,'Type Chart'!$A$5:$A$19,0),MATCH($D28,'Type Chart'!$B$4:$P$4,0)))</f>
        <v>1</v>
      </c>
      <c r="G28" s="21" t="n">
        <f aca="false">INDEX('Type Chart'!$B$5:$P$19,MATCH(G$4,'Type Chart'!$A$5:$A$19,0),MATCH($C28,'Type Chart'!$B$4:$P$4,0))*IF($D28="",1,INDEX('Type Chart'!$B$5:$P$19,MATCH(G$4,'Type Chart'!$A$5:$A$19,0),MATCH($D28,'Type Chart'!$B$4:$P$4,0)))</f>
        <v>1</v>
      </c>
      <c r="H28" s="21" t="n">
        <f aca="false">INDEX('Type Chart'!$B$5:$P$19,MATCH(H$4,'Type Chart'!$A$5:$A$19,0),MATCH($C28,'Type Chart'!$B$4:$P$4,0))*IF($D28="",1,INDEX('Type Chart'!$B$5:$P$19,MATCH(H$4,'Type Chart'!$A$5:$A$19,0),MATCH($D28,'Type Chart'!$B$4:$P$4,0)))</f>
        <v>1</v>
      </c>
      <c r="I28" s="21" t="n">
        <f aca="false">INDEX('Type Chart'!$B$5:$P$19,MATCH(I$4,'Type Chart'!$A$5:$A$19,0),MATCH($C28,'Type Chart'!$B$4:$P$4,0))*IF($D28="",1,INDEX('Type Chart'!$B$5:$P$19,MATCH(I$4,'Type Chart'!$A$5:$A$19,0),MATCH($D28,'Type Chart'!$B$4:$P$4,0)))</f>
        <v>0.5</v>
      </c>
      <c r="J28" s="21" t="n">
        <f aca="false">INDEX('Type Chart'!$B$5:$P$19,MATCH(J$4,'Type Chart'!$A$5:$A$19,0),MATCH($C28,'Type Chart'!$B$4:$P$4,0))*IF($D28="",1,INDEX('Type Chart'!$B$5:$P$19,MATCH(J$4,'Type Chart'!$A$5:$A$19,0),MATCH($D28,'Type Chart'!$B$4:$P$4,0)))</f>
        <v>1</v>
      </c>
      <c r="K28" s="21" t="n">
        <f aca="false">INDEX('Type Chart'!$B$5:$P$19,MATCH(K$4,'Type Chart'!$A$5:$A$19,0),MATCH($C28,'Type Chart'!$B$4:$P$4,0))*IF($D28="",1,INDEX('Type Chart'!$B$5:$P$19,MATCH(K$4,'Type Chart'!$A$5:$A$19,0),MATCH($D28,'Type Chart'!$B$4:$P$4,0)))</f>
        <v>0.5</v>
      </c>
      <c r="L28" s="21" t="n">
        <f aca="false">INDEX('Type Chart'!$B$5:$P$19,MATCH(L$4,'Type Chart'!$A$5:$A$19,0),MATCH($C28,'Type Chart'!$B$4:$P$4,0))*IF($D28="",1,INDEX('Type Chart'!$B$5:$P$19,MATCH(L$4,'Type Chart'!$A$5:$A$19,0),MATCH($D28,'Type Chart'!$B$4:$P$4,0)))</f>
        <v>0.5</v>
      </c>
      <c r="M28" s="21" t="n">
        <f aca="false">INDEX('Type Chart'!$B$5:$P$19,MATCH(M$4,'Type Chart'!$A$5:$A$19,0),MATCH($C28,'Type Chart'!$B$4:$P$4,0))*IF($D28="",1,INDEX('Type Chart'!$B$5:$P$19,MATCH(M$4,'Type Chart'!$A$5:$A$19,0),MATCH($D28,'Type Chart'!$B$4:$P$4,0)))</f>
        <v>2</v>
      </c>
      <c r="N28" s="21" t="n">
        <f aca="false">INDEX('Type Chart'!$B$5:$P$19,MATCH(N$4,'Type Chart'!$A$5:$A$19,0),MATCH($C28,'Type Chart'!$B$4:$P$4,0))*IF($D28="",1,INDEX('Type Chart'!$B$5:$P$19,MATCH(N$4,'Type Chart'!$A$5:$A$19,0),MATCH($D28,'Type Chart'!$B$4:$P$4,0)))</f>
        <v>1</v>
      </c>
      <c r="O28" s="21" t="n">
        <f aca="false">INDEX('Type Chart'!$B$5:$P$19,MATCH(O$4,'Type Chart'!$A$5:$A$19,0),MATCH($C28,'Type Chart'!$B$4:$P$4,0))*IF($D28="",1,INDEX('Type Chart'!$B$5:$P$19,MATCH(O$4,'Type Chart'!$A$5:$A$19,0),MATCH($D28,'Type Chart'!$B$4:$P$4,0)))</f>
        <v>2</v>
      </c>
      <c r="P28" s="21" t="n">
        <f aca="false">INDEX('Type Chart'!$B$5:$P$19,MATCH(P$4,'Type Chart'!$A$5:$A$19,0),MATCH($C28,'Type Chart'!$B$4:$P$4,0))*IF($D28="",1,INDEX('Type Chart'!$B$5:$P$19,MATCH(P$4,'Type Chart'!$A$5:$A$19,0),MATCH($D28,'Type Chart'!$B$4:$P$4,0)))</f>
        <v>2</v>
      </c>
      <c r="Q28" s="21" t="n">
        <f aca="false">INDEX('Type Chart'!$B$5:$P$19,MATCH(Q$4,'Type Chart'!$A$5:$A$19,0),MATCH($C28,'Type Chart'!$B$4:$P$4,0))*IF($D28="",1,INDEX('Type Chart'!$B$5:$P$19,MATCH(Q$4,'Type Chart'!$A$5:$A$19,0),MATCH($D28,'Type Chart'!$B$4:$P$4,0)))</f>
        <v>1</v>
      </c>
      <c r="R28" s="21" t="n">
        <f aca="false">INDEX('Type Chart'!$B$5:$P$19,MATCH(R$4,'Type Chart'!$A$5:$A$19,0),MATCH($C28,'Type Chart'!$B$4:$P$4,0))*IF($D28="",1,INDEX('Type Chart'!$B$5:$P$19,MATCH(R$4,'Type Chart'!$A$5:$A$19,0),MATCH($D28,'Type Chart'!$B$4:$P$4,0)))</f>
        <v>1</v>
      </c>
      <c r="S28" s="21" t="n">
        <f aca="false">INDEX('Type Chart'!$B$5:$P$19,MATCH(S$4,'Type Chart'!$A$5:$A$19,0),MATCH($C28,'Type Chart'!$B$4:$P$4,0))*IF($D28="",1,INDEX('Type Chart'!$B$5:$P$19,MATCH(S$4,'Type Chart'!$A$5:$A$19,0),MATCH($D28,'Type Chart'!$B$4:$P$4,0)))</f>
        <v>1</v>
      </c>
    </row>
    <row r="29" customFormat="false" ht="15" hidden="false" customHeight="false" outlineLevel="0" collapsed="false">
      <c r="A29" s="19" t="n">
        <v>25</v>
      </c>
      <c r="B29" s="19" t="s">
        <v>116</v>
      </c>
      <c r="C29" s="20" t="str">
        <f aca="false">Pokedex!C29</f>
        <v>Electric</v>
      </c>
      <c r="D29" s="20" t="n">
        <f aca="false">Pokedex!D29</f>
        <v>0</v>
      </c>
      <c r="E29" s="21" t="n">
        <f aca="false">INDEX('Type Chart'!$B$5:$P$19,MATCH(E$4,'Type Chart'!$A$5:$A$19,0),MATCH($C29,'Type Chart'!$B$4:$P$4,0))*IF($D29="",1,INDEX('Type Chart'!$B$5:$P$19,MATCH(E$4,'Type Chart'!$A$5:$A$19,0),MATCH($D29,'Type Chart'!$B$4:$P$4,0)))</f>
        <v>1</v>
      </c>
      <c r="F29" s="21" t="n">
        <f aca="false">INDEX('Type Chart'!$B$5:$P$19,MATCH(F$4,'Type Chart'!$A$5:$A$19,0),MATCH($C29,'Type Chart'!$B$4:$P$4,0))*IF($D29="",1,INDEX('Type Chart'!$B$5:$P$19,MATCH(F$4,'Type Chart'!$A$5:$A$19,0),MATCH($D29,'Type Chart'!$B$4:$P$4,0)))</f>
        <v>1</v>
      </c>
      <c r="G29" s="21" t="n">
        <f aca="false">INDEX('Type Chart'!$B$5:$P$19,MATCH(G$4,'Type Chart'!$A$5:$A$19,0),MATCH($C29,'Type Chart'!$B$4:$P$4,0))*IF($D29="",1,INDEX('Type Chart'!$B$5:$P$19,MATCH(G$4,'Type Chart'!$A$5:$A$19,0),MATCH($D29,'Type Chart'!$B$4:$P$4,0)))</f>
        <v>1</v>
      </c>
      <c r="H29" s="21" t="n">
        <f aca="false">INDEX('Type Chart'!$B$5:$P$19,MATCH(H$4,'Type Chart'!$A$5:$A$19,0),MATCH($C29,'Type Chart'!$B$4:$P$4,0))*IF($D29="",1,INDEX('Type Chart'!$B$5:$P$19,MATCH(H$4,'Type Chart'!$A$5:$A$19,0),MATCH($D29,'Type Chart'!$B$4:$P$4,0)))</f>
        <v>0.5</v>
      </c>
      <c r="I29" s="21" t="n">
        <f aca="false">INDEX('Type Chart'!$B$5:$P$19,MATCH(I$4,'Type Chart'!$A$5:$A$19,0),MATCH($C29,'Type Chart'!$B$4:$P$4,0))*IF($D29="",1,INDEX('Type Chart'!$B$5:$P$19,MATCH(I$4,'Type Chart'!$A$5:$A$19,0),MATCH($D29,'Type Chart'!$B$4:$P$4,0)))</f>
        <v>1</v>
      </c>
      <c r="J29" s="21" t="n">
        <f aca="false">INDEX('Type Chart'!$B$5:$P$19,MATCH(J$4,'Type Chart'!$A$5:$A$19,0),MATCH($C29,'Type Chart'!$B$4:$P$4,0))*IF($D29="",1,INDEX('Type Chart'!$B$5:$P$19,MATCH(J$4,'Type Chart'!$A$5:$A$19,0),MATCH($D29,'Type Chart'!$B$4:$P$4,0)))</f>
        <v>1</v>
      </c>
      <c r="K29" s="21" t="n">
        <f aca="false">INDEX('Type Chart'!$B$5:$P$19,MATCH(K$4,'Type Chart'!$A$5:$A$19,0),MATCH($C29,'Type Chart'!$B$4:$P$4,0))*IF($D29="",1,INDEX('Type Chart'!$B$5:$P$19,MATCH(K$4,'Type Chart'!$A$5:$A$19,0),MATCH($D29,'Type Chart'!$B$4:$P$4,0)))</f>
        <v>1</v>
      </c>
      <c r="L29" s="21" t="n">
        <f aca="false">INDEX('Type Chart'!$B$5:$P$19,MATCH(L$4,'Type Chart'!$A$5:$A$19,0),MATCH($C29,'Type Chart'!$B$4:$P$4,0))*IF($D29="",1,INDEX('Type Chart'!$B$5:$P$19,MATCH(L$4,'Type Chart'!$A$5:$A$19,0),MATCH($D29,'Type Chart'!$B$4:$P$4,0)))</f>
        <v>1</v>
      </c>
      <c r="M29" s="21" t="n">
        <f aca="false">INDEX('Type Chart'!$B$5:$P$19,MATCH(M$4,'Type Chart'!$A$5:$A$19,0),MATCH($C29,'Type Chart'!$B$4:$P$4,0))*IF($D29="",1,INDEX('Type Chart'!$B$5:$P$19,MATCH(M$4,'Type Chart'!$A$5:$A$19,0),MATCH($D29,'Type Chart'!$B$4:$P$4,0)))</f>
        <v>2</v>
      </c>
      <c r="N29" s="21" t="n">
        <f aca="false">INDEX('Type Chart'!$B$5:$P$19,MATCH(N$4,'Type Chart'!$A$5:$A$19,0),MATCH($C29,'Type Chart'!$B$4:$P$4,0))*IF($D29="",1,INDEX('Type Chart'!$B$5:$P$19,MATCH(N$4,'Type Chart'!$A$5:$A$19,0),MATCH($D29,'Type Chart'!$B$4:$P$4,0)))</f>
        <v>0.5</v>
      </c>
      <c r="O29" s="21" t="n">
        <f aca="false">INDEX('Type Chart'!$B$5:$P$19,MATCH(O$4,'Type Chart'!$A$5:$A$19,0),MATCH($C29,'Type Chart'!$B$4:$P$4,0))*IF($D29="",1,INDEX('Type Chart'!$B$5:$P$19,MATCH(O$4,'Type Chart'!$A$5:$A$19,0),MATCH($D29,'Type Chart'!$B$4:$P$4,0)))</f>
        <v>1</v>
      </c>
      <c r="P29" s="21" t="n">
        <f aca="false">INDEX('Type Chart'!$B$5:$P$19,MATCH(P$4,'Type Chart'!$A$5:$A$19,0),MATCH($C29,'Type Chart'!$B$4:$P$4,0))*IF($D29="",1,INDEX('Type Chart'!$B$5:$P$19,MATCH(P$4,'Type Chart'!$A$5:$A$19,0),MATCH($D29,'Type Chart'!$B$4:$P$4,0)))</f>
        <v>1</v>
      </c>
      <c r="Q29" s="21" t="n">
        <f aca="false">INDEX('Type Chart'!$B$5:$P$19,MATCH(Q$4,'Type Chart'!$A$5:$A$19,0),MATCH($C29,'Type Chart'!$B$4:$P$4,0))*IF($D29="",1,INDEX('Type Chart'!$B$5:$P$19,MATCH(Q$4,'Type Chart'!$A$5:$A$19,0),MATCH($D29,'Type Chart'!$B$4:$P$4,0)))</f>
        <v>1</v>
      </c>
      <c r="R29" s="21" t="n">
        <f aca="false">INDEX('Type Chart'!$B$5:$P$19,MATCH(R$4,'Type Chart'!$A$5:$A$19,0),MATCH($C29,'Type Chart'!$B$4:$P$4,0))*IF($D29="",1,INDEX('Type Chart'!$B$5:$P$19,MATCH(R$4,'Type Chart'!$A$5:$A$19,0),MATCH($D29,'Type Chart'!$B$4:$P$4,0)))</f>
        <v>1</v>
      </c>
      <c r="S29" s="21" t="n">
        <f aca="false">INDEX('Type Chart'!$B$5:$P$19,MATCH(S$4,'Type Chart'!$A$5:$A$19,0),MATCH($C29,'Type Chart'!$B$4:$P$4,0))*IF($D29="",1,INDEX('Type Chart'!$B$5:$P$19,MATCH(S$4,'Type Chart'!$A$5:$A$19,0),MATCH($D29,'Type Chart'!$B$4:$P$4,0)))</f>
        <v>1</v>
      </c>
    </row>
    <row r="30" customFormat="false" ht="15" hidden="false" customHeight="false" outlineLevel="0" collapsed="false">
      <c r="A30" s="19" t="n">
        <v>26</v>
      </c>
      <c r="B30" s="19" t="s">
        <v>117</v>
      </c>
      <c r="C30" s="20" t="str">
        <f aca="false">Pokedex!C30</f>
        <v>Electric</v>
      </c>
      <c r="D30" s="20" t="n">
        <f aca="false">Pokedex!D30</f>
        <v>0</v>
      </c>
      <c r="E30" s="21" t="n">
        <f aca="false">INDEX('Type Chart'!$B$5:$P$19,MATCH(E$4,'Type Chart'!$A$5:$A$19,0),MATCH($C30,'Type Chart'!$B$4:$P$4,0))*IF($D30="",1,INDEX('Type Chart'!$B$5:$P$19,MATCH(E$4,'Type Chart'!$A$5:$A$19,0),MATCH($D30,'Type Chart'!$B$4:$P$4,0)))</f>
        <v>1</v>
      </c>
      <c r="F30" s="21" t="n">
        <f aca="false">INDEX('Type Chart'!$B$5:$P$19,MATCH(F$4,'Type Chart'!$A$5:$A$19,0),MATCH($C30,'Type Chart'!$B$4:$P$4,0))*IF($D30="",1,INDEX('Type Chart'!$B$5:$P$19,MATCH(F$4,'Type Chart'!$A$5:$A$19,0),MATCH($D30,'Type Chart'!$B$4:$P$4,0)))</f>
        <v>1</v>
      </c>
      <c r="G30" s="21" t="n">
        <f aca="false">INDEX('Type Chart'!$B$5:$P$19,MATCH(G$4,'Type Chart'!$A$5:$A$19,0),MATCH($C30,'Type Chart'!$B$4:$P$4,0))*IF($D30="",1,INDEX('Type Chart'!$B$5:$P$19,MATCH(G$4,'Type Chart'!$A$5:$A$19,0),MATCH($D30,'Type Chart'!$B$4:$P$4,0)))</f>
        <v>1</v>
      </c>
      <c r="H30" s="21" t="n">
        <f aca="false">INDEX('Type Chart'!$B$5:$P$19,MATCH(H$4,'Type Chart'!$A$5:$A$19,0),MATCH($C30,'Type Chart'!$B$4:$P$4,0))*IF($D30="",1,INDEX('Type Chart'!$B$5:$P$19,MATCH(H$4,'Type Chart'!$A$5:$A$19,0),MATCH($D30,'Type Chart'!$B$4:$P$4,0)))</f>
        <v>0.5</v>
      </c>
      <c r="I30" s="21" t="n">
        <f aca="false">INDEX('Type Chart'!$B$5:$P$19,MATCH(I$4,'Type Chart'!$A$5:$A$19,0),MATCH($C30,'Type Chart'!$B$4:$P$4,0))*IF($D30="",1,INDEX('Type Chart'!$B$5:$P$19,MATCH(I$4,'Type Chart'!$A$5:$A$19,0),MATCH($D30,'Type Chart'!$B$4:$P$4,0)))</f>
        <v>1</v>
      </c>
      <c r="J30" s="21" t="n">
        <f aca="false">INDEX('Type Chart'!$B$5:$P$19,MATCH(J$4,'Type Chart'!$A$5:$A$19,0),MATCH($C30,'Type Chart'!$B$4:$P$4,0))*IF($D30="",1,INDEX('Type Chart'!$B$5:$P$19,MATCH(J$4,'Type Chart'!$A$5:$A$19,0),MATCH($D30,'Type Chart'!$B$4:$P$4,0)))</f>
        <v>1</v>
      </c>
      <c r="K30" s="21" t="n">
        <f aca="false">INDEX('Type Chart'!$B$5:$P$19,MATCH(K$4,'Type Chart'!$A$5:$A$19,0),MATCH($C30,'Type Chart'!$B$4:$P$4,0))*IF($D30="",1,INDEX('Type Chart'!$B$5:$P$19,MATCH(K$4,'Type Chart'!$A$5:$A$19,0),MATCH($D30,'Type Chart'!$B$4:$P$4,0)))</f>
        <v>1</v>
      </c>
      <c r="L30" s="21" t="n">
        <f aca="false">INDEX('Type Chart'!$B$5:$P$19,MATCH(L$4,'Type Chart'!$A$5:$A$19,0),MATCH($C30,'Type Chart'!$B$4:$P$4,0))*IF($D30="",1,INDEX('Type Chart'!$B$5:$P$19,MATCH(L$4,'Type Chart'!$A$5:$A$19,0),MATCH($D30,'Type Chart'!$B$4:$P$4,0)))</f>
        <v>1</v>
      </c>
      <c r="M30" s="21" t="n">
        <f aca="false">INDEX('Type Chart'!$B$5:$P$19,MATCH(M$4,'Type Chart'!$A$5:$A$19,0),MATCH($C30,'Type Chart'!$B$4:$P$4,0))*IF($D30="",1,INDEX('Type Chart'!$B$5:$P$19,MATCH(M$4,'Type Chart'!$A$5:$A$19,0),MATCH($D30,'Type Chart'!$B$4:$P$4,0)))</f>
        <v>2</v>
      </c>
      <c r="N30" s="21" t="n">
        <f aca="false">INDEX('Type Chart'!$B$5:$P$19,MATCH(N$4,'Type Chart'!$A$5:$A$19,0),MATCH($C30,'Type Chart'!$B$4:$P$4,0))*IF($D30="",1,INDEX('Type Chart'!$B$5:$P$19,MATCH(N$4,'Type Chart'!$A$5:$A$19,0),MATCH($D30,'Type Chart'!$B$4:$P$4,0)))</f>
        <v>0.5</v>
      </c>
      <c r="O30" s="21" t="n">
        <f aca="false">INDEX('Type Chart'!$B$5:$P$19,MATCH(O$4,'Type Chart'!$A$5:$A$19,0),MATCH($C30,'Type Chart'!$B$4:$P$4,0))*IF($D30="",1,INDEX('Type Chart'!$B$5:$P$19,MATCH(O$4,'Type Chart'!$A$5:$A$19,0),MATCH($D30,'Type Chart'!$B$4:$P$4,0)))</f>
        <v>1</v>
      </c>
      <c r="P30" s="21" t="n">
        <f aca="false">INDEX('Type Chart'!$B$5:$P$19,MATCH(P$4,'Type Chart'!$A$5:$A$19,0),MATCH($C30,'Type Chart'!$B$4:$P$4,0))*IF($D30="",1,INDEX('Type Chart'!$B$5:$P$19,MATCH(P$4,'Type Chart'!$A$5:$A$19,0),MATCH($D30,'Type Chart'!$B$4:$P$4,0)))</f>
        <v>1</v>
      </c>
      <c r="Q30" s="21" t="n">
        <f aca="false">INDEX('Type Chart'!$B$5:$P$19,MATCH(Q$4,'Type Chart'!$A$5:$A$19,0),MATCH($C30,'Type Chart'!$B$4:$P$4,0))*IF($D30="",1,INDEX('Type Chart'!$B$5:$P$19,MATCH(Q$4,'Type Chart'!$A$5:$A$19,0),MATCH($D30,'Type Chart'!$B$4:$P$4,0)))</f>
        <v>1</v>
      </c>
      <c r="R30" s="21" t="n">
        <f aca="false">INDEX('Type Chart'!$B$5:$P$19,MATCH(R$4,'Type Chart'!$A$5:$A$19,0),MATCH($C30,'Type Chart'!$B$4:$P$4,0))*IF($D30="",1,INDEX('Type Chart'!$B$5:$P$19,MATCH(R$4,'Type Chart'!$A$5:$A$19,0),MATCH($D30,'Type Chart'!$B$4:$P$4,0)))</f>
        <v>1</v>
      </c>
      <c r="S30" s="21" t="n">
        <f aca="false">INDEX('Type Chart'!$B$5:$P$19,MATCH(S$4,'Type Chart'!$A$5:$A$19,0),MATCH($C30,'Type Chart'!$B$4:$P$4,0))*IF($D30="",1,INDEX('Type Chart'!$B$5:$P$19,MATCH(S$4,'Type Chart'!$A$5:$A$19,0),MATCH($D30,'Type Chart'!$B$4:$P$4,0)))</f>
        <v>1</v>
      </c>
    </row>
    <row r="31" customFormat="false" ht="15" hidden="false" customHeight="false" outlineLevel="0" collapsed="false">
      <c r="A31" s="19" t="n">
        <v>27</v>
      </c>
      <c r="B31" s="19" t="s">
        <v>118</v>
      </c>
      <c r="C31" s="20" t="str">
        <f aca="false">Pokedex!C31</f>
        <v>Ground</v>
      </c>
      <c r="D31" s="20" t="n">
        <f aca="false">Pokedex!D31</f>
        <v>0</v>
      </c>
      <c r="E31" s="21" t="n">
        <f aca="false">INDEX('Type Chart'!$B$5:$P$19,MATCH(E$4,'Type Chart'!$A$5:$A$19,0),MATCH($C31,'Type Chart'!$B$4:$P$4,0))*IF($D31="",1,INDEX('Type Chart'!$B$5:$P$19,MATCH(E$4,'Type Chart'!$A$5:$A$19,0),MATCH($D31,'Type Chart'!$B$4:$P$4,0)))</f>
        <v>1</v>
      </c>
      <c r="F31" s="21" t="n">
        <f aca="false">INDEX('Type Chart'!$B$5:$P$19,MATCH(F$4,'Type Chart'!$A$5:$A$19,0),MATCH($C31,'Type Chart'!$B$4:$P$4,0))*IF($D31="",1,INDEX('Type Chart'!$B$5:$P$19,MATCH(F$4,'Type Chart'!$A$5:$A$19,0),MATCH($D31,'Type Chart'!$B$4:$P$4,0)))</f>
        <v>1</v>
      </c>
      <c r="G31" s="21" t="n">
        <f aca="false">INDEX('Type Chart'!$B$5:$P$19,MATCH(G$4,'Type Chart'!$A$5:$A$19,0),MATCH($C31,'Type Chart'!$B$4:$P$4,0))*IF($D31="",1,INDEX('Type Chart'!$B$5:$P$19,MATCH(G$4,'Type Chart'!$A$5:$A$19,0),MATCH($D31,'Type Chart'!$B$4:$P$4,0)))</f>
        <v>2</v>
      </c>
      <c r="H31" s="21" t="n">
        <f aca="false">INDEX('Type Chart'!$B$5:$P$19,MATCH(H$4,'Type Chart'!$A$5:$A$19,0),MATCH($C31,'Type Chart'!$B$4:$P$4,0))*IF($D31="",1,INDEX('Type Chart'!$B$5:$P$19,MATCH(H$4,'Type Chart'!$A$5:$A$19,0),MATCH($D31,'Type Chart'!$B$4:$P$4,0)))</f>
        <v>0</v>
      </c>
      <c r="I31" s="21" t="n">
        <f aca="false">INDEX('Type Chart'!$B$5:$P$19,MATCH(I$4,'Type Chart'!$A$5:$A$19,0),MATCH($C31,'Type Chart'!$B$4:$P$4,0))*IF($D31="",1,INDEX('Type Chart'!$B$5:$P$19,MATCH(I$4,'Type Chart'!$A$5:$A$19,0),MATCH($D31,'Type Chart'!$B$4:$P$4,0)))</f>
        <v>2</v>
      </c>
      <c r="J31" s="21" t="n">
        <f aca="false">INDEX('Type Chart'!$B$5:$P$19,MATCH(J$4,'Type Chart'!$A$5:$A$19,0),MATCH($C31,'Type Chart'!$B$4:$P$4,0))*IF($D31="",1,INDEX('Type Chart'!$B$5:$P$19,MATCH(J$4,'Type Chart'!$A$5:$A$19,0),MATCH($D31,'Type Chart'!$B$4:$P$4,0)))</f>
        <v>2</v>
      </c>
      <c r="K31" s="21" t="n">
        <f aca="false">INDEX('Type Chart'!$B$5:$P$19,MATCH(K$4,'Type Chart'!$A$5:$A$19,0),MATCH($C31,'Type Chart'!$B$4:$P$4,0))*IF($D31="",1,INDEX('Type Chart'!$B$5:$P$19,MATCH(K$4,'Type Chart'!$A$5:$A$19,0),MATCH($D31,'Type Chart'!$B$4:$P$4,0)))</f>
        <v>1</v>
      </c>
      <c r="L31" s="21" t="n">
        <f aca="false">INDEX('Type Chart'!$B$5:$P$19,MATCH(L$4,'Type Chart'!$A$5:$A$19,0),MATCH($C31,'Type Chart'!$B$4:$P$4,0))*IF($D31="",1,INDEX('Type Chart'!$B$5:$P$19,MATCH(L$4,'Type Chart'!$A$5:$A$19,0),MATCH($D31,'Type Chart'!$B$4:$P$4,0)))</f>
        <v>0.5</v>
      </c>
      <c r="M31" s="21" t="n">
        <f aca="false">INDEX('Type Chart'!$B$5:$P$19,MATCH(M$4,'Type Chart'!$A$5:$A$19,0),MATCH($C31,'Type Chart'!$B$4:$P$4,0))*IF($D31="",1,INDEX('Type Chart'!$B$5:$P$19,MATCH(M$4,'Type Chart'!$A$5:$A$19,0),MATCH($D31,'Type Chart'!$B$4:$P$4,0)))</f>
        <v>1</v>
      </c>
      <c r="N31" s="21" t="n">
        <f aca="false">INDEX('Type Chart'!$B$5:$P$19,MATCH(N$4,'Type Chart'!$A$5:$A$19,0),MATCH($C31,'Type Chart'!$B$4:$P$4,0))*IF($D31="",1,INDEX('Type Chart'!$B$5:$P$19,MATCH(N$4,'Type Chart'!$A$5:$A$19,0),MATCH($D31,'Type Chart'!$B$4:$P$4,0)))</f>
        <v>1</v>
      </c>
      <c r="O31" s="21" t="n">
        <f aca="false">INDEX('Type Chart'!$B$5:$P$19,MATCH(O$4,'Type Chart'!$A$5:$A$19,0),MATCH($C31,'Type Chart'!$B$4:$P$4,0))*IF($D31="",1,INDEX('Type Chart'!$B$5:$P$19,MATCH(O$4,'Type Chart'!$A$5:$A$19,0),MATCH($D31,'Type Chart'!$B$4:$P$4,0)))</f>
        <v>1</v>
      </c>
      <c r="P31" s="21" t="n">
        <f aca="false">INDEX('Type Chart'!$B$5:$P$19,MATCH(P$4,'Type Chart'!$A$5:$A$19,0),MATCH($C31,'Type Chart'!$B$4:$P$4,0))*IF($D31="",1,INDEX('Type Chart'!$B$5:$P$19,MATCH(P$4,'Type Chart'!$A$5:$A$19,0),MATCH($D31,'Type Chart'!$B$4:$P$4,0)))</f>
        <v>1</v>
      </c>
      <c r="Q31" s="21" t="n">
        <f aca="false">INDEX('Type Chart'!$B$5:$P$19,MATCH(Q$4,'Type Chart'!$A$5:$A$19,0),MATCH($C31,'Type Chart'!$B$4:$P$4,0))*IF($D31="",1,INDEX('Type Chart'!$B$5:$P$19,MATCH(Q$4,'Type Chart'!$A$5:$A$19,0),MATCH($D31,'Type Chart'!$B$4:$P$4,0)))</f>
        <v>0.5</v>
      </c>
      <c r="R31" s="21" t="n">
        <f aca="false">INDEX('Type Chart'!$B$5:$P$19,MATCH(R$4,'Type Chart'!$A$5:$A$19,0),MATCH($C31,'Type Chart'!$B$4:$P$4,0))*IF($D31="",1,INDEX('Type Chart'!$B$5:$P$19,MATCH(R$4,'Type Chart'!$A$5:$A$19,0),MATCH($D31,'Type Chart'!$B$4:$P$4,0)))</f>
        <v>1</v>
      </c>
      <c r="S31" s="21" t="n">
        <f aca="false">INDEX('Type Chart'!$B$5:$P$19,MATCH(S$4,'Type Chart'!$A$5:$A$19,0),MATCH($C31,'Type Chart'!$B$4:$P$4,0))*IF($D31="",1,INDEX('Type Chart'!$B$5:$P$19,MATCH(S$4,'Type Chart'!$A$5:$A$19,0),MATCH($D31,'Type Chart'!$B$4:$P$4,0)))</f>
        <v>1</v>
      </c>
    </row>
    <row r="32" customFormat="false" ht="15" hidden="false" customHeight="false" outlineLevel="0" collapsed="false">
      <c r="A32" s="19" t="n">
        <v>28</v>
      </c>
      <c r="B32" s="19" t="s">
        <v>119</v>
      </c>
      <c r="C32" s="20" t="str">
        <f aca="false">Pokedex!C32</f>
        <v>Ground</v>
      </c>
      <c r="D32" s="20" t="n">
        <f aca="false">Pokedex!D32</f>
        <v>0</v>
      </c>
      <c r="E32" s="21" t="n">
        <f aca="false">INDEX('Type Chart'!$B$5:$P$19,MATCH(E$4,'Type Chart'!$A$5:$A$19,0),MATCH($C32,'Type Chart'!$B$4:$P$4,0))*IF($D32="",1,INDEX('Type Chart'!$B$5:$P$19,MATCH(E$4,'Type Chart'!$A$5:$A$19,0),MATCH($D32,'Type Chart'!$B$4:$P$4,0)))</f>
        <v>1</v>
      </c>
      <c r="F32" s="21" t="n">
        <f aca="false">INDEX('Type Chart'!$B$5:$P$19,MATCH(F$4,'Type Chart'!$A$5:$A$19,0),MATCH($C32,'Type Chart'!$B$4:$P$4,0))*IF($D32="",1,INDEX('Type Chart'!$B$5:$P$19,MATCH(F$4,'Type Chart'!$A$5:$A$19,0),MATCH($D32,'Type Chart'!$B$4:$P$4,0)))</f>
        <v>1</v>
      </c>
      <c r="G32" s="21" t="n">
        <f aca="false">INDEX('Type Chart'!$B$5:$P$19,MATCH(G$4,'Type Chart'!$A$5:$A$19,0),MATCH($C32,'Type Chart'!$B$4:$P$4,0))*IF($D32="",1,INDEX('Type Chart'!$B$5:$P$19,MATCH(G$4,'Type Chart'!$A$5:$A$19,0),MATCH($D32,'Type Chart'!$B$4:$P$4,0)))</f>
        <v>2</v>
      </c>
      <c r="H32" s="21" t="n">
        <f aca="false">INDEX('Type Chart'!$B$5:$P$19,MATCH(H$4,'Type Chart'!$A$5:$A$19,0),MATCH($C32,'Type Chart'!$B$4:$P$4,0))*IF($D32="",1,INDEX('Type Chart'!$B$5:$P$19,MATCH(H$4,'Type Chart'!$A$5:$A$19,0),MATCH($D32,'Type Chart'!$B$4:$P$4,0)))</f>
        <v>0</v>
      </c>
      <c r="I32" s="21" t="n">
        <f aca="false">INDEX('Type Chart'!$B$5:$P$19,MATCH(I$4,'Type Chart'!$A$5:$A$19,0),MATCH($C32,'Type Chart'!$B$4:$P$4,0))*IF($D32="",1,INDEX('Type Chart'!$B$5:$P$19,MATCH(I$4,'Type Chart'!$A$5:$A$19,0),MATCH($D32,'Type Chart'!$B$4:$P$4,0)))</f>
        <v>2</v>
      </c>
      <c r="J32" s="21" t="n">
        <f aca="false">INDEX('Type Chart'!$B$5:$P$19,MATCH(J$4,'Type Chart'!$A$5:$A$19,0),MATCH($C32,'Type Chart'!$B$4:$P$4,0))*IF($D32="",1,INDEX('Type Chart'!$B$5:$P$19,MATCH(J$4,'Type Chart'!$A$5:$A$19,0),MATCH($D32,'Type Chart'!$B$4:$P$4,0)))</f>
        <v>2</v>
      </c>
      <c r="K32" s="21" t="n">
        <f aca="false">INDEX('Type Chart'!$B$5:$P$19,MATCH(K$4,'Type Chart'!$A$5:$A$19,0),MATCH($C32,'Type Chart'!$B$4:$P$4,0))*IF($D32="",1,INDEX('Type Chart'!$B$5:$P$19,MATCH(K$4,'Type Chart'!$A$5:$A$19,0),MATCH($D32,'Type Chart'!$B$4:$P$4,0)))</f>
        <v>1</v>
      </c>
      <c r="L32" s="21" t="n">
        <f aca="false">INDEX('Type Chart'!$B$5:$P$19,MATCH(L$4,'Type Chart'!$A$5:$A$19,0),MATCH($C32,'Type Chart'!$B$4:$P$4,0))*IF($D32="",1,INDEX('Type Chart'!$B$5:$P$19,MATCH(L$4,'Type Chart'!$A$5:$A$19,0),MATCH($D32,'Type Chart'!$B$4:$P$4,0)))</f>
        <v>0.5</v>
      </c>
      <c r="M32" s="21" t="n">
        <f aca="false">INDEX('Type Chart'!$B$5:$P$19,MATCH(M$4,'Type Chart'!$A$5:$A$19,0),MATCH($C32,'Type Chart'!$B$4:$P$4,0))*IF($D32="",1,INDEX('Type Chart'!$B$5:$P$19,MATCH(M$4,'Type Chart'!$A$5:$A$19,0),MATCH($D32,'Type Chart'!$B$4:$P$4,0)))</f>
        <v>1</v>
      </c>
      <c r="N32" s="21" t="n">
        <f aca="false">INDEX('Type Chart'!$B$5:$P$19,MATCH(N$4,'Type Chart'!$A$5:$A$19,0),MATCH($C32,'Type Chart'!$B$4:$P$4,0))*IF($D32="",1,INDEX('Type Chart'!$B$5:$P$19,MATCH(N$4,'Type Chart'!$A$5:$A$19,0),MATCH($D32,'Type Chart'!$B$4:$P$4,0)))</f>
        <v>1</v>
      </c>
      <c r="O32" s="21" t="n">
        <f aca="false">INDEX('Type Chart'!$B$5:$P$19,MATCH(O$4,'Type Chart'!$A$5:$A$19,0),MATCH($C32,'Type Chart'!$B$4:$P$4,0))*IF($D32="",1,INDEX('Type Chart'!$B$5:$P$19,MATCH(O$4,'Type Chart'!$A$5:$A$19,0),MATCH($D32,'Type Chart'!$B$4:$P$4,0)))</f>
        <v>1</v>
      </c>
      <c r="P32" s="21" t="n">
        <f aca="false">INDEX('Type Chart'!$B$5:$P$19,MATCH(P$4,'Type Chart'!$A$5:$A$19,0),MATCH($C32,'Type Chart'!$B$4:$P$4,0))*IF($D32="",1,INDEX('Type Chart'!$B$5:$P$19,MATCH(P$4,'Type Chart'!$A$5:$A$19,0),MATCH($D32,'Type Chart'!$B$4:$P$4,0)))</f>
        <v>1</v>
      </c>
      <c r="Q32" s="21" t="n">
        <f aca="false">INDEX('Type Chart'!$B$5:$P$19,MATCH(Q$4,'Type Chart'!$A$5:$A$19,0),MATCH($C32,'Type Chart'!$B$4:$P$4,0))*IF($D32="",1,INDEX('Type Chart'!$B$5:$P$19,MATCH(Q$4,'Type Chart'!$A$5:$A$19,0),MATCH($D32,'Type Chart'!$B$4:$P$4,0)))</f>
        <v>0.5</v>
      </c>
      <c r="R32" s="21" t="n">
        <f aca="false">INDEX('Type Chart'!$B$5:$P$19,MATCH(R$4,'Type Chart'!$A$5:$A$19,0),MATCH($C32,'Type Chart'!$B$4:$P$4,0))*IF($D32="",1,INDEX('Type Chart'!$B$5:$P$19,MATCH(R$4,'Type Chart'!$A$5:$A$19,0),MATCH($D32,'Type Chart'!$B$4:$P$4,0)))</f>
        <v>1</v>
      </c>
      <c r="S32" s="21" t="n">
        <f aca="false">INDEX('Type Chart'!$B$5:$P$19,MATCH(S$4,'Type Chart'!$A$5:$A$19,0),MATCH($C32,'Type Chart'!$B$4:$P$4,0))*IF($D32="",1,INDEX('Type Chart'!$B$5:$P$19,MATCH(S$4,'Type Chart'!$A$5:$A$19,0),MATCH($D32,'Type Chart'!$B$4:$P$4,0)))</f>
        <v>1</v>
      </c>
    </row>
    <row r="33" customFormat="false" ht="15" hidden="false" customHeight="false" outlineLevel="0" collapsed="false">
      <c r="A33" s="19" t="n">
        <v>29</v>
      </c>
      <c r="B33" s="19" t="s">
        <v>120</v>
      </c>
      <c r="C33" s="20" t="str">
        <f aca="false">Pokedex!C33</f>
        <v>Poison</v>
      </c>
      <c r="D33" s="20" t="n">
        <f aca="false">Pokedex!D33</f>
        <v>0</v>
      </c>
      <c r="E33" s="21" t="n">
        <f aca="false">INDEX('Type Chart'!$B$5:$P$19,MATCH(E$4,'Type Chart'!$A$5:$A$19,0),MATCH($C33,'Type Chart'!$B$4:$P$4,0))*IF($D33="",1,INDEX('Type Chart'!$B$5:$P$19,MATCH(E$4,'Type Chart'!$A$5:$A$19,0),MATCH($D33,'Type Chart'!$B$4:$P$4,0)))</f>
        <v>1</v>
      </c>
      <c r="F33" s="21" t="n">
        <f aca="false">INDEX('Type Chart'!$B$5:$P$19,MATCH(F$4,'Type Chart'!$A$5:$A$19,0),MATCH($C33,'Type Chart'!$B$4:$P$4,0))*IF($D33="",1,INDEX('Type Chart'!$B$5:$P$19,MATCH(F$4,'Type Chart'!$A$5:$A$19,0),MATCH($D33,'Type Chart'!$B$4:$P$4,0)))</f>
        <v>1</v>
      </c>
      <c r="G33" s="21" t="n">
        <f aca="false">INDEX('Type Chart'!$B$5:$P$19,MATCH(G$4,'Type Chart'!$A$5:$A$19,0),MATCH($C33,'Type Chart'!$B$4:$P$4,0))*IF($D33="",1,INDEX('Type Chart'!$B$5:$P$19,MATCH(G$4,'Type Chart'!$A$5:$A$19,0),MATCH($D33,'Type Chart'!$B$4:$P$4,0)))</f>
        <v>1</v>
      </c>
      <c r="H33" s="21" t="n">
        <f aca="false">INDEX('Type Chart'!$B$5:$P$19,MATCH(H$4,'Type Chart'!$A$5:$A$19,0),MATCH($C33,'Type Chart'!$B$4:$P$4,0))*IF($D33="",1,INDEX('Type Chart'!$B$5:$P$19,MATCH(H$4,'Type Chart'!$A$5:$A$19,0),MATCH($D33,'Type Chart'!$B$4:$P$4,0)))</f>
        <v>1</v>
      </c>
      <c r="I33" s="21" t="n">
        <f aca="false">INDEX('Type Chart'!$B$5:$P$19,MATCH(I$4,'Type Chart'!$A$5:$A$19,0),MATCH($C33,'Type Chart'!$B$4:$P$4,0))*IF($D33="",1,INDEX('Type Chart'!$B$5:$P$19,MATCH(I$4,'Type Chart'!$A$5:$A$19,0),MATCH($D33,'Type Chart'!$B$4:$P$4,0)))</f>
        <v>0.5</v>
      </c>
      <c r="J33" s="21" t="n">
        <f aca="false">INDEX('Type Chart'!$B$5:$P$19,MATCH(J$4,'Type Chart'!$A$5:$A$19,0),MATCH($C33,'Type Chart'!$B$4:$P$4,0))*IF($D33="",1,INDEX('Type Chart'!$B$5:$P$19,MATCH(J$4,'Type Chart'!$A$5:$A$19,0),MATCH($D33,'Type Chart'!$B$4:$P$4,0)))</f>
        <v>1</v>
      </c>
      <c r="K33" s="21" t="n">
        <f aca="false">INDEX('Type Chart'!$B$5:$P$19,MATCH(K$4,'Type Chart'!$A$5:$A$19,0),MATCH($C33,'Type Chart'!$B$4:$P$4,0))*IF($D33="",1,INDEX('Type Chart'!$B$5:$P$19,MATCH(K$4,'Type Chart'!$A$5:$A$19,0),MATCH($D33,'Type Chart'!$B$4:$P$4,0)))</f>
        <v>0.5</v>
      </c>
      <c r="L33" s="21" t="n">
        <f aca="false">INDEX('Type Chart'!$B$5:$P$19,MATCH(L$4,'Type Chart'!$A$5:$A$19,0),MATCH($C33,'Type Chart'!$B$4:$P$4,0))*IF($D33="",1,INDEX('Type Chart'!$B$5:$P$19,MATCH(L$4,'Type Chart'!$A$5:$A$19,0),MATCH($D33,'Type Chart'!$B$4:$P$4,0)))</f>
        <v>0.5</v>
      </c>
      <c r="M33" s="21" t="n">
        <f aca="false">INDEX('Type Chart'!$B$5:$P$19,MATCH(M$4,'Type Chart'!$A$5:$A$19,0),MATCH($C33,'Type Chart'!$B$4:$P$4,0))*IF($D33="",1,INDEX('Type Chart'!$B$5:$P$19,MATCH(M$4,'Type Chart'!$A$5:$A$19,0),MATCH($D33,'Type Chart'!$B$4:$P$4,0)))</f>
        <v>2</v>
      </c>
      <c r="N33" s="21" t="n">
        <f aca="false">INDEX('Type Chart'!$B$5:$P$19,MATCH(N$4,'Type Chart'!$A$5:$A$19,0),MATCH($C33,'Type Chart'!$B$4:$P$4,0))*IF($D33="",1,INDEX('Type Chart'!$B$5:$P$19,MATCH(N$4,'Type Chart'!$A$5:$A$19,0),MATCH($D33,'Type Chart'!$B$4:$P$4,0)))</f>
        <v>1</v>
      </c>
      <c r="O33" s="21" t="n">
        <f aca="false">INDEX('Type Chart'!$B$5:$P$19,MATCH(O$4,'Type Chart'!$A$5:$A$19,0),MATCH($C33,'Type Chart'!$B$4:$P$4,0))*IF($D33="",1,INDEX('Type Chart'!$B$5:$P$19,MATCH(O$4,'Type Chart'!$A$5:$A$19,0),MATCH($D33,'Type Chart'!$B$4:$P$4,0)))</f>
        <v>2</v>
      </c>
      <c r="P33" s="21" t="n">
        <f aca="false">INDEX('Type Chart'!$B$5:$P$19,MATCH(P$4,'Type Chart'!$A$5:$A$19,0),MATCH($C33,'Type Chart'!$B$4:$P$4,0))*IF($D33="",1,INDEX('Type Chart'!$B$5:$P$19,MATCH(P$4,'Type Chart'!$A$5:$A$19,0),MATCH($D33,'Type Chart'!$B$4:$P$4,0)))</f>
        <v>2</v>
      </c>
      <c r="Q33" s="21" t="n">
        <f aca="false">INDEX('Type Chart'!$B$5:$P$19,MATCH(Q$4,'Type Chart'!$A$5:$A$19,0),MATCH($C33,'Type Chart'!$B$4:$P$4,0))*IF($D33="",1,INDEX('Type Chart'!$B$5:$P$19,MATCH(Q$4,'Type Chart'!$A$5:$A$19,0),MATCH($D33,'Type Chart'!$B$4:$P$4,0)))</f>
        <v>1</v>
      </c>
      <c r="R33" s="21" t="n">
        <f aca="false">INDEX('Type Chart'!$B$5:$P$19,MATCH(R$4,'Type Chart'!$A$5:$A$19,0),MATCH($C33,'Type Chart'!$B$4:$P$4,0))*IF($D33="",1,INDEX('Type Chart'!$B$5:$P$19,MATCH(R$4,'Type Chart'!$A$5:$A$19,0),MATCH($D33,'Type Chart'!$B$4:$P$4,0)))</f>
        <v>1</v>
      </c>
      <c r="S33" s="21" t="n">
        <f aca="false">INDEX('Type Chart'!$B$5:$P$19,MATCH(S$4,'Type Chart'!$A$5:$A$19,0),MATCH($C33,'Type Chart'!$B$4:$P$4,0))*IF($D33="",1,INDEX('Type Chart'!$B$5:$P$19,MATCH(S$4,'Type Chart'!$A$5:$A$19,0),MATCH($D33,'Type Chart'!$B$4:$P$4,0)))</f>
        <v>1</v>
      </c>
    </row>
    <row r="34" customFormat="false" ht="15" hidden="false" customHeight="false" outlineLevel="0" collapsed="false">
      <c r="A34" s="19" t="n">
        <v>30</v>
      </c>
      <c r="B34" s="19" t="s">
        <v>121</v>
      </c>
      <c r="C34" s="20" t="str">
        <f aca="false">Pokedex!C34</f>
        <v>Poison</v>
      </c>
      <c r="D34" s="20" t="n">
        <f aca="false">Pokedex!D34</f>
        <v>0</v>
      </c>
      <c r="E34" s="21" t="n">
        <f aca="false">INDEX('Type Chart'!$B$5:$P$19,MATCH(E$4,'Type Chart'!$A$5:$A$19,0),MATCH($C34,'Type Chart'!$B$4:$P$4,0))*IF($D34="",1,INDEX('Type Chart'!$B$5:$P$19,MATCH(E$4,'Type Chart'!$A$5:$A$19,0),MATCH($D34,'Type Chart'!$B$4:$P$4,0)))</f>
        <v>1</v>
      </c>
      <c r="F34" s="21" t="n">
        <f aca="false">INDEX('Type Chart'!$B$5:$P$19,MATCH(F$4,'Type Chart'!$A$5:$A$19,0),MATCH($C34,'Type Chart'!$B$4:$P$4,0))*IF($D34="",1,INDEX('Type Chart'!$B$5:$P$19,MATCH(F$4,'Type Chart'!$A$5:$A$19,0),MATCH($D34,'Type Chart'!$B$4:$P$4,0)))</f>
        <v>1</v>
      </c>
      <c r="G34" s="21" t="n">
        <f aca="false">INDEX('Type Chart'!$B$5:$P$19,MATCH(G$4,'Type Chart'!$A$5:$A$19,0),MATCH($C34,'Type Chart'!$B$4:$P$4,0))*IF($D34="",1,INDEX('Type Chart'!$B$5:$P$19,MATCH(G$4,'Type Chart'!$A$5:$A$19,0),MATCH($D34,'Type Chart'!$B$4:$P$4,0)))</f>
        <v>1</v>
      </c>
      <c r="H34" s="21" t="n">
        <f aca="false">INDEX('Type Chart'!$B$5:$P$19,MATCH(H$4,'Type Chart'!$A$5:$A$19,0),MATCH($C34,'Type Chart'!$B$4:$P$4,0))*IF($D34="",1,INDEX('Type Chart'!$B$5:$P$19,MATCH(H$4,'Type Chart'!$A$5:$A$19,0),MATCH($D34,'Type Chart'!$B$4:$P$4,0)))</f>
        <v>1</v>
      </c>
      <c r="I34" s="21" t="n">
        <f aca="false">INDEX('Type Chart'!$B$5:$P$19,MATCH(I$4,'Type Chart'!$A$5:$A$19,0),MATCH($C34,'Type Chart'!$B$4:$P$4,0))*IF($D34="",1,INDEX('Type Chart'!$B$5:$P$19,MATCH(I$4,'Type Chart'!$A$5:$A$19,0),MATCH($D34,'Type Chart'!$B$4:$P$4,0)))</f>
        <v>0.5</v>
      </c>
      <c r="J34" s="21" t="n">
        <f aca="false">INDEX('Type Chart'!$B$5:$P$19,MATCH(J$4,'Type Chart'!$A$5:$A$19,0),MATCH($C34,'Type Chart'!$B$4:$P$4,0))*IF($D34="",1,INDEX('Type Chart'!$B$5:$P$19,MATCH(J$4,'Type Chart'!$A$5:$A$19,0),MATCH($D34,'Type Chart'!$B$4:$P$4,0)))</f>
        <v>1</v>
      </c>
      <c r="K34" s="21" t="n">
        <f aca="false">INDEX('Type Chart'!$B$5:$P$19,MATCH(K$4,'Type Chart'!$A$5:$A$19,0),MATCH($C34,'Type Chart'!$B$4:$P$4,0))*IF($D34="",1,INDEX('Type Chart'!$B$5:$P$19,MATCH(K$4,'Type Chart'!$A$5:$A$19,0),MATCH($D34,'Type Chart'!$B$4:$P$4,0)))</f>
        <v>0.5</v>
      </c>
      <c r="L34" s="21" t="n">
        <f aca="false">INDEX('Type Chart'!$B$5:$P$19,MATCH(L$4,'Type Chart'!$A$5:$A$19,0),MATCH($C34,'Type Chart'!$B$4:$P$4,0))*IF($D34="",1,INDEX('Type Chart'!$B$5:$P$19,MATCH(L$4,'Type Chart'!$A$5:$A$19,0),MATCH($D34,'Type Chart'!$B$4:$P$4,0)))</f>
        <v>0.5</v>
      </c>
      <c r="M34" s="21" t="n">
        <f aca="false">INDEX('Type Chart'!$B$5:$P$19,MATCH(M$4,'Type Chart'!$A$5:$A$19,0),MATCH($C34,'Type Chart'!$B$4:$P$4,0))*IF($D34="",1,INDEX('Type Chart'!$B$5:$P$19,MATCH(M$4,'Type Chart'!$A$5:$A$19,0),MATCH($D34,'Type Chart'!$B$4:$P$4,0)))</f>
        <v>2</v>
      </c>
      <c r="N34" s="21" t="n">
        <f aca="false">INDEX('Type Chart'!$B$5:$P$19,MATCH(N$4,'Type Chart'!$A$5:$A$19,0),MATCH($C34,'Type Chart'!$B$4:$P$4,0))*IF($D34="",1,INDEX('Type Chart'!$B$5:$P$19,MATCH(N$4,'Type Chart'!$A$5:$A$19,0),MATCH($D34,'Type Chart'!$B$4:$P$4,0)))</f>
        <v>1</v>
      </c>
      <c r="O34" s="21" t="n">
        <f aca="false">INDEX('Type Chart'!$B$5:$P$19,MATCH(O$4,'Type Chart'!$A$5:$A$19,0),MATCH($C34,'Type Chart'!$B$4:$P$4,0))*IF($D34="",1,INDEX('Type Chart'!$B$5:$P$19,MATCH(O$4,'Type Chart'!$A$5:$A$19,0),MATCH($D34,'Type Chart'!$B$4:$P$4,0)))</f>
        <v>2</v>
      </c>
      <c r="P34" s="21" t="n">
        <f aca="false">INDEX('Type Chart'!$B$5:$P$19,MATCH(P$4,'Type Chart'!$A$5:$A$19,0),MATCH($C34,'Type Chart'!$B$4:$P$4,0))*IF($D34="",1,INDEX('Type Chart'!$B$5:$P$19,MATCH(P$4,'Type Chart'!$A$5:$A$19,0),MATCH($D34,'Type Chart'!$B$4:$P$4,0)))</f>
        <v>2</v>
      </c>
      <c r="Q34" s="21" t="n">
        <f aca="false">INDEX('Type Chart'!$B$5:$P$19,MATCH(Q$4,'Type Chart'!$A$5:$A$19,0),MATCH($C34,'Type Chart'!$B$4:$P$4,0))*IF($D34="",1,INDEX('Type Chart'!$B$5:$P$19,MATCH(Q$4,'Type Chart'!$A$5:$A$19,0),MATCH($D34,'Type Chart'!$B$4:$P$4,0)))</f>
        <v>1</v>
      </c>
      <c r="R34" s="21" t="n">
        <f aca="false">INDEX('Type Chart'!$B$5:$P$19,MATCH(R$4,'Type Chart'!$A$5:$A$19,0),MATCH($C34,'Type Chart'!$B$4:$P$4,0))*IF($D34="",1,INDEX('Type Chart'!$B$5:$P$19,MATCH(R$4,'Type Chart'!$A$5:$A$19,0),MATCH($D34,'Type Chart'!$B$4:$P$4,0)))</f>
        <v>1</v>
      </c>
      <c r="S34" s="21" t="n">
        <f aca="false">INDEX('Type Chart'!$B$5:$P$19,MATCH(S$4,'Type Chart'!$A$5:$A$19,0),MATCH($C34,'Type Chart'!$B$4:$P$4,0))*IF($D34="",1,INDEX('Type Chart'!$B$5:$P$19,MATCH(S$4,'Type Chart'!$A$5:$A$19,0),MATCH($D34,'Type Chart'!$B$4:$P$4,0)))</f>
        <v>1</v>
      </c>
    </row>
    <row r="35" customFormat="false" ht="15" hidden="false" customHeight="false" outlineLevel="0" collapsed="false">
      <c r="A35" s="19" t="n">
        <v>31</v>
      </c>
      <c r="B35" s="19" t="s">
        <v>122</v>
      </c>
      <c r="C35" s="20" t="str">
        <f aca="false">Pokedex!C35</f>
        <v>Poison</v>
      </c>
      <c r="D35" s="20" t="str">
        <f aca="false">Pokedex!D35</f>
        <v>Ground</v>
      </c>
      <c r="E35" s="21" t="n">
        <f aca="false">INDEX('Type Chart'!$B$5:$P$19,MATCH(E$4,'Type Chart'!$A$5:$A$19,0),MATCH($C35,'Type Chart'!$B$4:$P$4,0))*IF($D35="",1,INDEX('Type Chart'!$B$5:$P$19,MATCH(E$4,'Type Chart'!$A$5:$A$19,0),MATCH($D35,'Type Chart'!$B$4:$P$4,0)))</f>
        <v>1</v>
      </c>
      <c r="F35" s="21" t="n">
        <f aca="false">INDEX('Type Chart'!$B$5:$P$19,MATCH(F$4,'Type Chart'!$A$5:$A$19,0),MATCH($C35,'Type Chart'!$B$4:$P$4,0))*IF($D35="",1,INDEX('Type Chart'!$B$5:$P$19,MATCH(F$4,'Type Chart'!$A$5:$A$19,0),MATCH($D35,'Type Chart'!$B$4:$P$4,0)))</f>
        <v>1</v>
      </c>
      <c r="G35" s="21" t="n">
        <f aca="false">INDEX('Type Chart'!$B$5:$P$19,MATCH(G$4,'Type Chart'!$A$5:$A$19,0),MATCH($C35,'Type Chart'!$B$4:$P$4,0))*IF($D35="",1,INDEX('Type Chart'!$B$5:$P$19,MATCH(G$4,'Type Chart'!$A$5:$A$19,0),MATCH($D35,'Type Chart'!$B$4:$P$4,0)))</f>
        <v>2</v>
      </c>
      <c r="H35" s="21" t="n">
        <f aca="false">INDEX('Type Chart'!$B$5:$P$19,MATCH(H$4,'Type Chart'!$A$5:$A$19,0),MATCH($C35,'Type Chart'!$B$4:$P$4,0))*IF($D35="",1,INDEX('Type Chart'!$B$5:$P$19,MATCH(H$4,'Type Chart'!$A$5:$A$19,0),MATCH($D35,'Type Chart'!$B$4:$P$4,0)))</f>
        <v>0</v>
      </c>
      <c r="I35" s="21" t="n">
        <f aca="false">INDEX('Type Chart'!$B$5:$P$19,MATCH(I$4,'Type Chart'!$A$5:$A$19,0),MATCH($C35,'Type Chart'!$B$4:$P$4,0))*IF($D35="",1,INDEX('Type Chart'!$B$5:$P$19,MATCH(I$4,'Type Chart'!$A$5:$A$19,0),MATCH($D35,'Type Chart'!$B$4:$P$4,0)))</f>
        <v>1</v>
      </c>
      <c r="J35" s="21" t="n">
        <f aca="false">INDEX('Type Chart'!$B$5:$P$19,MATCH(J$4,'Type Chart'!$A$5:$A$19,0),MATCH($C35,'Type Chart'!$B$4:$P$4,0))*IF($D35="",1,INDEX('Type Chart'!$B$5:$P$19,MATCH(J$4,'Type Chart'!$A$5:$A$19,0),MATCH($D35,'Type Chart'!$B$4:$P$4,0)))</f>
        <v>2</v>
      </c>
      <c r="K35" s="21" t="n">
        <f aca="false">INDEX('Type Chart'!$B$5:$P$19,MATCH(K$4,'Type Chart'!$A$5:$A$19,0),MATCH($C35,'Type Chart'!$B$4:$P$4,0))*IF($D35="",1,INDEX('Type Chart'!$B$5:$P$19,MATCH(K$4,'Type Chart'!$A$5:$A$19,0),MATCH($D35,'Type Chart'!$B$4:$P$4,0)))</f>
        <v>0.5</v>
      </c>
      <c r="L35" s="21" t="n">
        <f aca="false">INDEX('Type Chart'!$B$5:$P$19,MATCH(L$4,'Type Chart'!$A$5:$A$19,0),MATCH($C35,'Type Chart'!$B$4:$P$4,0))*IF($D35="",1,INDEX('Type Chart'!$B$5:$P$19,MATCH(L$4,'Type Chart'!$A$5:$A$19,0),MATCH($D35,'Type Chart'!$B$4:$P$4,0)))</f>
        <v>0.25</v>
      </c>
      <c r="M35" s="21" t="n">
        <f aca="false">INDEX('Type Chart'!$B$5:$P$19,MATCH(M$4,'Type Chart'!$A$5:$A$19,0),MATCH($C35,'Type Chart'!$B$4:$P$4,0))*IF($D35="",1,INDEX('Type Chart'!$B$5:$P$19,MATCH(M$4,'Type Chart'!$A$5:$A$19,0),MATCH($D35,'Type Chart'!$B$4:$P$4,0)))</f>
        <v>2</v>
      </c>
      <c r="N35" s="21" t="n">
        <f aca="false">INDEX('Type Chart'!$B$5:$P$19,MATCH(N$4,'Type Chart'!$A$5:$A$19,0),MATCH($C35,'Type Chart'!$B$4:$P$4,0))*IF($D35="",1,INDEX('Type Chart'!$B$5:$P$19,MATCH(N$4,'Type Chart'!$A$5:$A$19,0),MATCH($D35,'Type Chart'!$B$4:$P$4,0)))</f>
        <v>1</v>
      </c>
      <c r="O35" s="21" t="n">
        <f aca="false">INDEX('Type Chart'!$B$5:$P$19,MATCH(O$4,'Type Chart'!$A$5:$A$19,0),MATCH($C35,'Type Chart'!$B$4:$P$4,0))*IF($D35="",1,INDEX('Type Chart'!$B$5:$P$19,MATCH(O$4,'Type Chart'!$A$5:$A$19,0),MATCH($D35,'Type Chart'!$B$4:$P$4,0)))</f>
        <v>2</v>
      </c>
      <c r="P35" s="21" t="n">
        <f aca="false">INDEX('Type Chart'!$B$5:$P$19,MATCH(P$4,'Type Chart'!$A$5:$A$19,0),MATCH($C35,'Type Chart'!$B$4:$P$4,0))*IF($D35="",1,INDEX('Type Chart'!$B$5:$P$19,MATCH(P$4,'Type Chart'!$A$5:$A$19,0),MATCH($D35,'Type Chart'!$B$4:$P$4,0)))</f>
        <v>2</v>
      </c>
      <c r="Q35" s="21" t="n">
        <f aca="false">INDEX('Type Chart'!$B$5:$P$19,MATCH(Q$4,'Type Chart'!$A$5:$A$19,0),MATCH($C35,'Type Chart'!$B$4:$P$4,0))*IF($D35="",1,INDEX('Type Chart'!$B$5:$P$19,MATCH(Q$4,'Type Chart'!$A$5:$A$19,0),MATCH($D35,'Type Chart'!$B$4:$P$4,0)))</f>
        <v>0.5</v>
      </c>
      <c r="R35" s="21" t="n">
        <f aca="false">INDEX('Type Chart'!$B$5:$P$19,MATCH(R$4,'Type Chart'!$A$5:$A$19,0),MATCH($C35,'Type Chart'!$B$4:$P$4,0))*IF($D35="",1,INDEX('Type Chart'!$B$5:$P$19,MATCH(R$4,'Type Chart'!$A$5:$A$19,0),MATCH($D35,'Type Chart'!$B$4:$P$4,0)))</f>
        <v>1</v>
      </c>
      <c r="S35" s="21" t="n">
        <f aca="false">INDEX('Type Chart'!$B$5:$P$19,MATCH(S$4,'Type Chart'!$A$5:$A$19,0),MATCH($C35,'Type Chart'!$B$4:$P$4,0))*IF($D35="",1,INDEX('Type Chart'!$B$5:$P$19,MATCH(S$4,'Type Chart'!$A$5:$A$19,0),MATCH($D35,'Type Chart'!$B$4:$P$4,0)))</f>
        <v>1</v>
      </c>
    </row>
    <row r="36" customFormat="false" ht="15" hidden="false" customHeight="false" outlineLevel="0" collapsed="false">
      <c r="A36" s="19" t="n">
        <v>32</v>
      </c>
      <c r="B36" s="19" t="s">
        <v>123</v>
      </c>
      <c r="C36" s="20" t="str">
        <f aca="false">Pokedex!C36</f>
        <v>Poison</v>
      </c>
      <c r="D36" s="20" t="n">
        <f aca="false">Pokedex!D36</f>
        <v>0</v>
      </c>
      <c r="E36" s="21" t="n">
        <f aca="false">INDEX('Type Chart'!$B$5:$P$19,MATCH(E$4,'Type Chart'!$A$5:$A$19,0),MATCH($C36,'Type Chart'!$B$4:$P$4,0))*IF($D36="",1,INDEX('Type Chart'!$B$5:$P$19,MATCH(E$4,'Type Chart'!$A$5:$A$19,0),MATCH($D36,'Type Chart'!$B$4:$P$4,0)))</f>
        <v>1</v>
      </c>
      <c r="F36" s="21" t="n">
        <f aca="false">INDEX('Type Chart'!$B$5:$P$19,MATCH(F$4,'Type Chart'!$A$5:$A$19,0),MATCH($C36,'Type Chart'!$B$4:$P$4,0))*IF($D36="",1,INDEX('Type Chart'!$B$5:$P$19,MATCH(F$4,'Type Chart'!$A$5:$A$19,0),MATCH($D36,'Type Chart'!$B$4:$P$4,0)))</f>
        <v>1</v>
      </c>
      <c r="G36" s="21" t="n">
        <f aca="false">INDEX('Type Chart'!$B$5:$P$19,MATCH(G$4,'Type Chart'!$A$5:$A$19,0),MATCH($C36,'Type Chart'!$B$4:$P$4,0))*IF($D36="",1,INDEX('Type Chart'!$B$5:$P$19,MATCH(G$4,'Type Chart'!$A$5:$A$19,0),MATCH($D36,'Type Chart'!$B$4:$P$4,0)))</f>
        <v>1</v>
      </c>
      <c r="H36" s="21" t="n">
        <f aca="false">INDEX('Type Chart'!$B$5:$P$19,MATCH(H$4,'Type Chart'!$A$5:$A$19,0),MATCH($C36,'Type Chart'!$B$4:$P$4,0))*IF($D36="",1,INDEX('Type Chart'!$B$5:$P$19,MATCH(H$4,'Type Chart'!$A$5:$A$19,0),MATCH($D36,'Type Chart'!$B$4:$P$4,0)))</f>
        <v>1</v>
      </c>
      <c r="I36" s="21" t="n">
        <f aca="false">INDEX('Type Chart'!$B$5:$P$19,MATCH(I$4,'Type Chart'!$A$5:$A$19,0),MATCH($C36,'Type Chart'!$B$4:$P$4,0))*IF($D36="",1,INDEX('Type Chart'!$B$5:$P$19,MATCH(I$4,'Type Chart'!$A$5:$A$19,0),MATCH($D36,'Type Chart'!$B$4:$P$4,0)))</f>
        <v>0.5</v>
      </c>
      <c r="J36" s="21" t="n">
        <f aca="false">INDEX('Type Chart'!$B$5:$P$19,MATCH(J$4,'Type Chart'!$A$5:$A$19,0),MATCH($C36,'Type Chart'!$B$4:$P$4,0))*IF($D36="",1,INDEX('Type Chart'!$B$5:$P$19,MATCH(J$4,'Type Chart'!$A$5:$A$19,0),MATCH($D36,'Type Chart'!$B$4:$P$4,0)))</f>
        <v>1</v>
      </c>
      <c r="K36" s="21" t="n">
        <f aca="false">INDEX('Type Chart'!$B$5:$P$19,MATCH(K$4,'Type Chart'!$A$5:$A$19,0),MATCH($C36,'Type Chart'!$B$4:$P$4,0))*IF($D36="",1,INDEX('Type Chart'!$B$5:$P$19,MATCH(K$4,'Type Chart'!$A$5:$A$19,0),MATCH($D36,'Type Chart'!$B$4:$P$4,0)))</f>
        <v>0.5</v>
      </c>
      <c r="L36" s="21" t="n">
        <f aca="false">INDEX('Type Chart'!$B$5:$P$19,MATCH(L$4,'Type Chart'!$A$5:$A$19,0),MATCH($C36,'Type Chart'!$B$4:$P$4,0))*IF($D36="",1,INDEX('Type Chart'!$B$5:$P$19,MATCH(L$4,'Type Chart'!$A$5:$A$19,0),MATCH($D36,'Type Chart'!$B$4:$P$4,0)))</f>
        <v>0.5</v>
      </c>
      <c r="M36" s="21" t="n">
        <f aca="false">INDEX('Type Chart'!$B$5:$P$19,MATCH(M$4,'Type Chart'!$A$5:$A$19,0),MATCH($C36,'Type Chart'!$B$4:$P$4,0))*IF($D36="",1,INDEX('Type Chart'!$B$5:$P$19,MATCH(M$4,'Type Chart'!$A$5:$A$19,0),MATCH($D36,'Type Chart'!$B$4:$P$4,0)))</f>
        <v>2</v>
      </c>
      <c r="N36" s="21" t="n">
        <f aca="false">INDEX('Type Chart'!$B$5:$P$19,MATCH(N$4,'Type Chart'!$A$5:$A$19,0),MATCH($C36,'Type Chart'!$B$4:$P$4,0))*IF($D36="",1,INDEX('Type Chart'!$B$5:$P$19,MATCH(N$4,'Type Chart'!$A$5:$A$19,0),MATCH($D36,'Type Chart'!$B$4:$P$4,0)))</f>
        <v>1</v>
      </c>
      <c r="O36" s="21" t="n">
        <f aca="false">INDEX('Type Chart'!$B$5:$P$19,MATCH(O$4,'Type Chart'!$A$5:$A$19,0),MATCH($C36,'Type Chart'!$B$4:$P$4,0))*IF($D36="",1,INDEX('Type Chart'!$B$5:$P$19,MATCH(O$4,'Type Chart'!$A$5:$A$19,0),MATCH($D36,'Type Chart'!$B$4:$P$4,0)))</f>
        <v>2</v>
      </c>
      <c r="P36" s="21" t="n">
        <f aca="false">INDEX('Type Chart'!$B$5:$P$19,MATCH(P$4,'Type Chart'!$A$5:$A$19,0),MATCH($C36,'Type Chart'!$B$4:$P$4,0))*IF($D36="",1,INDEX('Type Chart'!$B$5:$P$19,MATCH(P$4,'Type Chart'!$A$5:$A$19,0),MATCH($D36,'Type Chart'!$B$4:$P$4,0)))</f>
        <v>2</v>
      </c>
      <c r="Q36" s="21" t="n">
        <f aca="false">INDEX('Type Chart'!$B$5:$P$19,MATCH(Q$4,'Type Chart'!$A$5:$A$19,0),MATCH($C36,'Type Chart'!$B$4:$P$4,0))*IF($D36="",1,INDEX('Type Chart'!$B$5:$P$19,MATCH(Q$4,'Type Chart'!$A$5:$A$19,0),MATCH($D36,'Type Chart'!$B$4:$P$4,0)))</f>
        <v>1</v>
      </c>
      <c r="R36" s="21" t="n">
        <f aca="false">INDEX('Type Chart'!$B$5:$P$19,MATCH(R$4,'Type Chart'!$A$5:$A$19,0),MATCH($C36,'Type Chart'!$B$4:$P$4,0))*IF($D36="",1,INDEX('Type Chart'!$B$5:$P$19,MATCH(R$4,'Type Chart'!$A$5:$A$19,0),MATCH($D36,'Type Chart'!$B$4:$P$4,0)))</f>
        <v>1</v>
      </c>
      <c r="S36" s="21" t="n">
        <f aca="false">INDEX('Type Chart'!$B$5:$P$19,MATCH(S$4,'Type Chart'!$A$5:$A$19,0),MATCH($C36,'Type Chart'!$B$4:$P$4,0))*IF($D36="",1,INDEX('Type Chart'!$B$5:$P$19,MATCH(S$4,'Type Chart'!$A$5:$A$19,0),MATCH($D36,'Type Chart'!$B$4:$P$4,0)))</f>
        <v>1</v>
      </c>
    </row>
    <row r="37" customFormat="false" ht="15" hidden="false" customHeight="false" outlineLevel="0" collapsed="false">
      <c r="A37" s="19" t="n">
        <v>33</v>
      </c>
      <c r="B37" s="19" t="s">
        <v>124</v>
      </c>
      <c r="C37" s="20" t="str">
        <f aca="false">Pokedex!C37</f>
        <v>Poison</v>
      </c>
      <c r="D37" s="20" t="n">
        <f aca="false">Pokedex!D37</f>
        <v>0</v>
      </c>
      <c r="E37" s="21" t="n">
        <f aca="false">INDEX('Type Chart'!$B$5:$P$19,MATCH(E$4,'Type Chart'!$A$5:$A$19,0),MATCH($C37,'Type Chart'!$B$4:$P$4,0))*IF($D37="",1,INDEX('Type Chart'!$B$5:$P$19,MATCH(E$4,'Type Chart'!$A$5:$A$19,0),MATCH($D37,'Type Chart'!$B$4:$P$4,0)))</f>
        <v>1</v>
      </c>
      <c r="F37" s="21" t="n">
        <f aca="false">INDEX('Type Chart'!$B$5:$P$19,MATCH(F$4,'Type Chart'!$A$5:$A$19,0),MATCH($C37,'Type Chart'!$B$4:$P$4,0))*IF($D37="",1,INDEX('Type Chart'!$B$5:$P$19,MATCH(F$4,'Type Chart'!$A$5:$A$19,0),MATCH($D37,'Type Chart'!$B$4:$P$4,0)))</f>
        <v>1</v>
      </c>
      <c r="G37" s="21" t="n">
        <f aca="false">INDEX('Type Chart'!$B$5:$P$19,MATCH(G$4,'Type Chart'!$A$5:$A$19,0),MATCH($C37,'Type Chart'!$B$4:$P$4,0))*IF($D37="",1,INDEX('Type Chart'!$B$5:$P$19,MATCH(G$4,'Type Chart'!$A$5:$A$19,0),MATCH($D37,'Type Chart'!$B$4:$P$4,0)))</f>
        <v>1</v>
      </c>
      <c r="H37" s="21" t="n">
        <f aca="false">INDEX('Type Chart'!$B$5:$P$19,MATCH(H$4,'Type Chart'!$A$5:$A$19,0),MATCH($C37,'Type Chart'!$B$4:$P$4,0))*IF($D37="",1,INDEX('Type Chart'!$B$5:$P$19,MATCH(H$4,'Type Chart'!$A$5:$A$19,0),MATCH($D37,'Type Chart'!$B$4:$P$4,0)))</f>
        <v>1</v>
      </c>
      <c r="I37" s="21" t="n">
        <f aca="false">INDEX('Type Chart'!$B$5:$P$19,MATCH(I$4,'Type Chart'!$A$5:$A$19,0),MATCH($C37,'Type Chart'!$B$4:$P$4,0))*IF($D37="",1,INDEX('Type Chart'!$B$5:$P$19,MATCH(I$4,'Type Chart'!$A$5:$A$19,0),MATCH($D37,'Type Chart'!$B$4:$P$4,0)))</f>
        <v>0.5</v>
      </c>
      <c r="J37" s="21" t="n">
        <f aca="false">INDEX('Type Chart'!$B$5:$P$19,MATCH(J$4,'Type Chart'!$A$5:$A$19,0),MATCH($C37,'Type Chart'!$B$4:$P$4,0))*IF($D37="",1,INDEX('Type Chart'!$B$5:$P$19,MATCH(J$4,'Type Chart'!$A$5:$A$19,0),MATCH($D37,'Type Chart'!$B$4:$P$4,0)))</f>
        <v>1</v>
      </c>
      <c r="K37" s="21" t="n">
        <f aca="false">INDEX('Type Chart'!$B$5:$P$19,MATCH(K$4,'Type Chart'!$A$5:$A$19,0),MATCH($C37,'Type Chart'!$B$4:$P$4,0))*IF($D37="",1,INDEX('Type Chart'!$B$5:$P$19,MATCH(K$4,'Type Chart'!$A$5:$A$19,0),MATCH($D37,'Type Chart'!$B$4:$P$4,0)))</f>
        <v>0.5</v>
      </c>
      <c r="L37" s="21" t="n">
        <f aca="false">INDEX('Type Chart'!$B$5:$P$19,MATCH(L$4,'Type Chart'!$A$5:$A$19,0),MATCH($C37,'Type Chart'!$B$4:$P$4,0))*IF($D37="",1,INDEX('Type Chart'!$B$5:$P$19,MATCH(L$4,'Type Chart'!$A$5:$A$19,0),MATCH($D37,'Type Chart'!$B$4:$P$4,0)))</f>
        <v>0.5</v>
      </c>
      <c r="M37" s="21" t="n">
        <f aca="false">INDEX('Type Chart'!$B$5:$P$19,MATCH(M$4,'Type Chart'!$A$5:$A$19,0),MATCH($C37,'Type Chart'!$B$4:$P$4,0))*IF($D37="",1,INDEX('Type Chart'!$B$5:$P$19,MATCH(M$4,'Type Chart'!$A$5:$A$19,0),MATCH($D37,'Type Chart'!$B$4:$P$4,0)))</f>
        <v>2</v>
      </c>
      <c r="N37" s="21" t="n">
        <f aca="false">INDEX('Type Chart'!$B$5:$P$19,MATCH(N$4,'Type Chart'!$A$5:$A$19,0),MATCH($C37,'Type Chart'!$B$4:$P$4,0))*IF($D37="",1,INDEX('Type Chart'!$B$5:$P$19,MATCH(N$4,'Type Chart'!$A$5:$A$19,0),MATCH($D37,'Type Chart'!$B$4:$P$4,0)))</f>
        <v>1</v>
      </c>
      <c r="O37" s="21" t="n">
        <f aca="false">INDEX('Type Chart'!$B$5:$P$19,MATCH(O$4,'Type Chart'!$A$5:$A$19,0),MATCH($C37,'Type Chart'!$B$4:$P$4,0))*IF($D37="",1,INDEX('Type Chart'!$B$5:$P$19,MATCH(O$4,'Type Chart'!$A$5:$A$19,0),MATCH($D37,'Type Chart'!$B$4:$P$4,0)))</f>
        <v>2</v>
      </c>
      <c r="P37" s="21" t="n">
        <f aca="false">INDEX('Type Chart'!$B$5:$P$19,MATCH(P$4,'Type Chart'!$A$5:$A$19,0),MATCH($C37,'Type Chart'!$B$4:$P$4,0))*IF($D37="",1,INDEX('Type Chart'!$B$5:$P$19,MATCH(P$4,'Type Chart'!$A$5:$A$19,0),MATCH($D37,'Type Chart'!$B$4:$P$4,0)))</f>
        <v>2</v>
      </c>
      <c r="Q37" s="21" t="n">
        <f aca="false">INDEX('Type Chart'!$B$5:$P$19,MATCH(Q$4,'Type Chart'!$A$5:$A$19,0),MATCH($C37,'Type Chart'!$B$4:$P$4,0))*IF($D37="",1,INDEX('Type Chart'!$B$5:$P$19,MATCH(Q$4,'Type Chart'!$A$5:$A$19,0),MATCH($D37,'Type Chart'!$B$4:$P$4,0)))</f>
        <v>1</v>
      </c>
      <c r="R37" s="21" t="n">
        <f aca="false">INDEX('Type Chart'!$B$5:$P$19,MATCH(R$4,'Type Chart'!$A$5:$A$19,0),MATCH($C37,'Type Chart'!$B$4:$P$4,0))*IF($D37="",1,INDEX('Type Chart'!$B$5:$P$19,MATCH(R$4,'Type Chart'!$A$5:$A$19,0),MATCH($D37,'Type Chart'!$B$4:$P$4,0)))</f>
        <v>1</v>
      </c>
      <c r="S37" s="21" t="n">
        <f aca="false">INDEX('Type Chart'!$B$5:$P$19,MATCH(S$4,'Type Chart'!$A$5:$A$19,0),MATCH($C37,'Type Chart'!$B$4:$P$4,0))*IF($D37="",1,INDEX('Type Chart'!$B$5:$P$19,MATCH(S$4,'Type Chart'!$A$5:$A$19,0),MATCH($D37,'Type Chart'!$B$4:$P$4,0)))</f>
        <v>1</v>
      </c>
    </row>
    <row r="38" customFormat="false" ht="15" hidden="false" customHeight="false" outlineLevel="0" collapsed="false">
      <c r="A38" s="19" t="n">
        <v>34</v>
      </c>
      <c r="B38" s="19" t="s">
        <v>125</v>
      </c>
      <c r="C38" s="20" t="str">
        <f aca="false">Pokedex!C38</f>
        <v>Poison</v>
      </c>
      <c r="D38" s="20" t="str">
        <f aca="false">Pokedex!D38</f>
        <v>Ground</v>
      </c>
      <c r="E38" s="21" t="n">
        <f aca="false">INDEX('Type Chart'!$B$5:$P$19,MATCH(E$4,'Type Chart'!$A$5:$A$19,0),MATCH($C38,'Type Chart'!$B$4:$P$4,0))*IF($D38="",1,INDEX('Type Chart'!$B$5:$P$19,MATCH(E$4,'Type Chart'!$A$5:$A$19,0),MATCH($D38,'Type Chart'!$B$4:$P$4,0)))</f>
        <v>1</v>
      </c>
      <c r="F38" s="21" t="n">
        <f aca="false">INDEX('Type Chart'!$B$5:$P$19,MATCH(F$4,'Type Chart'!$A$5:$A$19,0),MATCH($C38,'Type Chart'!$B$4:$P$4,0))*IF($D38="",1,INDEX('Type Chart'!$B$5:$P$19,MATCH(F$4,'Type Chart'!$A$5:$A$19,0),MATCH($D38,'Type Chart'!$B$4:$P$4,0)))</f>
        <v>1</v>
      </c>
      <c r="G38" s="21" t="n">
        <f aca="false">INDEX('Type Chart'!$B$5:$P$19,MATCH(G$4,'Type Chart'!$A$5:$A$19,0),MATCH($C38,'Type Chart'!$B$4:$P$4,0))*IF($D38="",1,INDEX('Type Chart'!$B$5:$P$19,MATCH(G$4,'Type Chart'!$A$5:$A$19,0),MATCH($D38,'Type Chart'!$B$4:$P$4,0)))</f>
        <v>2</v>
      </c>
      <c r="H38" s="21" t="n">
        <f aca="false">INDEX('Type Chart'!$B$5:$P$19,MATCH(H$4,'Type Chart'!$A$5:$A$19,0),MATCH($C38,'Type Chart'!$B$4:$P$4,0))*IF($D38="",1,INDEX('Type Chart'!$B$5:$P$19,MATCH(H$4,'Type Chart'!$A$5:$A$19,0),MATCH($D38,'Type Chart'!$B$4:$P$4,0)))</f>
        <v>0</v>
      </c>
      <c r="I38" s="21" t="n">
        <f aca="false">INDEX('Type Chart'!$B$5:$P$19,MATCH(I$4,'Type Chart'!$A$5:$A$19,0),MATCH($C38,'Type Chart'!$B$4:$P$4,0))*IF($D38="",1,INDEX('Type Chart'!$B$5:$P$19,MATCH(I$4,'Type Chart'!$A$5:$A$19,0),MATCH($D38,'Type Chart'!$B$4:$P$4,0)))</f>
        <v>1</v>
      </c>
      <c r="J38" s="21" t="n">
        <f aca="false">INDEX('Type Chart'!$B$5:$P$19,MATCH(J$4,'Type Chart'!$A$5:$A$19,0),MATCH($C38,'Type Chart'!$B$4:$P$4,0))*IF($D38="",1,INDEX('Type Chart'!$B$5:$P$19,MATCH(J$4,'Type Chart'!$A$5:$A$19,0),MATCH($D38,'Type Chart'!$B$4:$P$4,0)))</f>
        <v>2</v>
      </c>
      <c r="K38" s="21" t="n">
        <f aca="false">INDEX('Type Chart'!$B$5:$P$19,MATCH(K$4,'Type Chart'!$A$5:$A$19,0),MATCH($C38,'Type Chart'!$B$4:$P$4,0))*IF($D38="",1,INDEX('Type Chart'!$B$5:$P$19,MATCH(K$4,'Type Chart'!$A$5:$A$19,0),MATCH($D38,'Type Chart'!$B$4:$P$4,0)))</f>
        <v>0.5</v>
      </c>
      <c r="L38" s="21" t="n">
        <f aca="false">INDEX('Type Chart'!$B$5:$P$19,MATCH(L$4,'Type Chart'!$A$5:$A$19,0),MATCH($C38,'Type Chart'!$B$4:$P$4,0))*IF($D38="",1,INDEX('Type Chart'!$B$5:$P$19,MATCH(L$4,'Type Chart'!$A$5:$A$19,0),MATCH($D38,'Type Chart'!$B$4:$P$4,0)))</f>
        <v>0.25</v>
      </c>
      <c r="M38" s="21" t="n">
        <f aca="false">INDEX('Type Chart'!$B$5:$P$19,MATCH(M$4,'Type Chart'!$A$5:$A$19,0),MATCH($C38,'Type Chart'!$B$4:$P$4,0))*IF($D38="",1,INDEX('Type Chart'!$B$5:$P$19,MATCH(M$4,'Type Chart'!$A$5:$A$19,0),MATCH($D38,'Type Chart'!$B$4:$P$4,0)))</f>
        <v>2</v>
      </c>
      <c r="N38" s="21" t="n">
        <f aca="false">INDEX('Type Chart'!$B$5:$P$19,MATCH(N$4,'Type Chart'!$A$5:$A$19,0),MATCH($C38,'Type Chart'!$B$4:$P$4,0))*IF($D38="",1,INDEX('Type Chart'!$B$5:$P$19,MATCH(N$4,'Type Chart'!$A$5:$A$19,0),MATCH($D38,'Type Chart'!$B$4:$P$4,0)))</f>
        <v>1</v>
      </c>
      <c r="O38" s="21" t="n">
        <f aca="false">INDEX('Type Chart'!$B$5:$P$19,MATCH(O$4,'Type Chart'!$A$5:$A$19,0),MATCH($C38,'Type Chart'!$B$4:$P$4,0))*IF($D38="",1,INDEX('Type Chart'!$B$5:$P$19,MATCH(O$4,'Type Chart'!$A$5:$A$19,0),MATCH($D38,'Type Chart'!$B$4:$P$4,0)))</f>
        <v>2</v>
      </c>
      <c r="P38" s="21" t="n">
        <f aca="false">INDEX('Type Chart'!$B$5:$P$19,MATCH(P$4,'Type Chart'!$A$5:$A$19,0),MATCH($C38,'Type Chart'!$B$4:$P$4,0))*IF($D38="",1,INDEX('Type Chart'!$B$5:$P$19,MATCH(P$4,'Type Chart'!$A$5:$A$19,0),MATCH($D38,'Type Chart'!$B$4:$P$4,0)))</f>
        <v>2</v>
      </c>
      <c r="Q38" s="21" t="n">
        <f aca="false">INDEX('Type Chart'!$B$5:$P$19,MATCH(Q$4,'Type Chart'!$A$5:$A$19,0),MATCH($C38,'Type Chart'!$B$4:$P$4,0))*IF($D38="",1,INDEX('Type Chart'!$B$5:$P$19,MATCH(Q$4,'Type Chart'!$A$5:$A$19,0),MATCH($D38,'Type Chart'!$B$4:$P$4,0)))</f>
        <v>0.5</v>
      </c>
      <c r="R38" s="21" t="n">
        <f aca="false">INDEX('Type Chart'!$B$5:$P$19,MATCH(R$4,'Type Chart'!$A$5:$A$19,0),MATCH($C38,'Type Chart'!$B$4:$P$4,0))*IF($D38="",1,INDEX('Type Chart'!$B$5:$P$19,MATCH(R$4,'Type Chart'!$A$5:$A$19,0),MATCH($D38,'Type Chart'!$B$4:$P$4,0)))</f>
        <v>1</v>
      </c>
      <c r="S38" s="21" t="n">
        <f aca="false">INDEX('Type Chart'!$B$5:$P$19,MATCH(S$4,'Type Chart'!$A$5:$A$19,0),MATCH($C38,'Type Chart'!$B$4:$P$4,0))*IF($D38="",1,INDEX('Type Chart'!$B$5:$P$19,MATCH(S$4,'Type Chart'!$A$5:$A$19,0),MATCH($D38,'Type Chart'!$B$4:$P$4,0)))</f>
        <v>1</v>
      </c>
    </row>
    <row r="39" customFormat="false" ht="15" hidden="false" customHeight="false" outlineLevel="0" collapsed="false">
      <c r="A39" s="19" t="n">
        <v>35</v>
      </c>
      <c r="B39" s="19" t="s">
        <v>126</v>
      </c>
      <c r="C39" s="20" t="str">
        <f aca="false">Pokedex!C39</f>
        <v>Normal</v>
      </c>
      <c r="D39" s="20" t="n">
        <f aca="false">Pokedex!D39</f>
        <v>0</v>
      </c>
      <c r="E39" s="21" t="n">
        <f aca="false">INDEX('Type Chart'!$B$5:$P$19,MATCH(E$4,'Type Chart'!$A$5:$A$19,0),MATCH($C39,'Type Chart'!$B$4:$P$4,0))*IF($D39="",1,INDEX('Type Chart'!$B$5:$P$19,MATCH(E$4,'Type Chart'!$A$5:$A$19,0),MATCH($D39,'Type Chart'!$B$4:$P$4,0)))</f>
        <v>1</v>
      </c>
      <c r="F39" s="21" t="n">
        <f aca="false">INDEX('Type Chart'!$B$5:$P$19,MATCH(F$4,'Type Chart'!$A$5:$A$19,0),MATCH($C39,'Type Chart'!$B$4:$P$4,0))*IF($D39="",1,INDEX('Type Chart'!$B$5:$P$19,MATCH(F$4,'Type Chart'!$A$5:$A$19,0),MATCH($D39,'Type Chart'!$B$4:$P$4,0)))</f>
        <v>1</v>
      </c>
      <c r="G39" s="21" t="n">
        <f aca="false">INDEX('Type Chart'!$B$5:$P$19,MATCH(G$4,'Type Chart'!$A$5:$A$19,0),MATCH($C39,'Type Chart'!$B$4:$P$4,0))*IF($D39="",1,INDEX('Type Chart'!$B$5:$P$19,MATCH(G$4,'Type Chart'!$A$5:$A$19,0),MATCH($D39,'Type Chart'!$B$4:$P$4,0)))</f>
        <v>1</v>
      </c>
      <c r="H39" s="21" t="n">
        <f aca="false">INDEX('Type Chart'!$B$5:$P$19,MATCH(H$4,'Type Chart'!$A$5:$A$19,0),MATCH($C39,'Type Chart'!$B$4:$P$4,0))*IF($D39="",1,INDEX('Type Chart'!$B$5:$P$19,MATCH(H$4,'Type Chart'!$A$5:$A$19,0),MATCH($D39,'Type Chart'!$B$4:$P$4,0)))</f>
        <v>1</v>
      </c>
      <c r="I39" s="21" t="n">
        <f aca="false">INDEX('Type Chart'!$B$5:$P$19,MATCH(I$4,'Type Chart'!$A$5:$A$19,0),MATCH($C39,'Type Chart'!$B$4:$P$4,0))*IF($D39="",1,INDEX('Type Chart'!$B$5:$P$19,MATCH(I$4,'Type Chart'!$A$5:$A$19,0),MATCH($D39,'Type Chart'!$B$4:$P$4,0)))</f>
        <v>1</v>
      </c>
      <c r="J39" s="21" t="n">
        <f aca="false">INDEX('Type Chart'!$B$5:$P$19,MATCH(J$4,'Type Chart'!$A$5:$A$19,0),MATCH($C39,'Type Chart'!$B$4:$P$4,0))*IF($D39="",1,INDEX('Type Chart'!$B$5:$P$19,MATCH(J$4,'Type Chart'!$A$5:$A$19,0),MATCH($D39,'Type Chart'!$B$4:$P$4,0)))</f>
        <v>1</v>
      </c>
      <c r="K39" s="21" t="n">
        <f aca="false">INDEX('Type Chart'!$B$5:$P$19,MATCH(K$4,'Type Chart'!$A$5:$A$19,0),MATCH($C39,'Type Chart'!$B$4:$P$4,0))*IF($D39="",1,INDEX('Type Chart'!$B$5:$P$19,MATCH(K$4,'Type Chart'!$A$5:$A$19,0),MATCH($D39,'Type Chart'!$B$4:$P$4,0)))</f>
        <v>2</v>
      </c>
      <c r="L39" s="21" t="n">
        <f aca="false">INDEX('Type Chart'!$B$5:$P$19,MATCH(L$4,'Type Chart'!$A$5:$A$19,0),MATCH($C39,'Type Chart'!$B$4:$P$4,0))*IF($D39="",1,INDEX('Type Chart'!$B$5:$P$19,MATCH(L$4,'Type Chart'!$A$5:$A$19,0),MATCH($D39,'Type Chart'!$B$4:$P$4,0)))</f>
        <v>1</v>
      </c>
      <c r="M39" s="21" t="n">
        <f aca="false">INDEX('Type Chart'!$B$5:$P$19,MATCH(M$4,'Type Chart'!$A$5:$A$19,0),MATCH($C39,'Type Chart'!$B$4:$P$4,0))*IF($D39="",1,INDEX('Type Chart'!$B$5:$P$19,MATCH(M$4,'Type Chart'!$A$5:$A$19,0),MATCH($D39,'Type Chart'!$B$4:$P$4,0)))</f>
        <v>1</v>
      </c>
      <c r="N39" s="21" t="n">
        <f aca="false">INDEX('Type Chart'!$B$5:$P$19,MATCH(N$4,'Type Chart'!$A$5:$A$19,0),MATCH($C39,'Type Chart'!$B$4:$P$4,0))*IF($D39="",1,INDEX('Type Chart'!$B$5:$P$19,MATCH(N$4,'Type Chart'!$A$5:$A$19,0),MATCH($D39,'Type Chart'!$B$4:$P$4,0)))</f>
        <v>1</v>
      </c>
      <c r="O39" s="21" t="n">
        <f aca="false">INDEX('Type Chart'!$B$5:$P$19,MATCH(O$4,'Type Chart'!$A$5:$A$19,0),MATCH($C39,'Type Chart'!$B$4:$P$4,0))*IF($D39="",1,INDEX('Type Chart'!$B$5:$P$19,MATCH(O$4,'Type Chart'!$A$5:$A$19,0),MATCH($D39,'Type Chart'!$B$4:$P$4,0)))</f>
        <v>1</v>
      </c>
      <c r="P39" s="21" t="n">
        <f aca="false">INDEX('Type Chart'!$B$5:$P$19,MATCH(P$4,'Type Chart'!$A$5:$A$19,0),MATCH($C39,'Type Chart'!$B$4:$P$4,0))*IF($D39="",1,INDEX('Type Chart'!$B$5:$P$19,MATCH(P$4,'Type Chart'!$A$5:$A$19,0),MATCH($D39,'Type Chart'!$B$4:$P$4,0)))</f>
        <v>1</v>
      </c>
      <c r="Q39" s="21" t="n">
        <f aca="false">INDEX('Type Chart'!$B$5:$P$19,MATCH(Q$4,'Type Chart'!$A$5:$A$19,0),MATCH($C39,'Type Chart'!$B$4:$P$4,0))*IF($D39="",1,INDEX('Type Chart'!$B$5:$P$19,MATCH(Q$4,'Type Chart'!$A$5:$A$19,0),MATCH($D39,'Type Chart'!$B$4:$P$4,0)))</f>
        <v>1</v>
      </c>
      <c r="R39" s="21" t="n">
        <f aca="false">INDEX('Type Chart'!$B$5:$P$19,MATCH(R$4,'Type Chart'!$A$5:$A$19,0),MATCH($C39,'Type Chart'!$B$4:$P$4,0))*IF($D39="",1,INDEX('Type Chart'!$B$5:$P$19,MATCH(R$4,'Type Chart'!$A$5:$A$19,0),MATCH($D39,'Type Chart'!$B$4:$P$4,0)))</f>
        <v>0</v>
      </c>
      <c r="S39" s="21" t="n">
        <f aca="false">INDEX('Type Chart'!$B$5:$P$19,MATCH(S$4,'Type Chart'!$A$5:$A$19,0),MATCH($C39,'Type Chart'!$B$4:$P$4,0))*IF($D39="",1,INDEX('Type Chart'!$B$5:$P$19,MATCH(S$4,'Type Chart'!$A$5:$A$19,0),MATCH($D39,'Type Chart'!$B$4:$P$4,0)))</f>
        <v>1</v>
      </c>
    </row>
    <row r="40" customFormat="false" ht="15" hidden="false" customHeight="false" outlineLevel="0" collapsed="false">
      <c r="A40" s="19" t="n">
        <v>36</v>
      </c>
      <c r="B40" s="19" t="s">
        <v>127</v>
      </c>
      <c r="C40" s="20" t="str">
        <f aca="false">Pokedex!C40</f>
        <v>Normal</v>
      </c>
      <c r="D40" s="20" t="n">
        <f aca="false">Pokedex!D40</f>
        <v>0</v>
      </c>
      <c r="E40" s="21" t="n">
        <f aca="false">INDEX('Type Chart'!$B$5:$P$19,MATCH(E$4,'Type Chart'!$A$5:$A$19,0),MATCH($C40,'Type Chart'!$B$4:$P$4,0))*IF($D40="",1,INDEX('Type Chart'!$B$5:$P$19,MATCH(E$4,'Type Chart'!$A$5:$A$19,0),MATCH($D40,'Type Chart'!$B$4:$P$4,0)))</f>
        <v>1</v>
      </c>
      <c r="F40" s="21" t="n">
        <f aca="false">INDEX('Type Chart'!$B$5:$P$19,MATCH(F$4,'Type Chart'!$A$5:$A$19,0),MATCH($C40,'Type Chart'!$B$4:$P$4,0))*IF($D40="",1,INDEX('Type Chart'!$B$5:$P$19,MATCH(F$4,'Type Chart'!$A$5:$A$19,0),MATCH($D40,'Type Chart'!$B$4:$P$4,0)))</f>
        <v>1</v>
      </c>
      <c r="G40" s="21" t="n">
        <f aca="false">INDEX('Type Chart'!$B$5:$P$19,MATCH(G$4,'Type Chart'!$A$5:$A$19,0),MATCH($C40,'Type Chart'!$B$4:$P$4,0))*IF($D40="",1,INDEX('Type Chart'!$B$5:$P$19,MATCH(G$4,'Type Chart'!$A$5:$A$19,0),MATCH($D40,'Type Chart'!$B$4:$P$4,0)))</f>
        <v>1</v>
      </c>
      <c r="H40" s="21" t="n">
        <f aca="false">INDEX('Type Chart'!$B$5:$P$19,MATCH(H$4,'Type Chart'!$A$5:$A$19,0),MATCH($C40,'Type Chart'!$B$4:$P$4,0))*IF($D40="",1,INDEX('Type Chart'!$B$5:$P$19,MATCH(H$4,'Type Chart'!$A$5:$A$19,0),MATCH($D40,'Type Chart'!$B$4:$P$4,0)))</f>
        <v>1</v>
      </c>
      <c r="I40" s="21" t="n">
        <f aca="false">INDEX('Type Chart'!$B$5:$P$19,MATCH(I$4,'Type Chart'!$A$5:$A$19,0),MATCH($C40,'Type Chart'!$B$4:$P$4,0))*IF($D40="",1,INDEX('Type Chart'!$B$5:$P$19,MATCH(I$4,'Type Chart'!$A$5:$A$19,0),MATCH($D40,'Type Chart'!$B$4:$P$4,0)))</f>
        <v>1</v>
      </c>
      <c r="J40" s="21" t="n">
        <f aca="false">INDEX('Type Chart'!$B$5:$P$19,MATCH(J$4,'Type Chart'!$A$5:$A$19,0),MATCH($C40,'Type Chart'!$B$4:$P$4,0))*IF($D40="",1,INDEX('Type Chart'!$B$5:$P$19,MATCH(J$4,'Type Chart'!$A$5:$A$19,0),MATCH($D40,'Type Chart'!$B$4:$P$4,0)))</f>
        <v>1</v>
      </c>
      <c r="K40" s="21" t="n">
        <f aca="false">INDEX('Type Chart'!$B$5:$P$19,MATCH(K$4,'Type Chart'!$A$5:$A$19,0),MATCH($C40,'Type Chart'!$B$4:$P$4,0))*IF($D40="",1,INDEX('Type Chart'!$B$5:$P$19,MATCH(K$4,'Type Chart'!$A$5:$A$19,0),MATCH($D40,'Type Chart'!$B$4:$P$4,0)))</f>
        <v>2</v>
      </c>
      <c r="L40" s="21" t="n">
        <f aca="false">INDEX('Type Chart'!$B$5:$P$19,MATCH(L$4,'Type Chart'!$A$5:$A$19,0),MATCH($C40,'Type Chart'!$B$4:$P$4,0))*IF($D40="",1,INDEX('Type Chart'!$B$5:$P$19,MATCH(L$4,'Type Chart'!$A$5:$A$19,0),MATCH($D40,'Type Chart'!$B$4:$P$4,0)))</f>
        <v>1</v>
      </c>
      <c r="M40" s="21" t="n">
        <f aca="false">INDEX('Type Chart'!$B$5:$P$19,MATCH(M$4,'Type Chart'!$A$5:$A$19,0),MATCH($C40,'Type Chart'!$B$4:$P$4,0))*IF($D40="",1,INDEX('Type Chart'!$B$5:$P$19,MATCH(M$4,'Type Chart'!$A$5:$A$19,0),MATCH($D40,'Type Chart'!$B$4:$P$4,0)))</f>
        <v>1</v>
      </c>
      <c r="N40" s="21" t="n">
        <f aca="false">INDEX('Type Chart'!$B$5:$P$19,MATCH(N$4,'Type Chart'!$A$5:$A$19,0),MATCH($C40,'Type Chart'!$B$4:$P$4,0))*IF($D40="",1,INDEX('Type Chart'!$B$5:$P$19,MATCH(N$4,'Type Chart'!$A$5:$A$19,0),MATCH($D40,'Type Chart'!$B$4:$P$4,0)))</f>
        <v>1</v>
      </c>
      <c r="O40" s="21" t="n">
        <f aca="false">INDEX('Type Chart'!$B$5:$P$19,MATCH(O$4,'Type Chart'!$A$5:$A$19,0),MATCH($C40,'Type Chart'!$B$4:$P$4,0))*IF($D40="",1,INDEX('Type Chart'!$B$5:$P$19,MATCH(O$4,'Type Chart'!$A$5:$A$19,0),MATCH($D40,'Type Chart'!$B$4:$P$4,0)))</f>
        <v>1</v>
      </c>
      <c r="P40" s="21" t="n">
        <f aca="false">INDEX('Type Chart'!$B$5:$P$19,MATCH(P$4,'Type Chart'!$A$5:$A$19,0),MATCH($C40,'Type Chart'!$B$4:$P$4,0))*IF($D40="",1,INDEX('Type Chart'!$B$5:$P$19,MATCH(P$4,'Type Chart'!$A$5:$A$19,0),MATCH($D40,'Type Chart'!$B$4:$P$4,0)))</f>
        <v>1</v>
      </c>
      <c r="Q40" s="21" t="n">
        <f aca="false">INDEX('Type Chart'!$B$5:$P$19,MATCH(Q$4,'Type Chart'!$A$5:$A$19,0),MATCH($C40,'Type Chart'!$B$4:$P$4,0))*IF($D40="",1,INDEX('Type Chart'!$B$5:$P$19,MATCH(Q$4,'Type Chart'!$A$5:$A$19,0),MATCH($D40,'Type Chart'!$B$4:$P$4,0)))</f>
        <v>1</v>
      </c>
      <c r="R40" s="21" t="n">
        <f aca="false">INDEX('Type Chart'!$B$5:$P$19,MATCH(R$4,'Type Chart'!$A$5:$A$19,0),MATCH($C40,'Type Chart'!$B$4:$P$4,0))*IF($D40="",1,INDEX('Type Chart'!$B$5:$P$19,MATCH(R$4,'Type Chart'!$A$5:$A$19,0),MATCH($D40,'Type Chart'!$B$4:$P$4,0)))</f>
        <v>0</v>
      </c>
      <c r="S40" s="21" t="n">
        <f aca="false">INDEX('Type Chart'!$B$5:$P$19,MATCH(S$4,'Type Chart'!$A$5:$A$19,0),MATCH($C40,'Type Chart'!$B$4:$P$4,0))*IF($D40="",1,INDEX('Type Chart'!$B$5:$P$19,MATCH(S$4,'Type Chart'!$A$5:$A$19,0),MATCH($D40,'Type Chart'!$B$4:$P$4,0)))</f>
        <v>1</v>
      </c>
    </row>
    <row r="41" customFormat="false" ht="15" hidden="false" customHeight="false" outlineLevel="0" collapsed="false">
      <c r="A41" s="19" t="n">
        <v>37</v>
      </c>
      <c r="B41" s="19" t="s">
        <v>128</v>
      </c>
      <c r="C41" s="20" t="str">
        <f aca="false">Pokedex!C41</f>
        <v>Fire</v>
      </c>
      <c r="D41" s="20" t="n">
        <f aca="false">Pokedex!D41</f>
        <v>0</v>
      </c>
      <c r="E41" s="21" t="n">
        <f aca="false">INDEX('Type Chart'!$B$5:$P$19,MATCH(E$4,'Type Chart'!$A$5:$A$19,0),MATCH($C41,'Type Chart'!$B$4:$P$4,0))*IF($D41="",1,INDEX('Type Chart'!$B$5:$P$19,MATCH(E$4,'Type Chart'!$A$5:$A$19,0),MATCH($D41,'Type Chart'!$B$4:$P$4,0)))</f>
        <v>1</v>
      </c>
      <c r="F41" s="21" t="n">
        <f aca="false">INDEX('Type Chart'!$B$5:$P$19,MATCH(F$4,'Type Chart'!$A$5:$A$19,0),MATCH($C41,'Type Chart'!$B$4:$P$4,0))*IF($D41="",1,INDEX('Type Chart'!$B$5:$P$19,MATCH(F$4,'Type Chart'!$A$5:$A$19,0),MATCH($D41,'Type Chart'!$B$4:$P$4,0)))</f>
        <v>0.5</v>
      </c>
      <c r="G41" s="21" t="n">
        <f aca="false">INDEX('Type Chart'!$B$5:$P$19,MATCH(G$4,'Type Chart'!$A$5:$A$19,0),MATCH($C41,'Type Chart'!$B$4:$P$4,0))*IF($D41="",1,INDEX('Type Chart'!$B$5:$P$19,MATCH(G$4,'Type Chart'!$A$5:$A$19,0),MATCH($D41,'Type Chart'!$B$4:$P$4,0)))</f>
        <v>2</v>
      </c>
      <c r="H41" s="21" t="n">
        <f aca="false">INDEX('Type Chart'!$B$5:$P$19,MATCH(H$4,'Type Chart'!$A$5:$A$19,0),MATCH($C41,'Type Chart'!$B$4:$P$4,0))*IF($D41="",1,INDEX('Type Chart'!$B$5:$P$19,MATCH(H$4,'Type Chart'!$A$5:$A$19,0),MATCH($D41,'Type Chart'!$B$4:$P$4,0)))</f>
        <v>1</v>
      </c>
      <c r="I41" s="21" t="n">
        <f aca="false">INDEX('Type Chart'!$B$5:$P$19,MATCH(I$4,'Type Chart'!$A$5:$A$19,0),MATCH($C41,'Type Chart'!$B$4:$P$4,0))*IF($D41="",1,INDEX('Type Chart'!$B$5:$P$19,MATCH(I$4,'Type Chart'!$A$5:$A$19,0),MATCH($D41,'Type Chart'!$B$4:$P$4,0)))</f>
        <v>0.5</v>
      </c>
      <c r="J41" s="21" t="n">
        <f aca="false">INDEX('Type Chart'!$B$5:$P$19,MATCH(J$4,'Type Chart'!$A$5:$A$19,0),MATCH($C41,'Type Chart'!$B$4:$P$4,0))*IF($D41="",1,INDEX('Type Chart'!$B$5:$P$19,MATCH(J$4,'Type Chart'!$A$5:$A$19,0),MATCH($D41,'Type Chart'!$B$4:$P$4,0)))</f>
        <v>1</v>
      </c>
      <c r="K41" s="21" t="n">
        <f aca="false">INDEX('Type Chart'!$B$5:$P$19,MATCH(K$4,'Type Chart'!$A$5:$A$19,0),MATCH($C41,'Type Chart'!$B$4:$P$4,0))*IF($D41="",1,INDEX('Type Chart'!$B$5:$P$19,MATCH(K$4,'Type Chart'!$A$5:$A$19,0),MATCH($D41,'Type Chart'!$B$4:$P$4,0)))</f>
        <v>1</v>
      </c>
      <c r="L41" s="21" t="n">
        <f aca="false">INDEX('Type Chart'!$B$5:$P$19,MATCH(L$4,'Type Chart'!$A$5:$A$19,0),MATCH($C41,'Type Chart'!$B$4:$P$4,0))*IF($D41="",1,INDEX('Type Chart'!$B$5:$P$19,MATCH(L$4,'Type Chart'!$A$5:$A$19,0),MATCH($D41,'Type Chart'!$B$4:$P$4,0)))</f>
        <v>1</v>
      </c>
      <c r="M41" s="21" t="n">
        <f aca="false">INDEX('Type Chart'!$B$5:$P$19,MATCH(M$4,'Type Chart'!$A$5:$A$19,0),MATCH($C41,'Type Chart'!$B$4:$P$4,0))*IF($D41="",1,INDEX('Type Chart'!$B$5:$P$19,MATCH(M$4,'Type Chart'!$A$5:$A$19,0),MATCH($D41,'Type Chart'!$B$4:$P$4,0)))</f>
        <v>2</v>
      </c>
      <c r="N41" s="21" t="n">
        <f aca="false">INDEX('Type Chart'!$B$5:$P$19,MATCH(N$4,'Type Chart'!$A$5:$A$19,0),MATCH($C41,'Type Chart'!$B$4:$P$4,0))*IF($D41="",1,INDEX('Type Chart'!$B$5:$P$19,MATCH(N$4,'Type Chart'!$A$5:$A$19,0),MATCH($D41,'Type Chart'!$B$4:$P$4,0)))</f>
        <v>1</v>
      </c>
      <c r="O41" s="21" t="n">
        <f aca="false">INDEX('Type Chart'!$B$5:$P$19,MATCH(O$4,'Type Chart'!$A$5:$A$19,0),MATCH($C41,'Type Chart'!$B$4:$P$4,0))*IF($D41="",1,INDEX('Type Chart'!$B$5:$P$19,MATCH(O$4,'Type Chart'!$A$5:$A$19,0),MATCH($D41,'Type Chart'!$B$4:$P$4,0)))</f>
        <v>1</v>
      </c>
      <c r="P41" s="21" t="n">
        <f aca="false">INDEX('Type Chart'!$B$5:$P$19,MATCH(P$4,'Type Chart'!$A$5:$A$19,0),MATCH($C41,'Type Chart'!$B$4:$P$4,0))*IF($D41="",1,INDEX('Type Chart'!$B$5:$P$19,MATCH(P$4,'Type Chart'!$A$5:$A$19,0),MATCH($D41,'Type Chart'!$B$4:$P$4,0)))</f>
        <v>0.5</v>
      </c>
      <c r="Q41" s="21" t="n">
        <f aca="false">INDEX('Type Chart'!$B$5:$P$19,MATCH(Q$4,'Type Chart'!$A$5:$A$19,0),MATCH($C41,'Type Chart'!$B$4:$P$4,0))*IF($D41="",1,INDEX('Type Chart'!$B$5:$P$19,MATCH(Q$4,'Type Chart'!$A$5:$A$19,0),MATCH($D41,'Type Chart'!$B$4:$P$4,0)))</f>
        <v>2</v>
      </c>
      <c r="R41" s="21" t="n">
        <f aca="false">INDEX('Type Chart'!$B$5:$P$19,MATCH(R$4,'Type Chart'!$A$5:$A$19,0),MATCH($C41,'Type Chart'!$B$4:$P$4,0))*IF($D41="",1,INDEX('Type Chart'!$B$5:$P$19,MATCH(R$4,'Type Chart'!$A$5:$A$19,0),MATCH($D41,'Type Chart'!$B$4:$P$4,0)))</f>
        <v>1</v>
      </c>
      <c r="S41" s="21" t="n">
        <f aca="false">INDEX('Type Chart'!$B$5:$P$19,MATCH(S$4,'Type Chart'!$A$5:$A$19,0),MATCH($C41,'Type Chart'!$B$4:$P$4,0))*IF($D41="",1,INDEX('Type Chart'!$B$5:$P$19,MATCH(S$4,'Type Chart'!$A$5:$A$19,0),MATCH($D41,'Type Chart'!$B$4:$P$4,0)))</f>
        <v>1</v>
      </c>
    </row>
    <row r="42" customFormat="false" ht="15" hidden="false" customHeight="false" outlineLevel="0" collapsed="false">
      <c r="A42" s="19" t="n">
        <v>38</v>
      </c>
      <c r="B42" s="19" t="s">
        <v>129</v>
      </c>
      <c r="C42" s="20" t="str">
        <f aca="false">Pokedex!C42</f>
        <v>Fire</v>
      </c>
      <c r="D42" s="20" t="n">
        <f aca="false">Pokedex!D42</f>
        <v>0</v>
      </c>
      <c r="E42" s="21" t="n">
        <f aca="false">INDEX('Type Chart'!$B$5:$P$19,MATCH(E$4,'Type Chart'!$A$5:$A$19,0),MATCH($C42,'Type Chart'!$B$4:$P$4,0))*IF($D42="",1,INDEX('Type Chart'!$B$5:$P$19,MATCH(E$4,'Type Chart'!$A$5:$A$19,0),MATCH($D42,'Type Chart'!$B$4:$P$4,0)))</f>
        <v>1</v>
      </c>
      <c r="F42" s="21" t="n">
        <f aca="false">INDEX('Type Chart'!$B$5:$P$19,MATCH(F$4,'Type Chart'!$A$5:$A$19,0),MATCH($C42,'Type Chart'!$B$4:$P$4,0))*IF($D42="",1,INDEX('Type Chart'!$B$5:$P$19,MATCH(F$4,'Type Chart'!$A$5:$A$19,0),MATCH($D42,'Type Chart'!$B$4:$P$4,0)))</f>
        <v>0.5</v>
      </c>
      <c r="G42" s="21" t="n">
        <f aca="false">INDEX('Type Chart'!$B$5:$P$19,MATCH(G$4,'Type Chart'!$A$5:$A$19,0),MATCH($C42,'Type Chart'!$B$4:$P$4,0))*IF($D42="",1,INDEX('Type Chart'!$B$5:$P$19,MATCH(G$4,'Type Chart'!$A$5:$A$19,0),MATCH($D42,'Type Chart'!$B$4:$P$4,0)))</f>
        <v>2</v>
      </c>
      <c r="H42" s="21" t="n">
        <f aca="false">INDEX('Type Chart'!$B$5:$P$19,MATCH(H$4,'Type Chart'!$A$5:$A$19,0),MATCH($C42,'Type Chart'!$B$4:$P$4,0))*IF($D42="",1,INDEX('Type Chart'!$B$5:$P$19,MATCH(H$4,'Type Chart'!$A$5:$A$19,0),MATCH($D42,'Type Chart'!$B$4:$P$4,0)))</f>
        <v>1</v>
      </c>
      <c r="I42" s="21" t="n">
        <f aca="false">INDEX('Type Chart'!$B$5:$P$19,MATCH(I$4,'Type Chart'!$A$5:$A$19,0),MATCH($C42,'Type Chart'!$B$4:$P$4,0))*IF($D42="",1,INDEX('Type Chart'!$B$5:$P$19,MATCH(I$4,'Type Chart'!$A$5:$A$19,0),MATCH($D42,'Type Chart'!$B$4:$P$4,0)))</f>
        <v>0.5</v>
      </c>
      <c r="J42" s="21" t="n">
        <f aca="false">INDEX('Type Chart'!$B$5:$P$19,MATCH(J$4,'Type Chart'!$A$5:$A$19,0),MATCH($C42,'Type Chart'!$B$4:$P$4,0))*IF($D42="",1,INDEX('Type Chart'!$B$5:$P$19,MATCH(J$4,'Type Chart'!$A$5:$A$19,0),MATCH($D42,'Type Chart'!$B$4:$P$4,0)))</f>
        <v>1</v>
      </c>
      <c r="K42" s="21" t="n">
        <f aca="false">INDEX('Type Chart'!$B$5:$P$19,MATCH(K$4,'Type Chart'!$A$5:$A$19,0),MATCH($C42,'Type Chart'!$B$4:$P$4,0))*IF($D42="",1,INDEX('Type Chart'!$B$5:$P$19,MATCH(K$4,'Type Chart'!$A$5:$A$19,0),MATCH($D42,'Type Chart'!$B$4:$P$4,0)))</f>
        <v>1</v>
      </c>
      <c r="L42" s="21" t="n">
        <f aca="false">INDEX('Type Chart'!$B$5:$P$19,MATCH(L$4,'Type Chart'!$A$5:$A$19,0),MATCH($C42,'Type Chart'!$B$4:$P$4,0))*IF($D42="",1,INDEX('Type Chart'!$B$5:$P$19,MATCH(L$4,'Type Chart'!$A$5:$A$19,0),MATCH($D42,'Type Chart'!$B$4:$P$4,0)))</f>
        <v>1</v>
      </c>
      <c r="M42" s="21" t="n">
        <f aca="false">INDEX('Type Chart'!$B$5:$P$19,MATCH(M$4,'Type Chart'!$A$5:$A$19,0),MATCH($C42,'Type Chart'!$B$4:$P$4,0))*IF($D42="",1,INDEX('Type Chart'!$B$5:$P$19,MATCH(M$4,'Type Chart'!$A$5:$A$19,0),MATCH($D42,'Type Chart'!$B$4:$P$4,0)))</f>
        <v>2</v>
      </c>
      <c r="N42" s="21" t="n">
        <f aca="false">INDEX('Type Chart'!$B$5:$P$19,MATCH(N$4,'Type Chart'!$A$5:$A$19,0),MATCH($C42,'Type Chart'!$B$4:$P$4,0))*IF($D42="",1,INDEX('Type Chart'!$B$5:$P$19,MATCH(N$4,'Type Chart'!$A$5:$A$19,0),MATCH($D42,'Type Chart'!$B$4:$P$4,0)))</f>
        <v>1</v>
      </c>
      <c r="O42" s="21" t="n">
        <f aca="false">INDEX('Type Chart'!$B$5:$P$19,MATCH(O$4,'Type Chart'!$A$5:$A$19,0),MATCH($C42,'Type Chart'!$B$4:$P$4,0))*IF($D42="",1,INDEX('Type Chart'!$B$5:$P$19,MATCH(O$4,'Type Chart'!$A$5:$A$19,0),MATCH($D42,'Type Chart'!$B$4:$P$4,0)))</f>
        <v>1</v>
      </c>
      <c r="P42" s="21" t="n">
        <f aca="false">INDEX('Type Chart'!$B$5:$P$19,MATCH(P$4,'Type Chart'!$A$5:$A$19,0),MATCH($C42,'Type Chart'!$B$4:$P$4,0))*IF($D42="",1,INDEX('Type Chart'!$B$5:$P$19,MATCH(P$4,'Type Chart'!$A$5:$A$19,0),MATCH($D42,'Type Chart'!$B$4:$P$4,0)))</f>
        <v>0.5</v>
      </c>
      <c r="Q42" s="21" t="n">
        <f aca="false">INDEX('Type Chart'!$B$5:$P$19,MATCH(Q$4,'Type Chart'!$A$5:$A$19,0),MATCH($C42,'Type Chart'!$B$4:$P$4,0))*IF($D42="",1,INDEX('Type Chart'!$B$5:$P$19,MATCH(Q$4,'Type Chart'!$A$5:$A$19,0),MATCH($D42,'Type Chart'!$B$4:$P$4,0)))</f>
        <v>2</v>
      </c>
      <c r="R42" s="21" t="n">
        <f aca="false">INDEX('Type Chart'!$B$5:$P$19,MATCH(R$4,'Type Chart'!$A$5:$A$19,0),MATCH($C42,'Type Chart'!$B$4:$P$4,0))*IF($D42="",1,INDEX('Type Chart'!$B$5:$P$19,MATCH(R$4,'Type Chart'!$A$5:$A$19,0),MATCH($D42,'Type Chart'!$B$4:$P$4,0)))</f>
        <v>1</v>
      </c>
      <c r="S42" s="21" t="n">
        <f aca="false">INDEX('Type Chart'!$B$5:$P$19,MATCH(S$4,'Type Chart'!$A$5:$A$19,0),MATCH($C42,'Type Chart'!$B$4:$P$4,0))*IF($D42="",1,INDEX('Type Chart'!$B$5:$P$19,MATCH(S$4,'Type Chart'!$A$5:$A$19,0),MATCH($D42,'Type Chart'!$B$4:$P$4,0)))</f>
        <v>1</v>
      </c>
    </row>
    <row r="43" customFormat="false" ht="15" hidden="false" customHeight="false" outlineLevel="0" collapsed="false">
      <c r="A43" s="19" t="n">
        <v>39</v>
      </c>
      <c r="B43" s="19" t="s">
        <v>130</v>
      </c>
      <c r="C43" s="20" t="str">
        <f aca="false">Pokedex!C43</f>
        <v>Normal</v>
      </c>
      <c r="D43" s="20" t="n">
        <f aca="false">Pokedex!D43</f>
        <v>0</v>
      </c>
      <c r="E43" s="21" t="n">
        <f aca="false">INDEX('Type Chart'!$B$5:$P$19,MATCH(E$4,'Type Chart'!$A$5:$A$19,0),MATCH($C43,'Type Chart'!$B$4:$P$4,0))*IF($D43="",1,INDEX('Type Chart'!$B$5:$P$19,MATCH(E$4,'Type Chart'!$A$5:$A$19,0),MATCH($D43,'Type Chart'!$B$4:$P$4,0)))</f>
        <v>1</v>
      </c>
      <c r="F43" s="21" t="n">
        <f aca="false">INDEX('Type Chart'!$B$5:$P$19,MATCH(F$4,'Type Chart'!$A$5:$A$19,0),MATCH($C43,'Type Chart'!$B$4:$P$4,0))*IF($D43="",1,INDEX('Type Chart'!$B$5:$P$19,MATCH(F$4,'Type Chart'!$A$5:$A$19,0),MATCH($D43,'Type Chart'!$B$4:$P$4,0)))</f>
        <v>1</v>
      </c>
      <c r="G43" s="21" t="n">
        <f aca="false">INDEX('Type Chart'!$B$5:$P$19,MATCH(G$4,'Type Chart'!$A$5:$A$19,0),MATCH($C43,'Type Chart'!$B$4:$P$4,0))*IF($D43="",1,INDEX('Type Chart'!$B$5:$P$19,MATCH(G$4,'Type Chart'!$A$5:$A$19,0),MATCH($D43,'Type Chart'!$B$4:$P$4,0)))</f>
        <v>1</v>
      </c>
      <c r="H43" s="21" t="n">
        <f aca="false">INDEX('Type Chart'!$B$5:$P$19,MATCH(H$4,'Type Chart'!$A$5:$A$19,0),MATCH($C43,'Type Chart'!$B$4:$P$4,0))*IF($D43="",1,INDEX('Type Chart'!$B$5:$P$19,MATCH(H$4,'Type Chart'!$A$5:$A$19,0),MATCH($D43,'Type Chart'!$B$4:$P$4,0)))</f>
        <v>1</v>
      </c>
      <c r="I43" s="21" t="n">
        <f aca="false">INDEX('Type Chart'!$B$5:$P$19,MATCH(I$4,'Type Chart'!$A$5:$A$19,0),MATCH($C43,'Type Chart'!$B$4:$P$4,0))*IF($D43="",1,INDEX('Type Chart'!$B$5:$P$19,MATCH(I$4,'Type Chart'!$A$5:$A$19,0),MATCH($D43,'Type Chart'!$B$4:$P$4,0)))</f>
        <v>1</v>
      </c>
      <c r="J43" s="21" t="n">
        <f aca="false">INDEX('Type Chart'!$B$5:$P$19,MATCH(J$4,'Type Chart'!$A$5:$A$19,0),MATCH($C43,'Type Chart'!$B$4:$P$4,0))*IF($D43="",1,INDEX('Type Chart'!$B$5:$P$19,MATCH(J$4,'Type Chart'!$A$5:$A$19,0),MATCH($D43,'Type Chart'!$B$4:$P$4,0)))</f>
        <v>1</v>
      </c>
      <c r="K43" s="21" t="n">
        <f aca="false">INDEX('Type Chart'!$B$5:$P$19,MATCH(K$4,'Type Chart'!$A$5:$A$19,0),MATCH($C43,'Type Chart'!$B$4:$P$4,0))*IF($D43="",1,INDEX('Type Chart'!$B$5:$P$19,MATCH(K$4,'Type Chart'!$A$5:$A$19,0),MATCH($D43,'Type Chart'!$B$4:$P$4,0)))</f>
        <v>2</v>
      </c>
      <c r="L43" s="21" t="n">
        <f aca="false">INDEX('Type Chart'!$B$5:$P$19,MATCH(L$4,'Type Chart'!$A$5:$A$19,0),MATCH($C43,'Type Chart'!$B$4:$P$4,0))*IF($D43="",1,INDEX('Type Chart'!$B$5:$P$19,MATCH(L$4,'Type Chart'!$A$5:$A$19,0),MATCH($D43,'Type Chart'!$B$4:$P$4,0)))</f>
        <v>1</v>
      </c>
      <c r="M43" s="21" t="n">
        <f aca="false">INDEX('Type Chart'!$B$5:$P$19,MATCH(M$4,'Type Chart'!$A$5:$A$19,0),MATCH($C43,'Type Chart'!$B$4:$P$4,0))*IF($D43="",1,INDEX('Type Chart'!$B$5:$P$19,MATCH(M$4,'Type Chart'!$A$5:$A$19,0),MATCH($D43,'Type Chart'!$B$4:$P$4,0)))</f>
        <v>1</v>
      </c>
      <c r="N43" s="21" t="n">
        <f aca="false">INDEX('Type Chart'!$B$5:$P$19,MATCH(N$4,'Type Chart'!$A$5:$A$19,0),MATCH($C43,'Type Chart'!$B$4:$P$4,0))*IF($D43="",1,INDEX('Type Chart'!$B$5:$P$19,MATCH(N$4,'Type Chart'!$A$5:$A$19,0),MATCH($D43,'Type Chart'!$B$4:$P$4,0)))</f>
        <v>1</v>
      </c>
      <c r="O43" s="21" t="n">
        <f aca="false">INDEX('Type Chart'!$B$5:$P$19,MATCH(O$4,'Type Chart'!$A$5:$A$19,0),MATCH($C43,'Type Chart'!$B$4:$P$4,0))*IF($D43="",1,INDEX('Type Chart'!$B$5:$P$19,MATCH(O$4,'Type Chart'!$A$5:$A$19,0),MATCH($D43,'Type Chart'!$B$4:$P$4,0)))</f>
        <v>1</v>
      </c>
      <c r="P43" s="21" t="n">
        <f aca="false">INDEX('Type Chart'!$B$5:$P$19,MATCH(P$4,'Type Chart'!$A$5:$A$19,0),MATCH($C43,'Type Chart'!$B$4:$P$4,0))*IF($D43="",1,INDEX('Type Chart'!$B$5:$P$19,MATCH(P$4,'Type Chart'!$A$5:$A$19,0),MATCH($D43,'Type Chart'!$B$4:$P$4,0)))</f>
        <v>1</v>
      </c>
      <c r="Q43" s="21" t="n">
        <f aca="false">INDEX('Type Chart'!$B$5:$P$19,MATCH(Q$4,'Type Chart'!$A$5:$A$19,0),MATCH($C43,'Type Chart'!$B$4:$P$4,0))*IF($D43="",1,INDEX('Type Chart'!$B$5:$P$19,MATCH(Q$4,'Type Chart'!$A$5:$A$19,0),MATCH($D43,'Type Chart'!$B$4:$P$4,0)))</f>
        <v>1</v>
      </c>
      <c r="R43" s="21" t="n">
        <f aca="false">INDEX('Type Chart'!$B$5:$P$19,MATCH(R$4,'Type Chart'!$A$5:$A$19,0),MATCH($C43,'Type Chart'!$B$4:$P$4,0))*IF($D43="",1,INDEX('Type Chart'!$B$5:$P$19,MATCH(R$4,'Type Chart'!$A$5:$A$19,0),MATCH($D43,'Type Chart'!$B$4:$P$4,0)))</f>
        <v>0</v>
      </c>
      <c r="S43" s="21" t="n">
        <f aca="false">INDEX('Type Chart'!$B$5:$P$19,MATCH(S$4,'Type Chart'!$A$5:$A$19,0),MATCH($C43,'Type Chart'!$B$4:$P$4,0))*IF($D43="",1,INDEX('Type Chart'!$B$5:$P$19,MATCH(S$4,'Type Chart'!$A$5:$A$19,0),MATCH($D43,'Type Chart'!$B$4:$P$4,0)))</f>
        <v>1</v>
      </c>
    </row>
    <row r="44" customFormat="false" ht="15" hidden="false" customHeight="false" outlineLevel="0" collapsed="false">
      <c r="A44" s="19" t="n">
        <v>40</v>
      </c>
      <c r="B44" s="19" t="s">
        <v>131</v>
      </c>
      <c r="C44" s="20" t="str">
        <f aca="false">Pokedex!C44</f>
        <v>Normal</v>
      </c>
      <c r="D44" s="20" t="n">
        <f aca="false">Pokedex!D44</f>
        <v>0</v>
      </c>
      <c r="E44" s="21" t="n">
        <f aca="false">INDEX('Type Chart'!$B$5:$P$19,MATCH(E$4,'Type Chart'!$A$5:$A$19,0),MATCH($C44,'Type Chart'!$B$4:$P$4,0))*IF($D44="",1,INDEX('Type Chart'!$B$5:$P$19,MATCH(E$4,'Type Chart'!$A$5:$A$19,0),MATCH($D44,'Type Chart'!$B$4:$P$4,0)))</f>
        <v>1</v>
      </c>
      <c r="F44" s="21" t="n">
        <f aca="false">INDEX('Type Chart'!$B$5:$P$19,MATCH(F$4,'Type Chart'!$A$5:$A$19,0),MATCH($C44,'Type Chart'!$B$4:$P$4,0))*IF($D44="",1,INDEX('Type Chart'!$B$5:$P$19,MATCH(F$4,'Type Chart'!$A$5:$A$19,0),MATCH($D44,'Type Chart'!$B$4:$P$4,0)))</f>
        <v>1</v>
      </c>
      <c r="G44" s="21" t="n">
        <f aca="false">INDEX('Type Chart'!$B$5:$P$19,MATCH(G$4,'Type Chart'!$A$5:$A$19,0),MATCH($C44,'Type Chart'!$B$4:$P$4,0))*IF($D44="",1,INDEX('Type Chart'!$B$5:$P$19,MATCH(G$4,'Type Chart'!$A$5:$A$19,0),MATCH($D44,'Type Chart'!$B$4:$P$4,0)))</f>
        <v>1</v>
      </c>
      <c r="H44" s="21" t="n">
        <f aca="false">INDEX('Type Chart'!$B$5:$P$19,MATCH(H$4,'Type Chart'!$A$5:$A$19,0),MATCH($C44,'Type Chart'!$B$4:$P$4,0))*IF($D44="",1,INDEX('Type Chart'!$B$5:$P$19,MATCH(H$4,'Type Chart'!$A$5:$A$19,0),MATCH($D44,'Type Chart'!$B$4:$P$4,0)))</f>
        <v>1</v>
      </c>
      <c r="I44" s="21" t="n">
        <f aca="false">INDEX('Type Chart'!$B$5:$P$19,MATCH(I$4,'Type Chart'!$A$5:$A$19,0),MATCH($C44,'Type Chart'!$B$4:$P$4,0))*IF($D44="",1,INDEX('Type Chart'!$B$5:$P$19,MATCH(I$4,'Type Chart'!$A$5:$A$19,0),MATCH($D44,'Type Chart'!$B$4:$P$4,0)))</f>
        <v>1</v>
      </c>
      <c r="J44" s="21" t="n">
        <f aca="false">INDEX('Type Chart'!$B$5:$P$19,MATCH(J$4,'Type Chart'!$A$5:$A$19,0),MATCH($C44,'Type Chart'!$B$4:$P$4,0))*IF($D44="",1,INDEX('Type Chart'!$B$5:$P$19,MATCH(J$4,'Type Chart'!$A$5:$A$19,0),MATCH($D44,'Type Chart'!$B$4:$P$4,0)))</f>
        <v>1</v>
      </c>
      <c r="K44" s="21" t="n">
        <f aca="false">INDEX('Type Chart'!$B$5:$P$19,MATCH(K$4,'Type Chart'!$A$5:$A$19,0),MATCH($C44,'Type Chart'!$B$4:$P$4,0))*IF($D44="",1,INDEX('Type Chart'!$B$5:$P$19,MATCH(K$4,'Type Chart'!$A$5:$A$19,0),MATCH($D44,'Type Chart'!$B$4:$P$4,0)))</f>
        <v>2</v>
      </c>
      <c r="L44" s="21" t="n">
        <f aca="false">INDEX('Type Chart'!$B$5:$P$19,MATCH(L$4,'Type Chart'!$A$5:$A$19,0),MATCH($C44,'Type Chart'!$B$4:$P$4,0))*IF($D44="",1,INDEX('Type Chart'!$B$5:$P$19,MATCH(L$4,'Type Chart'!$A$5:$A$19,0),MATCH($D44,'Type Chart'!$B$4:$P$4,0)))</f>
        <v>1</v>
      </c>
      <c r="M44" s="21" t="n">
        <f aca="false">INDEX('Type Chart'!$B$5:$P$19,MATCH(M$4,'Type Chart'!$A$5:$A$19,0),MATCH($C44,'Type Chart'!$B$4:$P$4,0))*IF($D44="",1,INDEX('Type Chart'!$B$5:$P$19,MATCH(M$4,'Type Chart'!$A$5:$A$19,0),MATCH($D44,'Type Chart'!$B$4:$P$4,0)))</f>
        <v>1</v>
      </c>
      <c r="N44" s="21" t="n">
        <f aca="false">INDEX('Type Chart'!$B$5:$P$19,MATCH(N$4,'Type Chart'!$A$5:$A$19,0),MATCH($C44,'Type Chart'!$B$4:$P$4,0))*IF($D44="",1,INDEX('Type Chart'!$B$5:$P$19,MATCH(N$4,'Type Chart'!$A$5:$A$19,0),MATCH($D44,'Type Chart'!$B$4:$P$4,0)))</f>
        <v>1</v>
      </c>
      <c r="O44" s="21" t="n">
        <f aca="false">INDEX('Type Chart'!$B$5:$P$19,MATCH(O$4,'Type Chart'!$A$5:$A$19,0),MATCH($C44,'Type Chart'!$B$4:$P$4,0))*IF($D44="",1,INDEX('Type Chart'!$B$5:$P$19,MATCH(O$4,'Type Chart'!$A$5:$A$19,0),MATCH($D44,'Type Chart'!$B$4:$P$4,0)))</f>
        <v>1</v>
      </c>
      <c r="P44" s="21" t="n">
        <f aca="false">INDEX('Type Chart'!$B$5:$P$19,MATCH(P$4,'Type Chart'!$A$5:$A$19,0),MATCH($C44,'Type Chart'!$B$4:$P$4,0))*IF($D44="",1,INDEX('Type Chart'!$B$5:$P$19,MATCH(P$4,'Type Chart'!$A$5:$A$19,0),MATCH($D44,'Type Chart'!$B$4:$P$4,0)))</f>
        <v>1</v>
      </c>
      <c r="Q44" s="21" t="n">
        <f aca="false">INDEX('Type Chart'!$B$5:$P$19,MATCH(Q$4,'Type Chart'!$A$5:$A$19,0),MATCH($C44,'Type Chart'!$B$4:$P$4,0))*IF($D44="",1,INDEX('Type Chart'!$B$5:$P$19,MATCH(Q$4,'Type Chart'!$A$5:$A$19,0),MATCH($D44,'Type Chart'!$B$4:$P$4,0)))</f>
        <v>1</v>
      </c>
      <c r="R44" s="21" t="n">
        <f aca="false">INDEX('Type Chart'!$B$5:$P$19,MATCH(R$4,'Type Chart'!$A$5:$A$19,0),MATCH($C44,'Type Chart'!$B$4:$P$4,0))*IF($D44="",1,INDEX('Type Chart'!$B$5:$P$19,MATCH(R$4,'Type Chart'!$A$5:$A$19,0),MATCH($D44,'Type Chart'!$B$4:$P$4,0)))</f>
        <v>0</v>
      </c>
      <c r="S44" s="21" t="n">
        <f aca="false">INDEX('Type Chart'!$B$5:$P$19,MATCH(S$4,'Type Chart'!$A$5:$A$19,0),MATCH($C44,'Type Chart'!$B$4:$P$4,0))*IF($D44="",1,INDEX('Type Chart'!$B$5:$P$19,MATCH(S$4,'Type Chart'!$A$5:$A$19,0),MATCH($D44,'Type Chart'!$B$4:$P$4,0)))</f>
        <v>1</v>
      </c>
    </row>
    <row r="45" customFormat="false" ht="15" hidden="false" customHeight="false" outlineLevel="0" collapsed="false">
      <c r="A45" s="19" t="n">
        <v>41</v>
      </c>
      <c r="B45" s="19" t="s">
        <v>132</v>
      </c>
      <c r="C45" s="20" t="str">
        <f aca="false">Pokedex!C45</f>
        <v>Poison</v>
      </c>
      <c r="D45" s="20" t="str">
        <f aca="false">Pokedex!D45</f>
        <v>Flying</v>
      </c>
      <c r="E45" s="21" t="n">
        <f aca="false">INDEX('Type Chart'!$B$5:$P$19,MATCH(E$4,'Type Chart'!$A$5:$A$19,0),MATCH($C45,'Type Chart'!$B$4:$P$4,0))*IF($D45="",1,INDEX('Type Chart'!$B$5:$P$19,MATCH(E$4,'Type Chart'!$A$5:$A$19,0),MATCH($D45,'Type Chart'!$B$4:$P$4,0)))</f>
        <v>1</v>
      </c>
      <c r="F45" s="21" t="n">
        <f aca="false">INDEX('Type Chart'!$B$5:$P$19,MATCH(F$4,'Type Chart'!$A$5:$A$19,0),MATCH($C45,'Type Chart'!$B$4:$P$4,0))*IF($D45="",1,INDEX('Type Chart'!$B$5:$P$19,MATCH(F$4,'Type Chart'!$A$5:$A$19,0),MATCH($D45,'Type Chart'!$B$4:$P$4,0)))</f>
        <v>1</v>
      </c>
      <c r="G45" s="21" t="n">
        <f aca="false">INDEX('Type Chart'!$B$5:$P$19,MATCH(G$4,'Type Chart'!$A$5:$A$19,0),MATCH($C45,'Type Chart'!$B$4:$P$4,0))*IF($D45="",1,INDEX('Type Chart'!$B$5:$P$19,MATCH(G$4,'Type Chart'!$A$5:$A$19,0),MATCH($D45,'Type Chart'!$B$4:$P$4,0)))</f>
        <v>1</v>
      </c>
      <c r="H45" s="21" t="n">
        <f aca="false">INDEX('Type Chart'!$B$5:$P$19,MATCH(H$4,'Type Chart'!$A$5:$A$19,0),MATCH($C45,'Type Chart'!$B$4:$P$4,0))*IF($D45="",1,INDEX('Type Chart'!$B$5:$P$19,MATCH(H$4,'Type Chart'!$A$5:$A$19,0),MATCH($D45,'Type Chart'!$B$4:$P$4,0)))</f>
        <v>2</v>
      </c>
      <c r="I45" s="21" t="n">
        <f aca="false">INDEX('Type Chart'!$B$5:$P$19,MATCH(I$4,'Type Chart'!$A$5:$A$19,0),MATCH($C45,'Type Chart'!$B$4:$P$4,0))*IF($D45="",1,INDEX('Type Chart'!$B$5:$P$19,MATCH(I$4,'Type Chart'!$A$5:$A$19,0),MATCH($D45,'Type Chart'!$B$4:$P$4,0)))</f>
        <v>0.25</v>
      </c>
      <c r="J45" s="21" t="n">
        <f aca="false">INDEX('Type Chart'!$B$5:$P$19,MATCH(J$4,'Type Chart'!$A$5:$A$19,0),MATCH($C45,'Type Chart'!$B$4:$P$4,0))*IF($D45="",1,INDEX('Type Chart'!$B$5:$P$19,MATCH(J$4,'Type Chart'!$A$5:$A$19,0),MATCH($D45,'Type Chart'!$B$4:$P$4,0)))</f>
        <v>2</v>
      </c>
      <c r="K45" s="21" t="n">
        <f aca="false">INDEX('Type Chart'!$B$5:$P$19,MATCH(K$4,'Type Chart'!$A$5:$A$19,0),MATCH($C45,'Type Chart'!$B$4:$P$4,0))*IF($D45="",1,INDEX('Type Chart'!$B$5:$P$19,MATCH(K$4,'Type Chart'!$A$5:$A$19,0),MATCH($D45,'Type Chart'!$B$4:$P$4,0)))</f>
        <v>0.25</v>
      </c>
      <c r="L45" s="21" t="n">
        <f aca="false">INDEX('Type Chart'!$B$5:$P$19,MATCH(L$4,'Type Chart'!$A$5:$A$19,0),MATCH($C45,'Type Chart'!$B$4:$P$4,0))*IF($D45="",1,INDEX('Type Chart'!$B$5:$P$19,MATCH(L$4,'Type Chart'!$A$5:$A$19,0),MATCH($D45,'Type Chart'!$B$4:$P$4,0)))</f>
        <v>0.5</v>
      </c>
      <c r="M45" s="21" t="n">
        <f aca="false">INDEX('Type Chart'!$B$5:$P$19,MATCH(M$4,'Type Chart'!$A$5:$A$19,0),MATCH($C45,'Type Chart'!$B$4:$P$4,0))*IF($D45="",1,INDEX('Type Chart'!$B$5:$P$19,MATCH(M$4,'Type Chart'!$A$5:$A$19,0),MATCH($D45,'Type Chart'!$B$4:$P$4,0)))</f>
        <v>0</v>
      </c>
      <c r="N45" s="21" t="n">
        <f aca="false">INDEX('Type Chart'!$B$5:$P$19,MATCH(N$4,'Type Chart'!$A$5:$A$19,0),MATCH($C45,'Type Chart'!$B$4:$P$4,0))*IF($D45="",1,INDEX('Type Chart'!$B$5:$P$19,MATCH(N$4,'Type Chart'!$A$5:$A$19,0),MATCH($D45,'Type Chart'!$B$4:$P$4,0)))</f>
        <v>1</v>
      </c>
      <c r="O45" s="21" t="n">
        <f aca="false">INDEX('Type Chart'!$B$5:$P$19,MATCH(O$4,'Type Chart'!$A$5:$A$19,0),MATCH($C45,'Type Chart'!$B$4:$P$4,0))*IF($D45="",1,INDEX('Type Chart'!$B$5:$P$19,MATCH(O$4,'Type Chart'!$A$5:$A$19,0),MATCH($D45,'Type Chart'!$B$4:$P$4,0)))</f>
        <v>2</v>
      </c>
      <c r="P45" s="21" t="n">
        <f aca="false">INDEX('Type Chart'!$B$5:$P$19,MATCH(P$4,'Type Chart'!$A$5:$A$19,0),MATCH($C45,'Type Chart'!$B$4:$P$4,0))*IF($D45="",1,INDEX('Type Chart'!$B$5:$P$19,MATCH(P$4,'Type Chart'!$A$5:$A$19,0),MATCH($D45,'Type Chart'!$B$4:$P$4,0)))</f>
        <v>1</v>
      </c>
      <c r="Q45" s="21" t="n">
        <f aca="false">INDEX('Type Chart'!$B$5:$P$19,MATCH(Q$4,'Type Chart'!$A$5:$A$19,0),MATCH($C45,'Type Chart'!$B$4:$P$4,0))*IF($D45="",1,INDEX('Type Chart'!$B$5:$P$19,MATCH(Q$4,'Type Chart'!$A$5:$A$19,0),MATCH($D45,'Type Chart'!$B$4:$P$4,0)))</f>
        <v>2</v>
      </c>
      <c r="R45" s="21" t="n">
        <f aca="false">INDEX('Type Chart'!$B$5:$P$19,MATCH(R$4,'Type Chart'!$A$5:$A$19,0),MATCH($C45,'Type Chart'!$B$4:$P$4,0))*IF($D45="",1,INDEX('Type Chart'!$B$5:$P$19,MATCH(R$4,'Type Chart'!$A$5:$A$19,0),MATCH($D45,'Type Chart'!$B$4:$P$4,0)))</f>
        <v>1</v>
      </c>
      <c r="S45" s="21" t="n">
        <f aca="false">INDEX('Type Chart'!$B$5:$P$19,MATCH(S$4,'Type Chart'!$A$5:$A$19,0),MATCH($C45,'Type Chart'!$B$4:$P$4,0))*IF($D45="",1,INDEX('Type Chart'!$B$5:$P$19,MATCH(S$4,'Type Chart'!$A$5:$A$19,0),MATCH($D45,'Type Chart'!$B$4:$P$4,0)))</f>
        <v>1</v>
      </c>
    </row>
    <row r="46" customFormat="false" ht="15" hidden="false" customHeight="false" outlineLevel="0" collapsed="false">
      <c r="A46" s="19" t="n">
        <v>42</v>
      </c>
      <c r="B46" s="19" t="s">
        <v>133</v>
      </c>
      <c r="C46" s="20" t="str">
        <f aca="false">Pokedex!C46</f>
        <v>Poison</v>
      </c>
      <c r="D46" s="20" t="str">
        <f aca="false">Pokedex!D46</f>
        <v>Flying</v>
      </c>
      <c r="E46" s="21" t="n">
        <f aca="false">INDEX('Type Chart'!$B$5:$P$19,MATCH(E$4,'Type Chart'!$A$5:$A$19,0),MATCH($C46,'Type Chart'!$B$4:$P$4,0))*IF($D46="",1,INDEX('Type Chart'!$B$5:$P$19,MATCH(E$4,'Type Chart'!$A$5:$A$19,0),MATCH($D46,'Type Chart'!$B$4:$P$4,0)))</f>
        <v>1</v>
      </c>
      <c r="F46" s="21" t="n">
        <f aca="false">INDEX('Type Chart'!$B$5:$P$19,MATCH(F$4,'Type Chart'!$A$5:$A$19,0),MATCH($C46,'Type Chart'!$B$4:$P$4,0))*IF($D46="",1,INDEX('Type Chart'!$B$5:$P$19,MATCH(F$4,'Type Chart'!$A$5:$A$19,0),MATCH($D46,'Type Chart'!$B$4:$P$4,0)))</f>
        <v>1</v>
      </c>
      <c r="G46" s="21" t="n">
        <f aca="false">INDEX('Type Chart'!$B$5:$P$19,MATCH(G$4,'Type Chart'!$A$5:$A$19,0),MATCH($C46,'Type Chart'!$B$4:$P$4,0))*IF($D46="",1,INDEX('Type Chart'!$B$5:$P$19,MATCH(G$4,'Type Chart'!$A$5:$A$19,0),MATCH($D46,'Type Chart'!$B$4:$P$4,0)))</f>
        <v>1</v>
      </c>
      <c r="H46" s="21" t="n">
        <f aca="false">INDEX('Type Chart'!$B$5:$P$19,MATCH(H$4,'Type Chart'!$A$5:$A$19,0),MATCH($C46,'Type Chart'!$B$4:$P$4,0))*IF($D46="",1,INDEX('Type Chart'!$B$5:$P$19,MATCH(H$4,'Type Chart'!$A$5:$A$19,0),MATCH($D46,'Type Chart'!$B$4:$P$4,0)))</f>
        <v>2</v>
      </c>
      <c r="I46" s="21" t="n">
        <f aca="false">INDEX('Type Chart'!$B$5:$P$19,MATCH(I$4,'Type Chart'!$A$5:$A$19,0),MATCH($C46,'Type Chart'!$B$4:$P$4,0))*IF($D46="",1,INDEX('Type Chart'!$B$5:$P$19,MATCH(I$4,'Type Chart'!$A$5:$A$19,0),MATCH($D46,'Type Chart'!$B$4:$P$4,0)))</f>
        <v>0.25</v>
      </c>
      <c r="J46" s="21" t="n">
        <f aca="false">INDEX('Type Chart'!$B$5:$P$19,MATCH(J$4,'Type Chart'!$A$5:$A$19,0),MATCH($C46,'Type Chart'!$B$4:$P$4,0))*IF($D46="",1,INDEX('Type Chart'!$B$5:$P$19,MATCH(J$4,'Type Chart'!$A$5:$A$19,0),MATCH($D46,'Type Chart'!$B$4:$P$4,0)))</f>
        <v>2</v>
      </c>
      <c r="K46" s="21" t="n">
        <f aca="false">INDEX('Type Chart'!$B$5:$P$19,MATCH(K$4,'Type Chart'!$A$5:$A$19,0),MATCH($C46,'Type Chart'!$B$4:$P$4,0))*IF($D46="",1,INDEX('Type Chart'!$B$5:$P$19,MATCH(K$4,'Type Chart'!$A$5:$A$19,0),MATCH($D46,'Type Chart'!$B$4:$P$4,0)))</f>
        <v>0.25</v>
      </c>
      <c r="L46" s="21" t="n">
        <f aca="false">INDEX('Type Chart'!$B$5:$P$19,MATCH(L$4,'Type Chart'!$A$5:$A$19,0),MATCH($C46,'Type Chart'!$B$4:$P$4,0))*IF($D46="",1,INDEX('Type Chart'!$B$5:$P$19,MATCH(L$4,'Type Chart'!$A$5:$A$19,0),MATCH($D46,'Type Chart'!$B$4:$P$4,0)))</f>
        <v>0.5</v>
      </c>
      <c r="M46" s="21" t="n">
        <f aca="false">INDEX('Type Chart'!$B$5:$P$19,MATCH(M$4,'Type Chart'!$A$5:$A$19,0),MATCH($C46,'Type Chart'!$B$4:$P$4,0))*IF($D46="",1,INDEX('Type Chart'!$B$5:$P$19,MATCH(M$4,'Type Chart'!$A$5:$A$19,0),MATCH($D46,'Type Chart'!$B$4:$P$4,0)))</f>
        <v>0</v>
      </c>
      <c r="N46" s="21" t="n">
        <f aca="false">INDEX('Type Chart'!$B$5:$P$19,MATCH(N$4,'Type Chart'!$A$5:$A$19,0),MATCH($C46,'Type Chart'!$B$4:$P$4,0))*IF($D46="",1,INDEX('Type Chart'!$B$5:$P$19,MATCH(N$4,'Type Chart'!$A$5:$A$19,0),MATCH($D46,'Type Chart'!$B$4:$P$4,0)))</f>
        <v>1</v>
      </c>
      <c r="O46" s="21" t="n">
        <f aca="false">INDEX('Type Chart'!$B$5:$P$19,MATCH(O$4,'Type Chart'!$A$5:$A$19,0),MATCH($C46,'Type Chart'!$B$4:$P$4,0))*IF($D46="",1,INDEX('Type Chart'!$B$5:$P$19,MATCH(O$4,'Type Chart'!$A$5:$A$19,0),MATCH($D46,'Type Chart'!$B$4:$P$4,0)))</f>
        <v>2</v>
      </c>
      <c r="P46" s="21" t="n">
        <f aca="false">INDEX('Type Chart'!$B$5:$P$19,MATCH(P$4,'Type Chart'!$A$5:$A$19,0),MATCH($C46,'Type Chart'!$B$4:$P$4,0))*IF($D46="",1,INDEX('Type Chart'!$B$5:$P$19,MATCH(P$4,'Type Chart'!$A$5:$A$19,0),MATCH($D46,'Type Chart'!$B$4:$P$4,0)))</f>
        <v>1</v>
      </c>
      <c r="Q46" s="21" t="n">
        <f aca="false">INDEX('Type Chart'!$B$5:$P$19,MATCH(Q$4,'Type Chart'!$A$5:$A$19,0),MATCH($C46,'Type Chart'!$B$4:$P$4,0))*IF($D46="",1,INDEX('Type Chart'!$B$5:$P$19,MATCH(Q$4,'Type Chart'!$A$5:$A$19,0),MATCH($D46,'Type Chart'!$B$4:$P$4,0)))</f>
        <v>2</v>
      </c>
      <c r="R46" s="21" t="n">
        <f aca="false">INDEX('Type Chart'!$B$5:$P$19,MATCH(R$4,'Type Chart'!$A$5:$A$19,0),MATCH($C46,'Type Chart'!$B$4:$P$4,0))*IF($D46="",1,INDEX('Type Chart'!$B$5:$P$19,MATCH(R$4,'Type Chart'!$A$5:$A$19,0),MATCH($D46,'Type Chart'!$B$4:$P$4,0)))</f>
        <v>1</v>
      </c>
      <c r="S46" s="21" t="n">
        <f aca="false">INDEX('Type Chart'!$B$5:$P$19,MATCH(S$4,'Type Chart'!$A$5:$A$19,0),MATCH($C46,'Type Chart'!$B$4:$P$4,0))*IF($D46="",1,INDEX('Type Chart'!$B$5:$P$19,MATCH(S$4,'Type Chart'!$A$5:$A$19,0),MATCH($D46,'Type Chart'!$B$4:$P$4,0)))</f>
        <v>1</v>
      </c>
    </row>
    <row r="47" customFormat="false" ht="15" hidden="false" customHeight="false" outlineLevel="0" collapsed="false">
      <c r="A47" s="19" t="n">
        <v>43</v>
      </c>
      <c r="B47" s="19" t="s">
        <v>134</v>
      </c>
      <c r="C47" s="20" t="str">
        <f aca="false">Pokedex!C47</f>
        <v>Grass</v>
      </c>
      <c r="D47" s="20" t="str">
        <f aca="false">Pokedex!D47</f>
        <v>Poison</v>
      </c>
      <c r="E47" s="21" t="n">
        <f aca="false">INDEX('Type Chart'!$B$5:$P$19,MATCH(E$4,'Type Chart'!$A$5:$A$19,0),MATCH($C47,'Type Chart'!$B$4:$P$4,0))*IF($D47="",1,INDEX('Type Chart'!$B$5:$P$19,MATCH(E$4,'Type Chart'!$A$5:$A$19,0),MATCH($D47,'Type Chart'!$B$4:$P$4,0)))</f>
        <v>1</v>
      </c>
      <c r="F47" s="21" t="n">
        <f aca="false">INDEX('Type Chart'!$B$5:$P$19,MATCH(F$4,'Type Chart'!$A$5:$A$19,0),MATCH($C47,'Type Chart'!$B$4:$P$4,0))*IF($D47="",1,INDEX('Type Chart'!$B$5:$P$19,MATCH(F$4,'Type Chart'!$A$5:$A$19,0),MATCH($D47,'Type Chart'!$B$4:$P$4,0)))</f>
        <v>2</v>
      </c>
      <c r="G47" s="21" t="n">
        <f aca="false">INDEX('Type Chart'!$B$5:$P$19,MATCH(G$4,'Type Chart'!$A$5:$A$19,0),MATCH($C47,'Type Chart'!$B$4:$P$4,0))*IF($D47="",1,INDEX('Type Chart'!$B$5:$P$19,MATCH(G$4,'Type Chart'!$A$5:$A$19,0),MATCH($D47,'Type Chart'!$B$4:$P$4,0)))</f>
        <v>0.5</v>
      </c>
      <c r="H47" s="21" t="n">
        <f aca="false">INDEX('Type Chart'!$B$5:$P$19,MATCH(H$4,'Type Chart'!$A$5:$A$19,0),MATCH($C47,'Type Chart'!$B$4:$P$4,0))*IF($D47="",1,INDEX('Type Chart'!$B$5:$P$19,MATCH(H$4,'Type Chart'!$A$5:$A$19,0),MATCH($D47,'Type Chart'!$B$4:$P$4,0)))</f>
        <v>0.5</v>
      </c>
      <c r="I47" s="21" t="n">
        <f aca="false">INDEX('Type Chart'!$B$5:$P$19,MATCH(I$4,'Type Chart'!$A$5:$A$19,0),MATCH($C47,'Type Chart'!$B$4:$P$4,0))*IF($D47="",1,INDEX('Type Chart'!$B$5:$P$19,MATCH(I$4,'Type Chart'!$A$5:$A$19,0),MATCH($D47,'Type Chart'!$B$4:$P$4,0)))</f>
        <v>0.25</v>
      </c>
      <c r="J47" s="21" t="n">
        <f aca="false">INDEX('Type Chart'!$B$5:$P$19,MATCH(J$4,'Type Chart'!$A$5:$A$19,0),MATCH($C47,'Type Chart'!$B$4:$P$4,0))*IF($D47="",1,INDEX('Type Chart'!$B$5:$P$19,MATCH(J$4,'Type Chart'!$A$5:$A$19,0),MATCH($D47,'Type Chart'!$B$4:$P$4,0)))</f>
        <v>2</v>
      </c>
      <c r="K47" s="21" t="n">
        <f aca="false">INDEX('Type Chart'!$B$5:$P$19,MATCH(K$4,'Type Chart'!$A$5:$A$19,0),MATCH($C47,'Type Chart'!$B$4:$P$4,0))*IF($D47="",1,INDEX('Type Chart'!$B$5:$P$19,MATCH(K$4,'Type Chart'!$A$5:$A$19,0),MATCH($D47,'Type Chart'!$B$4:$P$4,0)))</f>
        <v>0.5</v>
      </c>
      <c r="L47" s="21" t="n">
        <f aca="false">INDEX('Type Chart'!$B$5:$P$19,MATCH(L$4,'Type Chart'!$A$5:$A$19,0),MATCH($C47,'Type Chart'!$B$4:$P$4,0))*IF($D47="",1,INDEX('Type Chart'!$B$5:$P$19,MATCH(L$4,'Type Chart'!$A$5:$A$19,0),MATCH($D47,'Type Chart'!$B$4:$P$4,0)))</f>
        <v>1</v>
      </c>
      <c r="M47" s="21" t="n">
        <f aca="false">INDEX('Type Chart'!$B$5:$P$19,MATCH(M$4,'Type Chart'!$A$5:$A$19,0),MATCH($C47,'Type Chart'!$B$4:$P$4,0))*IF($D47="",1,INDEX('Type Chart'!$B$5:$P$19,MATCH(M$4,'Type Chart'!$A$5:$A$19,0),MATCH($D47,'Type Chart'!$B$4:$P$4,0)))</f>
        <v>1</v>
      </c>
      <c r="N47" s="21" t="n">
        <f aca="false">INDEX('Type Chart'!$B$5:$P$19,MATCH(N$4,'Type Chart'!$A$5:$A$19,0),MATCH($C47,'Type Chart'!$B$4:$P$4,0))*IF($D47="",1,INDEX('Type Chart'!$B$5:$P$19,MATCH(N$4,'Type Chart'!$A$5:$A$19,0),MATCH($D47,'Type Chart'!$B$4:$P$4,0)))</f>
        <v>2</v>
      </c>
      <c r="O47" s="21" t="n">
        <f aca="false">INDEX('Type Chart'!$B$5:$P$19,MATCH(O$4,'Type Chart'!$A$5:$A$19,0),MATCH($C47,'Type Chart'!$B$4:$P$4,0))*IF($D47="",1,INDEX('Type Chart'!$B$5:$P$19,MATCH(O$4,'Type Chart'!$A$5:$A$19,0),MATCH($D47,'Type Chart'!$B$4:$P$4,0)))</f>
        <v>2</v>
      </c>
      <c r="P47" s="21" t="n">
        <f aca="false">INDEX('Type Chart'!$B$5:$P$19,MATCH(P$4,'Type Chart'!$A$5:$A$19,0),MATCH($C47,'Type Chart'!$B$4:$P$4,0))*IF($D47="",1,INDEX('Type Chart'!$B$5:$P$19,MATCH(P$4,'Type Chart'!$A$5:$A$19,0),MATCH($D47,'Type Chart'!$B$4:$P$4,0)))</f>
        <v>4</v>
      </c>
      <c r="Q47" s="21" t="n">
        <f aca="false">INDEX('Type Chart'!$B$5:$P$19,MATCH(Q$4,'Type Chart'!$A$5:$A$19,0),MATCH($C47,'Type Chart'!$B$4:$P$4,0))*IF($D47="",1,INDEX('Type Chart'!$B$5:$P$19,MATCH(Q$4,'Type Chart'!$A$5:$A$19,0),MATCH($D47,'Type Chart'!$B$4:$P$4,0)))</f>
        <v>1</v>
      </c>
      <c r="R47" s="21" t="n">
        <f aca="false">INDEX('Type Chart'!$B$5:$P$19,MATCH(R$4,'Type Chart'!$A$5:$A$19,0),MATCH($C47,'Type Chart'!$B$4:$P$4,0))*IF($D47="",1,INDEX('Type Chart'!$B$5:$P$19,MATCH(R$4,'Type Chart'!$A$5:$A$19,0),MATCH($D47,'Type Chart'!$B$4:$P$4,0)))</f>
        <v>1</v>
      </c>
      <c r="S47" s="21" t="n">
        <f aca="false">INDEX('Type Chart'!$B$5:$P$19,MATCH(S$4,'Type Chart'!$A$5:$A$19,0),MATCH($C47,'Type Chart'!$B$4:$P$4,0))*IF($D47="",1,INDEX('Type Chart'!$B$5:$P$19,MATCH(S$4,'Type Chart'!$A$5:$A$19,0),MATCH($D47,'Type Chart'!$B$4:$P$4,0)))</f>
        <v>1</v>
      </c>
    </row>
    <row r="48" customFormat="false" ht="15" hidden="false" customHeight="false" outlineLevel="0" collapsed="false">
      <c r="A48" s="19" t="n">
        <v>44</v>
      </c>
      <c r="B48" s="19" t="s">
        <v>135</v>
      </c>
      <c r="C48" s="20" t="str">
        <f aca="false">Pokedex!C48</f>
        <v>Grass</v>
      </c>
      <c r="D48" s="20" t="str">
        <f aca="false">Pokedex!D48</f>
        <v>Poison</v>
      </c>
      <c r="E48" s="21" t="n">
        <f aca="false">INDEX('Type Chart'!$B$5:$P$19,MATCH(E$4,'Type Chart'!$A$5:$A$19,0),MATCH($C48,'Type Chart'!$B$4:$P$4,0))*IF($D48="",1,INDEX('Type Chart'!$B$5:$P$19,MATCH(E$4,'Type Chart'!$A$5:$A$19,0),MATCH($D48,'Type Chart'!$B$4:$P$4,0)))</f>
        <v>1</v>
      </c>
      <c r="F48" s="21" t="n">
        <f aca="false">INDEX('Type Chart'!$B$5:$P$19,MATCH(F$4,'Type Chart'!$A$5:$A$19,0),MATCH($C48,'Type Chart'!$B$4:$P$4,0))*IF($D48="",1,INDEX('Type Chart'!$B$5:$P$19,MATCH(F$4,'Type Chart'!$A$5:$A$19,0),MATCH($D48,'Type Chart'!$B$4:$P$4,0)))</f>
        <v>2</v>
      </c>
      <c r="G48" s="21" t="n">
        <f aca="false">INDEX('Type Chart'!$B$5:$P$19,MATCH(G$4,'Type Chart'!$A$5:$A$19,0),MATCH($C48,'Type Chart'!$B$4:$P$4,0))*IF($D48="",1,INDEX('Type Chart'!$B$5:$P$19,MATCH(G$4,'Type Chart'!$A$5:$A$19,0),MATCH($D48,'Type Chart'!$B$4:$P$4,0)))</f>
        <v>0.5</v>
      </c>
      <c r="H48" s="21" t="n">
        <f aca="false">INDEX('Type Chart'!$B$5:$P$19,MATCH(H$4,'Type Chart'!$A$5:$A$19,0),MATCH($C48,'Type Chart'!$B$4:$P$4,0))*IF($D48="",1,INDEX('Type Chart'!$B$5:$P$19,MATCH(H$4,'Type Chart'!$A$5:$A$19,0),MATCH($D48,'Type Chart'!$B$4:$P$4,0)))</f>
        <v>0.5</v>
      </c>
      <c r="I48" s="21" t="n">
        <f aca="false">INDEX('Type Chart'!$B$5:$P$19,MATCH(I$4,'Type Chart'!$A$5:$A$19,0),MATCH($C48,'Type Chart'!$B$4:$P$4,0))*IF($D48="",1,INDEX('Type Chart'!$B$5:$P$19,MATCH(I$4,'Type Chart'!$A$5:$A$19,0),MATCH($D48,'Type Chart'!$B$4:$P$4,0)))</f>
        <v>0.25</v>
      </c>
      <c r="J48" s="21" t="n">
        <f aca="false">INDEX('Type Chart'!$B$5:$P$19,MATCH(J$4,'Type Chart'!$A$5:$A$19,0),MATCH($C48,'Type Chart'!$B$4:$P$4,0))*IF($D48="",1,INDEX('Type Chart'!$B$5:$P$19,MATCH(J$4,'Type Chart'!$A$5:$A$19,0),MATCH($D48,'Type Chart'!$B$4:$P$4,0)))</f>
        <v>2</v>
      </c>
      <c r="K48" s="21" t="n">
        <f aca="false">INDEX('Type Chart'!$B$5:$P$19,MATCH(K$4,'Type Chart'!$A$5:$A$19,0),MATCH($C48,'Type Chart'!$B$4:$P$4,0))*IF($D48="",1,INDEX('Type Chart'!$B$5:$P$19,MATCH(K$4,'Type Chart'!$A$5:$A$19,0),MATCH($D48,'Type Chart'!$B$4:$P$4,0)))</f>
        <v>0.5</v>
      </c>
      <c r="L48" s="21" t="n">
        <f aca="false">INDEX('Type Chart'!$B$5:$P$19,MATCH(L$4,'Type Chart'!$A$5:$A$19,0),MATCH($C48,'Type Chart'!$B$4:$P$4,0))*IF($D48="",1,INDEX('Type Chart'!$B$5:$P$19,MATCH(L$4,'Type Chart'!$A$5:$A$19,0),MATCH($D48,'Type Chart'!$B$4:$P$4,0)))</f>
        <v>1</v>
      </c>
      <c r="M48" s="21" t="n">
        <f aca="false">INDEX('Type Chart'!$B$5:$P$19,MATCH(M$4,'Type Chart'!$A$5:$A$19,0),MATCH($C48,'Type Chart'!$B$4:$P$4,0))*IF($D48="",1,INDEX('Type Chart'!$B$5:$P$19,MATCH(M$4,'Type Chart'!$A$5:$A$19,0),MATCH($D48,'Type Chart'!$B$4:$P$4,0)))</f>
        <v>1</v>
      </c>
      <c r="N48" s="21" t="n">
        <f aca="false">INDEX('Type Chart'!$B$5:$P$19,MATCH(N$4,'Type Chart'!$A$5:$A$19,0),MATCH($C48,'Type Chart'!$B$4:$P$4,0))*IF($D48="",1,INDEX('Type Chart'!$B$5:$P$19,MATCH(N$4,'Type Chart'!$A$5:$A$19,0),MATCH($D48,'Type Chart'!$B$4:$P$4,0)))</f>
        <v>2</v>
      </c>
      <c r="O48" s="21" t="n">
        <f aca="false">INDEX('Type Chart'!$B$5:$P$19,MATCH(O$4,'Type Chart'!$A$5:$A$19,0),MATCH($C48,'Type Chart'!$B$4:$P$4,0))*IF($D48="",1,INDEX('Type Chart'!$B$5:$P$19,MATCH(O$4,'Type Chart'!$A$5:$A$19,0),MATCH($D48,'Type Chart'!$B$4:$P$4,0)))</f>
        <v>2</v>
      </c>
      <c r="P48" s="21" t="n">
        <f aca="false">INDEX('Type Chart'!$B$5:$P$19,MATCH(P$4,'Type Chart'!$A$5:$A$19,0),MATCH($C48,'Type Chart'!$B$4:$P$4,0))*IF($D48="",1,INDEX('Type Chart'!$B$5:$P$19,MATCH(P$4,'Type Chart'!$A$5:$A$19,0),MATCH($D48,'Type Chart'!$B$4:$P$4,0)))</f>
        <v>4</v>
      </c>
      <c r="Q48" s="21" t="n">
        <f aca="false">INDEX('Type Chart'!$B$5:$P$19,MATCH(Q$4,'Type Chart'!$A$5:$A$19,0),MATCH($C48,'Type Chart'!$B$4:$P$4,0))*IF($D48="",1,INDEX('Type Chart'!$B$5:$P$19,MATCH(Q$4,'Type Chart'!$A$5:$A$19,0),MATCH($D48,'Type Chart'!$B$4:$P$4,0)))</f>
        <v>1</v>
      </c>
      <c r="R48" s="21" t="n">
        <f aca="false">INDEX('Type Chart'!$B$5:$P$19,MATCH(R$4,'Type Chart'!$A$5:$A$19,0),MATCH($C48,'Type Chart'!$B$4:$P$4,0))*IF($D48="",1,INDEX('Type Chart'!$B$5:$P$19,MATCH(R$4,'Type Chart'!$A$5:$A$19,0),MATCH($D48,'Type Chart'!$B$4:$P$4,0)))</f>
        <v>1</v>
      </c>
      <c r="S48" s="21" t="n">
        <f aca="false">INDEX('Type Chart'!$B$5:$P$19,MATCH(S$4,'Type Chart'!$A$5:$A$19,0),MATCH($C48,'Type Chart'!$B$4:$P$4,0))*IF($D48="",1,INDEX('Type Chart'!$B$5:$P$19,MATCH(S$4,'Type Chart'!$A$5:$A$19,0),MATCH($D48,'Type Chart'!$B$4:$P$4,0)))</f>
        <v>1</v>
      </c>
    </row>
    <row r="49" customFormat="false" ht="15" hidden="false" customHeight="false" outlineLevel="0" collapsed="false">
      <c r="A49" s="19" t="n">
        <v>45</v>
      </c>
      <c r="B49" s="19" t="s">
        <v>136</v>
      </c>
      <c r="C49" s="20" t="str">
        <f aca="false">Pokedex!C49</f>
        <v>Grass</v>
      </c>
      <c r="D49" s="20" t="str">
        <f aca="false">Pokedex!D49</f>
        <v>Poison</v>
      </c>
      <c r="E49" s="21" t="n">
        <f aca="false">INDEX('Type Chart'!$B$5:$P$19,MATCH(E$4,'Type Chart'!$A$5:$A$19,0),MATCH($C49,'Type Chart'!$B$4:$P$4,0))*IF($D49="",1,INDEX('Type Chart'!$B$5:$P$19,MATCH(E$4,'Type Chart'!$A$5:$A$19,0),MATCH($D49,'Type Chart'!$B$4:$P$4,0)))</f>
        <v>1</v>
      </c>
      <c r="F49" s="21" t="n">
        <f aca="false">INDEX('Type Chart'!$B$5:$P$19,MATCH(F$4,'Type Chart'!$A$5:$A$19,0),MATCH($C49,'Type Chart'!$B$4:$P$4,0))*IF($D49="",1,INDEX('Type Chart'!$B$5:$P$19,MATCH(F$4,'Type Chart'!$A$5:$A$19,0),MATCH($D49,'Type Chart'!$B$4:$P$4,0)))</f>
        <v>2</v>
      </c>
      <c r="G49" s="21" t="n">
        <f aca="false">INDEX('Type Chart'!$B$5:$P$19,MATCH(G$4,'Type Chart'!$A$5:$A$19,0),MATCH($C49,'Type Chart'!$B$4:$P$4,0))*IF($D49="",1,INDEX('Type Chart'!$B$5:$P$19,MATCH(G$4,'Type Chart'!$A$5:$A$19,0),MATCH($D49,'Type Chart'!$B$4:$P$4,0)))</f>
        <v>0.5</v>
      </c>
      <c r="H49" s="21" t="n">
        <f aca="false">INDEX('Type Chart'!$B$5:$P$19,MATCH(H$4,'Type Chart'!$A$5:$A$19,0),MATCH($C49,'Type Chart'!$B$4:$P$4,0))*IF($D49="",1,INDEX('Type Chart'!$B$5:$P$19,MATCH(H$4,'Type Chart'!$A$5:$A$19,0),MATCH($D49,'Type Chart'!$B$4:$P$4,0)))</f>
        <v>0.5</v>
      </c>
      <c r="I49" s="21" t="n">
        <f aca="false">INDEX('Type Chart'!$B$5:$P$19,MATCH(I$4,'Type Chart'!$A$5:$A$19,0),MATCH($C49,'Type Chart'!$B$4:$P$4,0))*IF($D49="",1,INDEX('Type Chart'!$B$5:$P$19,MATCH(I$4,'Type Chart'!$A$5:$A$19,0),MATCH($D49,'Type Chart'!$B$4:$P$4,0)))</f>
        <v>0.25</v>
      </c>
      <c r="J49" s="21" t="n">
        <f aca="false">INDEX('Type Chart'!$B$5:$P$19,MATCH(J$4,'Type Chart'!$A$5:$A$19,0),MATCH($C49,'Type Chart'!$B$4:$P$4,0))*IF($D49="",1,INDEX('Type Chart'!$B$5:$P$19,MATCH(J$4,'Type Chart'!$A$5:$A$19,0),MATCH($D49,'Type Chart'!$B$4:$P$4,0)))</f>
        <v>2</v>
      </c>
      <c r="K49" s="21" t="n">
        <f aca="false">INDEX('Type Chart'!$B$5:$P$19,MATCH(K$4,'Type Chart'!$A$5:$A$19,0),MATCH($C49,'Type Chart'!$B$4:$P$4,0))*IF($D49="",1,INDEX('Type Chart'!$B$5:$P$19,MATCH(K$4,'Type Chart'!$A$5:$A$19,0),MATCH($D49,'Type Chart'!$B$4:$P$4,0)))</f>
        <v>0.5</v>
      </c>
      <c r="L49" s="21" t="n">
        <f aca="false">INDEX('Type Chart'!$B$5:$P$19,MATCH(L$4,'Type Chart'!$A$5:$A$19,0),MATCH($C49,'Type Chart'!$B$4:$P$4,0))*IF($D49="",1,INDEX('Type Chart'!$B$5:$P$19,MATCH(L$4,'Type Chart'!$A$5:$A$19,0),MATCH($D49,'Type Chart'!$B$4:$P$4,0)))</f>
        <v>1</v>
      </c>
      <c r="M49" s="21" t="n">
        <f aca="false">INDEX('Type Chart'!$B$5:$P$19,MATCH(M$4,'Type Chart'!$A$5:$A$19,0),MATCH($C49,'Type Chart'!$B$4:$P$4,0))*IF($D49="",1,INDEX('Type Chart'!$B$5:$P$19,MATCH(M$4,'Type Chart'!$A$5:$A$19,0),MATCH($D49,'Type Chart'!$B$4:$P$4,0)))</f>
        <v>1</v>
      </c>
      <c r="N49" s="21" t="n">
        <f aca="false">INDEX('Type Chart'!$B$5:$P$19,MATCH(N$4,'Type Chart'!$A$5:$A$19,0),MATCH($C49,'Type Chart'!$B$4:$P$4,0))*IF($D49="",1,INDEX('Type Chart'!$B$5:$P$19,MATCH(N$4,'Type Chart'!$A$5:$A$19,0),MATCH($D49,'Type Chart'!$B$4:$P$4,0)))</f>
        <v>2</v>
      </c>
      <c r="O49" s="21" t="n">
        <f aca="false">INDEX('Type Chart'!$B$5:$P$19,MATCH(O$4,'Type Chart'!$A$5:$A$19,0),MATCH($C49,'Type Chart'!$B$4:$P$4,0))*IF($D49="",1,INDEX('Type Chart'!$B$5:$P$19,MATCH(O$4,'Type Chart'!$A$5:$A$19,0),MATCH($D49,'Type Chart'!$B$4:$P$4,0)))</f>
        <v>2</v>
      </c>
      <c r="P49" s="21" t="n">
        <f aca="false">INDEX('Type Chart'!$B$5:$P$19,MATCH(P$4,'Type Chart'!$A$5:$A$19,0),MATCH($C49,'Type Chart'!$B$4:$P$4,0))*IF($D49="",1,INDEX('Type Chart'!$B$5:$P$19,MATCH(P$4,'Type Chart'!$A$5:$A$19,0),MATCH($D49,'Type Chart'!$B$4:$P$4,0)))</f>
        <v>4</v>
      </c>
      <c r="Q49" s="21" t="n">
        <f aca="false">INDEX('Type Chart'!$B$5:$P$19,MATCH(Q$4,'Type Chart'!$A$5:$A$19,0),MATCH($C49,'Type Chart'!$B$4:$P$4,0))*IF($D49="",1,INDEX('Type Chart'!$B$5:$P$19,MATCH(Q$4,'Type Chart'!$A$5:$A$19,0),MATCH($D49,'Type Chart'!$B$4:$P$4,0)))</f>
        <v>1</v>
      </c>
      <c r="R49" s="21" t="n">
        <f aca="false">INDEX('Type Chart'!$B$5:$P$19,MATCH(R$4,'Type Chart'!$A$5:$A$19,0),MATCH($C49,'Type Chart'!$B$4:$P$4,0))*IF($D49="",1,INDEX('Type Chart'!$B$5:$P$19,MATCH(R$4,'Type Chart'!$A$5:$A$19,0),MATCH($D49,'Type Chart'!$B$4:$P$4,0)))</f>
        <v>1</v>
      </c>
      <c r="S49" s="21" t="n">
        <f aca="false">INDEX('Type Chart'!$B$5:$P$19,MATCH(S$4,'Type Chart'!$A$5:$A$19,0),MATCH($C49,'Type Chart'!$B$4:$P$4,0))*IF($D49="",1,INDEX('Type Chart'!$B$5:$P$19,MATCH(S$4,'Type Chart'!$A$5:$A$19,0),MATCH($D49,'Type Chart'!$B$4:$P$4,0)))</f>
        <v>1</v>
      </c>
    </row>
    <row r="50" customFormat="false" ht="15" hidden="false" customHeight="false" outlineLevel="0" collapsed="false">
      <c r="A50" s="19" t="n">
        <v>46</v>
      </c>
      <c r="B50" s="19" t="s">
        <v>137</v>
      </c>
      <c r="C50" s="20" t="str">
        <f aca="false">Pokedex!C50</f>
        <v>Bug</v>
      </c>
      <c r="D50" s="20" t="str">
        <f aca="false">Pokedex!D50</f>
        <v>Grass</v>
      </c>
      <c r="E50" s="21" t="n">
        <f aca="false">INDEX('Type Chart'!$B$5:$P$19,MATCH(E$4,'Type Chart'!$A$5:$A$19,0),MATCH($C50,'Type Chart'!$B$4:$P$4,0))*IF($D50="",1,INDEX('Type Chart'!$B$5:$P$19,MATCH(E$4,'Type Chart'!$A$5:$A$19,0),MATCH($D50,'Type Chart'!$B$4:$P$4,0)))</f>
        <v>1</v>
      </c>
      <c r="F50" s="21" t="n">
        <f aca="false">INDEX('Type Chart'!$B$5:$P$19,MATCH(F$4,'Type Chart'!$A$5:$A$19,0),MATCH($C50,'Type Chart'!$B$4:$P$4,0))*IF($D50="",1,INDEX('Type Chart'!$B$5:$P$19,MATCH(F$4,'Type Chart'!$A$5:$A$19,0),MATCH($D50,'Type Chart'!$B$4:$P$4,0)))</f>
        <v>4</v>
      </c>
      <c r="G50" s="21" t="n">
        <f aca="false">INDEX('Type Chart'!$B$5:$P$19,MATCH(G$4,'Type Chart'!$A$5:$A$19,0),MATCH($C50,'Type Chart'!$B$4:$P$4,0))*IF($D50="",1,INDEX('Type Chart'!$B$5:$P$19,MATCH(G$4,'Type Chart'!$A$5:$A$19,0),MATCH($D50,'Type Chart'!$B$4:$P$4,0)))</f>
        <v>0.5</v>
      </c>
      <c r="H50" s="21" t="n">
        <f aca="false">INDEX('Type Chart'!$B$5:$P$19,MATCH(H$4,'Type Chart'!$A$5:$A$19,0),MATCH($C50,'Type Chart'!$B$4:$P$4,0))*IF($D50="",1,INDEX('Type Chart'!$B$5:$P$19,MATCH(H$4,'Type Chart'!$A$5:$A$19,0),MATCH($D50,'Type Chart'!$B$4:$P$4,0)))</f>
        <v>0.5</v>
      </c>
      <c r="I50" s="21" t="n">
        <f aca="false">INDEX('Type Chart'!$B$5:$P$19,MATCH(I$4,'Type Chart'!$A$5:$A$19,0),MATCH($C50,'Type Chart'!$B$4:$P$4,0))*IF($D50="",1,INDEX('Type Chart'!$B$5:$P$19,MATCH(I$4,'Type Chart'!$A$5:$A$19,0),MATCH($D50,'Type Chart'!$B$4:$P$4,0)))</f>
        <v>0.25</v>
      </c>
      <c r="J50" s="21" t="n">
        <f aca="false">INDEX('Type Chart'!$B$5:$P$19,MATCH(J$4,'Type Chart'!$A$5:$A$19,0),MATCH($C50,'Type Chart'!$B$4:$P$4,0))*IF($D50="",1,INDEX('Type Chart'!$B$5:$P$19,MATCH(J$4,'Type Chart'!$A$5:$A$19,0),MATCH($D50,'Type Chart'!$B$4:$P$4,0)))</f>
        <v>2</v>
      </c>
      <c r="K50" s="21" t="n">
        <f aca="false">INDEX('Type Chart'!$B$5:$P$19,MATCH(K$4,'Type Chart'!$A$5:$A$19,0),MATCH($C50,'Type Chart'!$B$4:$P$4,0))*IF($D50="",1,INDEX('Type Chart'!$B$5:$P$19,MATCH(K$4,'Type Chart'!$A$5:$A$19,0),MATCH($D50,'Type Chart'!$B$4:$P$4,0)))</f>
        <v>0.5</v>
      </c>
      <c r="L50" s="21" t="n">
        <f aca="false">INDEX('Type Chart'!$B$5:$P$19,MATCH(L$4,'Type Chart'!$A$5:$A$19,0),MATCH($C50,'Type Chart'!$B$4:$P$4,0))*IF($D50="",1,INDEX('Type Chart'!$B$5:$P$19,MATCH(L$4,'Type Chart'!$A$5:$A$19,0),MATCH($D50,'Type Chart'!$B$4:$P$4,0)))</f>
        <v>4</v>
      </c>
      <c r="M50" s="21" t="n">
        <f aca="false">INDEX('Type Chart'!$B$5:$P$19,MATCH(M$4,'Type Chart'!$A$5:$A$19,0),MATCH($C50,'Type Chart'!$B$4:$P$4,0))*IF($D50="",1,INDEX('Type Chart'!$B$5:$P$19,MATCH(M$4,'Type Chart'!$A$5:$A$19,0),MATCH($D50,'Type Chart'!$B$4:$P$4,0)))</f>
        <v>0.25</v>
      </c>
      <c r="N50" s="21" t="n">
        <f aca="false">INDEX('Type Chart'!$B$5:$P$19,MATCH(N$4,'Type Chart'!$A$5:$A$19,0),MATCH($C50,'Type Chart'!$B$4:$P$4,0))*IF($D50="",1,INDEX('Type Chart'!$B$5:$P$19,MATCH(N$4,'Type Chart'!$A$5:$A$19,0),MATCH($D50,'Type Chart'!$B$4:$P$4,0)))</f>
        <v>4</v>
      </c>
      <c r="O50" s="21" t="n">
        <f aca="false">INDEX('Type Chart'!$B$5:$P$19,MATCH(O$4,'Type Chart'!$A$5:$A$19,0),MATCH($C50,'Type Chart'!$B$4:$P$4,0))*IF($D50="",1,INDEX('Type Chart'!$B$5:$P$19,MATCH(O$4,'Type Chart'!$A$5:$A$19,0),MATCH($D50,'Type Chart'!$B$4:$P$4,0)))</f>
        <v>1</v>
      </c>
      <c r="P50" s="21" t="n">
        <f aca="false">INDEX('Type Chart'!$B$5:$P$19,MATCH(P$4,'Type Chart'!$A$5:$A$19,0),MATCH($C50,'Type Chart'!$B$4:$P$4,0))*IF($D50="",1,INDEX('Type Chart'!$B$5:$P$19,MATCH(P$4,'Type Chart'!$A$5:$A$19,0),MATCH($D50,'Type Chart'!$B$4:$P$4,0)))</f>
        <v>2</v>
      </c>
      <c r="Q50" s="21" t="n">
        <f aca="false">INDEX('Type Chart'!$B$5:$P$19,MATCH(Q$4,'Type Chart'!$A$5:$A$19,0),MATCH($C50,'Type Chart'!$B$4:$P$4,0))*IF($D50="",1,INDEX('Type Chart'!$B$5:$P$19,MATCH(Q$4,'Type Chart'!$A$5:$A$19,0),MATCH($D50,'Type Chart'!$B$4:$P$4,0)))</f>
        <v>2</v>
      </c>
      <c r="R50" s="21" t="n">
        <f aca="false">INDEX('Type Chart'!$B$5:$P$19,MATCH(R$4,'Type Chart'!$A$5:$A$19,0),MATCH($C50,'Type Chart'!$B$4:$P$4,0))*IF($D50="",1,INDEX('Type Chart'!$B$5:$P$19,MATCH(R$4,'Type Chart'!$A$5:$A$19,0),MATCH($D50,'Type Chart'!$B$4:$P$4,0)))</f>
        <v>1</v>
      </c>
      <c r="S50" s="21" t="n">
        <f aca="false">INDEX('Type Chart'!$B$5:$P$19,MATCH(S$4,'Type Chart'!$A$5:$A$19,0),MATCH($C50,'Type Chart'!$B$4:$P$4,0))*IF($D50="",1,INDEX('Type Chart'!$B$5:$P$19,MATCH(S$4,'Type Chart'!$A$5:$A$19,0),MATCH($D50,'Type Chart'!$B$4:$P$4,0)))</f>
        <v>1</v>
      </c>
    </row>
    <row r="51" customFormat="false" ht="15" hidden="false" customHeight="false" outlineLevel="0" collapsed="false">
      <c r="A51" s="19" t="n">
        <v>47</v>
      </c>
      <c r="B51" s="19" t="s">
        <v>138</v>
      </c>
      <c r="C51" s="20" t="str">
        <f aca="false">Pokedex!C51</f>
        <v>Bug</v>
      </c>
      <c r="D51" s="20" t="str">
        <f aca="false">Pokedex!D51</f>
        <v>Grass</v>
      </c>
      <c r="E51" s="21" t="n">
        <f aca="false">INDEX('Type Chart'!$B$5:$P$19,MATCH(E$4,'Type Chart'!$A$5:$A$19,0),MATCH($C51,'Type Chart'!$B$4:$P$4,0))*IF($D51="",1,INDEX('Type Chart'!$B$5:$P$19,MATCH(E$4,'Type Chart'!$A$5:$A$19,0),MATCH($D51,'Type Chart'!$B$4:$P$4,0)))</f>
        <v>1</v>
      </c>
      <c r="F51" s="21" t="n">
        <f aca="false">INDEX('Type Chart'!$B$5:$P$19,MATCH(F$4,'Type Chart'!$A$5:$A$19,0),MATCH($C51,'Type Chart'!$B$4:$P$4,0))*IF($D51="",1,INDEX('Type Chart'!$B$5:$P$19,MATCH(F$4,'Type Chart'!$A$5:$A$19,0),MATCH($D51,'Type Chart'!$B$4:$P$4,0)))</f>
        <v>4</v>
      </c>
      <c r="G51" s="21" t="n">
        <f aca="false">INDEX('Type Chart'!$B$5:$P$19,MATCH(G$4,'Type Chart'!$A$5:$A$19,0),MATCH($C51,'Type Chart'!$B$4:$P$4,0))*IF($D51="",1,INDEX('Type Chart'!$B$5:$P$19,MATCH(G$4,'Type Chart'!$A$5:$A$19,0),MATCH($D51,'Type Chart'!$B$4:$P$4,0)))</f>
        <v>0.5</v>
      </c>
      <c r="H51" s="21" t="n">
        <f aca="false">INDEX('Type Chart'!$B$5:$P$19,MATCH(H$4,'Type Chart'!$A$5:$A$19,0),MATCH($C51,'Type Chart'!$B$4:$P$4,0))*IF($D51="",1,INDEX('Type Chart'!$B$5:$P$19,MATCH(H$4,'Type Chart'!$A$5:$A$19,0),MATCH($D51,'Type Chart'!$B$4:$P$4,0)))</f>
        <v>0.5</v>
      </c>
      <c r="I51" s="21" t="n">
        <f aca="false">INDEX('Type Chart'!$B$5:$P$19,MATCH(I$4,'Type Chart'!$A$5:$A$19,0),MATCH($C51,'Type Chart'!$B$4:$P$4,0))*IF($D51="",1,INDEX('Type Chart'!$B$5:$P$19,MATCH(I$4,'Type Chart'!$A$5:$A$19,0),MATCH($D51,'Type Chart'!$B$4:$P$4,0)))</f>
        <v>0.25</v>
      </c>
      <c r="J51" s="21" t="n">
        <f aca="false">INDEX('Type Chart'!$B$5:$P$19,MATCH(J$4,'Type Chart'!$A$5:$A$19,0),MATCH($C51,'Type Chart'!$B$4:$P$4,0))*IF($D51="",1,INDEX('Type Chart'!$B$5:$P$19,MATCH(J$4,'Type Chart'!$A$5:$A$19,0),MATCH($D51,'Type Chart'!$B$4:$P$4,0)))</f>
        <v>2</v>
      </c>
      <c r="K51" s="21" t="n">
        <f aca="false">INDEX('Type Chart'!$B$5:$P$19,MATCH(K$4,'Type Chart'!$A$5:$A$19,0),MATCH($C51,'Type Chart'!$B$4:$P$4,0))*IF($D51="",1,INDEX('Type Chart'!$B$5:$P$19,MATCH(K$4,'Type Chart'!$A$5:$A$19,0),MATCH($D51,'Type Chart'!$B$4:$P$4,0)))</f>
        <v>0.5</v>
      </c>
      <c r="L51" s="21" t="n">
        <f aca="false">INDEX('Type Chart'!$B$5:$P$19,MATCH(L$4,'Type Chart'!$A$5:$A$19,0),MATCH($C51,'Type Chart'!$B$4:$P$4,0))*IF($D51="",1,INDEX('Type Chart'!$B$5:$P$19,MATCH(L$4,'Type Chart'!$A$5:$A$19,0),MATCH($D51,'Type Chart'!$B$4:$P$4,0)))</f>
        <v>4</v>
      </c>
      <c r="M51" s="21" t="n">
        <f aca="false">INDEX('Type Chart'!$B$5:$P$19,MATCH(M$4,'Type Chart'!$A$5:$A$19,0),MATCH($C51,'Type Chart'!$B$4:$P$4,0))*IF($D51="",1,INDEX('Type Chart'!$B$5:$P$19,MATCH(M$4,'Type Chart'!$A$5:$A$19,0),MATCH($D51,'Type Chart'!$B$4:$P$4,0)))</f>
        <v>0.25</v>
      </c>
      <c r="N51" s="21" t="n">
        <f aca="false">INDEX('Type Chart'!$B$5:$P$19,MATCH(N$4,'Type Chart'!$A$5:$A$19,0),MATCH($C51,'Type Chart'!$B$4:$P$4,0))*IF($D51="",1,INDEX('Type Chart'!$B$5:$P$19,MATCH(N$4,'Type Chart'!$A$5:$A$19,0),MATCH($D51,'Type Chart'!$B$4:$P$4,0)))</f>
        <v>4</v>
      </c>
      <c r="O51" s="21" t="n">
        <f aca="false">INDEX('Type Chart'!$B$5:$P$19,MATCH(O$4,'Type Chart'!$A$5:$A$19,0),MATCH($C51,'Type Chart'!$B$4:$P$4,0))*IF($D51="",1,INDEX('Type Chart'!$B$5:$P$19,MATCH(O$4,'Type Chart'!$A$5:$A$19,0),MATCH($D51,'Type Chart'!$B$4:$P$4,0)))</f>
        <v>1</v>
      </c>
      <c r="P51" s="21" t="n">
        <f aca="false">INDEX('Type Chart'!$B$5:$P$19,MATCH(P$4,'Type Chart'!$A$5:$A$19,0),MATCH($C51,'Type Chart'!$B$4:$P$4,0))*IF($D51="",1,INDEX('Type Chart'!$B$5:$P$19,MATCH(P$4,'Type Chart'!$A$5:$A$19,0),MATCH($D51,'Type Chart'!$B$4:$P$4,0)))</f>
        <v>2</v>
      </c>
      <c r="Q51" s="21" t="n">
        <f aca="false">INDEX('Type Chart'!$B$5:$P$19,MATCH(Q$4,'Type Chart'!$A$5:$A$19,0),MATCH($C51,'Type Chart'!$B$4:$P$4,0))*IF($D51="",1,INDEX('Type Chart'!$B$5:$P$19,MATCH(Q$4,'Type Chart'!$A$5:$A$19,0),MATCH($D51,'Type Chart'!$B$4:$P$4,0)))</f>
        <v>2</v>
      </c>
      <c r="R51" s="21" t="n">
        <f aca="false">INDEX('Type Chart'!$B$5:$P$19,MATCH(R$4,'Type Chart'!$A$5:$A$19,0),MATCH($C51,'Type Chart'!$B$4:$P$4,0))*IF($D51="",1,INDEX('Type Chart'!$B$5:$P$19,MATCH(R$4,'Type Chart'!$A$5:$A$19,0),MATCH($D51,'Type Chart'!$B$4:$P$4,0)))</f>
        <v>1</v>
      </c>
      <c r="S51" s="21" t="n">
        <f aca="false">INDEX('Type Chart'!$B$5:$P$19,MATCH(S$4,'Type Chart'!$A$5:$A$19,0),MATCH($C51,'Type Chart'!$B$4:$P$4,0))*IF($D51="",1,INDEX('Type Chart'!$B$5:$P$19,MATCH(S$4,'Type Chart'!$A$5:$A$19,0),MATCH($D51,'Type Chart'!$B$4:$P$4,0)))</f>
        <v>1</v>
      </c>
    </row>
    <row r="52" customFormat="false" ht="15" hidden="false" customHeight="false" outlineLevel="0" collapsed="false">
      <c r="A52" s="19" t="n">
        <v>48</v>
      </c>
      <c r="B52" s="19" t="s">
        <v>139</v>
      </c>
      <c r="C52" s="20" t="str">
        <f aca="false">Pokedex!C52</f>
        <v>Bug</v>
      </c>
      <c r="D52" s="20" t="str">
        <f aca="false">Pokedex!D52</f>
        <v>Poison</v>
      </c>
      <c r="E52" s="21" t="n">
        <f aca="false">INDEX('Type Chart'!$B$5:$P$19,MATCH(E$4,'Type Chart'!$A$5:$A$19,0),MATCH($C52,'Type Chart'!$B$4:$P$4,0))*IF($D52="",1,INDEX('Type Chart'!$B$5:$P$19,MATCH(E$4,'Type Chart'!$A$5:$A$19,0),MATCH($D52,'Type Chart'!$B$4:$P$4,0)))</f>
        <v>1</v>
      </c>
      <c r="F52" s="21" t="n">
        <f aca="false">INDEX('Type Chart'!$B$5:$P$19,MATCH(F$4,'Type Chart'!$A$5:$A$19,0),MATCH($C52,'Type Chart'!$B$4:$P$4,0))*IF($D52="",1,INDEX('Type Chart'!$B$5:$P$19,MATCH(F$4,'Type Chart'!$A$5:$A$19,0),MATCH($D52,'Type Chart'!$B$4:$P$4,0)))</f>
        <v>2</v>
      </c>
      <c r="G52" s="21" t="n">
        <f aca="false">INDEX('Type Chart'!$B$5:$P$19,MATCH(G$4,'Type Chart'!$A$5:$A$19,0),MATCH($C52,'Type Chart'!$B$4:$P$4,0))*IF($D52="",1,INDEX('Type Chart'!$B$5:$P$19,MATCH(G$4,'Type Chart'!$A$5:$A$19,0),MATCH($D52,'Type Chart'!$B$4:$P$4,0)))</f>
        <v>1</v>
      </c>
      <c r="H52" s="21" t="n">
        <f aca="false">INDEX('Type Chart'!$B$5:$P$19,MATCH(H$4,'Type Chart'!$A$5:$A$19,0),MATCH($C52,'Type Chart'!$B$4:$P$4,0))*IF($D52="",1,INDEX('Type Chart'!$B$5:$P$19,MATCH(H$4,'Type Chart'!$A$5:$A$19,0),MATCH($D52,'Type Chart'!$B$4:$P$4,0)))</f>
        <v>1</v>
      </c>
      <c r="I52" s="21" t="n">
        <f aca="false">INDEX('Type Chart'!$B$5:$P$19,MATCH(I$4,'Type Chart'!$A$5:$A$19,0),MATCH($C52,'Type Chart'!$B$4:$P$4,0))*IF($D52="",1,INDEX('Type Chart'!$B$5:$P$19,MATCH(I$4,'Type Chart'!$A$5:$A$19,0),MATCH($D52,'Type Chart'!$B$4:$P$4,0)))</f>
        <v>0.25</v>
      </c>
      <c r="J52" s="21" t="n">
        <f aca="false">INDEX('Type Chart'!$B$5:$P$19,MATCH(J$4,'Type Chart'!$A$5:$A$19,0),MATCH($C52,'Type Chart'!$B$4:$P$4,0))*IF($D52="",1,INDEX('Type Chart'!$B$5:$P$19,MATCH(J$4,'Type Chart'!$A$5:$A$19,0),MATCH($D52,'Type Chart'!$B$4:$P$4,0)))</f>
        <v>1</v>
      </c>
      <c r="K52" s="21" t="n">
        <f aca="false">INDEX('Type Chart'!$B$5:$P$19,MATCH(K$4,'Type Chart'!$A$5:$A$19,0),MATCH($C52,'Type Chart'!$B$4:$P$4,0))*IF($D52="",1,INDEX('Type Chart'!$B$5:$P$19,MATCH(K$4,'Type Chart'!$A$5:$A$19,0),MATCH($D52,'Type Chart'!$B$4:$P$4,0)))</f>
        <v>0.25</v>
      </c>
      <c r="L52" s="21" t="n">
        <f aca="false">INDEX('Type Chart'!$B$5:$P$19,MATCH(L$4,'Type Chart'!$A$5:$A$19,0),MATCH($C52,'Type Chart'!$B$4:$P$4,0))*IF($D52="",1,INDEX('Type Chart'!$B$5:$P$19,MATCH(L$4,'Type Chart'!$A$5:$A$19,0),MATCH($D52,'Type Chart'!$B$4:$P$4,0)))</f>
        <v>1</v>
      </c>
      <c r="M52" s="21" t="n">
        <f aca="false">INDEX('Type Chart'!$B$5:$P$19,MATCH(M$4,'Type Chart'!$A$5:$A$19,0),MATCH($C52,'Type Chart'!$B$4:$P$4,0))*IF($D52="",1,INDEX('Type Chart'!$B$5:$P$19,MATCH(M$4,'Type Chart'!$A$5:$A$19,0),MATCH($D52,'Type Chart'!$B$4:$P$4,0)))</f>
        <v>1</v>
      </c>
      <c r="N52" s="21" t="n">
        <f aca="false">INDEX('Type Chart'!$B$5:$P$19,MATCH(N$4,'Type Chart'!$A$5:$A$19,0),MATCH($C52,'Type Chart'!$B$4:$P$4,0))*IF($D52="",1,INDEX('Type Chart'!$B$5:$P$19,MATCH(N$4,'Type Chart'!$A$5:$A$19,0),MATCH($D52,'Type Chart'!$B$4:$P$4,0)))</f>
        <v>2</v>
      </c>
      <c r="O52" s="21" t="n">
        <f aca="false">INDEX('Type Chart'!$B$5:$P$19,MATCH(O$4,'Type Chart'!$A$5:$A$19,0),MATCH($C52,'Type Chart'!$B$4:$P$4,0))*IF($D52="",1,INDEX('Type Chart'!$B$5:$P$19,MATCH(O$4,'Type Chart'!$A$5:$A$19,0),MATCH($D52,'Type Chart'!$B$4:$P$4,0)))</f>
        <v>2</v>
      </c>
      <c r="P52" s="21" t="n">
        <f aca="false">INDEX('Type Chart'!$B$5:$P$19,MATCH(P$4,'Type Chart'!$A$5:$A$19,0),MATCH($C52,'Type Chart'!$B$4:$P$4,0))*IF($D52="",1,INDEX('Type Chart'!$B$5:$P$19,MATCH(P$4,'Type Chart'!$A$5:$A$19,0),MATCH($D52,'Type Chart'!$B$4:$P$4,0)))</f>
        <v>2</v>
      </c>
      <c r="Q52" s="21" t="n">
        <f aca="false">INDEX('Type Chart'!$B$5:$P$19,MATCH(Q$4,'Type Chart'!$A$5:$A$19,0),MATCH($C52,'Type Chart'!$B$4:$P$4,0))*IF($D52="",1,INDEX('Type Chart'!$B$5:$P$19,MATCH(Q$4,'Type Chart'!$A$5:$A$19,0),MATCH($D52,'Type Chart'!$B$4:$P$4,0)))</f>
        <v>2</v>
      </c>
      <c r="R52" s="21" t="n">
        <f aca="false">INDEX('Type Chart'!$B$5:$P$19,MATCH(R$4,'Type Chart'!$A$5:$A$19,0),MATCH($C52,'Type Chart'!$B$4:$P$4,0))*IF($D52="",1,INDEX('Type Chart'!$B$5:$P$19,MATCH(R$4,'Type Chart'!$A$5:$A$19,0),MATCH($D52,'Type Chart'!$B$4:$P$4,0)))</f>
        <v>1</v>
      </c>
      <c r="S52" s="21" t="n">
        <f aca="false">INDEX('Type Chart'!$B$5:$P$19,MATCH(S$4,'Type Chart'!$A$5:$A$19,0),MATCH($C52,'Type Chart'!$B$4:$P$4,0))*IF($D52="",1,INDEX('Type Chart'!$B$5:$P$19,MATCH(S$4,'Type Chart'!$A$5:$A$19,0),MATCH($D52,'Type Chart'!$B$4:$P$4,0)))</f>
        <v>1</v>
      </c>
    </row>
    <row r="53" customFormat="false" ht="15" hidden="false" customHeight="false" outlineLevel="0" collapsed="false">
      <c r="A53" s="19" t="n">
        <v>49</v>
      </c>
      <c r="B53" s="19" t="s">
        <v>140</v>
      </c>
      <c r="C53" s="20" t="str">
        <f aca="false">Pokedex!C53</f>
        <v>Bug</v>
      </c>
      <c r="D53" s="20" t="str">
        <f aca="false">Pokedex!D53</f>
        <v>Poison</v>
      </c>
      <c r="E53" s="21" t="n">
        <f aca="false">INDEX('Type Chart'!$B$5:$P$19,MATCH(E$4,'Type Chart'!$A$5:$A$19,0),MATCH($C53,'Type Chart'!$B$4:$P$4,0))*IF($D53="",1,INDEX('Type Chart'!$B$5:$P$19,MATCH(E$4,'Type Chart'!$A$5:$A$19,0),MATCH($D53,'Type Chart'!$B$4:$P$4,0)))</f>
        <v>1</v>
      </c>
      <c r="F53" s="21" t="n">
        <f aca="false">INDEX('Type Chart'!$B$5:$P$19,MATCH(F$4,'Type Chart'!$A$5:$A$19,0),MATCH($C53,'Type Chart'!$B$4:$P$4,0))*IF($D53="",1,INDEX('Type Chart'!$B$5:$P$19,MATCH(F$4,'Type Chart'!$A$5:$A$19,0),MATCH($D53,'Type Chart'!$B$4:$P$4,0)))</f>
        <v>2</v>
      </c>
      <c r="G53" s="21" t="n">
        <f aca="false">INDEX('Type Chart'!$B$5:$P$19,MATCH(G$4,'Type Chart'!$A$5:$A$19,0),MATCH($C53,'Type Chart'!$B$4:$P$4,0))*IF($D53="",1,INDEX('Type Chart'!$B$5:$P$19,MATCH(G$4,'Type Chart'!$A$5:$A$19,0),MATCH($D53,'Type Chart'!$B$4:$P$4,0)))</f>
        <v>1</v>
      </c>
      <c r="H53" s="21" t="n">
        <f aca="false">INDEX('Type Chart'!$B$5:$P$19,MATCH(H$4,'Type Chart'!$A$5:$A$19,0),MATCH($C53,'Type Chart'!$B$4:$P$4,0))*IF($D53="",1,INDEX('Type Chart'!$B$5:$P$19,MATCH(H$4,'Type Chart'!$A$5:$A$19,0),MATCH($D53,'Type Chart'!$B$4:$P$4,0)))</f>
        <v>1</v>
      </c>
      <c r="I53" s="21" t="n">
        <f aca="false">INDEX('Type Chart'!$B$5:$P$19,MATCH(I$4,'Type Chart'!$A$5:$A$19,0),MATCH($C53,'Type Chart'!$B$4:$P$4,0))*IF($D53="",1,INDEX('Type Chart'!$B$5:$P$19,MATCH(I$4,'Type Chart'!$A$5:$A$19,0),MATCH($D53,'Type Chart'!$B$4:$P$4,0)))</f>
        <v>0.25</v>
      </c>
      <c r="J53" s="21" t="n">
        <f aca="false">INDEX('Type Chart'!$B$5:$P$19,MATCH(J$4,'Type Chart'!$A$5:$A$19,0),MATCH($C53,'Type Chart'!$B$4:$P$4,0))*IF($D53="",1,INDEX('Type Chart'!$B$5:$P$19,MATCH(J$4,'Type Chart'!$A$5:$A$19,0),MATCH($D53,'Type Chart'!$B$4:$P$4,0)))</f>
        <v>1</v>
      </c>
      <c r="K53" s="21" t="n">
        <f aca="false">INDEX('Type Chart'!$B$5:$P$19,MATCH(K$4,'Type Chart'!$A$5:$A$19,0),MATCH($C53,'Type Chart'!$B$4:$P$4,0))*IF($D53="",1,INDEX('Type Chart'!$B$5:$P$19,MATCH(K$4,'Type Chart'!$A$5:$A$19,0),MATCH($D53,'Type Chart'!$B$4:$P$4,0)))</f>
        <v>0.25</v>
      </c>
      <c r="L53" s="21" t="n">
        <f aca="false">INDEX('Type Chart'!$B$5:$P$19,MATCH(L$4,'Type Chart'!$A$5:$A$19,0),MATCH($C53,'Type Chart'!$B$4:$P$4,0))*IF($D53="",1,INDEX('Type Chart'!$B$5:$P$19,MATCH(L$4,'Type Chart'!$A$5:$A$19,0),MATCH($D53,'Type Chart'!$B$4:$P$4,0)))</f>
        <v>1</v>
      </c>
      <c r="M53" s="21" t="n">
        <f aca="false">INDEX('Type Chart'!$B$5:$P$19,MATCH(M$4,'Type Chart'!$A$5:$A$19,0),MATCH($C53,'Type Chart'!$B$4:$P$4,0))*IF($D53="",1,INDEX('Type Chart'!$B$5:$P$19,MATCH(M$4,'Type Chart'!$A$5:$A$19,0),MATCH($D53,'Type Chart'!$B$4:$P$4,0)))</f>
        <v>1</v>
      </c>
      <c r="N53" s="21" t="n">
        <f aca="false">INDEX('Type Chart'!$B$5:$P$19,MATCH(N$4,'Type Chart'!$A$5:$A$19,0),MATCH($C53,'Type Chart'!$B$4:$P$4,0))*IF($D53="",1,INDEX('Type Chart'!$B$5:$P$19,MATCH(N$4,'Type Chart'!$A$5:$A$19,0),MATCH($D53,'Type Chart'!$B$4:$P$4,0)))</f>
        <v>2</v>
      </c>
      <c r="O53" s="21" t="n">
        <f aca="false">INDEX('Type Chart'!$B$5:$P$19,MATCH(O$4,'Type Chart'!$A$5:$A$19,0),MATCH($C53,'Type Chart'!$B$4:$P$4,0))*IF($D53="",1,INDEX('Type Chart'!$B$5:$P$19,MATCH(O$4,'Type Chart'!$A$5:$A$19,0),MATCH($D53,'Type Chart'!$B$4:$P$4,0)))</f>
        <v>2</v>
      </c>
      <c r="P53" s="21" t="n">
        <f aca="false">INDEX('Type Chart'!$B$5:$P$19,MATCH(P$4,'Type Chart'!$A$5:$A$19,0),MATCH($C53,'Type Chart'!$B$4:$P$4,0))*IF($D53="",1,INDEX('Type Chart'!$B$5:$P$19,MATCH(P$4,'Type Chart'!$A$5:$A$19,0),MATCH($D53,'Type Chart'!$B$4:$P$4,0)))</f>
        <v>2</v>
      </c>
      <c r="Q53" s="21" t="n">
        <f aca="false">INDEX('Type Chart'!$B$5:$P$19,MATCH(Q$4,'Type Chart'!$A$5:$A$19,0),MATCH($C53,'Type Chart'!$B$4:$P$4,0))*IF($D53="",1,INDEX('Type Chart'!$B$5:$P$19,MATCH(Q$4,'Type Chart'!$A$5:$A$19,0),MATCH($D53,'Type Chart'!$B$4:$P$4,0)))</f>
        <v>2</v>
      </c>
      <c r="R53" s="21" t="n">
        <f aca="false">INDEX('Type Chart'!$B$5:$P$19,MATCH(R$4,'Type Chart'!$A$5:$A$19,0),MATCH($C53,'Type Chart'!$B$4:$P$4,0))*IF($D53="",1,INDEX('Type Chart'!$B$5:$P$19,MATCH(R$4,'Type Chart'!$A$5:$A$19,0),MATCH($D53,'Type Chart'!$B$4:$P$4,0)))</f>
        <v>1</v>
      </c>
      <c r="S53" s="21" t="n">
        <f aca="false">INDEX('Type Chart'!$B$5:$P$19,MATCH(S$4,'Type Chart'!$A$5:$A$19,0),MATCH($C53,'Type Chart'!$B$4:$P$4,0))*IF($D53="",1,INDEX('Type Chart'!$B$5:$P$19,MATCH(S$4,'Type Chart'!$A$5:$A$19,0),MATCH($D53,'Type Chart'!$B$4:$P$4,0)))</f>
        <v>1</v>
      </c>
    </row>
    <row r="54" customFormat="false" ht="15" hidden="false" customHeight="false" outlineLevel="0" collapsed="false">
      <c r="A54" s="19" t="n">
        <v>50</v>
      </c>
      <c r="B54" s="19" t="s">
        <v>141</v>
      </c>
      <c r="C54" s="20" t="str">
        <f aca="false">Pokedex!C54</f>
        <v>Ground</v>
      </c>
      <c r="D54" s="20" t="n">
        <f aca="false">Pokedex!D54</f>
        <v>0</v>
      </c>
      <c r="E54" s="21" t="n">
        <f aca="false">INDEX('Type Chart'!$B$5:$P$19,MATCH(E$4,'Type Chart'!$A$5:$A$19,0),MATCH($C54,'Type Chart'!$B$4:$P$4,0))*IF($D54="",1,INDEX('Type Chart'!$B$5:$P$19,MATCH(E$4,'Type Chart'!$A$5:$A$19,0),MATCH($D54,'Type Chart'!$B$4:$P$4,0)))</f>
        <v>1</v>
      </c>
      <c r="F54" s="21" t="n">
        <f aca="false">INDEX('Type Chart'!$B$5:$P$19,MATCH(F$4,'Type Chart'!$A$5:$A$19,0),MATCH($C54,'Type Chart'!$B$4:$P$4,0))*IF($D54="",1,INDEX('Type Chart'!$B$5:$P$19,MATCH(F$4,'Type Chart'!$A$5:$A$19,0),MATCH($D54,'Type Chart'!$B$4:$P$4,0)))</f>
        <v>1</v>
      </c>
      <c r="G54" s="21" t="n">
        <f aca="false">INDEX('Type Chart'!$B$5:$P$19,MATCH(G$4,'Type Chart'!$A$5:$A$19,0),MATCH($C54,'Type Chart'!$B$4:$P$4,0))*IF($D54="",1,INDEX('Type Chart'!$B$5:$P$19,MATCH(G$4,'Type Chart'!$A$5:$A$19,0),MATCH($D54,'Type Chart'!$B$4:$P$4,0)))</f>
        <v>2</v>
      </c>
      <c r="H54" s="21" t="n">
        <f aca="false">INDEX('Type Chart'!$B$5:$P$19,MATCH(H$4,'Type Chart'!$A$5:$A$19,0),MATCH($C54,'Type Chart'!$B$4:$P$4,0))*IF($D54="",1,INDEX('Type Chart'!$B$5:$P$19,MATCH(H$4,'Type Chart'!$A$5:$A$19,0),MATCH($D54,'Type Chart'!$B$4:$P$4,0)))</f>
        <v>0</v>
      </c>
      <c r="I54" s="21" t="n">
        <f aca="false">INDEX('Type Chart'!$B$5:$P$19,MATCH(I$4,'Type Chart'!$A$5:$A$19,0),MATCH($C54,'Type Chart'!$B$4:$P$4,0))*IF($D54="",1,INDEX('Type Chart'!$B$5:$P$19,MATCH(I$4,'Type Chart'!$A$5:$A$19,0),MATCH($D54,'Type Chart'!$B$4:$P$4,0)))</f>
        <v>2</v>
      </c>
      <c r="J54" s="21" t="n">
        <f aca="false">INDEX('Type Chart'!$B$5:$P$19,MATCH(J$4,'Type Chart'!$A$5:$A$19,0),MATCH($C54,'Type Chart'!$B$4:$P$4,0))*IF($D54="",1,INDEX('Type Chart'!$B$5:$P$19,MATCH(J$4,'Type Chart'!$A$5:$A$19,0),MATCH($D54,'Type Chart'!$B$4:$P$4,0)))</f>
        <v>2</v>
      </c>
      <c r="K54" s="21" t="n">
        <f aca="false">INDEX('Type Chart'!$B$5:$P$19,MATCH(K$4,'Type Chart'!$A$5:$A$19,0),MATCH($C54,'Type Chart'!$B$4:$P$4,0))*IF($D54="",1,INDEX('Type Chart'!$B$5:$P$19,MATCH(K$4,'Type Chart'!$A$5:$A$19,0),MATCH($D54,'Type Chart'!$B$4:$P$4,0)))</f>
        <v>1</v>
      </c>
      <c r="L54" s="21" t="n">
        <f aca="false">INDEX('Type Chart'!$B$5:$P$19,MATCH(L$4,'Type Chart'!$A$5:$A$19,0),MATCH($C54,'Type Chart'!$B$4:$P$4,0))*IF($D54="",1,INDEX('Type Chart'!$B$5:$P$19,MATCH(L$4,'Type Chart'!$A$5:$A$19,0),MATCH($D54,'Type Chart'!$B$4:$P$4,0)))</f>
        <v>0.5</v>
      </c>
      <c r="M54" s="21" t="n">
        <f aca="false">INDEX('Type Chart'!$B$5:$P$19,MATCH(M$4,'Type Chart'!$A$5:$A$19,0),MATCH($C54,'Type Chart'!$B$4:$P$4,0))*IF($D54="",1,INDEX('Type Chart'!$B$5:$P$19,MATCH(M$4,'Type Chart'!$A$5:$A$19,0),MATCH($D54,'Type Chart'!$B$4:$P$4,0)))</f>
        <v>1</v>
      </c>
      <c r="N54" s="21" t="n">
        <f aca="false">INDEX('Type Chart'!$B$5:$P$19,MATCH(N$4,'Type Chart'!$A$5:$A$19,0),MATCH($C54,'Type Chart'!$B$4:$P$4,0))*IF($D54="",1,INDEX('Type Chart'!$B$5:$P$19,MATCH(N$4,'Type Chart'!$A$5:$A$19,0),MATCH($D54,'Type Chart'!$B$4:$P$4,0)))</f>
        <v>1</v>
      </c>
      <c r="O54" s="21" t="n">
        <f aca="false">INDEX('Type Chart'!$B$5:$P$19,MATCH(O$4,'Type Chart'!$A$5:$A$19,0),MATCH($C54,'Type Chart'!$B$4:$P$4,0))*IF($D54="",1,INDEX('Type Chart'!$B$5:$P$19,MATCH(O$4,'Type Chart'!$A$5:$A$19,0),MATCH($D54,'Type Chart'!$B$4:$P$4,0)))</f>
        <v>1</v>
      </c>
      <c r="P54" s="21" t="n">
        <f aca="false">INDEX('Type Chart'!$B$5:$P$19,MATCH(P$4,'Type Chart'!$A$5:$A$19,0),MATCH($C54,'Type Chart'!$B$4:$P$4,0))*IF($D54="",1,INDEX('Type Chart'!$B$5:$P$19,MATCH(P$4,'Type Chart'!$A$5:$A$19,0),MATCH($D54,'Type Chart'!$B$4:$P$4,0)))</f>
        <v>1</v>
      </c>
      <c r="Q54" s="21" t="n">
        <f aca="false">INDEX('Type Chart'!$B$5:$P$19,MATCH(Q$4,'Type Chart'!$A$5:$A$19,0),MATCH($C54,'Type Chart'!$B$4:$P$4,0))*IF($D54="",1,INDEX('Type Chart'!$B$5:$P$19,MATCH(Q$4,'Type Chart'!$A$5:$A$19,0),MATCH($D54,'Type Chart'!$B$4:$P$4,0)))</f>
        <v>0.5</v>
      </c>
      <c r="R54" s="21" t="n">
        <f aca="false">INDEX('Type Chart'!$B$5:$P$19,MATCH(R$4,'Type Chart'!$A$5:$A$19,0),MATCH($C54,'Type Chart'!$B$4:$P$4,0))*IF($D54="",1,INDEX('Type Chart'!$B$5:$P$19,MATCH(R$4,'Type Chart'!$A$5:$A$19,0),MATCH($D54,'Type Chart'!$B$4:$P$4,0)))</f>
        <v>1</v>
      </c>
      <c r="S54" s="21" t="n">
        <f aca="false">INDEX('Type Chart'!$B$5:$P$19,MATCH(S$4,'Type Chart'!$A$5:$A$19,0),MATCH($C54,'Type Chart'!$B$4:$P$4,0))*IF($D54="",1,INDEX('Type Chart'!$B$5:$P$19,MATCH(S$4,'Type Chart'!$A$5:$A$19,0),MATCH($D54,'Type Chart'!$B$4:$P$4,0)))</f>
        <v>1</v>
      </c>
    </row>
    <row r="55" customFormat="false" ht="15" hidden="false" customHeight="false" outlineLevel="0" collapsed="false">
      <c r="A55" s="19" t="n">
        <v>51</v>
      </c>
      <c r="B55" s="19" t="s">
        <v>142</v>
      </c>
      <c r="C55" s="20" t="str">
        <f aca="false">Pokedex!C55</f>
        <v>Ground</v>
      </c>
      <c r="D55" s="20" t="n">
        <f aca="false">Pokedex!D55</f>
        <v>0</v>
      </c>
      <c r="E55" s="21" t="n">
        <f aca="false">INDEX('Type Chart'!$B$5:$P$19,MATCH(E$4,'Type Chart'!$A$5:$A$19,0),MATCH($C55,'Type Chart'!$B$4:$P$4,0))*IF($D55="",1,INDEX('Type Chart'!$B$5:$P$19,MATCH(E$4,'Type Chart'!$A$5:$A$19,0),MATCH($D55,'Type Chart'!$B$4:$P$4,0)))</f>
        <v>1</v>
      </c>
      <c r="F55" s="21" t="n">
        <f aca="false">INDEX('Type Chart'!$B$5:$P$19,MATCH(F$4,'Type Chart'!$A$5:$A$19,0),MATCH($C55,'Type Chart'!$B$4:$P$4,0))*IF($D55="",1,INDEX('Type Chart'!$B$5:$P$19,MATCH(F$4,'Type Chart'!$A$5:$A$19,0),MATCH($D55,'Type Chart'!$B$4:$P$4,0)))</f>
        <v>1</v>
      </c>
      <c r="G55" s="21" t="n">
        <f aca="false">INDEX('Type Chart'!$B$5:$P$19,MATCH(G$4,'Type Chart'!$A$5:$A$19,0),MATCH($C55,'Type Chart'!$B$4:$P$4,0))*IF($D55="",1,INDEX('Type Chart'!$B$5:$P$19,MATCH(G$4,'Type Chart'!$A$5:$A$19,0),MATCH($D55,'Type Chart'!$B$4:$P$4,0)))</f>
        <v>2</v>
      </c>
      <c r="H55" s="21" t="n">
        <f aca="false">INDEX('Type Chart'!$B$5:$P$19,MATCH(H$4,'Type Chart'!$A$5:$A$19,0),MATCH($C55,'Type Chart'!$B$4:$P$4,0))*IF($D55="",1,INDEX('Type Chart'!$B$5:$P$19,MATCH(H$4,'Type Chart'!$A$5:$A$19,0),MATCH($D55,'Type Chart'!$B$4:$P$4,0)))</f>
        <v>0</v>
      </c>
      <c r="I55" s="21" t="n">
        <f aca="false">INDEX('Type Chart'!$B$5:$P$19,MATCH(I$4,'Type Chart'!$A$5:$A$19,0),MATCH($C55,'Type Chart'!$B$4:$P$4,0))*IF($D55="",1,INDEX('Type Chart'!$B$5:$P$19,MATCH(I$4,'Type Chart'!$A$5:$A$19,0),MATCH($D55,'Type Chart'!$B$4:$P$4,0)))</f>
        <v>2</v>
      </c>
      <c r="J55" s="21" t="n">
        <f aca="false">INDEX('Type Chart'!$B$5:$P$19,MATCH(J$4,'Type Chart'!$A$5:$A$19,0),MATCH($C55,'Type Chart'!$B$4:$P$4,0))*IF($D55="",1,INDEX('Type Chart'!$B$5:$P$19,MATCH(J$4,'Type Chart'!$A$5:$A$19,0),MATCH($D55,'Type Chart'!$B$4:$P$4,0)))</f>
        <v>2</v>
      </c>
      <c r="K55" s="21" t="n">
        <f aca="false">INDEX('Type Chart'!$B$5:$P$19,MATCH(K$4,'Type Chart'!$A$5:$A$19,0),MATCH($C55,'Type Chart'!$B$4:$P$4,0))*IF($D55="",1,INDEX('Type Chart'!$B$5:$P$19,MATCH(K$4,'Type Chart'!$A$5:$A$19,0),MATCH($D55,'Type Chart'!$B$4:$P$4,0)))</f>
        <v>1</v>
      </c>
      <c r="L55" s="21" t="n">
        <f aca="false">INDEX('Type Chart'!$B$5:$P$19,MATCH(L$4,'Type Chart'!$A$5:$A$19,0),MATCH($C55,'Type Chart'!$B$4:$P$4,0))*IF($D55="",1,INDEX('Type Chart'!$B$5:$P$19,MATCH(L$4,'Type Chart'!$A$5:$A$19,0),MATCH($D55,'Type Chart'!$B$4:$P$4,0)))</f>
        <v>0.5</v>
      </c>
      <c r="M55" s="21" t="n">
        <f aca="false">INDEX('Type Chart'!$B$5:$P$19,MATCH(M$4,'Type Chart'!$A$5:$A$19,0),MATCH($C55,'Type Chart'!$B$4:$P$4,0))*IF($D55="",1,INDEX('Type Chart'!$B$5:$P$19,MATCH(M$4,'Type Chart'!$A$5:$A$19,0),MATCH($D55,'Type Chart'!$B$4:$P$4,0)))</f>
        <v>1</v>
      </c>
      <c r="N55" s="21" t="n">
        <f aca="false">INDEX('Type Chart'!$B$5:$P$19,MATCH(N$4,'Type Chart'!$A$5:$A$19,0),MATCH($C55,'Type Chart'!$B$4:$P$4,0))*IF($D55="",1,INDEX('Type Chart'!$B$5:$P$19,MATCH(N$4,'Type Chart'!$A$5:$A$19,0),MATCH($D55,'Type Chart'!$B$4:$P$4,0)))</f>
        <v>1</v>
      </c>
      <c r="O55" s="21" t="n">
        <f aca="false">INDEX('Type Chart'!$B$5:$P$19,MATCH(O$4,'Type Chart'!$A$5:$A$19,0),MATCH($C55,'Type Chart'!$B$4:$P$4,0))*IF($D55="",1,INDEX('Type Chart'!$B$5:$P$19,MATCH(O$4,'Type Chart'!$A$5:$A$19,0),MATCH($D55,'Type Chart'!$B$4:$P$4,0)))</f>
        <v>1</v>
      </c>
      <c r="P55" s="21" t="n">
        <f aca="false">INDEX('Type Chart'!$B$5:$P$19,MATCH(P$4,'Type Chart'!$A$5:$A$19,0),MATCH($C55,'Type Chart'!$B$4:$P$4,0))*IF($D55="",1,INDEX('Type Chart'!$B$5:$P$19,MATCH(P$4,'Type Chart'!$A$5:$A$19,0),MATCH($D55,'Type Chart'!$B$4:$P$4,0)))</f>
        <v>1</v>
      </c>
      <c r="Q55" s="21" t="n">
        <f aca="false">INDEX('Type Chart'!$B$5:$P$19,MATCH(Q$4,'Type Chart'!$A$5:$A$19,0),MATCH($C55,'Type Chart'!$B$4:$P$4,0))*IF($D55="",1,INDEX('Type Chart'!$B$5:$P$19,MATCH(Q$4,'Type Chart'!$A$5:$A$19,0),MATCH($D55,'Type Chart'!$B$4:$P$4,0)))</f>
        <v>0.5</v>
      </c>
      <c r="R55" s="21" t="n">
        <f aca="false">INDEX('Type Chart'!$B$5:$P$19,MATCH(R$4,'Type Chart'!$A$5:$A$19,0),MATCH($C55,'Type Chart'!$B$4:$P$4,0))*IF($D55="",1,INDEX('Type Chart'!$B$5:$P$19,MATCH(R$4,'Type Chart'!$A$5:$A$19,0),MATCH($D55,'Type Chart'!$B$4:$P$4,0)))</f>
        <v>1</v>
      </c>
      <c r="S55" s="21" t="n">
        <f aca="false">INDEX('Type Chart'!$B$5:$P$19,MATCH(S$4,'Type Chart'!$A$5:$A$19,0),MATCH($C55,'Type Chart'!$B$4:$P$4,0))*IF($D55="",1,INDEX('Type Chart'!$B$5:$P$19,MATCH(S$4,'Type Chart'!$A$5:$A$19,0),MATCH($D55,'Type Chart'!$B$4:$P$4,0)))</f>
        <v>1</v>
      </c>
    </row>
    <row r="56" customFormat="false" ht="15" hidden="false" customHeight="false" outlineLevel="0" collapsed="false">
      <c r="A56" s="19" t="n">
        <v>52</v>
      </c>
      <c r="B56" s="19" t="s">
        <v>143</v>
      </c>
      <c r="C56" s="20" t="str">
        <f aca="false">Pokedex!C56</f>
        <v>Normal</v>
      </c>
      <c r="D56" s="20" t="n">
        <f aca="false">Pokedex!D56</f>
        <v>0</v>
      </c>
      <c r="E56" s="21" t="n">
        <f aca="false">INDEX('Type Chart'!$B$5:$P$19,MATCH(E$4,'Type Chart'!$A$5:$A$19,0),MATCH($C56,'Type Chart'!$B$4:$P$4,0))*IF($D56="",1,INDEX('Type Chart'!$B$5:$P$19,MATCH(E$4,'Type Chart'!$A$5:$A$19,0),MATCH($D56,'Type Chart'!$B$4:$P$4,0)))</f>
        <v>1</v>
      </c>
      <c r="F56" s="21" t="n">
        <f aca="false">INDEX('Type Chart'!$B$5:$P$19,MATCH(F$4,'Type Chart'!$A$5:$A$19,0),MATCH($C56,'Type Chart'!$B$4:$P$4,0))*IF($D56="",1,INDEX('Type Chart'!$B$5:$P$19,MATCH(F$4,'Type Chart'!$A$5:$A$19,0),MATCH($D56,'Type Chart'!$B$4:$P$4,0)))</f>
        <v>1</v>
      </c>
      <c r="G56" s="21" t="n">
        <f aca="false">INDEX('Type Chart'!$B$5:$P$19,MATCH(G$4,'Type Chart'!$A$5:$A$19,0),MATCH($C56,'Type Chart'!$B$4:$P$4,0))*IF($D56="",1,INDEX('Type Chart'!$B$5:$P$19,MATCH(G$4,'Type Chart'!$A$5:$A$19,0),MATCH($D56,'Type Chart'!$B$4:$P$4,0)))</f>
        <v>1</v>
      </c>
      <c r="H56" s="21" t="n">
        <f aca="false">INDEX('Type Chart'!$B$5:$P$19,MATCH(H$4,'Type Chart'!$A$5:$A$19,0),MATCH($C56,'Type Chart'!$B$4:$P$4,0))*IF($D56="",1,INDEX('Type Chart'!$B$5:$P$19,MATCH(H$4,'Type Chart'!$A$5:$A$19,0),MATCH($D56,'Type Chart'!$B$4:$P$4,0)))</f>
        <v>1</v>
      </c>
      <c r="I56" s="21" t="n">
        <f aca="false">INDEX('Type Chart'!$B$5:$P$19,MATCH(I$4,'Type Chart'!$A$5:$A$19,0),MATCH($C56,'Type Chart'!$B$4:$P$4,0))*IF($D56="",1,INDEX('Type Chart'!$B$5:$P$19,MATCH(I$4,'Type Chart'!$A$5:$A$19,0),MATCH($D56,'Type Chart'!$B$4:$P$4,0)))</f>
        <v>1</v>
      </c>
      <c r="J56" s="21" t="n">
        <f aca="false">INDEX('Type Chart'!$B$5:$P$19,MATCH(J$4,'Type Chart'!$A$5:$A$19,0),MATCH($C56,'Type Chart'!$B$4:$P$4,0))*IF($D56="",1,INDEX('Type Chart'!$B$5:$P$19,MATCH(J$4,'Type Chart'!$A$5:$A$19,0),MATCH($D56,'Type Chart'!$B$4:$P$4,0)))</f>
        <v>1</v>
      </c>
      <c r="K56" s="21" t="n">
        <f aca="false">INDEX('Type Chart'!$B$5:$P$19,MATCH(K$4,'Type Chart'!$A$5:$A$19,0),MATCH($C56,'Type Chart'!$B$4:$P$4,0))*IF($D56="",1,INDEX('Type Chart'!$B$5:$P$19,MATCH(K$4,'Type Chart'!$A$5:$A$19,0),MATCH($D56,'Type Chart'!$B$4:$P$4,0)))</f>
        <v>2</v>
      </c>
      <c r="L56" s="21" t="n">
        <f aca="false">INDEX('Type Chart'!$B$5:$P$19,MATCH(L$4,'Type Chart'!$A$5:$A$19,0),MATCH($C56,'Type Chart'!$B$4:$P$4,0))*IF($D56="",1,INDEX('Type Chart'!$B$5:$P$19,MATCH(L$4,'Type Chart'!$A$5:$A$19,0),MATCH($D56,'Type Chart'!$B$4:$P$4,0)))</f>
        <v>1</v>
      </c>
      <c r="M56" s="21" t="n">
        <f aca="false">INDEX('Type Chart'!$B$5:$P$19,MATCH(M$4,'Type Chart'!$A$5:$A$19,0),MATCH($C56,'Type Chart'!$B$4:$P$4,0))*IF($D56="",1,INDEX('Type Chart'!$B$5:$P$19,MATCH(M$4,'Type Chart'!$A$5:$A$19,0),MATCH($D56,'Type Chart'!$B$4:$P$4,0)))</f>
        <v>1</v>
      </c>
      <c r="N56" s="21" t="n">
        <f aca="false">INDEX('Type Chart'!$B$5:$P$19,MATCH(N$4,'Type Chart'!$A$5:$A$19,0),MATCH($C56,'Type Chart'!$B$4:$P$4,0))*IF($D56="",1,INDEX('Type Chart'!$B$5:$P$19,MATCH(N$4,'Type Chart'!$A$5:$A$19,0),MATCH($D56,'Type Chart'!$B$4:$P$4,0)))</f>
        <v>1</v>
      </c>
      <c r="O56" s="21" t="n">
        <f aca="false">INDEX('Type Chart'!$B$5:$P$19,MATCH(O$4,'Type Chart'!$A$5:$A$19,0),MATCH($C56,'Type Chart'!$B$4:$P$4,0))*IF($D56="",1,INDEX('Type Chart'!$B$5:$P$19,MATCH(O$4,'Type Chart'!$A$5:$A$19,0),MATCH($D56,'Type Chart'!$B$4:$P$4,0)))</f>
        <v>1</v>
      </c>
      <c r="P56" s="21" t="n">
        <f aca="false">INDEX('Type Chart'!$B$5:$P$19,MATCH(P$4,'Type Chart'!$A$5:$A$19,0),MATCH($C56,'Type Chart'!$B$4:$P$4,0))*IF($D56="",1,INDEX('Type Chart'!$B$5:$P$19,MATCH(P$4,'Type Chart'!$A$5:$A$19,0),MATCH($D56,'Type Chart'!$B$4:$P$4,0)))</f>
        <v>1</v>
      </c>
      <c r="Q56" s="21" t="n">
        <f aca="false">INDEX('Type Chart'!$B$5:$P$19,MATCH(Q$4,'Type Chart'!$A$5:$A$19,0),MATCH($C56,'Type Chart'!$B$4:$P$4,0))*IF($D56="",1,INDEX('Type Chart'!$B$5:$P$19,MATCH(Q$4,'Type Chart'!$A$5:$A$19,0),MATCH($D56,'Type Chart'!$B$4:$P$4,0)))</f>
        <v>1</v>
      </c>
      <c r="R56" s="21" t="n">
        <f aca="false">INDEX('Type Chart'!$B$5:$P$19,MATCH(R$4,'Type Chart'!$A$5:$A$19,0),MATCH($C56,'Type Chart'!$B$4:$P$4,0))*IF($D56="",1,INDEX('Type Chart'!$B$5:$P$19,MATCH(R$4,'Type Chart'!$A$5:$A$19,0),MATCH($D56,'Type Chart'!$B$4:$P$4,0)))</f>
        <v>0</v>
      </c>
      <c r="S56" s="21" t="n">
        <f aca="false">INDEX('Type Chart'!$B$5:$P$19,MATCH(S$4,'Type Chart'!$A$5:$A$19,0),MATCH($C56,'Type Chart'!$B$4:$P$4,0))*IF($D56="",1,INDEX('Type Chart'!$B$5:$P$19,MATCH(S$4,'Type Chart'!$A$5:$A$19,0),MATCH($D56,'Type Chart'!$B$4:$P$4,0)))</f>
        <v>1</v>
      </c>
    </row>
    <row r="57" customFormat="false" ht="15" hidden="false" customHeight="false" outlineLevel="0" collapsed="false">
      <c r="A57" s="19" t="n">
        <v>53</v>
      </c>
      <c r="B57" s="19" t="s">
        <v>144</v>
      </c>
      <c r="C57" s="20" t="str">
        <f aca="false">Pokedex!C57</f>
        <v>Normal</v>
      </c>
      <c r="D57" s="20" t="n">
        <f aca="false">Pokedex!D57</f>
        <v>0</v>
      </c>
      <c r="E57" s="21" t="n">
        <f aca="false">INDEX('Type Chart'!$B$5:$P$19,MATCH(E$4,'Type Chart'!$A$5:$A$19,0),MATCH($C57,'Type Chart'!$B$4:$P$4,0))*IF($D57="",1,INDEX('Type Chart'!$B$5:$P$19,MATCH(E$4,'Type Chart'!$A$5:$A$19,0),MATCH($D57,'Type Chart'!$B$4:$P$4,0)))</f>
        <v>1</v>
      </c>
      <c r="F57" s="21" t="n">
        <f aca="false">INDEX('Type Chart'!$B$5:$P$19,MATCH(F$4,'Type Chart'!$A$5:$A$19,0),MATCH($C57,'Type Chart'!$B$4:$P$4,0))*IF($D57="",1,INDEX('Type Chart'!$B$5:$P$19,MATCH(F$4,'Type Chart'!$A$5:$A$19,0),MATCH($D57,'Type Chart'!$B$4:$P$4,0)))</f>
        <v>1</v>
      </c>
      <c r="G57" s="21" t="n">
        <f aca="false">INDEX('Type Chart'!$B$5:$P$19,MATCH(G$4,'Type Chart'!$A$5:$A$19,0),MATCH($C57,'Type Chart'!$B$4:$P$4,0))*IF($D57="",1,INDEX('Type Chart'!$B$5:$P$19,MATCH(G$4,'Type Chart'!$A$5:$A$19,0),MATCH($D57,'Type Chart'!$B$4:$P$4,0)))</f>
        <v>1</v>
      </c>
      <c r="H57" s="21" t="n">
        <f aca="false">INDEX('Type Chart'!$B$5:$P$19,MATCH(H$4,'Type Chart'!$A$5:$A$19,0),MATCH($C57,'Type Chart'!$B$4:$P$4,0))*IF($D57="",1,INDEX('Type Chart'!$B$5:$P$19,MATCH(H$4,'Type Chart'!$A$5:$A$19,0),MATCH($D57,'Type Chart'!$B$4:$P$4,0)))</f>
        <v>1</v>
      </c>
      <c r="I57" s="21" t="n">
        <f aca="false">INDEX('Type Chart'!$B$5:$P$19,MATCH(I$4,'Type Chart'!$A$5:$A$19,0),MATCH($C57,'Type Chart'!$B$4:$P$4,0))*IF($D57="",1,INDEX('Type Chart'!$B$5:$P$19,MATCH(I$4,'Type Chart'!$A$5:$A$19,0),MATCH($D57,'Type Chart'!$B$4:$P$4,0)))</f>
        <v>1</v>
      </c>
      <c r="J57" s="21" t="n">
        <f aca="false">INDEX('Type Chart'!$B$5:$P$19,MATCH(J$4,'Type Chart'!$A$5:$A$19,0),MATCH($C57,'Type Chart'!$B$4:$P$4,0))*IF($D57="",1,INDEX('Type Chart'!$B$5:$P$19,MATCH(J$4,'Type Chart'!$A$5:$A$19,0),MATCH($D57,'Type Chart'!$B$4:$P$4,0)))</f>
        <v>1</v>
      </c>
      <c r="K57" s="21" t="n">
        <f aca="false">INDEX('Type Chart'!$B$5:$P$19,MATCH(K$4,'Type Chart'!$A$5:$A$19,0),MATCH($C57,'Type Chart'!$B$4:$P$4,0))*IF($D57="",1,INDEX('Type Chart'!$B$5:$P$19,MATCH(K$4,'Type Chart'!$A$5:$A$19,0),MATCH($D57,'Type Chart'!$B$4:$P$4,0)))</f>
        <v>2</v>
      </c>
      <c r="L57" s="21" t="n">
        <f aca="false">INDEX('Type Chart'!$B$5:$P$19,MATCH(L$4,'Type Chart'!$A$5:$A$19,0),MATCH($C57,'Type Chart'!$B$4:$P$4,0))*IF($D57="",1,INDEX('Type Chart'!$B$5:$P$19,MATCH(L$4,'Type Chart'!$A$5:$A$19,0),MATCH($D57,'Type Chart'!$B$4:$P$4,0)))</f>
        <v>1</v>
      </c>
      <c r="M57" s="21" t="n">
        <f aca="false">INDEX('Type Chart'!$B$5:$P$19,MATCH(M$4,'Type Chart'!$A$5:$A$19,0),MATCH($C57,'Type Chart'!$B$4:$P$4,0))*IF($D57="",1,INDEX('Type Chart'!$B$5:$P$19,MATCH(M$4,'Type Chart'!$A$5:$A$19,0),MATCH($D57,'Type Chart'!$B$4:$P$4,0)))</f>
        <v>1</v>
      </c>
      <c r="N57" s="21" t="n">
        <f aca="false">INDEX('Type Chart'!$B$5:$P$19,MATCH(N$4,'Type Chart'!$A$5:$A$19,0),MATCH($C57,'Type Chart'!$B$4:$P$4,0))*IF($D57="",1,INDEX('Type Chart'!$B$5:$P$19,MATCH(N$4,'Type Chart'!$A$5:$A$19,0),MATCH($D57,'Type Chart'!$B$4:$P$4,0)))</f>
        <v>1</v>
      </c>
      <c r="O57" s="21" t="n">
        <f aca="false">INDEX('Type Chart'!$B$5:$P$19,MATCH(O$4,'Type Chart'!$A$5:$A$19,0),MATCH($C57,'Type Chart'!$B$4:$P$4,0))*IF($D57="",1,INDEX('Type Chart'!$B$5:$P$19,MATCH(O$4,'Type Chart'!$A$5:$A$19,0),MATCH($D57,'Type Chart'!$B$4:$P$4,0)))</f>
        <v>1</v>
      </c>
      <c r="P57" s="21" t="n">
        <f aca="false">INDEX('Type Chart'!$B$5:$P$19,MATCH(P$4,'Type Chart'!$A$5:$A$19,0),MATCH($C57,'Type Chart'!$B$4:$P$4,0))*IF($D57="",1,INDEX('Type Chart'!$B$5:$P$19,MATCH(P$4,'Type Chart'!$A$5:$A$19,0),MATCH($D57,'Type Chart'!$B$4:$P$4,0)))</f>
        <v>1</v>
      </c>
      <c r="Q57" s="21" t="n">
        <f aca="false">INDEX('Type Chart'!$B$5:$P$19,MATCH(Q$4,'Type Chart'!$A$5:$A$19,0),MATCH($C57,'Type Chart'!$B$4:$P$4,0))*IF($D57="",1,INDEX('Type Chart'!$B$5:$P$19,MATCH(Q$4,'Type Chart'!$A$5:$A$19,0),MATCH($D57,'Type Chart'!$B$4:$P$4,0)))</f>
        <v>1</v>
      </c>
      <c r="R57" s="21" t="n">
        <f aca="false">INDEX('Type Chart'!$B$5:$P$19,MATCH(R$4,'Type Chart'!$A$5:$A$19,0),MATCH($C57,'Type Chart'!$B$4:$P$4,0))*IF($D57="",1,INDEX('Type Chart'!$B$5:$P$19,MATCH(R$4,'Type Chart'!$A$5:$A$19,0),MATCH($D57,'Type Chart'!$B$4:$P$4,0)))</f>
        <v>0</v>
      </c>
      <c r="S57" s="21" t="n">
        <f aca="false">INDEX('Type Chart'!$B$5:$P$19,MATCH(S$4,'Type Chart'!$A$5:$A$19,0),MATCH($C57,'Type Chart'!$B$4:$P$4,0))*IF($D57="",1,INDEX('Type Chart'!$B$5:$P$19,MATCH(S$4,'Type Chart'!$A$5:$A$19,0),MATCH($D57,'Type Chart'!$B$4:$P$4,0)))</f>
        <v>1</v>
      </c>
    </row>
    <row r="58" customFormat="false" ht="15" hidden="false" customHeight="false" outlineLevel="0" collapsed="false">
      <c r="A58" s="19" t="n">
        <v>54</v>
      </c>
      <c r="B58" s="19" t="s">
        <v>145</v>
      </c>
      <c r="C58" s="20" t="str">
        <f aca="false">Pokedex!C58</f>
        <v>Water</v>
      </c>
      <c r="D58" s="20" t="n">
        <f aca="false">Pokedex!D58</f>
        <v>0</v>
      </c>
      <c r="E58" s="21" t="n">
        <f aca="false">INDEX('Type Chart'!$B$5:$P$19,MATCH(E$4,'Type Chart'!$A$5:$A$19,0),MATCH($C58,'Type Chart'!$B$4:$P$4,0))*IF($D58="",1,INDEX('Type Chart'!$B$5:$P$19,MATCH(E$4,'Type Chart'!$A$5:$A$19,0),MATCH($D58,'Type Chart'!$B$4:$P$4,0)))</f>
        <v>1</v>
      </c>
      <c r="F58" s="21" t="n">
        <f aca="false">INDEX('Type Chart'!$B$5:$P$19,MATCH(F$4,'Type Chart'!$A$5:$A$19,0),MATCH($C58,'Type Chart'!$B$4:$P$4,0))*IF($D58="",1,INDEX('Type Chart'!$B$5:$P$19,MATCH(F$4,'Type Chart'!$A$5:$A$19,0),MATCH($D58,'Type Chart'!$B$4:$P$4,0)))</f>
        <v>0.5</v>
      </c>
      <c r="G58" s="21" t="n">
        <f aca="false">INDEX('Type Chart'!$B$5:$P$19,MATCH(G$4,'Type Chart'!$A$5:$A$19,0),MATCH($C58,'Type Chart'!$B$4:$P$4,0))*IF($D58="",1,INDEX('Type Chart'!$B$5:$P$19,MATCH(G$4,'Type Chart'!$A$5:$A$19,0),MATCH($D58,'Type Chart'!$B$4:$P$4,0)))</f>
        <v>0.5</v>
      </c>
      <c r="H58" s="21" t="n">
        <f aca="false">INDEX('Type Chart'!$B$5:$P$19,MATCH(H$4,'Type Chart'!$A$5:$A$19,0),MATCH($C58,'Type Chart'!$B$4:$P$4,0))*IF($D58="",1,INDEX('Type Chart'!$B$5:$P$19,MATCH(H$4,'Type Chart'!$A$5:$A$19,0),MATCH($D58,'Type Chart'!$B$4:$P$4,0)))</f>
        <v>2</v>
      </c>
      <c r="I58" s="21" t="n">
        <f aca="false">INDEX('Type Chart'!$B$5:$P$19,MATCH(I$4,'Type Chart'!$A$5:$A$19,0),MATCH($C58,'Type Chart'!$B$4:$P$4,0))*IF($D58="",1,INDEX('Type Chart'!$B$5:$P$19,MATCH(I$4,'Type Chart'!$A$5:$A$19,0),MATCH($D58,'Type Chart'!$B$4:$P$4,0)))</f>
        <v>2</v>
      </c>
      <c r="J58" s="21" t="n">
        <f aca="false">INDEX('Type Chart'!$B$5:$P$19,MATCH(J$4,'Type Chart'!$A$5:$A$19,0),MATCH($C58,'Type Chart'!$B$4:$P$4,0))*IF($D58="",1,INDEX('Type Chart'!$B$5:$P$19,MATCH(J$4,'Type Chart'!$A$5:$A$19,0),MATCH($D58,'Type Chart'!$B$4:$P$4,0)))</f>
        <v>0.5</v>
      </c>
      <c r="K58" s="21" t="n">
        <f aca="false">INDEX('Type Chart'!$B$5:$P$19,MATCH(K$4,'Type Chart'!$A$5:$A$19,0),MATCH($C58,'Type Chart'!$B$4:$P$4,0))*IF($D58="",1,INDEX('Type Chart'!$B$5:$P$19,MATCH(K$4,'Type Chart'!$A$5:$A$19,0),MATCH($D58,'Type Chart'!$B$4:$P$4,0)))</f>
        <v>1</v>
      </c>
      <c r="L58" s="21" t="n">
        <f aca="false">INDEX('Type Chart'!$B$5:$P$19,MATCH(L$4,'Type Chart'!$A$5:$A$19,0),MATCH($C58,'Type Chart'!$B$4:$P$4,0))*IF($D58="",1,INDEX('Type Chart'!$B$5:$P$19,MATCH(L$4,'Type Chart'!$A$5:$A$19,0),MATCH($D58,'Type Chart'!$B$4:$P$4,0)))</f>
        <v>1</v>
      </c>
      <c r="M58" s="21" t="n">
        <f aca="false">INDEX('Type Chart'!$B$5:$P$19,MATCH(M$4,'Type Chart'!$A$5:$A$19,0),MATCH($C58,'Type Chart'!$B$4:$P$4,0))*IF($D58="",1,INDEX('Type Chart'!$B$5:$P$19,MATCH(M$4,'Type Chart'!$A$5:$A$19,0),MATCH($D58,'Type Chart'!$B$4:$P$4,0)))</f>
        <v>1</v>
      </c>
      <c r="N58" s="21" t="n">
        <f aca="false">INDEX('Type Chart'!$B$5:$P$19,MATCH(N$4,'Type Chart'!$A$5:$A$19,0),MATCH($C58,'Type Chart'!$B$4:$P$4,0))*IF($D58="",1,INDEX('Type Chart'!$B$5:$P$19,MATCH(N$4,'Type Chart'!$A$5:$A$19,0),MATCH($D58,'Type Chart'!$B$4:$P$4,0)))</f>
        <v>1</v>
      </c>
      <c r="O58" s="21" t="n">
        <f aca="false">INDEX('Type Chart'!$B$5:$P$19,MATCH(O$4,'Type Chart'!$A$5:$A$19,0),MATCH($C58,'Type Chart'!$B$4:$P$4,0))*IF($D58="",1,INDEX('Type Chart'!$B$5:$P$19,MATCH(O$4,'Type Chart'!$A$5:$A$19,0),MATCH($D58,'Type Chart'!$B$4:$P$4,0)))</f>
        <v>1</v>
      </c>
      <c r="P58" s="21" t="n">
        <f aca="false">INDEX('Type Chart'!$B$5:$P$19,MATCH(P$4,'Type Chart'!$A$5:$A$19,0),MATCH($C58,'Type Chart'!$B$4:$P$4,0))*IF($D58="",1,INDEX('Type Chart'!$B$5:$P$19,MATCH(P$4,'Type Chart'!$A$5:$A$19,0),MATCH($D58,'Type Chart'!$B$4:$P$4,0)))</f>
        <v>1</v>
      </c>
      <c r="Q58" s="21" t="n">
        <f aca="false">INDEX('Type Chart'!$B$5:$P$19,MATCH(Q$4,'Type Chart'!$A$5:$A$19,0),MATCH($C58,'Type Chart'!$B$4:$P$4,0))*IF($D58="",1,INDEX('Type Chart'!$B$5:$P$19,MATCH(Q$4,'Type Chart'!$A$5:$A$19,0),MATCH($D58,'Type Chart'!$B$4:$P$4,0)))</f>
        <v>1</v>
      </c>
      <c r="R58" s="21" t="n">
        <f aca="false">INDEX('Type Chart'!$B$5:$P$19,MATCH(R$4,'Type Chart'!$A$5:$A$19,0),MATCH($C58,'Type Chart'!$B$4:$P$4,0))*IF($D58="",1,INDEX('Type Chart'!$B$5:$P$19,MATCH(R$4,'Type Chart'!$A$5:$A$19,0),MATCH($D58,'Type Chart'!$B$4:$P$4,0)))</f>
        <v>1</v>
      </c>
      <c r="S58" s="21" t="n">
        <f aca="false">INDEX('Type Chart'!$B$5:$P$19,MATCH(S$4,'Type Chart'!$A$5:$A$19,0),MATCH($C58,'Type Chart'!$B$4:$P$4,0))*IF($D58="",1,INDEX('Type Chart'!$B$5:$P$19,MATCH(S$4,'Type Chart'!$A$5:$A$19,0),MATCH($D58,'Type Chart'!$B$4:$P$4,0)))</f>
        <v>1</v>
      </c>
    </row>
    <row r="59" customFormat="false" ht="15" hidden="false" customHeight="false" outlineLevel="0" collapsed="false">
      <c r="A59" s="19" t="n">
        <v>55</v>
      </c>
      <c r="B59" s="19" t="s">
        <v>146</v>
      </c>
      <c r="C59" s="20" t="str">
        <f aca="false">Pokedex!C59</f>
        <v>Water</v>
      </c>
      <c r="D59" s="20" t="n">
        <f aca="false">Pokedex!D59</f>
        <v>0</v>
      </c>
      <c r="E59" s="21" t="n">
        <f aca="false">INDEX('Type Chart'!$B$5:$P$19,MATCH(E$4,'Type Chart'!$A$5:$A$19,0),MATCH($C59,'Type Chart'!$B$4:$P$4,0))*IF($D59="",1,INDEX('Type Chart'!$B$5:$P$19,MATCH(E$4,'Type Chart'!$A$5:$A$19,0),MATCH($D59,'Type Chart'!$B$4:$P$4,0)))</f>
        <v>1</v>
      </c>
      <c r="F59" s="21" t="n">
        <f aca="false">INDEX('Type Chart'!$B$5:$P$19,MATCH(F$4,'Type Chart'!$A$5:$A$19,0),MATCH($C59,'Type Chart'!$B$4:$P$4,0))*IF($D59="",1,INDEX('Type Chart'!$B$5:$P$19,MATCH(F$4,'Type Chart'!$A$5:$A$19,0),MATCH($D59,'Type Chart'!$B$4:$P$4,0)))</f>
        <v>0.5</v>
      </c>
      <c r="G59" s="21" t="n">
        <f aca="false">INDEX('Type Chart'!$B$5:$P$19,MATCH(G$4,'Type Chart'!$A$5:$A$19,0),MATCH($C59,'Type Chart'!$B$4:$P$4,0))*IF($D59="",1,INDEX('Type Chart'!$B$5:$P$19,MATCH(G$4,'Type Chart'!$A$5:$A$19,0),MATCH($D59,'Type Chart'!$B$4:$P$4,0)))</f>
        <v>0.5</v>
      </c>
      <c r="H59" s="21" t="n">
        <f aca="false">INDEX('Type Chart'!$B$5:$P$19,MATCH(H$4,'Type Chart'!$A$5:$A$19,0),MATCH($C59,'Type Chart'!$B$4:$P$4,0))*IF($D59="",1,INDEX('Type Chart'!$B$5:$P$19,MATCH(H$4,'Type Chart'!$A$5:$A$19,0),MATCH($D59,'Type Chart'!$B$4:$P$4,0)))</f>
        <v>2</v>
      </c>
      <c r="I59" s="21" t="n">
        <f aca="false">INDEX('Type Chart'!$B$5:$P$19,MATCH(I$4,'Type Chart'!$A$5:$A$19,0),MATCH($C59,'Type Chart'!$B$4:$P$4,0))*IF($D59="",1,INDEX('Type Chart'!$B$5:$P$19,MATCH(I$4,'Type Chart'!$A$5:$A$19,0),MATCH($D59,'Type Chart'!$B$4:$P$4,0)))</f>
        <v>2</v>
      </c>
      <c r="J59" s="21" t="n">
        <f aca="false">INDEX('Type Chart'!$B$5:$P$19,MATCH(J$4,'Type Chart'!$A$5:$A$19,0),MATCH($C59,'Type Chart'!$B$4:$P$4,0))*IF($D59="",1,INDEX('Type Chart'!$B$5:$P$19,MATCH(J$4,'Type Chart'!$A$5:$A$19,0),MATCH($D59,'Type Chart'!$B$4:$P$4,0)))</f>
        <v>0.5</v>
      </c>
      <c r="K59" s="21" t="n">
        <f aca="false">INDEX('Type Chart'!$B$5:$P$19,MATCH(K$4,'Type Chart'!$A$5:$A$19,0),MATCH($C59,'Type Chart'!$B$4:$P$4,0))*IF($D59="",1,INDEX('Type Chart'!$B$5:$P$19,MATCH(K$4,'Type Chart'!$A$5:$A$19,0),MATCH($D59,'Type Chart'!$B$4:$P$4,0)))</f>
        <v>1</v>
      </c>
      <c r="L59" s="21" t="n">
        <f aca="false">INDEX('Type Chart'!$B$5:$P$19,MATCH(L$4,'Type Chart'!$A$5:$A$19,0),MATCH($C59,'Type Chart'!$B$4:$P$4,0))*IF($D59="",1,INDEX('Type Chart'!$B$5:$P$19,MATCH(L$4,'Type Chart'!$A$5:$A$19,0),MATCH($D59,'Type Chart'!$B$4:$P$4,0)))</f>
        <v>1</v>
      </c>
      <c r="M59" s="21" t="n">
        <f aca="false">INDEX('Type Chart'!$B$5:$P$19,MATCH(M$4,'Type Chart'!$A$5:$A$19,0),MATCH($C59,'Type Chart'!$B$4:$P$4,0))*IF($D59="",1,INDEX('Type Chart'!$B$5:$P$19,MATCH(M$4,'Type Chart'!$A$5:$A$19,0),MATCH($D59,'Type Chart'!$B$4:$P$4,0)))</f>
        <v>1</v>
      </c>
      <c r="N59" s="21" t="n">
        <f aca="false">INDEX('Type Chart'!$B$5:$P$19,MATCH(N$4,'Type Chart'!$A$5:$A$19,0),MATCH($C59,'Type Chart'!$B$4:$P$4,0))*IF($D59="",1,INDEX('Type Chart'!$B$5:$P$19,MATCH(N$4,'Type Chart'!$A$5:$A$19,0),MATCH($D59,'Type Chart'!$B$4:$P$4,0)))</f>
        <v>1</v>
      </c>
      <c r="O59" s="21" t="n">
        <f aca="false">INDEX('Type Chart'!$B$5:$P$19,MATCH(O$4,'Type Chart'!$A$5:$A$19,0),MATCH($C59,'Type Chart'!$B$4:$P$4,0))*IF($D59="",1,INDEX('Type Chart'!$B$5:$P$19,MATCH(O$4,'Type Chart'!$A$5:$A$19,0),MATCH($D59,'Type Chart'!$B$4:$P$4,0)))</f>
        <v>1</v>
      </c>
      <c r="P59" s="21" t="n">
        <f aca="false">INDEX('Type Chart'!$B$5:$P$19,MATCH(P$4,'Type Chart'!$A$5:$A$19,0),MATCH($C59,'Type Chart'!$B$4:$P$4,0))*IF($D59="",1,INDEX('Type Chart'!$B$5:$P$19,MATCH(P$4,'Type Chart'!$A$5:$A$19,0),MATCH($D59,'Type Chart'!$B$4:$P$4,0)))</f>
        <v>1</v>
      </c>
      <c r="Q59" s="21" t="n">
        <f aca="false">INDEX('Type Chart'!$B$5:$P$19,MATCH(Q$4,'Type Chart'!$A$5:$A$19,0),MATCH($C59,'Type Chart'!$B$4:$P$4,0))*IF($D59="",1,INDEX('Type Chart'!$B$5:$P$19,MATCH(Q$4,'Type Chart'!$A$5:$A$19,0),MATCH($D59,'Type Chart'!$B$4:$P$4,0)))</f>
        <v>1</v>
      </c>
      <c r="R59" s="21" t="n">
        <f aca="false">INDEX('Type Chart'!$B$5:$P$19,MATCH(R$4,'Type Chart'!$A$5:$A$19,0),MATCH($C59,'Type Chart'!$B$4:$P$4,0))*IF($D59="",1,INDEX('Type Chart'!$B$5:$P$19,MATCH(R$4,'Type Chart'!$A$5:$A$19,0),MATCH($D59,'Type Chart'!$B$4:$P$4,0)))</f>
        <v>1</v>
      </c>
      <c r="S59" s="21" t="n">
        <f aca="false">INDEX('Type Chart'!$B$5:$P$19,MATCH(S$4,'Type Chart'!$A$5:$A$19,0),MATCH($C59,'Type Chart'!$B$4:$P$4,0))*IF($D59="",1,INDEX('Type Chart'!$B$5:$P$19,MATCH(S$4,'Type Chart'!$A$5:$A$19,0),MATCH($D59,'Type Chart'!$B$4:$P$4,0)))</f>
        <v>1</v>
      </c>
    </row>
    <row r="60" customFormat="false" ht="15" hidden="false" customHeight="false" outlineLevel="0" collapsed="false">
      <c r="A60" s="19" t="n">
        <v>56</v>
      </c>
      <c r="B60" s="19" t="s">
        <v>147</v>
      </c>
      <c r="C60" s="20" t="str">
        <f aca="false">Pokedex!C60</f>
        <v>Fighting</v>
      </c>
      <c r="D60" s="20" t="n">
        <f aca="false">Pokedex!D60</f>
        <v>0</v>
      </c>
      <c r="E60" s="21" t="n">
        <f aca="false">INDEX('Type Chart'!$B$5:$P$19,MATCH(E$4,'Type Chart'!$A$5:$A$19,0),MATCH($C60,'Type Chart'!$B$4:$P$4,0))*IF($D60="",1,INDEX('Type Chart'!$B$5:$P$19,MATCH(E$4,'Type Chart'!$A$5:$A$19,0),MATCH($D60,'Type Chart'!$B$4:$P$4,0)))</f>
        <v>1</v>
      </c>
      <c r="F60" s="21" t="n">
        <f aca="false">INDEX('Type Chart'!$B$5:$P$19,MATCH(F$4,'Type Chart'!$A$5:$A$19,0),MATCH($C60,'Type Chart'!$B$4:$P$4,0))*IF($D60="",1,INDEX('Type Chart'!$B$5:$P$19,MATCH(F$4,'Type Chart'!$A$5:$A$19,0),MATCH($D60,'Type Chart'!$B$4:$P$4,0)))</f>
        <v>1</v>
      </c>
      <c r="G60" s="21" t="n">
        <f aca="false">INDEX('Type Chart'!$B$5:$P$19,MATCH(G$4,'Type Chart'!$A$5:$A$19,0),MATCH($C60,'Type Chart'!$B$4:$P$4,0))*IF($D60="",1,INDEX('Type Chart'!$B$5:$P$19,MATCH(G$4,'Type Chart'!$A$5:$A$19,0),MATCH($D60,'Type Chart'!$B$4:$P$4,0)))</f>
        <v>1</v>
      </c>
      <c r="H60" s="21" t="n">
        <f aca="false">INDEX('Type Chart'!$B$5:$P$19,MATCH(H$4,'Type Chart'!$A$5:$A$19,0),MATCH($C60,'Type Chart'!$B$4:$P$4,0))*IF($D60="",1,INDEX('Type Chart'!$B$5:$P$19,MATCH(H$4,'Type Chart'!$A$5:$A$19,0),MATCH($D60,'Type Chart'!$B$4:$P$4,0)))</f>
        <v>1</v>
      </c>
      <c r="I60" s="21" t="n">
        <f aca="false">INDEX('Type Chart'!$B$5:$P$19,MATCH(I$4,'Type Chart'!$A$5:$A$19,0),MATCH($C60,'Type Chart'!$B$4:$P$4,0))*IF($D60="",1,INDEX('Type Chart'!$B$5:$P$19,MATCH(I$4,'Type Chart'!$A$5:$A$19,0),MATCH($D60,'Type Chart'!$B$4:$P$4,0)))</f>
        <v>1</v>
      </c>
      <c r="J60" s="21" t="n">
        <f aca="false">INDEX('Type Chart'!$B$5:$P$19,MATCH(J$4,'Type Chart'!$A$5:$A$19,0),MATCH($C60,'Type Chart'!$B$4:$P$4,0))*IF($D60="",1,INDEX('Type Chart'!$B$5:$P$19,MATCH(J$4,'Type Chart'!$A$5:$A$19,0),MATCH($D60,'Type Chart'!$B$4:$P$4,0)))</f>
        <v>1</v>
      </c>
      <c r="K60" s="21" t="n">
        <f aca="false">INDEX('Type Chart'!$B$5:$P$19,MATCH(K$4,'Type Chart'!$A$5:$A$19,0),MATCH($C60,'Type Chart'!$B$4:$P$4,0))*IF($D60="",1,INDEX('Type Chart'!$B$5:$P$19,MATCH(K$4,'Type Chart'!$A$5:$A$19,0),MATCH($D60,'Type Chart'!$B$4:$P$4,0)))</f>
        <v>1</v>
      </c>
      <c r="L60" s="21" t="n">
        <f aca="false">INDEX('Type Chart'!$B$5:$P$19,MATCH(L$4,'Type Chart'!$A$5:$A$19,0),MATCH($C60,'Type Chart'!$B$4:$P$4,0))*IF($D60="",1,INDEX('Type Chart'!$B$5:$P$19,MATCH(L$4,'Type Chart'!$A$5:$A$19,0),MATCH($D60,'Type Chart'!$B$4:$P$4,0)))</f>
        <v>1</v>
      </c>
      <c r="M60" s="21" t="n">
        <f aca="false">INDEX('Type Chart'!$B$5:$P$19,MATCH(M$4,'Type Chart'!$A$5:$A$19,0),MATCH($C60,'Type Chart'!$B$4:$P$4,0))*IF($D60="",1,INDEX('Type Chart'!$B$5:$P$19,MATCH(M$4,'Type Chart'!$A$5:$A$19,0),MATCH($D60,'Type Chart'!$B$4:$P$4,0)))</f>
        <v>1</v>
      </c>
      <c r="N60" s="21" t="n">
        <f aca="false">INDEX('Type Chart'!$B$5:$P$19,MATCH(N$4,'Type Chart'!$A$5:$A$19,0),MATCH($C60,'Type Chart'!$B$4:$P$4,0))*IF($D60="",1,INDEX('Type Chart'!$B$5:$P$19,MATCH(N$4,'Type Chart'!$A$5:$A$19,0),MATCH($D60,'Type Chart'!$B$4:$P$4,0)))</f>
        <v>2</v>
      </c>
      <c r="O60" s="21" t="n">
        <f aca="false">INDEX('Type Chart'!$B$5:$P$19,MATCH(O$4,'Type Chart'!$A$5:$A$19,0),MATCH($C60,'Type Chart'!$B$4:$P$4,0))*IF($D60="",1,INDEX('Type Chart'!$B$5:$P$19,MATCH(O$4,'Type Chart'!$A$5:$A$19,0),MATCH($D60,'Type Chart'!$B$4:$P$4,0)))</f>
        <v>2</v>
      </c>
      <c r="P60" s="21" t="n">
        <f aca="false">INDEX('Type Chart'!$B$5:$P$19,MATCH(P$4,'Type Chart'!$A$5:$A$19,0),MATCH($C60,'Type Chart'!$B$4:$P$4,0))*IF($D60="",1,INDEX('Type Chart'!$B$5:$P$19,MATCH(P$4,'Type Chart'!$A$5:$A$19,0),MATCH($D60,'Type Chart'!$B$4:$P$4,0)))</f>
        <v>0.5</v>
      </c>
      <c r="Q60" s="21" t="n">
        <f aca="false">INDEX('Type Chart'!$B$5:$P$19,MATCH(Q$4,'Type Chart'!$A$5:$A$19,0),MATCH($C60,'Type Chart'!$B$4:$P$4,0))*IF($D60="",1,INDEX('Type Chart'!$B$5:$P$19,MATCH(Q$4,'Type Chart'!$A$5:$A$19,0),MATCH($D60,'Type Chart'!$B$4:$P$4,0)))</f>
        <v>0.5</v>
      </c>
      <c r="R60" s="21" t="n">
        <f aca="false">INDEX('Type Chart'!$B$5:$P$19,MATCH(R$4,'Type Chart'!$A$5:$A$19,0),MATCH($C60,'Type Chart'!$B$4:$P$4,0))*IF($D60="",1,INDEX('Type Chart'!$B$5:$P$19,MATCH(R$4,'Type Chart'!$A$5:$A$19,0),MATCH($D60,'Type Chart'!$B$4:$P$4,0)))</f>
        <v>1</v>
      </c>
      <c r="S60" s="21" t="n">
        <f aca="false">INDEX('Type Chart'!$B$5:$P$19,MATCH(S$4,'Type Chart'!$A$5:$A$19,0),MATCH($C60,'Type Chart'!$B$4:$P$4,0))*IF($D60="",1,INDEX('Type Chart'!$B$5:$P$19,MATCH(S$4,'Type Chart'!$A$5:$A$19,0),MATCH($D60,'Type Chart'!$B$4:$P$4,0)))</f>
        <v>1</v>
      </c>
    </row>
    <row r="61" customFormat="false" ht="15" hidden="false" customHeight="false" outlineLevel="0" collapsed="false">
      <c r="A61" s="19" t="n">
        <v>57</v>
      </c>
      <c r="B61" s="19" t="s">
        <v>148</v>
      </c>
      <c r="C61" s="20" t="str">
        <f aca="false">Pokedex!C61</f>
        <v>Fighting</v>
      </c>
      <c r="D61" s="20" t="n">
        <f aca="false">Pokedex!D61</f>
        <v>0</v>
      </c>
      <c r="E61" s="21" t="n">
        <f aca="false">INDEX('Type Chart'!$B$5:$P$19,MATCH(E$4,'Type Chart'!$A$5:$A$19,0),MATCH($C61,'Type Chart'!$B$4:$P$4,0))*IF($D61="",1,INDEX('Type Chart'!$B$5:$P$19,MATCH(E$4,'Type Chart'!$A$5:$A$19,0),MATCH($D61,'Type Chart'!$B$4:$P$4,0)))</f>
        <v>1</v>
      </c>
      <c r="F61" s="21" t="n">
        <f aca="false">INDEX('Type Chart'!$B$5:$P$19,MATCH(F$4,'Type Chart'!$A$5:$A$19,0),MATCH($C61,'Type Chart'!$B$4:$P$4,0))*IF($D61="",1,INDEX('Type Chart'!$B$5:$P$19,MATCH(F$4,'Type Chart'!$A$5:$A$19,0),MATCH($D61,'Type Chart'!$B$4:$P$4,0)))</f>
        <v>1</v>
      </c>
      <c r="G61" s="21" t="n">
        <f aca="false">INDEX('Type Chart'!$B$5:$P$19,MATCH(G$4,'Type Chart'!$A$5:$A$19,0),MATCH($C61,'Type Chart'!$B$4:$P$4,0))*IF($D61="",1,INDEX('Type Chart'!$B$5:$P$19,MATCH(G$4,'Type Chart'!$A$5:$A$19,0),MATCH($D61,'Type Chart'!$B$4:$P$4,0)))</f>
        <v>1</v>
      </c>
      <c r="H61" s="21" t="n">
        <f aca="false">INDEX('Type Chart'!$B$5:$P$19,MATCH(H$4,'Type Chart'!$A$5:$A$19,0),MATCH($C61,'Type Chart'!$B$4:$P$4,0))*IF($D61="",1,INDEX('Type Chart'!$B$5:$P$19,MATCH(H$4,'Type Chart'!$A$5:$A$19,0),MATCH($D61,'Type Chart'!$B$4:$P$4,0)))</f>
        <v>1</v>
      </c>
      <c r="I61" s="21" t="n">
        <f aca="false">INDEX('Type Chart'!$B$5:$P$19,MATCH(I$4,'Type Chart'!$A$5:$A$19,0),MATCH($C61,'Type Chart'!$B$4:$P$4,0))*IF($D61="",1,INDEX('Type Chart'!$B$5:$P$19,MATCH(I$4,'Type Chart'!$A$5:$A$19,0),MATCH($D61,'Type Chart'!$B$4:$P$4,0)))</f>
        <v>1</v>
      </c>
      <c r="J61" s="21" t="n">
        <f aca="false">INDEX('Type Chart'!$B$5:$P$19,MATCH(J$4,'Type Chart'!$A$5:$A$19,0),MATCH($C61,'Type Chart'!$B$4:$P$4,0))*IF($D61="",1,INDEX('Type Chart'!$B$5:$P$19,MATCH(J$4,'Type Chart'!$A$5:$A$19,0),MATCH($D61,'Type Chart'!$B$4:$P$4,0)))</f>
        <v>1</v>
      </c>
      <c r="K61" s="21" t="n">
        <f aca="false">INDEX('Type Chart'!$B$5:$P$19,MATCH(K$4,'Type Chart'!$A$5:$A$19,0),MATCH($C61,'Type Chart'!$B$4:$P$4,0))*IF($D61="",1,INDEX('Type Chart'!$B$5:$P$19,MATCH(K$4,'Type Chart'!$A$5:$A$19,0),MATCH($D61,'Type Chart'!$B$4:$P$4,0)))</f>
        <v>1</v>
      </c>
      <c r="L61" s="21" t="n">
        <f aca="false">INDEX('Type Chart'!$B$5:$P$19,MATCH(L$4,'Type Chart'!$A$5:$A$19,0),MATCH($C61,'Type Chart'!$B$4:$P$4,0))*IF($D61="",1,INDEX('Type Chart'!$B$5:$P$19,MATCH(L$4,'Type Chart'!$A$5:$A$19,0),MATCH($D61,'Type Chart'!$B$4:$P$4,0)))</f>
        <v>1</v>
      </c>
      <c r="M61" s="21" t="n">
        <f aca="false">INDEX('Type Chart'!$B$5:$P$19,MATCH(M$4,'Type Chart'!$A$5:$A$19,0),MATCH($C61,'Type Chart'!$B$4:$P$4,0))*IF($D61="",1,INDEX('Type Chart'!$B$5:$P$19,MATCH(M$4,'Type Chart'!$A$5:$A$19,0),MATCH($D61,'Type Chart'!$B$4:$P$4,0)))</f>
        <v>1</v>
      </c>
      <c r="N61" s="21" t="n">
        <f aca="false">INDEX('Type Chart'!$B$5:$P$19,MATCH(N$4,'Type Chart'!$A$5:$A$19,0),MATCH($C61,'Type Chart'!$B$4:$P$4,0))*IF($D61="",1,INDEX('Type Chart'!$B$5:$P$19,MATCH(N$4,'Type Chart'!$A$5:$A$19,0),MATCH($D61,'Type Chart'!$B$4:$P$4,0)))</f>
        <v>2</v>
      </c>
      <c r="O61" s="21" t="n">
        <f aca="false">INDEX('Type Chart'!$B$5:$P$19,MATCH(O$4,'Type Chart'!$A$5:$A$19,0),MATCH($C61,'Type Chart'!$B$4:$P$4,0))*IF($D61="",1,INDEX('Type Chart'!$B$5:$P$19,MATCH(O$4,'Type Chart'!$A$5:$A$19,0),MATCH($D61,'Type Chart'!$B$4:$P$4,0)))</f>
        <v>2</v>
      </c>
      <c r="P61" s="21" t="n">
        <f aca="false">INDEX('Type Chart'!$B$5:$P$19,MATCH(P$4,'Type Chart'!$A$5:$A$19,0),MATCH($C61,'Type Chart'!$B$4:$P$4,0))*IF($D61="",1,INDEX('Type Chart'!$B$5:$P$19,MATCH(P$4,'Type Chart'!$A$5:$A$19,0),MATCH($D61,'Type Chart'!$B$4:$P$4,0)))</f>
        <v>0.5</v>
      </c>
      <c r="Q61" s="21" t="n">
        <f aca="false">INDEX('Type Chart'!$B$5:$P$19,MATCH(Q$4,'Type Chart'!$A$5:$A$19,0),MATCH($C61,'Type Chart'!$B$4:$P$4,0))*IF($D61="",1,INDEX('Type Chart'!$B$5:$P$19,MATCH(Q$4,'Type Chart'!$A$5:$A$19,0),MATCH($D61,'Type Chart'!$B$4:$P$4,0)))</f>
        <v>0.5</v>
      </c>
      <c r="R61" s="21" t="n">
        <f aca="false">INDEX('Type Chart'!$B$5:$P$19,MATCH(R$4,'Type Chart'!$A$5:$A$19,0),MATCH($C61,'Type Chart'!$B$4:$P$4,0))*IF($D61="",1,INDEX('Type Chart'!$B$5:$P$19,MATCH(R$4,'Type Chart'!$A$5:$A$19,0),MATCH($D61,'Type Chart'!$B$4:$P$4,0)))</f>
        <v>1</v>
      </c>
      <c r="S61" s="21" t="n">
        <f aca="false">INDEX('Type Chart'!$B$5:$P$19,MATCH(S$4,'Type Chart'!$A$5:$A$19,0),MATCH($C61,'Type Chart'!$B$4:$P$4,0))*IF($D61="",1,INDEX('Type Chart'!$B$5:$P$19,MATCH(S$4,'Type Chart'!$A$5:$A$19,0),MATCH($D61,'Type Chart'!$B$4:$P$4,0)))</f>
        <v>1</v>
      </c>
    </row>
    <row r="62" customFormat="false" ht="15" hidden="false" customHeight="false" outlineLevel="0" collapsed="false">
      <c r="A62" s="19" t="n">
        <v>58</v>
      </c>
      <c r="B62" s="19" t="s">
        <v>149</v>
      </c>
      <c r="C62" s="20" t="str">
        <f aca="false">Pokedex!C62</f>
        <v>Fire</v>
      </c>
      <c r="D62" s="20" t="n">
        <f aca="false">Pokedex!D62</f>
        <v>0</v>
      </c>
      <c r="E62" s="21" t="n">
        <f aca="false">INDEX('Type Chart'!$B$5:$P$19,MATCH(E$4,'Type Chart'!$A$5:$A$19,0),MATCH($C62,'Type Chart'!$B$4:$P$4,0))*IF($D62="",1,INDEX('Type Chart'!$B$5:$P$19,MATCH(E$4,'Type Chart'!$A$5:$A$19,0),MATCH($D62,'Type Chart'!$B$4:$P$4,0)))</f>
        <v>1</v>
      </c>
      <c r="F62" s="21" t="n">
        <f aca="false">INDEX('Type Chart'!$B$5:$P$19,MATCH(F$4,'Type Chart'!$A$5:$A$19,0),MATCH($C62,'Type Chart'!$B$4:$P$4,0))*IF($D62="",1,INDEX('Type Chart'!$B$5:$P$19,MATCH(F$4,'Type Chart'!$A$5:$A$19,0),MATCH($D62,'Type Chart'!$B$4:$P$4,0)))</f>
        <v>0.5</v>
      </c>
      <c r="G62" s="21" t="n">
        <f aca="false">INDEX('Type Chart'!$B$5:$P$19,MATCH(G$4,'Type Chart'!$A$5:$A$19,0),MATCH($C62,'Type Chart'!$B$4:$P$4,0))*IF($D62="",1,INDEX('Type Chart'!$B$5:$P$19,MATCH(G$4,'Type Chart'!$A$5:$A$19,0),MATCH($D62,'Type Chart'!$B$4:$P$4,0)))</f>
        <v>2</v>
      </c>
      <c r="H62" s="21" t="n">
        <f aca="false">INDEX('Type Chart'!$B$5:$P$19,MATCH(H$4,'Type Chart'!$A$5:$A$19,0),MATCH($C62,'Type Chart'!$B$4:$P$4,0))*IF($D62="",1,INDEX('Type Chart'!$B$5:$P$19,MATCH(H$4,'Type Chart'!$A$5:$A$19,0),MATCH($D62,'Type Chart'!$B$4:$P$4,0)))</f>
        <v>1</v>
      </c>
      <c r="I62" s="21" t="n">
        <f aca="false">INDEX('Type Chart'!$B$5:$P$19,MATCH(I$4,'Type Chart'!$A$5:$A$19,0),MATCH($C62,'Type Chart'!$B$4:$P$4,0))*IF($D62="",1,INDEX('Type Chart'!$B$5:$P$19,MATCH(I$4,'Type Chart'!$A$5:$A$19,0),MATCH($D62,'Type Chart'!$B$4:$P$4,0)))</f>
        <v>0.5</v>
      </c>
      <c r="J62" s="21" t="n">
        <f aca="false">INDEX('Type Chart'!$B$5:$P$19,MATCH(J$4,'Type Chart'!$A$5:$A$19,0),MATCH($C62,'Type Chart'!$B$4:$P$4,0))*IF($D62="",1,INDEX('Type Chart'!$B$5:$P$19,MATCH(J$4,'Type Chart'!$A$5:$A$19,0),MATCH($D62,'Type Chart'!$B$4:$P$4,0)))</f>
        <v>1</v>
      </c>
      <c r="K62" s="21" t="n">
        <f aca="false">INDEX('Type Chart'!$B$5:$P$19,MATCH(K$4,'Type Chart'!$A$5:$A$19,0),MATCH($C62,'Type Chart'!$B$4:$P$4,0))*IF($D62="",1,INDEX('Type Chart'!$B$5:$P$19,MATCH(K$4,'Type Chart'!$A$5:$A$19,0),MATCH($D62,'Type Chart'!$B$4:$P$4,0)))</f>
        <v>1</v>
      </c>
      <c r="L62" s="21" t="n">
        <f aca="false">INDEX('Type Chart'!$B$5:$P$19,MATCH(L$4,'Type Chart'!$A$5:$A$19,0),MATCH($C62,'Type Chart'!$B$4:$P$4,0))*IF($D62="",1,INDEX('Type Chart'!$B$5:$P$19,MATCH(L$4,'Type Chart'!$A$5:$A$19,0),MATCH($D62,'Type Chart'!$B$4:$P$4,0)))</f>
        <v>1</v>
      </c>
      <c r="M62" s="21" t="n">
        <f aca="false">INDEX('Type Chart'!$B$5:$P$19,MATCH(M$4,'Type Chart'!$A$5:$A$19,0),MATCH($C62,'Type Chart'!$B$4:$P$4,0))*IF($D62="",1,INDEX('Type Chart'!$B$5:$P$19,MATCH(M$4,'Type Chart'!$A$5:$A$19,0),MATCH($D62,'Type Chart'!$B$4:$P$4,0)))</f>
        <v>2</v>
      </c>
      <c r="N62" s="21" t="n">
        <f aca="false">INDEX('Type Chart'!$B$5:$P$19,MATCH(N$4,'Type Chart'!$A$5:$A$19,0),MATCH($C62,'Type Chart'!$B$4:$P$4,0))*IF($D62="",1,INDEX('Type Chart'!$B$5:$P$19,MATCH(N$4,'Type Chart'!$A$5:$A$19,0),MATCH($D62,'Type Chart'!$B$4:$P$4,0)))</f>
        <v>1</v>
      </c>
      <c r="O62" s="21" t="n">
        <f aca="false">INDEX('Type Chart'!$B$5:$P$19,MATCH(O$4,'Type Chart'!$A$5:$A$19,0),MATCH($C62,'Type Chart'!$B$4:$P$4,0))*IF($D62="",1,INDEX('Type Chart'!$B$5:$P$19,MATCH(O$4,'Type Chart'!$A$5:$A$19,0),MATCH($D62,'Type Chart'!$B$4:$P$4,0)))</f>
        <v>1</v>
      </c>
      <c r="P62" s="21" t="n">
        <f aca="false">INDEX('Type Chart'!$B$5:$P$19,MATCH(P$4,'Type Chart'!$A$5:$A$19,0),MATCH($C62,'Type Chart'!$B$4:$P$4,0))*IF($D62="",1,INDEX('Type Chart'!$B$5:$P$19,MATCH(P$4,'Type Chart'!$A$5:$A$19,0),MATCH($D62,'Type Chart'!$B$4:$P$4,0)))</f>
        <v>0.5</v>
      </c>
      <c r="Q62" s="21" t="n">
        <f aca="false">INDEX('Type Chart'!$B$5:$P$19,MATCH(Q$4,'Type Chart'!$A$5:$A$19,0),MATCH($C62,'Type Chart'!$B$4:$P$4,0))*IF($D62="",1,INDEX('Type Chart'!$B$5:$P$19,MATCH(Q$4,'Type Chart'!$A$5:$A$19,0),MATCH($D62,'Type Chart'!$B$4:$P$4,0)))</f>
        <v>2</v>
      </c>
      <c r="R62" s="21" t="n">
        <f aca="false">INDEX('Type Chart'!$B$5:$P$19,MATCH(R$4,'Type Chart'!$A$5:$A$19,0),MATCH($C62,'Type Chart'!$B$4:$P$4,0))*IF($D62="",1,INDEX('Type Chart'!$B$5:$P$19,MATCH(R$4,'Type Chart'!$A$5:$A$19,0),MATCH($D62,'Type Chart'!$B$4:$P$4,0)))</f>
        <v>1</v>
      </c>
      <c r="S62" s="21" t="n">
        <f aca="false">INDEX('Type Chart'!$B$5:$P$19,MATCH(S$4,'Type Chart'!$A$5:$A$19,0),MATCH($C62,'Type Chart'!$B$4:$P$4,0))*IF($D62="",1,INDEX('Type Chart'!$B$5:$P$19,MATCH(S$4,'Type Chart'!$A$5:$A$19,0),MATCH($D62,'Type Chart'!$B$4:$P$4,0)))</f>
        <v>1</v>
      </c>
    </row>
    <row r="63" customFormat="false" ht="15" hidden="false" customHeight="false" outlineLevel="0" collapsed="false">
      <c r="A63" s="19" t="n">
        <v>59</v>
      </c>
      <c r="B63" s="19" t="s">
        <v>150</v>
      </c>
      <c r="C63" s="20" t="str">
        <f aca="false">Pokedex!C63</f>
        <v>Fire</v>
      </c>
      <c r="D63" s="20" t="n">
        <f aca="false">Pokedex!D63</f>
        <v>0</v>
      </c>
      <c r="E63" s="21" t="n">
        <f aca="false">INDEX('Type Chart'!$B$5:$P$19,MATCH(E$4,'Type Chart'!$A$5:$A$19,0),MATCH($C63,'Type Chart'!$B$4:$P$4,0))*IF($D63="",1,INDEX('Type Chart'!$B$5:$P$19,MATCH(E$4,'Type Chart'!$A$5:$A$19,0),MATCH($D63,'Type Chart'!$B$4:$P$4,0)))</f>
        <v>1</v>
      </c>
      <c r="F63" s="21" t="n">
        <f aca="false">INDEX('Type Chart'!$B$5:$P$19,MATCH(F$4,'Type Chart'!$A$5:$A$19,0),MATCH($C63,'Type Chart'!$B$4:$P$4,0))*IF($D63="",1,INDEX('Type Chart'!$B$5:$P$19,MATCH(F$4,'Type Chart'!$A$5:$A$19,0),MATCH($D63,'Type Chart'!$B$4:$P$4,0)))</f>
        <v>0.5</v>
      </c>
      <c r="G63" s="21" t="n">
        <f aca="false">INDEX('Type Chart'!$B$5:$P$19,MATCH(G$4,'Type Chart'!$A$5:$A$19,0),MATCH($C63,'Type Chart'!$B$4:$P$4,0))*IF($D63="",1,INDEX('Type Chart'!$B$5:$P$19,MATCH(G$4,'Type Chart'!$A$5:$A$19,0),MATCH($D63,'Type Chart'!$B$4:$P$4,0)))</f>
        <v>2</v>
      </c>
      <c r="H63" s="21" t="n">
        <f aca="false">INDEX('Type Chart'!$B$5:$P$19,MATCH(H$4,'Type Chart'!$A$5:$A$19,0),MATCH($C63,'Type Chart'!$B$4:$P$4,0))*IF($D63="",1,INDEX('Type Chart'!$B$5:$P$19,MATCH(H$4,'Type Chart'!$A$5:$A$19,0),MATCH($D63,'Type Chart'!$B$4:$P$4,0)))</f>
        <v>1</v>
      </c>
      <c r="I63" s="21" t="n">
        <f aca="false">INDEX('Type Chart'!$B$5:$P$19,MATCH(I$4,'Type Chart'!$A$5:$A$19,0),MATCH($C63,'Type Chart'!$B$4:$P$4,0))*IF($D63="",1,INDEX('Type Chart'!$B$5:$P$19,MATCH(I$4,'Type Chart'!$A$5:$A$19,0),MATCH($D63,'Type Chart'!$B$4:$P$4,0)))</f>
        <v>0.5</v>
      </c>
      <c r="J63" s="21" t="n">
        <f aca="false">INDEX('Type Chart'!$B$5:$P$19,MATCH(J$4,'Type Chart'!$A$5:$A$19,0),MATCH($C63,'Type Chart'!$B$4:$P$4,0))*IF($D63="",1,INDEX('Type Chart'!$B$5:$P$19,MATCH(J$4,'Type Chart'!$A$5:$A$19,0),MATCH($D63,'Type Chart'!$B$4:$P$4,0)))</f>
        <v>1</v>
      </c>
      <c r="K63" s="21" t="n">
        <f aca="false">INDEX('Type Chart'!$B$5:$P$19,MATCH(K$4,'Type Chart'!$A$5:$A$19,0),MATCH($C63,'Type Chart'!$B$4:$P$4,0))*IF($D63="",1,INDEX('Type Chart'!$B$5:$P$19,MATCH(K$4,'Type Chart'!$A$5:$A$19,0),MATCH($D63,'Type Chart'!$B$4:$P$4,0)))</f>
        <v>1</v>
      </c>
      <c r="L63" s="21" t="n">
        <f aca="false">INDEX('Type Chart'!$B$5:$P$19,MATCH(L$4,'Type Chart'!$A$5:$A$19,0),MATCH($C63,'Type Chart'!$B$4:$P$4,0))*IF($D63="",1,INDEX('Type Chart'!$B$5:$P$19,MATCH(L$4,'Type Chart'!$A$5:$A$19,0),MATCH($D63,'Type Chart'!$B$4:$P$4,0)))</f>
        <v>1</v>
      </c>
      <c r="M63" s="21" t="n">
        <f aca="false">INDEX('Type Chart'!$B$5:$P$19,MATCH(M$4,'Type Chart'!$A$5:$A$19,0),MATCH($C63,'Type Chart'!$B$4:$P$4,0))*IF($D63="",1,INDEX('Type Chart'!$B$5:$P$19,MATCH(M$4,'Type Chart'!$A$5:$A$19,0),MATCH($D63,'Type Chart'!$B$4:$P$4,0)))</f>
        <v>2</v>
      </c>
      <c r="N63" s="21" t="n">
        <f aca="false">INDEX('Type Chart'!$B$5:$P$19,MATCH(N$4,'Type Chart'!$A$5:$A$19,0),MATCH($C63,'Type Chart'!$B$4:$P$4,0))*IF($D63="",1,INDEX('Type Chart'!$B$5:$P$19,MATCH(N$4,'Type Chart'!$A$5:$A$19,0),MATCH($D63,'Type Chart'!$B$4:$P$4,0)))</f>
        <v>1</v>
      </c>
      <c r="O63" s="21" t="n">
        <f aca="false">INDEX('Type Chart'!$B$5:$P$19,MATCH(O$4,'Type Chart'!$A$5:$A$19,0),MATCH($C63,'Type Chart'!$B$4:$P$4,0))*IF($D63="",1,INDEX('Type Chart'!$B$5:$P$19,MATCH(O$4,'Type Chart'!$A$5:$A$19,0),MATCH($D63,'Type Chart'!$B$4:$P$4,0)))</f>
        <v>1</v>
      </c>
      <c r="P63" s="21" t="n">
        <f aca="false">INDEX('Type Chart'!$B$5:$P$19,MATCH(P$4,'Type Chart'!$A$5:$A$19,0),MATCH($C63,'Type Chart'!$B$4:$P$4,0))*IF($D63="",1,INDEX('Type Chart'!$B$5:$P$19,MATCH(P$4,'Type Chart'!$A$5:$A$19,0),MATCH($D63,'Type Chart'!$B$4:$P$4,0)))</f>
        <v>0.5</v>
      </c>
      <c r="Q63" s="21" t="n">
        <f aca="false">INDEX('Type Chart'!$B$5:$P$19,MATCH(Q$4,'Type Chart'!$A$5:$A$19,0),MATCH($C63,'Type Chart'!$B$4:$P$4,0))*IF($D63="",1,INDEX('Type Chart'!$B$5:$P$19,MATCH(Q$4,'Type Chart'!$A$5:$A$19,0),MATCH($D63,'Type Chart'!$B$4:$P$4,0)))</f>
        <v>2</v>
      </c>
      <c r="R63" s="21" t="n">
        <f aca="false">INDEX('Type Chart'!$B$5:$P$19,MATCH(R$4,'Type Chart'!$A$5:$A$19,0),MATCH($C63,'Type Chart'!$B$4:$P$4,0))*IF($D63="",1,INDEX('Type Chart'!$B$5:$P$19,MATCH(R$4,'Type Chart'!$A$5:$A$19,0),MATCH($D63,'Type Chart'!$B$4:$P$4,0)))</f>
        <v>1</v>
      </c>
      <c r="S63" s="21" t="n">
        <f aca="false">INDEX('Type Chart'!$B$5:$P$19,MATCH(S$4,'Type Chart'!$A$5:$A$19,0),MATCH($C63,'Type Chart'!$B$4:$P$4,0))*IF($D63="",1,INDEX('Type Chart'!$B$5:$P$19,MATCH(S$4,'Type Chart'!$A$5:$A$19,0),MATCH($D63,'Type Chart'!$B$4:$P$4,0)))</f>
        <v>1</v>
      </c>
    </row>
    <row r="64" customFormat="false" ht="15" hidden="false" customHeight="false" outlineLevel="0" collapsed="false">
      <c r="A64" s="19" t="n">
        <v>60</v>
      </c>
      <c r="B64" s="19" t="s">
        <v>151</v>
      </c>
      <c r="C64" s="20" t="str">
        <f aca="false">Pokedex!C64</f>
        <v>Water</v>
      </c>
      <c r="D64" s="20" t="n">
        <f aca="false">Pokedex!D64</f>
        <v>0</v>
      </c>
      <c r="E64" s="21" t="n">
        <f aca="false">INDEX('Type Chart'!$B$5:$P$19,MATCH(E$4,'Type Chart'!$A$5:$A$19,0),MATCH($C64,'Type Chart'!$B$4:$P$4,0))*IF($D64="",1,INDEX('Type Chart'!$B$5:$P$19,MATCH(E$4,'Type Chart'!$A$5:$A$19,0),MATCH($D64,'Type Chart'!$B$4:$P$4,0)))</f>
        <v>1</v>
      </c>
      <c r="F64" s="21" t="n">
        <f aca="false">INDEX('Type Chart'!$B$5:$P$19,MATCH(F$4,'Type Chart'!$A$5:$A$19,0),MATCH($C64,'Type Chart'!$B$4:$P$4,0))*IF($D64="",1,INDEX('Type Chart'!$B$5:$P$19,MATCH(F$4,'Type Chart'!$A$5:$A$19,0),MATCH($D64,'Type Chart'!$B$4:$P$4,0)))</f>
        <v>0.5</v>
      </c>
      <c r="G64" s="21" t="n">
        <f aca="false">INDEX('Type Chart'!$B$5:$P$19,MATCH(G$4,'Type Chart'!$A$5:$A$19,0),MATCH($C64,'Type Chart'!$B$4:$P$4,0))*IF($D64="",1,INDEX('Type Chart'!$B$5:$P$19,MATCH(G$4,'Type Chart'!$A$5:$A$19,0),MATCH($D64,'Type Chart'!$B$4:$P$4,0)))</f>
        <v>0.5</v>
      </c>
      <c r="H64" s="21" t="n">
        <f aca="false">INDEX('Type Chart'!$B$5:$P$19,MATCH(H$4,'Type Chart'!$A$5:$A$19,0),MATCH($C64,'Type Chart'!$B$4:$P$4,0))*IF($D64="",1,INDEX('Type Chart'!$B$5:$P$19,MATCH(H$4,'Type Chart'!$A$5:$A$19,0),MATCH($D64,'Type Chart'!$B$4:$P$4,0)))</f>
        <v>2</v>
      </c>
      <c r="I64" s="21" t="n">
        <f aca="false">INDEX('Type Chart'!$B$5:$P$19,MATCH(I$4,'Type Chart'!$A$5:$A$19,0),MATCH($C64,'Type Chart'!$B$4:$P$4,0))*IF($D64="",1,INDEX('Type Chart'!$B$5:$P$19,MATCH(I$4,'Type Chart'!$A$5:$A$19,0),MATCH($D64,'Type Chart'!$B$4:$P$4,0)))</f>
        <v>2</v>
      </c>
      <c r="J64" s="21" t="n">
        <f aca="false">INDEX('Type Chart'!$B$5:$P$19,MATCH(J$4,'Type Chart'!$A$5:$A$19,0),MATCH($C64,'Type Chart'!$B$4:$P$4,0))*IF($D64="",1,INDEX('Type Chart'!$B$5:$P$19,MATCH(J$4,'Type Chart'!$A$5:$A$19,0),MATCH($D64,'Type Chart'!$B$4:$P$4,0)))</f>
        <v>0.5</v>
      </c>
      <c r="K64" s="21" t="n">
        <f aca="false">INDEX('Type Chart'!$B$5:$P$19,MATCH(K$4,'Type Chart'!$A$5:$A$19,0),MATCH($C64,'Type Chart'!$B$4:$P$4,0))*IF($D64="",1,INDEX('Type Chart'!$B$5:$P$19,MATCH(K$4,'Type Chart'!$A$5:$A$19,0),MATCH($D64,'Type Chart'!$B$4:$P$4,0)))</f>
        <v>1</v>
      </c>
      <c r="L64" s="21" t="n">
        <f aca="false">INDEX('Type Chart'!$B$5:$P$19,MATCH(L$4,'Type Chart'!$A$5:$A$19,0),MATCH($C64,'Type Chart'!$B$4:$P$4,0))*IF($D64="",1,INDEX('Type Chart'!$B$5:$P$19,MATCH(L$4,'Type Chart'!$A$5:$A$19,0),MATCH($D64,'Type Chart'!$B$4:$P$4,0)))</f>
        <v>1</v>
      </c>
      <c r="M64" s="21" t="n">
        <f aca="false">INDEX('Type Chart'!$B$5:$P$19,MATCH(M$4,'Type Chart'!$A$5:$A$19,0),MATCH($C64,'Type Chart'!$B$4:$P$4,0))*IF($D64="",1,INDEX('Type Chart'!$B$5:$P$19,MATCH(M$4,'Type Chart'!$A$5:$A$19,0),MATCH($D64,'Type Chart'!$B$4:$P$4,0)))</f>
        <v>1</v>
      </c>
      <c r="N64" s="21" t="n">
        <f aca="false">INDEX('Type Chart'!$B$5:$P$19,MATCH(N$4,'Type Chart'!$A$5:$A$19,0),MATCH($C64,'Type Chart'!$B$4:$P$4,0))*IF($D64="",1,INDEX('Type Chart'!$B$5:$P$19,MATCH(N$4,'Type Chart'!$A$5:$A$19,0),MATCH($D64,'Type Chart'!$B$4:$P$4,0)))</f>
        <v>1</v>
      </c>
      <c r="O64" s="21" t="n">
        <f aca="false">INDEX('Type Chart'!$B$5:$P$19,MATCH(O$4,'Type Chart'!$A$5:$A$19,0),MATCH($C64,'Type Chart'!$B$4:$P$4,0))*IF($D64="",1,INDEX('Type Chart'!$B$5:$P$19,MATCH(O$4,'Type Chart'!$A$5:$A$19,0),MATCH($D64,'Type Chart'!$B$4:$P$4,0)))</f>
        <v>1</v>
      </c>
      <c r="P64" s="21" t="n">
        <f aca="false">INDEX('Type Chart'!$B$5:$P$19,MATCH(P$4,'Type Chart'!$A$5:$A$19,0),MATCH($C64,'Type Chart'!$B$4:$P$4,0))*IF($D64="",1,INDEX('Type Chart'!$B$5:$P$19,MATCH(P$4,'Type Chart'!$A$5:$A$19,0),MATCH($D64,'Type Chart'!$B$4:$P$4,0)))</f>
        <v>1</v>
      </c>
      <c r="Q64" s="21" t="n">
        <f aca="false">INDEX('Type Chart'!$B$5:$P$19,MATCH(Q$4,'Type Chart'!$A$5:$A$19,0),MATCH($C64,'Type Chart'!$B$4:$P$4,0))*IF($D64="",1,INDEX('Type Chart'!$B$5:$P$19,MATCH(Q$4,'Type Chart'!$A$5:$A$19,0),MATCH($D64,'Type Chart'!$B$4:$P$4,0)))</f>
        <v>1</v>
      </c>
      <c r="R64" s="21" t="n">
        <f aca="false">INDEX('Type Chart'!$B$5:$P$19,MATCH(R$4,'Type Chart'!$A$5:$A$19,0),MATCH($C64,'Type Chart'!$B$4:$P$4,0))*IF($D64="",1,INDEX('Type Chart'!$B$5:$P$19,MATCH(R$4,'Type Chart'!$A$5:$A$19,0),MATCH($D64,'Type Chart'!$B$4:$P$4,0)))</f>
        <v>1</v>
      </c>
      <c r="S64" s="21" t="n">
        <f aca="false">INDEX('Type Chart'!$B$5:$P$19,MATCH(S$4,'Type Chart'!$A$5:$A$19,0),MATCH($C64,'Type Chart'!$B$4:$P$4,0))*IF($D64="",1,INDEX('Type Chart'!$B$5:$P$19,MATCH(S$4,'Type Chart'!$A$5:$A$19,0),MATCH($D64,'Type Chart'!$B$4:$P$4,0)))</f>
        <v>1</v>
      </c>
    </row>
    <row r="65" customFormat="false" ht="15" hidden="false" customHeight="false" outlineLevel="0" collapsed="false">
      <c r="A65" s="19" t="n">
        <v>61</v>
      </c>
      <c r="B65" s="19" t="s">
        <v>152</v>
      </c>
      <c r="C65" s="20" t="str">
        <f aca="false">Pokedex!C65</f>
        <v>Water</v>
      </c>
      <c r="D65" s="20" t="n">
        <f aca="false">Pokedex!D65</f>
        <v>0</v>
      </c>
      <c r="E65" s="21" t="n">
        <f aca="false">INDEX('Type Chart'!$B$5:$P$19,MATCH(E$4,'Type Chart'!$A$5:$A$19,0),MATCH($C65,'Type Chart'!$B$4:$P$4,0))*IF($D65="",1,INDEX('Type Chart'!$B$5:$P$19,MATCH(E$4,'Type Chart'!$A$5:$A$19,0),MATCH($D65,'Type Chart'!$B$4:$P$4,0)))</f>
        <v>1</v>
      </c>
      <c r="F65" s="21" t="n">
        <f aca="false">INDEX('Type Chart'!$B$5:$P$19,MATCH(F$4,'Type Chart'!$A$5:$A$19,0),MATCH($C65,'Type Chart'!$B$4:$P$4,0))*IF($D65="",1,INDEX('Type Chart'!$B$5:$P$19,MATCH(F$4,'Type Chart'!$A$5:$A$19,0),MATCH($D65,'Type Chart'!$B$4:$P$4,0)))</f>
        <v>0.5</v>
      </c>
      <c r="G65" s="21" t="n">
        <f aca="false">INDEX('Type Chart'!$B$5:$P$19,MATCH(G$4,'Type Chart'!$A$5:$A$19,0),MATCH($C65,'Type Chart'!$B$4:$P$4,0))*IF($D65="",1,INDEX('Type Chart'!$B$5:$P$19,MATCH(G$4,'Type Chart'!$A$5:$A$19,0),MATCH($D65,'Type Chart'!$B$4:$P$4,0)))</f>
        <v>0.5</v>
      </c>
      <c r="H65" s="21" t="n">
        <f aca="false">INDEX('Type Chart'!$B$5:$P$19,MATCH(H$4,'Type Chart'!$A$5:$A$19,0),MATCH($C65,'Type Chart'!$B$4:$P$4,0))*IF($D65="",1,INDEX('Type Chart'!$B$5:$P$19,MATCH(H$4,'Type Chart'!$A$5:$A$19,0),MATCH($D65,'Type Chart'!$B$4:$P$4,0)))</f>
        <v>2</v>
      </c>
      <c r="I65" s="21" t="n">
        <f aca="false">INDEX('Type Chart'!$B$5:$P$19,MATCH(I$4,'Type Chart'!$A$5:$A$19,0),MATCH($C65,'Type Chart'!$B$4:$P$4,0))*IF($D65="",1,INDEX('Type Chart'!$B$5:$P$19,MATCH(I$4,'Type Chart'!$A$5:$A$19,0),MATCH($D65,'Type Chart'!$B$4:$P$4,0)))</f>
        <v>2</v>
      </c>
      <c r="J65" s="21" t="n">
        <f aca="false">INDEX('Type Chart'!$B$5:$P$19,MATCH(J$4,'Type Chart'!$A$5:$A$19,0),MATCH($C65,'Type Chart'!$B$4:$P$4,0))*IF($D65="",1,INDEX('Type Chart'!$B$5:$P$19,MATCH(J$4,'Type Chart'!$A$5:$A$19,0),MATCH($D65,'Type Chart'!$B$4:$P$4,0)))</f>
        <v>0.5</v>
      </c>
      <c r="K65" s="21" t="n">
        <f aca="false">INDEX('Type Chart'!$B$5:$P$19,MATCH(K$4,'Type Chart'!$A$5:$A$19,0),MATCH($C65,'Type Chart'!$B$4:$P$4,0))*IF($D65="",1,INDEX('Type Chart'!$B$5:$P$19,MATCH(K$4,'Type Chart'!$A$5:$A$19,0),MATCH($D65,'Type Chart'!$B$4:$P$4,0)))</f>
        <v>1</v>
      </c>
      <c r="L65" s="21" t="n">
        <f aca="false">INDEX('Type Chart'!$B$5:$P$19,MATCH(L$4,'Type Chart'!$A$5:$A$19,0),MATCH($C65,'Type Chart'!$B$4:$P$4,0))*IF($D65="",1,INDEX('Type Chart'!$B$5:$P$19,MATCH(L$4,'Type Chart'!$A$5:$A$19,0),MATCH($D65,'Type Chart'!$B$4:$P$4,0)))</f>
        <v>1</v>
      </c>
      <c r="M65" s="21" t="n">
        <f aca="false">INDEX('Type Chart'!$B$5:$P$19,MATCH(M$4,'Type Chart'!$A$5:$A$19,0),MATCH($C65,'Type Chart'!$B$4:$P$4,0))*IF($D65="",1,INDEX('Type Chart'!$B$5:$P$19,MATCH(M$4,'Type Chart'!$A$5:$A$19,0),MATCH($D65,'Type Chart'!$B$4:$P$4,0)))</f>
        <v>1</v>
      </c>
      <c r="N65" s="21" t="n">
        <f aca="false">INDEX('Type Chart'!$B$5:$P$19,MATCH(N$4,'Type Chart'!$A$5:$A$19,0),MATCH($C65,'Type Chart'!$B$4:$P$4,0))*IF($D65="",1,INDEX('Type Chart'!$B$5:$P$19,MATCH(N$4,'Type Chart'!$A$5:$A$19,0),MATCH($D65,'Type Chart'!$B$4:$P$4,0)))</f>
        <v>1</v>
      </c>
      <c r="O65" s="21" t="n">
        <f aca="false">INDEX('Type Chart'!$B$5:$P$19,MATCH(O$4,'Type Chart'!$A$5:$A$19,0),MATCH($C65,'Type Chart'!$B$4:$P$4,0))*IF($D65="",1,INDEX('Type Chart'!$B$5:$P$19,MATCH(O$4,'Type Chart'!$A$5:$A$19,0),MATCH($D65,'Type Chart'!$B$4:$P$4,0)))</f>
        <v>1</v>
      </c>
      <c r="P65" s="21" t="n">
        <f aca="false">INDEX('Type Chart'!$B$5:$P$19,MATCH(P$4,'Type Chart'!$A$5:$A$19,0),MATCH($C65,'Type Chart'!$B$4:$P$4,0))*IF($D65="",1,INDEX('Type Chart'!$B$5:$P$19,MATCH(P$4,'Type Chart'!$A$5:$A$19,0),MATCH($D65,'Type Chart'!$B$4:$P$4,0)))</f>
        <v>1</v>
      </c>
      <c r="Q65" s="21" t="n">
        <f aca="false">INDEX('Type Chart'!$B$5:$P$19,MATCH(Q$4,'Type Chart'!$A$5:$A$19,0),MATCH($C65,'Type Chart'!$B$4:$P$4,0))*IF($D65="",1,INDEX('Type Chart'!$B$5:$P$19,MATCH(Q$4,'Type Chart'!$A$5:$A$19,0),MATCH($D65,'Type Chart'!$B$4:$P$4,0)))</f>
        <v>1</v>
      </c>
      <c r="R65" s="21" t="n">
        <f aca="false">INDEX('Type Chart'!$B$5:$P$19,MATCH(R$4,'Type Chart'!$A$5:$A$19,0),MATCH($C65,'Type Chart'!$B$4:$P$4,0))*IF($D65="",1,INDEX('Type Chart'!$B$5:$P$19,MATCH(R$4,'Type Chart'!$A$5:$A$19,0),MATCH($D65,'Type Chart'!$B$4:$P$4,0)))</f>
        <v>1</v>
      </c>
      <c r="S65" s="21" t="n">
        <f aca="false">INDEX('Type Chart'!$B$5:$P$19,MATCH(S$4,'Type Chart'!$A$5:$A$19,0),MATCH($C65,'Type Chart'!$B$4:$P$4,0))*IF($D65="",1,INDEX('Type Chart'!$B$5:$P$19,MATCH(S$4,'Type Chart'!$A$5:$A$19,0),MATCH($D65,'Type Chart'!$B$4:$P$4,0)))</f>
        <v>1</v>
      </c>
    </row>
    <row r="66" customFormat="false" ht="15" hidden="false" customHeight="false" outlineLevel="0" collapsed="false">
      <c r="A66" s="19" t="n">
        <v>62</v>
      </c>
      <c r="B66" s="19" t="s">
        <v>153</v>
      </c>
      <c r="C66" s="20" t="str">
        <f aca="false">Pokedex!C66</f>
        <v>Water</v>
      </c>
      <c r="D66" s="20" t="str">
        <f aca="false">Pokedex!D66</f>
        <v>Fighting</v>
      </c>
      <c r="E66" s="21" t="n">
        <f aca="false">INDEX('Type Chart'!$B$5:$P$19,MATCH(E$4,'Type Chart'!$A$5:$A$19,0),MATCH($C66,'Type Chart'!$B$4:$P$4,0))*IF($D66="",1,INDEX('Type Chart'!$B$5:$P$19,MATCH(E$4,'Type Chart'!$A$5:$A$19,0),MATCH($D66,'Type Chart'!$B$4:$P$4,0)))</f>
        <v>1</v>
      </c>
      <c r="F66" s="21" t="n">
        <f aca="false">INDEX('Type Chart'!$B$5:$P$19,MATCH(F$4,'Type Chart'!$A$5:$A$19,0),MATCH($C66,'Type Chart'!$B$4:$P$4,0))*IF($D66="",1,INDEX('Type Chart'!$B$5:$P$19,MATCH(F$4,'Type Chart'!$A$5:$A$19,0),MATCH($D66,'Type Chart'!$B$4:$P$4,0)))</f>
        <v>0.5</v>
      </c>
      <c r="G66" s="21" t="n">
        <f aca="false">INDEX('Type Chart'!$B$5:$P$19,MATCH(G$4,'Type Chart'!$A$5:$A$19,0),MATCH($C66,'Type Chart'!$B$4:$P$4,0))*IF($D66="",1,INDEX('Type Chart'!$B$5:$P$19,MATCH(G$4,'Type Chart'!$A$5:$A$19,0),MATCH($D66,'Type Chart'!$B$4:$P$4,0)))</f>
        <v>0.5</v>
      </c>
      <c r="H66" s="21" t="n">
        <f aca="false">INDEX('Type Chart'!$B$5:$P$19,MATCH(H$4,'Type Chart'!$A$5:$A$19,0),MATCH($C66,'Type Chart'!$B$4:$P$4,0))*IF($D66="",1,INDEX('Type Chart'!$B$5:$P$19,MATCH(H$4,'Type Chart'!$A$5:$A$19,0),MATCH($D66,'Type Chart'!$B$4:$P$4,0)))</f>
        <v>2</v>
      </c>
      <c r="I66" s="21" t="n">
        <f aca="false">INDEX('Type Chart'!$B$5:$P$19,MATCH(I$4,'Type Chart'!$A$5:$A$19,0),MATCH($C66,'Type Chart'!$B$4:$P$4,0))*IF($D66="",1,INDEX('Type Chart'!$B$5:$P$19,MATCH(I$4,'Type Chart'!$A$5:$A$19,0),MATCH($D66,'Type Chart'!$B$4:$P$4,0)))</f>
        <v>2</v>
      </c>
      <c r="J66" s="21" t="n">
        <f aca="false">INDEX('Type Chart'!$B$5:$P$19,MATCH(J$4,'Type Chart'!$A$5:$A$19,0),MATCH($C66,'Type Chart'!$B$4:$P$4,0))*IF($D66="",1,INDEX('Type Chart'!$B$5:$P$19,MATCH(J$4,'Type Chart'!$A$5:$A$19,0),MATCH($D66,'Type Chart'!$B$4:$P$4,0)))</f>
        <v>0.5</v>
      </c>
      <c r="K66" s="21" t="n">
        <f aca="false">INDEX('Type Chart'!$B$5:$P$19,MATCH(K$4,'Type Chart'!$A$5:$A$19,0),MATCH($C66,'Type Chart'!$B$4:$P$4,0))*IF($D66="",1,INDEX('Type Chart'!$B$5:$P$19,MATCH(K$4,'Type Chart'!$A$5:$A$19,0),MATCH($D66,'Type Chart'!$B$4:$P$4,0)))</f>
        <v>1</v>
      </c>
      <c r="L66" s="21" t="n">
        <f aca="false">INDEX('Type Chart'!$B$5:$P$19,MATCH(L$4,'Type Chart'!$A$5:$A$19,0),MATCH($C66,'Type Chart'!$B$4:$P$4,0))*IF($D66="",1,INDEX('Type Chart'!$B$5:$P$19,MATCH(L$4,'Type Chart'!$A$5:$A$19,0),MATCH($D66,'Type Chart'!$B$4:$P$4,0)))</f>
        <v>1</v>
      </c>
      <c r="M66" s="21" t="n">
        <f aca="false">INDEX('Type Chart'!$B$5:$P$19,MATCH(M$4,'Type Chart'!$A$5:$A$19,0),MATCH($C66,'Type Chart'!$B$4:$P$4,0))*IF($D66="",1,INDEX('Type Chart'!$B$5:$P$19,MATCH(M$4,'Type Chart'!$A$5:$A$19,0),MATCH($D66,'Type Chart'!$B$4:$P$4,0)))</f>
        <v>1</v>
      </c>
      <c r="N66" s="21" t="n">
        <f aca="false">INDEX('Type Chart'!$B$5:$P$19,MATCH(N$4,'Type Chart'!$A$5:$A$19,0),MATCH($C66,'Type Chart'!$B$4:$P$4,0))*IF($D66="",1,INDEX('Type Chart'!$B$5:$P$19,MATCH(N$4,'Type Chart'!$A$5:$A$19,0),MATCH($D66,'Type Chart'!$B$4:$P$4,0)))</f>
        <v>2</v>
      </c>
      <c r="O66" s="21" t="n">
        <f aca="false">INDEX('Type Chart'!$B$5:$P$19,MATCH(O$4,'Type Chart'!$A$5:$A$19,0),MATCH($C66,'Type Chart'!$B$4:$P$4,0))*IF($D66="",1,INDEX('Type Chart'!$B$5:$P$19,MATCH(O$4,'Type Chart'!$A$5:$A$19,0),MATCH($D66,'Type Chart'!$B$4:$P$4,0)))</f>
        <v>2</v>
      </c>
      <c r="P66" s="21" t="n">
        <f aca="false">INDEX('Type Chart'!$B$5:$P$19,MATCH(P$4,'Type Chart'!$A$5:$A$19,0),MATCH($C66,'Type Chart'!$B$4:$P$4,0))*IF($D66="",1,INDEX('Type Chart'!$B$5:$P$19,MATCH(P$4,'Type Chart'!$A$5:$A$19,0),MATCH($D66,'Type Chart'!$B$4:$P$4,0)))</f>
        <v>0.5</v>
      </c>
      <c r="Q66" s="21" t="n">
        <f aca="false">INDEX('Type Chart'!$B$5:$P$19,MATCH(Q$4,'Type Chart'!$A$5:$A$19,0),MATCH($C66,'Type Chart'!$B$4:$P$4,0))*IF($D66="",1,INDEX('Type Chart'!$B$5:$P$19,MATCH(Q$4,'Type Chart'!$A$5:$A$19,0),MATCH($D66,'Type Chart'!$B$4:$P$4,0)))</f>
        <v>0.5</v>
      </c>
      <c r="R66" s="21" t="n">
        <f aca="false">INDEX('Type Chart'!$B$5:$P$19,MATCH(R$4,'Type Chart'!$A$5:$A$19,0),MATCH($C66,'Type Chart'!$B$4:$P$4,0))*IF($D66="",1,INDEX('Type Chart'!$B$5:$P$19,MATCH(R$4,'Type Chart'!$A$5:$A$19,0),MATCH($D66,'Type Chart'!$B$4:$P$4,0)))</f>
        <v>1</v>
      </c>
      <c r="S66" s="21" t="n">
        <f aca="false">INDEX('Type Chart'!$B$5:$P$19,MATCH(S$4,'Type Chart'!$A$5:$A$19,0),MATCH($C66,'Type Chart'!$B$4:$P$4,0))*IF($D66="",1,INDEX('Type Chart'!$B$5:$P$19,MATCH(S$4,'Type Chart'!$A$5:$A$19,0),MATCH($D66,'Type Chart'!$B$4:$P$4,0)))</f>
        <v>1</v>
      </c>
    </row>
    <row r="67" customFormat="false" ht="15" hidden="false" customHeight="false" outlineLevel="0" collapsed="false">
      <c r="A67" s="19" t="n">
        <v>63</v>
      </c>
      <c r="B67" s="19" t="s">
        <v>154</v>
      </c>
      <c r="C67" s="20" t="str">
        <f aca="false">Pokedex!C67</f>
        <v>Psychic</v>
      </c>
      <c r="D67" s="20" t="n">
        <f aca="false">Pokedex!D67</f>
        <v>0</v>
      </c>
      <c r="E67" s="21" t="n">
        <f aca="false">INDEX('Type Chart'!$B$5:$P$19,MATCH(E$4,'Type Chart'!$A$5:$A$19,0),MATCH($C67,'Type Chart'!$B$4:$P$4,0))*IF($D67="",1,INDEX('Type Chart'!$B$5:$P$19,MATCH(E$4,'Type Chart'!$A$5:$A$19,0),MATCH($D67,'Type Chart'!$B$4:$P$4,0)))</f>
        <v>1</v>
      </c>
      <c r="F67" s="21" t="n">
        <f aca="false">INDEX('Type Chart'!$B$5:$P$19,MATCH(F$4,'Type Chart'!$A$5:$A$19,0),MATCH($C67,'Type Chart'!$B$4:$P$4,0))*IF($D67="",1,INDEX('Type Chart'!$B$5:$P$19,MATCH(F$4,'Type Chart'!$A$5:$A$19,0),MATCH($D67,'Type Chart'!$B$4:$P$4,0)))</f>
        <v>1</v>
      </c>
      <c r="G67" s="21" t="n">
        <f aca="false">INDEX('Type Chart'!$B$5:$P$19,MATCH(G$4,'Type Chart'!$A$5:$A$19,0),MATCH($C67,'Type Chart'!$B$4:$P$4,0))*IF($D67="",1,INDEX('Type Chart'!$B$5:$P$19,MATCH(G$4,'Type Chart'!$A$5:$A$19,0),MATCH($D67,'Type Chart'!$B$4:$P$4,0)))</f>
        <v>1</v>
      </c>
      <c r="H67" s="21" t="n">
        <f aca="false">INDEX('Type Chart'!$B$5:$P$19,MATCH(H$4,'Type Chart'!$A$5:$A$19,0),MATCH($C67,'Type Chart'!$B$4:$P$4,0))*IF($D67="",1,INDEX('Type Chart'!$B$5:$P$19,MATCH(H$4,'Type Chart'!$A$5:$A$19,0),MATCH($D67,'Type Chart'!$B$4:$P$4,0)))</f>
        <v>1</v>
      </c>
      <c r="I67" s="21" t="n">
        <f aca="false">INDEX('Type Chart'!$B$5:$P$19,MATCH(I$4,'Type Chart'!$A$5:$A$19,0),MATCH($C67,'Type Chart'!$B$4:$P$4,0))*IF($D67="",1,INDEX('Type Chart'!$B$5:$P$19,MATCH(I$4,'Type Chart'!$A$5:$A$19,0),MATCH($D67,'Type Chart'!$B$4:$P$4,0)))</f>
        <v>1</v>
      </c>
      <c r="J67" s="21" t="n">
        <f aca="false">INDEX('Type Chart'!$B$5:$P$19,MATCH(J$4,'Type Chart'!$A$5:$A$19,0),MATCH($C67,'Type Chart'!$B$4:$P$4,0))*IF($D67="",1,INDEX('Type Chart'!$B$5:$P$19,MATCH(J$4,'Type Chart'!$A$5:$A$19,0),MATCH($D67,'Type Chart'!$B$4:$P$4,0)))</f>
        <v>1</v>
      </c>
      <c r="K67" s="21" t="n">
        <f aca="false">INDEX('Type Chart'!$B$5:$P$19,MATCH(K$4,'Type Chart'!$A$5:$A$19,0),MATCH($C67,'Type Chart'!$B$4:$P$4,0))*IF($D67="",1,INDEX('Type Chart'!$B$5:$P$19,MATCH(K$4,'Type Chart'!$A$5:$A$19,0),MATCH($D67,'Type Chart'!$B$4:$P$4,0)))</f>
        <v>0.5</v>
      </c>
      <c r="L67" s="21" t="n">
        <f aca="false">INDEX('Type Chart'!$B$5:$P$19,MATCH(L$4,'Type Chart'!$A$5:$A$19,0),MATCH($C67,'Type Chart'!$B$4:$P$4,0))*IF($D67="",1,INDEX('Type Chart'!$B$5:$P$19,MATCH(L$4,'Type Chart'!$A$5:$A$19,0),MATCH($D67,'Type Chart'!$B$4:$P$4,0)))</f>
        <v>1</v>
      </c>
      <c r="M67" s="21" t="n">
        <f aca="false">INDEX('Type Chart'!$B$5:$P$19,MATCH(M$4,'Type Chart'!$A$5:$A$19,0),MATCH($C67,'Type Chart'!$B$4:$P$4,0))*IF($D67="",1,INDEX('Type Chart'!$B$5:$P$19,MATCH(M$4,'Type Chart'!$A$5:$A$19,0),MATCH($D67,'Type Chart'!$B$4:$P$4,0)))</f>
        <v>1</v>
      </c>
      <c r="N67" s="21" t="n">
        <f aca="false">INDEX('Type Chart'!$B$5:$P$19,MATCH(N$4,'Type Chart'!$A$5:$A$19,0),MATCH($C67,'Type Chart'!$B$4:$P$4,0))*IF($D67="",1,INDEX('Type Chart'!$B$5:$P$19,MATCH(N$4,'Type Chart'!$A$5:$A$19,0),MATCH($D67,'Type Chart'!$B$4:$P$4,0)))</f>
        <v>1</v>
      </c>
      <c r="O67" s="21" t="n">
        <f aca="false">INDEX('Type Chart'!$B$5:$P$19,MATCH(O$4,'Type Chart'!$A$5:$A$19,0),MATCH($C67,'Type Chart'!$B$4:$P$4,0))*IF($D67="",1,INDEX('Type Chart'!$B$5:$P$19,MATCH(O$4,'Type Chart'!$A$5:$A$19,0),MATCH($D67,'Type Chart'!$B$4:$P$4,0)))</f>
        <v>0.5</v>
      </c>
      <c r="P67" s="21" t="n">
        <f aca="false">INDEX('Type Chart'!$B$5:$P$19,MATCH(P$4,'Type Chart'!$A$5:$A$19,0),MATCH($C67,'Type Chart'!$B$4:$P$4,0))*IF($D67="",1,INDEX('Type Chart'!$B$5:$P$19,MATCH(P$4,'Type Chart'!$A$5:$A$19,0),MATCH($D67,'Type Chart'!$B$4:$P$4,0)))</f>
        <v>2</v>
      </c>
      <c r="Q67" s="21" t="n">
        <f aca="false">INDEX('Type Chart'!$B$5:$P$19,MATCH(Q$4,'Type Chart'!$A$5:$A$19,0),MATCH($C67,'Type Chart'!$B$4:$P$4,0))*IF($D67="",1,INDEX('Type Chart'!$B$5:$P$19,MATCH(Q$4,'Type Chart'!$A$5:$A$19,0),MATCH($D67,'Type Chart'!$B$4:$P$4,0)))</f>
        <v>1</v>
      </c>
      <c r="R67" s="21" t="n">
        <f aca="false">INDEX('Type Chart'!$B$5:$P$19,MATCH(R$4,'Type Chart'!$A$5:$A$19,0),MATCH($C67,'Type Chart'!$B$4:$P$4,0))*IF($D67="",1,INDEX('Type Chart'!$B$5:$P$19,MATCH(R$4,'Type Chart'!$A$5:$A$19,0),MATCH($D67,'Type Chart'!$B$4:$P$4,0)))</f>
        <v>0</v>
      </c>
      <c r="S67" s="21" t="n">
        <f aca="false">INDEX('Type Chart'!$B$5:$P$19,MATCH(S$4,'Type Chart'!$A$5:$A$19,0),MATCH($C67,'Type Chart'!$B$4:$P$4,0))*IF($D67="",1,INDEX('Type Chart'!$B$5:$P$19,MATCH(S$4,'Type Chart'!$A$5:$A$19,0),MATCH($D67,'Type Chart'!$B$4:$P$4,0)))</f>
        <v>1</v>
      </c>
    </row>
    <row r="68" customFormat="false" ht="15" hidden="false" customHeight="false" outlineLevel="0" collapsed="false">
      <c r="A68" s="19" t="n">
        <v>64</v>
      </c>
      <c r="B68" s="19" t="s">
        <v>155</v>
      </c>
      <c r="C68" s="20" t="str">
        <f aca="false">Pokedex!C68</f>
        <v>Psychic</v>
      </c>
      <c r="D68" s="20" t="n">
        <f aca="false">Pokedex!D68</f>
        <v>0</v>
      </c>
      <c r="E68" s="21" t="n">
        <f aca="false">INDEX('Type Chart'!$B$5:$P$19,MATCH(E$4,'Type Chart'!$A$5:$A$19,0),MATCH($C68,'Type Chart'!$B$4:$P$4,0))*IF($D68="",1,INDEX('Type Chart'!$B$5:$P$19,MATCH(E$4,'Type Chart'!$A$5:$A$19,0),MATCH($D68,'Type Chart'!$B$4:$P$4,0)))</f>
        <v>1</v>
      </c>
      <c r="F68" s="21" t="n">
        <f aca="false">INDEX('Type Chart'!$B$5:$P$19,MATCH(F$4,'Type Chart'!$A$5:$A$19,0),MATCH($C68,'Type Chart'!$B$4:$P$4,0))*IF($D68="",1,INDEX('Type Chart'!$B$5:$P$19,MATCH(F$4,'Type Chart'!$A$5:$A$19,0),MATCH($D68,'Type Chart'!$B$4:$P$4,0)))</f>
        <v>1</v>
      </c>
      <c r="G68" s="21" t="n">
        <f aca="false">INDEX('Type Chart'!$B$5:$P$19,MATCH(G$4,'Type Chart'!$A$5:$A$19,0),MATCH($C68,'Type Chart'!$B$4:$P$4,0))*IF($D68="",1,INDEX('Type Chart'!$B$5:$P$19,MATCH(G$4,'Type Chart'!$A$5:$A$19,0),MATCH($D68,'Type Chart'!$B$4:$P$4,0)))</f>
        <v>1</v>
      </c>
      <c r="H68" s="21" t="n">
        <f aca="false">INDEX('Type Chart'!$B$5:$P$19,MATCH(H$4,'Type Chart'!$A$5:$A$19,0),MATCH($C68,'Type Chart'!$B$4:$P$4,0))*IF($D68="",1,INDEX('Type Chart'!$B$5:$P$19,MATCH(H$4,'Type Chart'!$A$5:$A$19,0),MATCH($D68,'Type Chart'!$B$4:$P$4,0)))</f>
        <v>1</v>
      </c>
      <c r="I68" s="21" t="n">
        <f aca="false">INDEX('Type Chart'!$B$5:$P$19,MATCH(I$4,'Type Chart'!$A$5:$A$19,0),MATCH($C68,'Type Chart'!$B$4:$P$4,0))*IF($D68="",1,INDEX('Type Chart'!$B$5:$P$19,MATCH(I$4,'Type Chart'!$A$5:$A$19,0),MATCH($D68,'Type Chart'!$B$4:$P$4,0)))</f>
        <v>1</v>
      </c>
      <c r="J68" s="21" t="n">
        <f aca="false">INDEX('Type Chart'!$B$5:$P$19,MATCH(J$4,'Type Chart'!$A$5:$A$19,0),MATCH($C68,'Type Chart'!$B$4:$P$4,0))*IF($D68="",1,INDEX('Type Chart'!$B$5:$P$19,MATCH(J$4,'Type Chart'!$A$5:$A$19,0),MATCH($D68,'Type Chart'!$B$4:$P$4,0)))</f>
        <v>1</v>
      </c>
      <c r="K68" s="21" t="n">
        <f aca="false">INDEX('Type Chart'!$B$5:$P$19,MATCH(K$4,'Type Chart'!$A$5:$A$19,0),MATCH($C68,'Type Chart'!$B$4:$P$4,0))*IF($D68="",1,INDEX('Type Chart'!$B$5:$P$19,MATCH(K$4,'Type Chart'!$A$5:$A$19,0),MATCH($D68,'Type Chart'!$B$4:$P$4,0)))</f>
        <v>0.5</v>
      </c>
      <c r="L68" s="21" t="n">
        <f aca="false">INDEX('Type Chart'!$B$5:$P$19,MATCH(L$4,'Type Chart'!$A$5:$A$19,0),MATCH($C68,'Type Chart'!$B$4:$P$4,0))*IF($D68="",1,INDEX('Type Chart'!$B$5:$P$19,MATCH(L$4,'Type Chart'!$A$5:$A$19,0),MATCH($D68,'Type Chart'!$B$4:$P$4,0)))</f>
        <v>1</v>
      </c>
      <c r="M68" s="21" t="n">
        <f aca="false">INDEX('Type Chart'!$B$5:$P$19,MATCH(M$4,'Type Chart'!$A$5:$A$19,0),MATCH($C68,'Type Chart'!$B$4:$P$4,0))*IF($D68="",1,INDEX('Type Chart'!$B$5:$P$19,MATCH(M$4,'Type Chart'!$A$5:$A$19,0),MATCH($D68,'Type Chart'!$B$4:$P$4,0)))</f>
        <v>1</v>
      </c>
      <c r="N68" s="21" t="n">
        <f aca="false">INDEX('Type Chart'!$B$5:$P$19,MATCH(N$4,'Type Chart'!$A$5:$A$19,0),MATCH($C68,'Type Chart'!$B$4:$P$4,0))*IF($D68="",1,INDEX('Type Chart'!$B$5:$P$19,MATCH(N$4,'Type Chart'!$A$5:$A$19,0),MATCH($D68,'Type Chart'!$B$4:$P$4,0)))</f>
        <v>1</v>
      </c>
      <c r="O68" s="21" t="n">
        <f aca="false">INDEX('Type Chart'!$B$5:$P$19,MATCH(O$4,'Type Chart'!$A$5:$A$19,0),MATCH($C68,'Type Chart'!$B$4:$P$4,0))*IF($D68="",1,INDEX('Type Chart'!$B$5:$P$19,MATCH(O$4,'Type Chart'!$A$5:$A$19,0),MATCH($D68,'Type Chart'!$B$4:$P$4,0)))</f>
        <v>0.5</v>
      </c>
      <c r="P68" s="21" t="n">
        <f aca="false">INDEX('Type Chart'!$B$5:$P$19,MATCH(P$4,'Type Chart'!$A$5:$A$19,0),MATCH($C68,'Type Chart'!$B$4:$P$4,0))*IF($D68="",1,INDEX('Type Chart'!$B$5:$P$19,MATCH(P$4,'Type Chart'!$A$5:$A$19,0),MATCH($D68,'Type Chart'!$B$4:$P$4,0)))</f>
        <v>2</v>
      </c>
      <c r="Q68" s="21" t="n">
        <f aca="false">INDEX('Type Chart'!$B$5:$P$19,MATCH(Q$4,'Type Chart'!$A$5:$A$19,0),MATCH($C68,'Type Chart'!$B$4:$P$4,0))*IF($D68="",1,INDEX('Type Chart'!$B$5:$P$19,MATCH(Q$4,'Type Chart'!$A$5:$A$19,0),MATCH($D68,'Type Chart'!$B$4:$P$4,0)))</f>
        <v>1</v>
      </c>
      <c r="R68" s="21" t="n">
        <f aca="false">INDEX('Type Chart'!$B$5:$P$19,MATCH(R$4,'Type Chart'!$A$5:$A$19,0),MATCH($C68,'Type Chart'!$B$4:$P$4,0))*IF($D68="",1,INDEX('Type Chart'!$B$5:$P$19,MATCH(R$4,'Type Chart'!$A$5:$A$19,0),MATCH($D68,'Type Chart'!$B$4:$P$4,0)))</f>
        <v>0</v>
      </c>
      <c r="S68" s="21" t="n">
        <f aca="false">INDEX('Type Chart'!$B$5:$P$19,MATCH(S$4,'Type Chart'!$A$5:$A$19,0),MATCH($C68,'Type Chart'!$B$4:$P$4,0))*IF($D68="",1,INDEX('Type Chart'!$B$5:$P$19,MATCH(S$4,'Type Chart'!$A$5:$A$19,0),MATCH($D68,'Type Chart'!$B$4:$P$4,0)))</f>
        <v>1</v>
      </c>
    </row>
    <row r="69" customFormat="false" ht="15" hidden="false" customHeight="false" outlineLevel="0" collapsed="false">
      <c r="A69" s="19" t="n">
        <v>65</v>
      </c>
      <c r="B69" s="19" t="s">
        <v>156</v>
      </c>
      <c r="C69" s="20" t="str">
        <f aca="false">Pokedex!C69</f>
        <v>Psychic</v>
      </c>
      <c r="D69" s="20" t="n">
        <f aca="false">Pokedex!D69</f>
        <v>0</v>
      </c>
      <c r="E69" s="21" t="n">
        <f aca="false">INDEX('Type Chart'!$B$5:$P$19,MATCH(E$4,'Type Chart'!$A$5:$A$19,0),MATCH($C69,'Type Chart'!$B$4:$P$4,0))*IF($D69="",1,INDEX('Type Chart'!$B$5:$P$19,MATCH(E$4,'Type Chart'!$A$5:$A$19,0),MATCH($D69,'Type Chart'!$B$4:$P$4,0)))</f>
        <v>1</v>
      </c>
      <c r="F69" s="21" t="n">
        <f aca="false">INDEX('Type Chart'!$B$5:$P$19,MATCH(F$4,'Type Chart'!$A$5:$A$19,0),MATCH($C69,'Type Chart'!$B$4:$P$4,0))*IF($D69="",1,INDEX('Type Chart'!$B$5:$P$19,MATCH(F$4,'Type Chart'!$A$5:$A$19,0),MATCH($D69,'Type Chart'!$B$4:$P$4,0)))</f>
        <v>1</v>
      </c>
      <c r="G69" s="21" t="n">
        <f aca="false">INDEX('Type Chart'!$B$5:$P$19,MATCH(G$4,'Type Chart'!$A$5:$A$19,0),MATCH($C69,'Type Chart'!$B$4:$P$4,0))*IF($D69="",1,INDEX('Type Chart'!$B$5:$P$19,MATCH(G$4,'Type Chart'!$A$5:$A$19,0),MATCH($D69,'Type Chart'!$B$4:$P$4,0)))</f>
        <v>1</v>
      </c>
      <c r="H69" s="21" t="n">
        <f aca="false">INDEX('Type Chart'!$B$5:$P$19,MATCH(H$4,'Type Chart'!$A$5:$A$19,0),MATCH($C69,'Type Chart'!$B$4:$P$4,0))*IF($D69="",1,INDEX('Type Chart'!$B$5:$P$19,MATCH(H$4,'Type Chart'!$A$5:$A$19,0),MATCH($D69,'Type Chart'!$B$4:$P$4,0)))</f>
        <v>1</v>
      </c>
      <c r="I69" s="21" t="n">
        <f aca="false">INDEX('Type Chart'!$B$5:$P$19,MATCH(I$4,'Type Chart'!$A$5:$A$19,0),MATCH($C69,'Type Chart'!$B$4:$P$4,0))*IF($D69="",1,INDEX('Type Chart'!$B$5:$P$19,MATCH(I$4,'Type Chart'!$A$5:$A$19,0),MATCH($D69,'Type Chart'!$B$4:$P$4,0)))</f>
        <v>1</v>
      </c>
      <c r="J69" s="21" t="n">
        <f aca="false">INDEX('Type Chart'!$B$5:$P$19,MATCH(J$4,'Type Chart'!$A$5:$A$19,0),MATCH($C69,'Type Chart'!$B$4:$P$4,0))*IF($D69="",1,INDEX('Type Chart'!$B$5:$P$19,MATCH(J$4,'Type Chart'!$A$5:$A$19,0),MATCH($D69,'Type Chart'!$B$4:$P$4,0)))</f>
        <v>1</v>
      </c>
      <c r="K69" s="21" t="n">
        <f aca="false">INDEX('Type Chart'!$B$5:$P$19,MATCH(K$4,'Type Chart'!$A$5:$A$19,0),MATCH($C69,'Type Chart'!$B$4:$P$4,0))*IF($D69="",1,INDEX('Type Chart'!$B$5:$P$19,MATCH(K$4,'Type Chart'!$A$5:$A$19,0),MATCH($D69,'Type Chart'!$B$4:$P$4,0)))</f>
        <v>0.5</v>
      </c>
      <c r="L69" s="21" t="n">
        <f aca="false">INDEX('Type Chart'!$B$5:$P$19,MATCH(L$4,'Type Chart'!$A$5:$A$19,0),MATCH($C69,'Type Chart'!$B$4:$P$4,0))*IF($D69="",1,INDEX('Type Chart'!$B$5:$P$19,MATCH(L$4,'Type Chart'!$A$5:$A$19,0),MATCH($D69,'Type Chart'!$B$4:$P$4,0)))</f>
        <v>1</v>
      </c>
      <c r="M69" s="21" t="n">
        <f aca="false">INDEX('Type Chart'!$B$5:$P$19,MATCH(M$4,'Type Chart'!$A$5:$A$19,0),MATCH($C69,'Type Chart'!$B$4:$P$4,0))*IF($D69="",1,INDEX('Type Chart'!$B$5:$P$19,MATCH(M$4,'Type Chart'!$A$5:$A$19,0),MATCH($D69,'Type Chart'!$B$4:$P$4,0)))</f>
        <v>1</v>
      </c>
      <c r="N69" s="21" t="n">
        <f aca="false">INDEX('Type Chart'!$B$5:$P$19,MATCH(N$4,'Type Chart'!$A$5:$A$19,0),MATCH($C69,'Type Chart'!$B$4:$P$4,0))*IF($D69="",1,INDEX('Type Chart'!$B$5:$P$19,MATCH(N$4,'Type Chart'!$A$5:$A$19,0),MATCH($D69,'Type Chart'!$B$4:$P$4,0)))</f>
        <v>1</v>
      </c>
      <c r="O69" s="21" t="n">
        <f aca="false">INDEX('Type Chart'!$B$5:$P$19,MATCH(O$4,'Type Chart'!$A$5:$A$19,0),MATCH($C69,'Type Chart'!$B$4:$P$4,0))*IF($D69="",1,INDEX('Type Chart'!$B$5:$P$19,MATCH(O$4,'Type Chart'!$A$5:$A$19,0),MATCH($D69,'Type Chart'!$B$4:$P$4,0)))</f>
        <v>0.5</v>
      </c>
      <c r="P69" s="21" t="n">
        <f aca="false">INDEX('Type Chart'!$B$5:$P$19,MATCH(P$4,'Type Chart'!$A$5:$A$19,0),MATCH($C69,'Type Chart'!$B$4:$P$4,0))*IF($D69="",1,INDEX('Type Chart'!$B$5:$P$19,MATCH(P$4,'Type Chart'!$A$5:$A$19,0),MATCH($D69,'Type Chart'!$B$4:$P$4,0)))</f>
        <v>2</v>
      </c>
      <c r="Q69" s="21" t="n">
        <f aca="false">INDEX('Type Chart'!$B$5:$P$19,MATCH(Q$4,'Type Chart'!$A$5:$A$19,0),MATCH($C69,'Type Chart'!$B$4:$P$4,0))*IF($D69="",1,INDEX('Type Chart'!$B$5:$P$19,MATCH(Q$4,'Type Chart'!$A$5:$A$19,0),MATCH($D69,'Type Chart'!$B$4:$P$4,0)))</f>
        <v>1</v>
      </c>
      <c r="R69" s="21" t="n">
        <f aca="false">INDEX('Type Chart'!$B$5:$P$19,MATCH(R$4,'Type Chart'!$A$5:$A$19,0),MATCH($C69,'Type Chart'!$B$4:$P$4,0))*IF($D69="",1,INDEX('Type Chart'!$B$5:$P$19,MATCH(R$4,'Type Chart'!$A$5:$A$19,0),MATCH($D69,'Type Chart'!$B$4:$P$4,0)))</f>
        <v>0</v>
      </c>
      <c r="S69" s="21" t="n">
        <f aca="false">INDEX('Type Chart'!$B$5:$P$19,MATCH(S$4,'Type Chart'!$A$5:$A$19,0),MATCH($C69,'Type Chart'!$B$4:$P$4,0))*IF($D69="",1,INDEX('Type Chart'!$B$5:$P$19,MATCH(S$4,'Type Chart'!$A$5:$A$19,0),MATCH($D69,'Type Chart'!$B$4:$P$4,0)))</f>
        <v>1</v>
      </c>
    </row>
    <row r="70" customFormat="false" ht="15" hidden="false" customHeight="false" outlineLevel="0" collapsed="false">
      <c r="A70" s="19" t="n">
        <v>66</v>
      </c>
      <c r="B70" s="19" t="s">
        <v>157</v>
      </c>
      <c r="C70" s="20" t="str">
        <f aca="false">Pokedex!C70</f>
        <v>Fighting</v>
      </c>
      <c r="D70" s="20" t="n">
        <f aca="false">Pokedex!D70</f>
        <v>0</v>
      </c>
      <c r="E70" s="21" t="n">
        <f aca="false">INDEX('Type Chart'!$B$5:$P$19,MATCH(E$4,'Type Chart'!$A$5:$A$19,0),MATCH($C70,'Type Chart'!$B$4:$P$4,0))*IF($D70="",1,INDEX('Type Chart'!$B$5:$P$19,MATCH(E$4,'Type Chart'!$A$5:$A$19,0),MATCH($D70,'Type Chart'!$B$4:$P$4,0)))</f>
        <v>1</v>
      </c>
      <c r="F70" s="21" t="n">
        <f aca="false">INDEX('Type Chart'!$B$5:$P$19,MATCH(F$4,'Type Chart'!$A$5:$A$19,0),MATCH($C70,'Type Chart'!$B$4:$P$4,0))*IF($D70="",1,INDEX('Type Chart'!$B$5:$P$19,MATCH(F$4,'Type Chart'!$A$5:$A$19,0),MATCH($D70,'Type Chart'!$B$4:$P$4,0)))</f>
        <v>1</v>
      </c>
      <c r="G70" s="21" t="n">
        <f aca="false">INDEX('Type Chart'!$B$5:$P$19,MATCH(G$4,'Type Chart'!$A$5:$A$19,0),MATCH($C70,'Type Chart'!$B$4:$P$4,0))*IF($D70="",1,INDEX('Type Chart'!$B$5:$P$19,MATCH(G$4,'Type Chart'!$A$5:$A$19,0),MATCH($D70,'Type Chart'!$B$4:$P$4,0)))</f>
        <v>1</v>
      </c>
      <c r="H70" s="21" t="n">
        <f aca="false">INDEX('Type Chart'!$B$5:$P$19,MATCH(H$4,'Type Chart'!$A$5:$A$19,0),MATCH($C70,'Type Chart'!$B$4:$P$4,0))*IF($D70="",1,INDEX('Type Chart'!$B$5:$P$19,MATCH(H$4,'Type Chart'!$A$5:$A$19,0),MATCH($D70,'Type Chart'!$B$4:$P$4,0)))</f>
        <v>1</v>
      </c>
      <c r="I70" s="21" t="n">
        <f aca="false">INDEX('Type Chart'!$B$5:$P$19,MATCH(I$4,'Type Chart'!$A$5:$A$19,0),MATCH($C70,'Type Chart'!$B$4:$P$4,0))*IF($D70="",1,INDEX('Type Chart'!$B$5:$P$19,MATCH(I$4,'Type Chart'!$A$5:$A$19,0),MATCH($D70,'Type Chart'!$B$4:$P$4,0)))</f>
        <v>1</v>
      </c>
      <c r="J70" s="21" t="n">
        <f aca="false">INDEX('Type Chart'!$B$5:$P$19,MATCH(J$4,'Type Chart'!$A$5:$A$19,0),MATCH($C70,'Type Chart'!$B$4:$P$4,0))*IF($D70="",1,INDEX('Type Chart'!$B$5:$P$19,MATCH(J$4,'Type Chart'!$A$5:$A$19,0),MATCH($D70,'Type Chart'!$B$4:$P$4,0)))</f>
        <v>1</v>
      </c>
      <c r="K70" s="21" t="n">
        <f aca="false">INDEX('Type Chart'!$B$5:$P$19,MATCH(K$4,'Type Chart'!$A$5:$A$19,0),MATCH($C70,'Type Chart'!$B$4:$P$4,0))*IF($D70="",1,INDEX('Type Chart'!$B$5:$P$19,MATCH(K$4,'Type Chart'!$A$5:$A$19,0),MATCH($D70,'Type Chart'!$B$4:$P$4,0)))</f>
        <v>1</v>
      </c>
      <c r="L70" s="21" t="n">
        <f aca="false">INDEX('Type Chart'!$B$5:$P$19,MATCH(L$4,'Type Chart'!$A$5:$A$19,0),MATCH($C70,'Type Chart'!$B$4:$P$4,0))*IF($D70="",1,INDEX('Type Chart'!$B$5:$P$19,MATCH(L$4,'Type Chart'!$A$5:$A$19,0),MATCH($D70,'Type Chart'!$B$4:$P$4,0)))</f>
        <v>1</v>
      </c>
      <c r="M70" s="21" t="n">
        <f aca="false">INDEX('Type Chart'!$B$5:$P$19,MATCH(M$4,'Type Chart'!$A$5:$A$19,0),MATCH($C70,'Type Chart'!$B$4:$P$4,0))*IF($D70="",1,INDEX('Type Chart'!$B$5:$P$19,MATCH(M$4,'Type Chart'!$A$5:$A$19,0),MATCH($D70,'Type Chart'!$B$4:$P$4,0)))</f>
        <v>1</v>
      </c>
      <c r="N70" s="21" t="n">
        <f aca="false">INDEX('Type Chart'!$B$5:$P$19,MATCH(N$4,'Type Chart'!$A$5:$A$19,0),MATCH($C70,'Type Chart'!$B$4:$P$4,0))*IF($D70="",1,INDEX('Type Chart'!$B$5:$P$19,MATCH(N$4,'Type Chart'!$A$5:$A$19,0),MATCH($D70,'Type Chart'!$B$4:$P$4,0)))</f>
        <v>2</v>
      </c>
      <c r="O70" s="21" t="n">
        <f aca="false">INDEX('Type Chart'!$B$5:$P$19,MATCH(O$4,'Type Chart'!$A$5:$A$19,0),MATCH($C70,'Type Chart'!$B$4:$P$4,0))*IF($D70="",1,INDEX('Type Chart'!$B$5:$P$19,MATCH(O$4,'Type Chart'!$A$5:$A$19,0),MATCH($D70,'Type Chart'!$B$4:$P$4,0)))</f>
        <v>2</v>
      </c>
      <c r="P70" s="21" t="n">
        <f aca="false">INDEX('Type Chart'!$B$5:$P$19,MATCH(P$4,'Type Chart'!$A$5:$A$19,0),MATCH($C70,'Type Chart'!$B$4:$P$4,0))*IF($D70="",1,INDEX('Type Chart'!$B$5:$P$19,MATCH(P$4,'Type Chart'!$A$5:$A$19,0),MATCH($D70,'Type Chart'!$B$4:$P$4,0)))</f>
        <v>0.5</v>
      </c>
      <c r="Q70" s="21" t="n">
        <f aca="false">INDEX('Type Chart'!$B$5:$P$19,MATCH(Q$4,'Type Chart'!$A$5:$A$19,0),MATCH($C70,'Type Chart'!$B$4:$P$4,0))*IF($D70="",1,INDEX('Type Chart'!$B$5:$P$19,MATCH(Q$4,'Type Chart'!$A$5:$A$19,0),MATCH($D70,'Type Chart'!$B$4:$P$4,0)))</f>
        <v>0.5</v>
      </c>
      <c r="R70" s="21" t="n">
        <f aca="false">INDEX('Type Chart'!$B$5:$P$19,MATCH(R$4,'Type Chart'!$A$5:$A$19,0),MATCH($C70,'Type Chart'!$B$4:$P$4,0))*IF($D70="",1,INDEX('Type Chart'!$B$5:$P$19,MATCH(R$4,'Type Chart'!$A$5:$A$19,0),MATCH($D70,'Type Chart'!$B$4:$P$4,0)))</f>
        <v>1</v>
      </c>
      <c r="S70" s="21" t="n">
        <f aca="false">INDEX('Type Chart'!$B$5:$P$19,MATCH(S$4,'Type Chart'!$A$5:$A$19,0),MATCH($C70,'Type Chart'!$B$4:$P$4,0))*IF($D70="",1,INDEX('Type Chart'!$B$5:$P$19,MATCH(S$4,'Type Chart'!$A$5:$A$19,0),MATCH($D70,'Type Chart'!$B$4:$P$4,0)))</f>
        <v>1</v>
      </c>
    </row>
    <row r="71" customFormat="false" ht="15" hidden="false" customHeight="false" outlineLevel="0" collapsed="false">
      <c r="A71" s="19" t="n">
        <v>67</v>
      </c>
      <c r="B71" s="19" t="s">
        <v>158</v>
      </c>
      <c r="C71" s="20" t="str">
        <f aca="false">Pokedex!C71</f>
        <v>Fighting</v>
      </c>
      <c r="D71" s="20" t="n">
        <f aca="false">Pokedex!D71</f>
        <v>0</v>
      </c>
      <c r="E71" s="21" t="n">
        <f aca="false">INDEX('Type Chart'!$B$5:$P$19,MATCH(E$4,'Type Chart'!$A$5:$A$19,0),MATCH($C71,'Type Chart'!$B$4:$P$4,0))*IF($D71="",1,INDEX('Type Chart'!$B$5:$P$19,MATCH(E$4,'Type Chart'!$A$5:$A$19,0),MATCH($D71,'Type Chart'!$B$4:$P$4,0)))</f>
        <v>1</v>
      </c>
      <c r="F71" s="21" t="n">
        <f aca="false">INDEX('Type Chart'!$B$5:$P$19,MATCH(F$4,'Type Chart'!$A$5:$A$19,0),MATCH($C71,'Type Chart'!$B$4:$P$4,0))*IF($D71="",1,INDEX('Type Chart'!$B$5:$P$19,MATCH(F$4,'Type Chart'!$A$5:$A$19,0),MATCH($D71,'Type Chart'!$B$4:$P$4,0)))</f>
        <v>1</v>
      </c>
      <c r="G71" s="21" t="n">
        <f aca="false">INDEX('Type Chart'!$B$5:$P$19,MATCH(G$4,'Type Chart'!$A$5:$A$19,0),MATCH($C71,'Type Chart'!$B$4:$P$4,0))*IF($D71="",1,INDEX('Type Chart'!$B$5:$P$19,MATCH(G$4,'Type Chart'!$A$5:$A$19,0),MATCH($D71,'Type Chart'!$B$4:$P$4,0)))</f>
        <v>1</v>
      </c>
      <c r="H71" s="21" t="n">
        <f aca="false">INDEX('Type Chart'!$B$5:$P$19,MATCH(H$4,'Type Chart'!$A$5:$A$19,0),MATCH($C71,'Type Chart'!$B$4:$P$4,0))*IF($D71="",1,INDEX('Type Chart'!$B$5:$P$19,MATCH(H$4,'Type Chart'!$A$5:$A$19,0),MATCH($D71,'Type Chart'!$B$4:$P$4,0)))</f>
        <v>1</v>
      </c>
      <c r="I71" s="21" t="n">
        <f aca="false">INDEX('Type Chart'!$B$5:$P$19,MATCH(I$4,'Type Chart'!$A$5:$A$19,0),MATCH($C71,'Type Chart'!$B$4:$P$4,0))*IF($D71="",1,INDEX('Type Chart'!$B$5:$P$19,MATCH(I$4,'Type Chart'!$A$5:$A$19,0),MATCH($D71,'Type Chart'!$B$4:$P$4,0)))</f>
        <v>1</v>
      </c>
      <c r="J71" s="21" t="n">
        <f aca="false">INDEX('Type Chart'!$B$5:$P$19,MATCH(J$4,'Type Chart'!$A$5:$A$19,0),MATCH($C71,'Type Chart'!$B$4:$P$4,0))*IF($D71="",1,INDEX('Type Chart'!$B$5:$P$19,MATCH(J$4,'Type Chart'!$A$5:$A$19,0),MATCH($D71,'Type Chart'!$B$4:$P$4,0)))</f>
        <v>1</v>
      </c>
      <c r="K71" s="21" t="n">
        <f aca="false">INDEX('Type Chart'!$B$5:$P$19,MATCH(K$4,'Type Chart'!$A$5:$A$19,0),MATCH($C71,'Type Chart'!$B$4:$P$4,0))*IF($D71="",1,INDEX('Type Chart'!$B$5:$P$19,MATCH(K$4,'Type Chart'!$A$5:$A$19,0),MATCH($D71,'Type Chart'!$B$4:$P$4,0)))</f>
        <v>1</v>
      </c>
      <c r="L71" s="21" t="n">
        <f aca="false">INDEX('Type Chart'!$B$5:$P$19,MATCH(L$4,'Type Chart'!$A$5:$A$19,0),MATCH($C71,'Type Chart'!$B$4:$P$4,0))*IF($D71="",1,INDEX('Type Chart'!$B$5:$P$19,MATCH(L$4,'Type Chart'!$A$5:$A$19,0),MATCH($D71,'Type Chart'!$B$4:$P$4,0)))</f>
        <v>1</v>
      </c>
      <c r="M71" s="21" t="n">
        <f aca="false">INDEX('Type Chart'!$B$5:$P$19,MATCH(M$4,'Type Chart'!$A$5:$A$19,0),MATCH($C71,'Type Chart'!$B$4:$P$4,0))*IF($D71="",1,INDEX('Type Chart'!$B$5:$P$19,MATCH(M$4,'Type Chart'!$A$5:$A$19,0),MATCH($D71,'Type Chart'!$B$4:$P$4,0)))</f>
        <v>1</v>
      </c>
      <c r="N71" s="21" t="n">
        <f aca="false">INDEX('Type Chart'!$B$5:$P$19,MATCH(N$4,'Type Chart'!$A$5:$A$19,0),MATCH($C71,'Type Chart'!$B$4:$P$4,0))*IF($D71="",1,INDEX('Type Chart'!$B$5:$P$19,MATCH(N$4,'Type Chart'!$A$5:$A$19,0),MATCH($D71,'Type Chart'!$B$4:$P$4,0)))</f>
        <v>2</v>
      </c>
      <c r="O71" s="21" t="n">
        <f aca="false">INDEX('Type Chart'!$B$5:$P$19,MATCH(O$4,'Type Chart'!$A$5:$A$19,0),MATCH($C71,'Type Chart'!$B$4:$P$4,0))*IF($D71="",1,INDEX('Type Chart'!$B$5:$P$19,MATCH(O$4,'Type Chart'!$A$5:$A$19,0),MATCH($D71,'Type Chart'!$B$4:$P$4,0)))</f>
        <v>2</v>
      </c>
      <c r="P71" s="21" t="n">
        <f aca="false">INDEX('Type Chart'!$B$5:$P$19,MATCH(P$4,'Type Chart'!$A$5:$A$19,0),MATCH($C71,'Type Chart'!$B$4:$P$4,0))*IF($D71="",1,INDEX('Type Chart'!$B$5:$P$19,MATCH(P$4,'Type Chart'!$A$5:$A$19,0),MATCH($D71,'Type Chart'!$B$4:$P$4,0)))</f>
        <v>0.5</v>
      </c>
      <c r="Q71" s="21" t="n">
        <f aca="false">INDEX('Type Chart'!$B$5:$P$19,MATCH(Q$4,'Type Chart'!$A$5:$A$19,0),MATCH($C71,'Type Chart'!$B$4:$P$4,0))*IF($D71="",1,INDEX('Type Chart'!$B$5:$P$19,MATCH(Q$4,'Type Chart'!$A$5:$A$19,0),MATCH($D71,'Type Chart'!$B$4:$P$4,0)))</f>
        <v>0.5</v>
      </c>
      <c r="R71" s="21" t="n">
        <f aca="false">INDEX('Type Chart'!$B$5:$P$19,MATCH(R$4,'Type Chart'!$A$5:$A$19,0),MATCH($C71,'Type Chart'!$B$4:$P$4,0))*IF($D71="",1,INDEX('Type Chart'!$B$5:$P$19,MATCH(R$4,'Type Chart'!$A$5:$A$19,0),MATCH($D71,'Type Chart'!$B$4:$P$4,0)))</f>
        <v>1</v>
      </c>
      <c r="S71" s="21" t="n">
        <f aca="false">INDEX('Type Chart'!$B$5:$P$19,MATCH(S$4,'Type Chart'!$A$5:$A$19,0),MATCH($C71,'Type Chart'!$B$4:$P$4,0))*IF($D71="",1,INDEX('Type Chart'!$B$5:$P$19,MATCH(S$4,'Type Chart'!$A$5:$A$19,0),MATCH($D71,'Type Chart'!$B$4:$P$4,0)))</f>
        <v>1</v>
      </c>
    </row>
    <row r="72" customFormat="false" ht="15" hidden="false" customHeight="false" outlineLevel="0" collapsed="false">
      <c r="A72" s="19" t="n">
        <v>68</v>
      </c>
      <c r="B72" s="19" t="s">
        <v>159</v>
      </c>
      <c r="C72" s="20" t="str">
        <f aca="false">Pokedex!C72</f>
        <v>Fighting</v>
      </c>
      <c r="D72" s="20" t="n">
        <f aca="false">Pokedex!D72</f>
        <v>0</v>
      </c>
      <c r="E72" s="21" t="n">
        <f aca="false">INDEX('Type Chart'!$B$5:$P$19,MATCH(E$4,'Type Chart'!$A$5:$A$19,0),MATCH($C72,'Type Chart'!$B$4:$P$4,0))*IF($D72="",1,INDEX('Type Chart'!$B$5:$P$19,MATCH(E$4,'Type Chart'!$A$5:$A$19,0),MATCH($D72,'Type Chart'!$B$4:$P$4,0)))</f>
        <v>1</v>
      </c>
      <c r="F72" s="21" t="n">
        <f aca="false">INDEX('Type Chart'!$B$5:$P$19,MATCH(F$4,'Type Chart'!$A$5:$A$19,0),MATCH($C72,'Type Chart'!$B$4:$P$4,0))*IF($D72="",1,INDEX('Type Chart'!$B$5:$P$19,MATCH(F$4,'Type Chart'!$A$5:$A$19,0),MATCH($D72,'Type Chart'!$B$4:$P$4,0)))</f>
        <v>1</v>
      </c>
      <c r="G72" s="21" t="n">
        <f aca="false">INDEX('Type Chart'!$B$5:$P$19,MATCH(G$4,'Type Chart'!$A$5:$A$19,0),MATCH($C72,'Type Chart'!$B$4:$P$4,0))*IF($D72="",1,INDEX('Type Chart'!$B$5:$P$19,MATCH(G$4,'Type Chart'!$A$5:$A$19,0),MATCH($D72,'Type Chart'!$B$4:$P$4,0)))</f>
        <v>1</v>
      </c>
      <c r="H72" s="21" t="n">
        <f aca="false">INDEX('Type Chart'!$B$5:$P$19,MATCH(H$4,'Type Chart'!$A$5:$A$19,0),MATCH($C72,'Type Chart'!$B$4:$P$4,0))*IF($D72="",1,INDEX('Type Chart'!$B$5:$P$19,MATCH(H$4,'Type Chart'!$A$5:$A$19,0),MATCH($D72,'Type Chart'!$B$4:$P$4,0)))</f>
        <v>1</v>
      </c>
      <c r="I72" s="21" t="n">
        <f aca="false">INDEX('Type Chart'!$B$5:$P$19,MATCH(I$4,'Type Chart'!$A$5:$A$19,0),MATCH($C72,'Type Chart'!$B$4:$P$4,0))*IF($D72="",1,INDEX('Type Chart'!$B$5:$P$19,MATCH(I$4,'Type Chart'!$A$5:$A$19,0),MATCH($D72,'Type Chart'!$B$4:$P$4,0)))</f>
        <v>1</v>
      </c>
      <c r="J72" s="21" t="n">
        <f aca="false">INDEX('Type Chart'!$B$5:$P$19,MATCH(J$4,'Type Chart'!$A$5:$A$19,0),MATCH($C72,'Type Chart'!$B$4:$P$4,0))*IF($D72="",1,INDEX('Type Chart'!$B$5:$P$19,MATCH(J$4,'Type Chart'!$A$5:$A$19,0),MATCH($D72,'Type Chart'!$B$4:$P$4,0)))</f>
        <v>1</v>
      </c>
      <c r="K72" s="21" t="n">
        <f aca="false">INDEX('Type Chart'!$B$5:$P$19,MATCH(K$4,'Type Chart'!$A$5:$A$19,0),MATCH($C72,'Type Chart'!$B$4:$P$4,0))*IF($D72="",1,INDEX('Type Chart'!$B$5:$P$19,MATCH(K$4,'Type Chart'!$A$5:$A$19,0),MATCH($D72,'Type Chart'!$B$4:$P$4,0)))</f>
        <v>1</v>
      </c>
      <c r="L72" s="21" t="n">
        <f aca="false">INDEX('Type Chart'!$B$5:$P$19,MATCH(L$4,'Type Chart'!$A$5:$A$19,0),MATCH($C72,'Type Chart'!$B$4:$P$4,0))*IF($D72="",1,INDEX('Type Chart'!$B$5:$P$19,MATCH(L$4,'Type Chart'!$A$5:$A$19,0),MATCH($D72,'Type Chart'!$B$4:$P$4,0)))</f>
        <v>1</v>
      </c>
      <c r="M72" s="21" t="n">
        <f aca="false">INDEX('Type Chart'!$B$5:$P$19,MATCH(M$4,'Type Chart'!$A$5:$A$19,0),MATCH($C72,'Type Chart'!$B$4:$P$4,0))*IF($D72="",1,INDEX('Type Chart'!$B$5:$P$19,MATCH(M$4,'Type Chart'!$A$5:$A$19,0),MATCH($D72,'Type Chart'!$B$4:$P$4,0)))</f>
        <v>1</v>
      </c>
      <c r="N72" s="21" t="n">
        <f aca="false">INDEX('Type Chart'!$B$5:$P$19,MATCH(N$4,'Type Chart'!$A$5:$A$19,0),MATCH($C72,'Type Chart'!$B$4:$P$4,0))*IF($D72="",1,INDEX('Type Chart'!$B$5:$P$19,MATCH(N$4,'Type Chart'!$A$5:$A$19,0),MATCH($D72,'Type Chart'!$B$4:$P$4,0)))</f>
        <v>2</v>
      </c>
      <c r="O72" s="21" t="n">
        <f aca="false">INDEX('Type Chart'!$B$5:$P$19,MATCH(O$4,'Type Chart'!$A$5:$A$19,0),MATCH($C72,'Type Chart'!$B$4:$P$4,0))*IF($D72="",1,INDEX('Type Chart'!$B$5:$P$19,MATCH(O$4,'Type Chart'!$A$5:$A$19,0),MATCH($D72,'Type Chart'!$B$4:$P$4,0)))</f>
        <v>2</v>
      </c>
      <c r="P72" s="21" t="n">
        <f aca="false">INDEX('Type Chart'!$B$5:$P$19,MATCH(P$4,'Type Chart'!$A$5:$A$19,0),MATCH($C72,'Type Chart'!$B$4:$P$4,0))*IF($D72="",1,INDEX('Type Chart'!$B$5:$P$19,MATCH(P$4,'Type Chart'!$A$5:$A$19,0),MATCH($D72,'Type Chart'!$B$4:$P$4,0)))</f>
        <v>0.5</v>
      </c>
      <c r="Q72" s="21" t="n">
        <f aca="false">INDEX('Type Chart'!$B$5:$P$19,MATCH(Q$4,'Type Chart'!$A$5:$A$19,0),MATCH($C72,'Type Chart'!$B$4:$P$4,0))*IF($D72="",1,INDEX('Type Chart'!$B$5:$P$19,MATCH(Q$4,'Type Chart'!$A$5:$A$19,0),MATCH($D72,'Type Chart'!$B$4:$P$4,0)))</f>
        <v>0.5</v>
      </c>
      <c r="R72" s="21" t="n">
        <f aca="false">INDEX('Type Chart'!$B$5:$P$19,MATCH(R$4,'Type Chart'!$A$5:$A$19,0),MATCH($C72,'Type Chart'!$B$4:$P$4,0))*IF($D72="",1,INDEX('Type Chart'!$B$5:$P$19,MATCH(R$4,'Type Chart'!$A$5:$A$19,0),MATCH($D72,'Type Chart'!$B$4:$P$4,0)))</f>
        <v>1</v>
      </c>
      <c r="S72" s="21" t="n">
        <f aca="false">INDEX('Type Chart'!$B$5:$P$19,MATCH(S$4,'Type Chart'!$A$5:$A$19,0),MATCH($C72,'Type Chart'!$B$4:$P$4,0))*IF($D72="",1,INDEX('Type Chart'!$B$5:$P$19,MATCH(S$4,'Type Chart'!$A$5:$A$19,0),MATCH($D72,'Type Chart'!$B$4:$P$4,0)))</f>
        <v>1</v>
      </c>
    </row>
    <row r="73" customFormat="false" ht="15" hidden="false" customHeight="false" outlineLevel="0" collapsed="false">
      <c r="A73" s="19" t="n">
        <v>69</v>
      </c>
      <c r="B73" s="19" t="s">
        <v>160</v>
      </c>
      <c r="C73" s="20" t="str">
        <f aca="false">Pokedex!C73</f>
        <v>Grass</v>
      </c>
      <c r="D73" s="20" t="str">
        <f aca="false">Pokedex!D73</f>
        <v>Poison</v>
      </c>
      <c r="E73" s="21" t="n">
        <f aca="false">INDEX('Type Chart'!$B$5:$P$19,MATCH(E$4,'Type Chart'!$A$5:$A$19,0),MATCH($C73,'Type Chart'!$B$4:$P$4,0))*IF($D73="",1,INDEX('Type Chart'!$B$5:$P$19,MATCH(E$4,'Type Chart'!$A$5:$A$19,0),MATCH($D73,'Type Chart'!$B$4:$P$4,0)))</f>
        <v>1</v>
      </c>
      <c r="F73" s="21" t="n">
        <f aca="false">INDEX('Type Chart'!$B$5:$P$19,MATCH(F$4,'Type Chart'!$A$5:$A$19,0),MATCH($C73,'Type Chart'!$B$4:$P$4,0))*IF($D73="",1,INDEX('Type Chart'!$B$5:$P$19,MATCH(F$4,'Type Chart'!$A$5:$A$19,0),MATCH($D73,'Type Chart'!$B$4:$P$4,0)))</f>
        <v>2</v>
      </c>
      <c r="G73" s="21" t="n">
        <f aca="false">INDEX('Type Chart'!$B$5:$P$19,MATCH(G$4,'Type Chart'!$A$5:$A$19,0),MATCH($C73,'Type Chart'!$B$4:$P$4,0))*IF($D73="",1,INDEX('Type Chart'!$B$5:$P$19,MATCH(G$4,'Type Chart'!$A$5:$A$19,0),MATCH($D73,'Type Chart'!$B$4:$P$4,0)))</f>
        <v>0.5</v>
      </c>
      <c r="H73" s="21" t="n">
        <f aca="false">INDEX('Type Chart'!$B$5:$P$19,MATCH(H$4,'Type Chart'!$A$5:$A$19,0),MATCH($C73,'Type Chart'!$B$4:$P$4,0))*IF($D73="",1,INDEX('Type Chart'!$B$5:$P$19,MATCH(H$4,'Type Chart'!$A$5:$A$19,0),MATCH($D73,'Type Chart'!$B$4:$P$4,0)))</f>
        <v>0.5</v>
      </c>
      <c r="I73" s="21" t="n">
        <f aca="false">INDEX('Type Chart'!$B$5:$P$19,MATCH(I$4,'Type Chart'!$A$5:$A$19,0),MATCH($C73,'Type Chart'!$B$4:$P$4,0))*IF($D73="",1,INDEX('Type Chart'!$B$5:$P$19,MATCH(I$4,'Type Chart'!$A$5:$A$19,0),MATCH($D73,'Type Chart'!$B$4:$P$4,0)))</f>
        <v>0.25</v>
      </c>
      <c r="J73" s="21" t="n">
        <f aca="false">INDEX('Type Chart'!$B$5:$P$19,MATCH(J$4,'Type Chart'!$A$5:$A$19,0),MATCH($C73,'Type Chart'!$B$4:$P$4,0))*IF($D73="",1,INDEX('Type Chart'!$B$5:$P$19,MATCH(J$4,'Type Chart'!$A$5:$A$19,0),MATCH($D73,'Type Chart'!$B$4:$P$4,0)))</f>
        <v>2</v>
      </c>
      <c r="K73" s="21" t="n">
        <f aca="false">INDEX('Type Chart'!$B$5:$P$19,MATCH(K$4,'Type Chart'!$A$5:$A$19,0),MATCH($C73,'Type Chart'!$B$4:$P$4,0))*IF($D73="",1,INDEX('Type Chart'!$B$5:$P$19,MATCH(K$4,'Type Chart'!$A$5:$A$19,0),MATCH($D73,'Type Chart'!$B$4:$P$4,0)))</f>
        <v>0.5</v>
      </c>
      <c r="L73" s="21" t="n">
        <f aca="false">INDEX('Type Chart'!$B$5:$P$19,MATCH(L$4,'Type Chart'!$A$5:$A$19,0),MATCH($C73,'Type Chart'!$B$4:$P$4,0))*IF($D73="",1,INDEX('Type Chart'!$B$5:$P$19,MATCH(L$4,'Type Chart'!$A$5:$A$19,0),MATCH($D73,'Type Chart'!$B$4:$P$4,0)))</f>
        <v>1</v>
      </c>
      <c r="M73" s="21" t="n">
        <f aca="false">INDEX('Type Chart'!$B$5:$P$19,MATCH(M$4,'Type Chart'!$A$5:$A$19,0),MATCH($C73,'Type Chart'!$B$4:$P$4,0))*IF($D73="",1,INDEX('Type Chart'!$B$5:$P$19,MATCH(M$4,'Type Chart'!$A$5:$A$19,0),MATCH($D73,'Type Chart'!$B$4:$P$4,0)))</f>
        <v>1</v>
      </c>
      <c r="N73" s="21" t="n">
        <f aca="false">INDEX('Type Chart'!$B$5:$P$19,MATCH(N$4,'Type Chart'!$A$5:$A$19,0),MATCH($C73,'Type Chart'!$B$4:$P$4,0))*IF($D73="",1,INDEX('Type Chart'!$B$5:$P$19,MATCH(N$4,'Type Chart'!$A$5:$A$19,0),MATCH($D73,'Type Chart'!$B$4:$P$4,0)))</f>
        <v>2</v>
      </c>
      <c r="O73" s="21" t="n">
        <f aca="false">INDEX('Type Chart'!$B$5:$P$19,MATCH(O$4,'Type Chart'!$A$5:$A$19,0),MATCH($C73,'Type Chart'!$B$4:$P$4,0))*IF($D73="",1,INDEX('Type Chart'!$B$5:$P$19,MATCH(O$4,'Type Chart'!$A$5:$A$19,0),MATCH($D73,'Type Chart'!$B$4:$P$4,0)))</f>
        <v>2</v>
      </c>
      <c r="P73" s="21" t="n">
        <f aca="false">INDEX('Type Chart'!$B$5:$P$19,MATCH(P$4,'Type Chart'!$A$5:$A$19,0),MATCH($C73,'Type Chart'!$B$4:$P$4,0))*IF($D73="",1,INDEX('Type Chart'!$B$5:$P$19,MATCH(P$4,'Type Chart'!$A$5:$A$19,0),MATCH($D73,'Type Chart'!$B$4:$P$4,0)))</f>
        <v>4</v>
      </c>
      <c r="Q73" s="21" t="n">
        <f aca="false">INDEX('Type Chart'!$B$5:$P$19,MATCH(Q$4,'Type Chart'!$A$5:$A$19,0),MATCH($C73,'Type Chart'!$B$4:$P$4,0))*IF($D73="",1,INDEX('Type Chart'!$B$5:$P$19,MATCH(Q$4,'Type Chart'!$A$5:$A$19,0),MATCH($D73,'Type Chart'!$B$4:$P$4,0)))</f>
        <v>1</v>
      </c>
      <c r="R73" s="21" t="n">
        <f aca="false">INDEX('Type Chart'!$B$5:$P$19,MATCH(R$4,'Type Chart'!$A$5:$A$19,0),MATCH($C73,'Type Chart'!$B$4:$P$4,0))*IF($D73="",1,INDEX('Type Chart'!$B$5:$P$19,MATCH(R$4,'Type Chart'!$A$5:$A$19,0),MATCH($D73,'Type Chart'!$B$4:$P$4,0)))</f>
        <v>1</v>
      </c>
      <c r="S73" s="21" t="n">
        <f aca="false">INDEX('Type Chart'!$B$5:$P$19,MATCH(S$4,'Type Chart'!$A$5:$A$19,0),MATCH($C73,'Type Chart'!$B$4:$P$4,0))*IF($D73="",1,INDEX('Type Chart'!$B$5:$P$19,MATCH(S$4,'Type Chart'!$A$5:$A$19,0),MATCH($D73,'Type Chart'!$B$4:$P$4,0)))</f>
        <v>1</v>
      </c>
    </row>
    <row r="74" customFormat="false" ht="15" hidden="false" customHeight="false" outlineLevel="0" collapsed="false">
      <c r="A74" s="19" t="n">
        <v>70</v>
      </c>
      <c r="B74" s="19" t="s">
        <v>161</v>
      </c>
      <c r="C74" s="20" t="str">
        <f aca="false">Pokedex!C74</f>
        <v>Grass</v>
      </c>
      <c r="D74" s="20" t="str">
        <f aca="false">Pokedex!D74</f>
        <v>Poison</v>
      </c>
      <c r="E74" s="21" t="n">
        <f aca="false">INDEX('Type Chart'!$B$5:$P$19,MATCH(E$4,'Type Chart'!$A$5:$A$19,0),MATCH($C74,'Type Chart'!$B$4:$P$4,0))*IF($D74="",1,INDEX('Type Chart'!$B$5:$P$19,MATCH(E$4,'Type Chart'!$A$5:$A$19,0),MATCH($D74,'Type Chart'!$B$4:$P$4,0)))</f>
        <v>1</v>
      </c>
      <c r="F74" s="21" t="n">
        <f aca="false">INDEX('Type Chart'!$B$5:$P$19,MATCH(F$4,'Type Chart'!$A$5:$A$19,0),MATCH($C74,'Type Chart'!$B$4:$P$4,0))*IF($D74="",1,INDEX('Type Chart'!$B$5:$P$19,MATCH(F$4,'Type Chart'!$A$5:$A$19,0),MATCH($D74,'Type Chart'!$B$4:$P$4,0)))</f>
        <v>2</v>
      </c>
      <c r="G74" s="21" t="n">
        <f aca="false">INDEX('Type Chart'!$B$5:$P$19,MATCH(G$4,'Type Chart'!$A$5:$A$19,0),MATCH($C74,'Type Chart'!$B$4:$P$4,0))*IF($D74="",1,INDEX('Type Chart'!$B$5:$P$19,MATCH(G$4,'Type Chart'!$A$5:$A$19,0),MATCH($D74,'Type Chart'!$B$4:$P$4,0)))</f>
        <v>0.5</v>
      </c>
      <c r="H74" s="21" t="n">
        <f aca="false">INDEX('Type Chart'!$B$5:$P$19,MATCH(H$4,'Type Chart'!$A$5:$A$19,0),MATCH($C74,'Type Chart'!$B$4:$P$4,0))*IF($D74="",1,INDEX('Type Chart'!$B$5:$P$19,MATCH(H$4,'Type Chart'!$A$5:$A$19,0),MATCH($D74,'Type Chart'!$B$4:$P$4,0)))</f>
        <v>0.5</v>
      </c>
      <c r="I74" s="21" t="n">
        <f aca="false">INDEX('Type Chart'!$B$5:$P$19,MATCH(I$4,'Type Chart'!$A$5:$A$19,0),MATCH($C74,'Type Chart'!$B$4:$P$4,0))*IF($D74="",1,INDEX('Type Chart'!$B$5:$P$19,MATCH(I$4,'Type Chart'!$A$5:$A$19,0),MATCH($D74,'Type Chart'!$B$4:$P$4,0)))</f>
        <v>0.25</v>
      </c>
      <c r="J74" s="21" t="n">
        <f aca="false">INDEX('Type Chart'!$B$5:$P$19,MATCH(J$4,'Type Chart'!$A$5:$A$19,0),MATCH($C74,'Type Chart'!$B$4:$P$4,0))*IF($D74="",1,INDEX('Type Chart'!$B$5:$P$19,MATCH(J$4,'Type Chart'!$A$5:$A$19,0),MATCH($D74,'Type Chart'!$B$4:$P$4,0)))</f>
        <v>2</v>
      </c>
      <c r="K74" s="21" t="n">
        <f aca="false">INDEX('Type Chart'!$B$5:$P$19,MATCH(K$4,'Type Chart'!$A$5:$A$19,0),MATCH($C74,'Type Chart'!$B$4:$P$4,0))*IF($D74="",1,INDEX('Type Chart'!$B$5:$P$19,MATCH(K$4,'Type Chart'!$A$5:$A$19,0),MATCH($D74,'Type Chart'!$B$4:$P$4,0)))</f>
        <v>0.5</v>
      </c>
      <c r="L74" s="21" t="n">
        <f aca="false">INDEX('Type Chart'!$B$5:$P$19,MATCH(L$4,'Type Chart'!$A$5:$A$19,0),MATCH($C74,'Type Chart'!$B$4:$P$4,0))*IF($D74="",1,INDEX('Type Chart'!$B$5:$P$19,MATCH(L$4,'Type Chart'!$A$5:$A$19,0),MATCH($D74,'Type Chart'!$B$4:$P$4,0)))</f>
        <v>1</v>
      </c>
      <c r="M74" s="21" t="n">
        <f aca="false">INDEX('Type Chart'!$B$5:$P$19,MATCH(M$4,'Type Chart'!$A$5:$A$19,0),MATCH($C74,'Type Chart'!$B$4:$P$4,0))*IF($D74="",1,INDEX('Type Chart'!$B$5:$P$19,MATCH(M$4,'Type Chart'!$A$5:$A$19,0),MATCH($D74,'Type Chart'!$B$4:$P$4,0)))</f>
        <v>1</v>
      </c>
      <c r="N74" s="21" t="n">
        <f aca="false">INDEX('Type Chart'!$B$5:$P$19,MATCH(N$4,'Type Chart'!$A$5:$A$19,0),MATCH($C74,'Type Chart'!$B$4:$P$4,0))*IF($D74="",1,INDEX('Type Chart'!$B$5:$P$19,MATCH(N$4,'Type Chart'!$A$5:$A$19,0),MATCH($D74,'Type Chart'!$B$4:$P$4,0)))</f>
        <v>2</v>
      </c>
      <c r="O74" s="21" t="n">
        <f aca="false">INDEX('Type Chart'!$B$5:$P$19,MATCH(O$4,'Type Chart'!$A$5:$A$19,0),MATCH($C74,'Type Chart'!$B$4:$P$4,0))*IF($D74="",1,INDEX('Type Chart'!$B$5:$P$19,MATCH(O$4,'Type Chart'!$A$5:$A$19,0),MATCH($D74,'Type Chart'!$B$4:$P$4,0)))</f>
        <v>2</v>
      </c>
      <c r="P74" s="21" t="n">
        <f aca="false">INDEX('Type Chart'!$B$5:$P$19,MATCH(P$4,'Type Chart'!$A$5:$A$19,0),MATCH($C74,'Type Chart'!$B$4:$P$4,0))*IF($D74="",1,INDEX('Type Chart'!$B$5:$P$19,MATCH(P$4,'Type Chart'!$A$5:$A$19,0),MATCH($D74,'Type Chart'!$B$4:$P$4,0)))</f>
        <v>4</v>
      </c>
      <c r="Q74" s="21" t="n">
        <f aca="false">INDEX('Type Chart'!$B$5:$P$19,MATCH(Q$4,'Type Chart'!$A$5:$A$19,0),MATCH($C74,'Type Chart'!$B$4:$P$4,0))*IF($D74="",1,INDEX('Type Chart'!$B$5:$P$19,MATCH(Q$4,'Type Chart'!$A$5:$A$19,0),MATCH($D74,'Type Chart'!$B$4:$P$4,0)))</f>
        <v>1</v>
      </c>
      <c r="R74" s="21" t="n">
        <f aca="false">INDEX('Type Chart'!$B$5:$P$19,MATCH(R$4,'Type Chart'!$A$5:$A$19,0),MATCH($C74,'Type Chart'!$B$4:$P$4,0))*IF($D74="",1,INDEX('Type Chart'!$B$5:$P$19,MATCH(R$4,'Type Chart'!$A$5:$A$19,0),MATCH($D74,'Type Chart'!$B$4:$P$4,0)))</f>
        <v>1</v>
      </c>
      <c r="S74" s="21" t="n">
        <f aca="false">INDEX('Type Chart'!$B$5:$P$19,MATCH(S$4,'Type Chart'!$A$5:$A$19,0),MATCH($C74,'Type Chart'!$B$4:$P$4,0))*IF($D74="",1,INDEX('Type Chart'!$B$5:$P$19,MATCH(S$4,'Type Chart'!$A$5:$A$19,0),MATCH($D74,'Type Chart'!$B$4:$P$4,0)))</f>
        <v>1</v>
      </c>
    </row>
    <row r="75" customFormat="false" ht="15" hidden="false" customHeight="false" outlineLevel="0" collapsed="false">
      <c r="A75" s="19" t="n">
        <v>71</v>
      </c>
      <c r="B75" s="19" t="s">
        <v>162</v>
      </c>
      <c r="C75" s="20" t="str">
        <f aca="false">Pokedex!C75</f>
        <v>Grass</v>
      </c>
      <c r="D75" s="20" t="str">
        <f aca="false">Pokedex!D75</f>
        <v>Poison</v>
      </c>
      <c r="E75" s="21" t="n">
        <f aca="false">INDEX('Type Chart'!$B$5:$P$19,MATCH(E$4,'Type Chart'!$A$5:$A$19,0),MATCH($C75,'Type Chart'!$B$4:$P$4,0))*IF($D75="",1,INDEX('Type Chart'!$B$5:$P$19,MATCH(E$4,'Type Chart'!$A$5:$A$19,0),MATCH($D75,'Type Chart'!$B$4:$P$4,0)))</f>
        <v>1</v>
      </c>
      <c r="F75" s="21" t="n">
        <f aca="false">INDEX('Type Chart'!$B$5:$P$19,MATCH(F$4,'Type Chart'!$A$5:$A$19,0),MATCH($C75,'Type Chart'!$B$4:$P$4,0))*IF($D75="",1,INDEX('Type Chart'!$B$5:$P$19,MATCH(F$4,'Type Chart'!$A$5:$A$19,0),MATCH($D75,'Type Chart'!$B$4:$P$4,0)))</f>
        <v>2</v>
      </c>
      <c r="G75" s="21" t="n">
        <f aca="false">INDEX('Type Chart'!$B$5:$P$19,MATCH(G$4,'Type Chart'!$A$5:$A$19,0),MATCH($C75,'Type Chart'!$B$4:$P$4,0))*IF($D75="",1,INDEX('Type Chart'!$B$5:$P$19,MATCH(G$4,'Type Chart'!$A$5:$A$19,0),MATCH($D75,'Type Chart'!$B$4:$P$4,0)))</f>
        <v>0.5</v>
      </c>
      <c r="H75" s="21" t="n">
        <f aca="false">INDEX('Type Chart'!$B$5:$P$19,MATCH(H$4,'Type Chart'!$A$5:$A$19,0),MATCH($C75,'Type Chart'!$B$4:$P$4,0))*IF($D75="",1,INDEX('Type Chart'!$B$5:$P$19,MATCH(H$4,'Type Chart'!$A$5:$A$19,0),MATCH($D75,'Type Chart'!$B$4:$P$4,0)))</f>
        <v>0.5</v>
      </c>
      <c r="I75" s="21" t="n">
        <f aca="false">INDEX('Type Chart'!$B$5:$P$19,MATCH(I$4,'Type Chart'!$A$5:$A$19,0),MATCH($C75,'Type Chart'!$B$4:$P$4,0))*IF($D75="",1,INDEX('Type Chart'!$B$5:$P$19,MATCH(I$4,'Type Chart'!$A$5:$A$19,0),MATCH($D75,'Type Chart'!$B$4:$P$4,0)))</f>
        <v>0.25</v>
      </c>
      <c r="J75" s="21" t="n">
        <f aca="false">INDEX('Type Chart'!$B$5:$P$19,MATCH(J$4,'Type Chart'!$A$5:$A$19,0),MATCH($C75,'Type Chart'!$B$4:$P$4,0))*IF($D75="",1,INDEX('Type Chart'!$B$5:$P$19,MATCH(J$4,'Type Chart'!$A$5:$A$19,0),MATCH($D75,'Type Chart'!$B$4:$P$4,0)))</f>
        <v>2</v>
      </c>
      <c r="K75" s="21" t="n">
        <f aca="false">INDEX('Type Chart'!$B$5:$P$19,MATCH(K$4,'Type Chart'!$A$5:$A$19,0),MATCH($C75,'Type Chart'!$B$4:$P$4,0))*IF($D75="",1,INDEX('Type Chart'!$B$5:$P$19,MATCH(K$4,'Type Chart'!$A$5:$A$19,0),MATCH($D75,'Type Chart'!$B$4:$P$4,0)))</f>
        <v>0.5</v>
      </c>
      <c r="L75" s="21" t="n">
        <f aca="false">INDEX('Type Chart'!$B$5:$P$19,MATCH(L$4,'Type Chart'!$A$5:$A$19,0),MATCH($C75,'Type Chart'!$B$4:$P$4,0))*IF($D75="",1,INDEX('Type Chart'!$B$5:$P$19,MATCH(L$4,'Type Chart'!$A$5:$A$19,0),MATCH($D75,'Type Chart'!$B$4:$P$4,0)))</f>
        <v>1</v>
      </c>
      <c r="M75" s="21" t="n">
        <f aca="false">INDEX('Type Chart'!$B$5:$P$19,MATCH(M$4,'Type Chart'!$A$5:$A$19,0),MATCH($C75,'Type Chart'!$B$4:$P$4,0))*IF($D75="",1,INDEX('Type Chart'!$B$5:$P$19,MATCH(M$4,'Type Chart'!$A$5:$A$19,0),MATCH($D75,'Type Chart'!$B$4:$P$4,0)))</f>
        <v>1</v>
      </c>
      <c r="N75" s="21" t="n">
        <f aca="false">INDEX('Type Chart'!$B$5:$P$19,MATCH(N$4,'Type Chart'!$A$5:$A$19,0),MATCH($C75,'Type Chart'!$B$4:$P$4,0))*IF($D75="",1,INDEX('Type Chart'!$B$5:$P$19,MATCH(N$4,'Type Chart'!$A$5:$A$19,0),MATCH($D75,'Type Chart'!$B$4:$P$4,0)))</f>
        <v>2</v>
      </c>
      <c r="O75" s="21" t="n">
        <f aca="false">INDEX('Type Chart'!$B$5:$P$19,MATCH(O$4,'Type Chart'!$A$5:$A$19,0),MATCH($C75,'Type Chart'!$B$4:$P$4,0))*IF($D75="",1,INDEX('Type Chart'!$B$5:$P$19,MATCH(O$4,'Type Chart'!$A$5:$A$19,0),MATCH($D75,'Type Chart'!$B$4:$P$4,0)))</f>
        <v>2</v>
      </c>
      <c r="P75" s="21" t="n">
        <f aca="false">INDEX('Type Chart'!$B$5:$P$19,MATCH(P$4,'Type Chart'!$A$5:$A$19,0),MATCH($C75,'Type Chart'!$B$4:$P$4,0))*IF($D75="",1,INDEX('Type Chart'!$B$5:$P$19,MATCH(P$4,'Type Chart'!$A$5:$A$19,0),MATCH($D75,'Type Chart'!$B$4:$P$4,0)))</f>
        <v>4</v>
      </c>
      <c r="Q75" s="21" t="n">
        <f aca="false">INDEX('Type Chart'!$B$5:$P$19,MATCH(Q$4,'Type Chart'!$A$5:$A$19,0),MATCH($C75,'Type Chart'!$B$4:$P$4,0))*IF($D75="",1,INDEX('Type Chart'!$B$5:$P$19,MATCH(Q$4,'Type Chart'!$A$5:$A$19,0),MATCH($D75,'Type Chart'!$B$4:$P$4,0)))</f>
        <v>1</v>
      </c>
      <c r="R75" s="21" t="n">
        <f aca="false">INDEX('Type Chart'!$B$5:$P$19,MATCH(R$4,'Type Chart'!$A$5:$A$19,0),MATCH($C75,'Type Chart'!$B$4:$P$4,0))*IF($D75="",1,INDEX('Type Chart'!$B$5:$P$19,MATCH(R$4,'Type Chart'!$A$5:$A$19,0),MATCH($D75,'Type Chart'!$B$4:$P$4,0)))</f>
        <v>1</v>
      </c>
      <c r="S75" s="21" t="n">
        <f aca="false">INDEX('Type Chart'!$B$5:$P$19,MATCH(S$4,'Type Chart'!$A$5:$A$19,0),MATCH($C75,'Type Chart'!$B$4:$P$4,0))*IF($D75="",1,INDEX('Type Chart'!$B$5:$P$19,MATCH(S$4,'Type Chart'!$A$5:$A$19,0),MATCH($D75,'Type Chart'!$B$4:$P$4,0)))</f>
        <v>1</v>
      </c>
    </row>
    <row r="76" customFormat="false" ht="15" hidden="false" customHeight="false" outlineLevel="0" collapsed="false">
      <c r="A76" s="19" t="n">
        <v>72</v>
      </c>
      <c r="B76" s="19" t="s">
        <v>163</v>
      </c>
      <c r="C76" s="20" t="str">
        <f aca="false">Pokedex!C76</f>
        <v>Water</v>
      </c>
      <c r="D76" s="20" t="str">
        <f aca="false">Pokedex!D76</f>
        <v>Poison</v>
      </c>
      <c r="E76" s="21" t="n">
        <f aca="false">INDEX('Type Chart'!$B$5:$P$19,MATCH(E$4,'Type Chart'!$A$5:$A$19,0),MATCH($C76,'Type Chart'!$B$4:$P$4,0))*IF($D76="",1,INDEX('Type Chart'!$B$5:$P$19,MATCH(E$4,'Type Chart'!$A$5:$A$19,0),MATCH($D76,'Type Chart'!$B$4:$P$4,0)))</f>
        <v>1</v>
      </c>
      <c r="F76" s="21" t="n">
        <f aca="false">INDEX('Type Chart'!$B$5:$P$19,MATCH(F$4,'Type Chart'!$A$5:$A$19,0),MATCH($C76,'Type Chart'!$B$4:$P$4,0))*IF($D76="",1,INDEX('Type Chart'!$B$5:$P$19,MATCH(F$4,'Type Chart'!$A$5:$A$19,0),MATCH($D76,'Type Chart'!$B$4:$P$4,0)))</f>
        <v>0.5</v>
      </c>
      <c r="G76" s="21" t="n">
        <f aca="false">INDEX('Type Chart'!$B$5:$P$19,MATCH(G$4,'Type Chart'!$A$5:$A$19,0),MATCH($C76,'Type Chart'!$B$4:$P$4,0))*IF($D76="",1,INDEX('Type Chart'!$B$5:$P$19,MATCH(G$4,'Type Chart'!$A$5:$A$19,0),MATCH($D76,'Type Chart'!$B$4:$P$4,0)))</f>
        <v>0.5</v>
      </c>
      <c r="H76" s="21" t="n">
        <f aca="false">INDEX('Type Chart'!$B$5:$P$19,MATCH(H$4,'Type Chart'!$A$5:$A$19,0),MATCH($C76,'Type Chart'!$B$4:$P$4,0))*IF($D76="",1,INDEX('Type Chart'!$B$5:$P$19,MATCH(H$4,'Type Chart'!$A$5:$A$19,0),MATCH($D76,'Type Chart'!$B$4:$P$4,0)))</f>
        <v>2</v>
      </c>
      <c r="I76" s="21" t="n">
        <f aca="false">INDEX('Type Chart'!$B$5:$P$19,MATCH(I$4,'Type Chart'!$A$5:$A$19,0),MATCH($C76,'Type Chart'!$B$4:$P$4,0))*IF($D76="",1,INDEX('Type Chart'!$B$5:$P$19,MATCH(I$4,'Type Chart'!$A$5:$A$19,0),MATCH($D76,'Type Chart'!$B$4:$P$4,0)))</f>
        <v>1</v>
      </c>
      <c r="J76" s="21" t="n">
        <f aca="false">INDEX('Type Chart'!$B$5:$P$19,MATCH(J$4,'Type Chart'!$A$5:$A$19,0),MATCH($C76,'Type Chart'!$B$4:$P$4,0))*IF($D76="",1,INDEX('Type Chart'!$B$5:$P$19,MATCH(J$4,'Type Chart'!$A$5:$A$19,0),MATCH($D76,'Type Chart'!$B$4:$P$4,0)))</f>
        <v>0.5</v>
      </c>
      <c r="K76" s="21" t="n">
        <f aca="false">INDEX('Type Chart'!$B$5:$P$19,MATCH(K$4,'Type Chart'!$A$5:$A$19,0),MATCH($C76,'Type Chart'!$B$4:$P$4,0))*IF($D76="",1,INDEX('Type Chart'!$B$5:$P$19,MATCH(K$4,'Type Chart'!$A$5:$A$19,0),MATCH($D76,'Type Chart'!$B$4:$P$4,0)))</f>
        <v>0.5</v>
      </c>
      <c r="L76" s="21" t="n">
        <f aca="false">INDEX('Type Chart'!$B$5:$P$19,MATCH(L$4,'Type Chart'!$A$5:$A$19,0),MATCH($C76,'Type Chart'!$B$4:$P$4,0))*IF($D76="",1,INDEX('Type Chart'!$B$5:$P$19,MATCH(L$4,'Type Chart'!$A$5:$A$19,0),MATCH($D76,'Type Chart'!$B$4:$P$4,0)))</f>
        <v>0.5</v>
      </c>
      <c r="M76" s="21" t="n">
        <f aca="false">INDEX('Type Chart'!$B$5:$P$19,MATCH(M$4,'Type Chart'!$A$5:$A$19,0),MATCH($C76,'Type Chart'!$B$4:$P$4,0))*IF($D76="",1,INDEX('Type Chart'!$B$5:$P$19,MATCH(M$4,'Type Chart'!$A$5:$A$19,0),MATCH($D76,'Type Chart'!$B$4:$P$4,0)))</f>
        <v>2</v>
      </c>
      <c r="N76" s="21" t="n">
        <f aca="false">INDEX('Type Chart'!$B$5:$P$19,MATCH(N$4,'Type Chart'!$A$5:$A$19,0),MATCH($C76,'Type Chart'!$B$4:$P$4,0))*IF($D76="",1,INDEX('Type Chart'!$B$5:$P$19,MATCH(N$4,'Type Chart'!$A$5:$A$19,0),MATCH($D76,'Type Chart'!$B$4:$P$4,0)))</f>
        <v>1</v>
      </c>
      <c r="O76" s="21" t="n">
        <f aca="false">INDEX('Type Chart'!$B$5:$P$19,MATCH(O$4,'Type Chart'!$A$5:$A$19,0),MATCH($C76,'Type Chart'!$B$4:$P$4,0))*IF($D76="",1,INDEX('Type Chart'!$B$5:$P$19,MATCH(O$4,'Type Chart'!$A$5:$A$19,0),MATCH($D76,'Type Chart'!$B$4:$P$4,0)))</f>
        <v>2</v>
      </c>
      <c r="P76" s="21" t="n">
        <f aca="false">INDEX('Type Chart'!$B$5:$P$19,MATCH(P$4,'Type Chart'!$A$5:$A$19,0),MATCH($C76,'Type Chart'!$B$4:$P$4,0))*IF($D76="",1,INDEX('Type Chart'!$B$5:$P$19,MATCH(P$4,'Type Chart'!$A$5:$A$19,0),MATCH($D76,'Type Chart'!$B$4:$P$4,0)))</f>
        <v>2</v>
      </c>
      <c r="Q76" s="21" t="n">
        <f aca="false">INDEX('Type Chart'!$B$5:$P$19,MATCH(Q$4,'Type Chart'!$A$5:$A$19,0),MATCH($C76,'Type Chart'!$B$4:$P$4,0))*IF($D76="",1,INDEX('Type Chart'!$B$5:$P$19,MATCH(Q$4,'Type Chart'!$A$5:$A$19,0),MATCH($D76,'Type Chart'!$B$4:$P$4,0)))</f>
        <v>1</v>
      </c>
      <c r="R76" s="21" t="n">
        <f aca="false">INDEX('Type Chart'!$B$5:$P$19,MATCH(R$4,'Type Chart'!$A$5:$A$19,0),MATCH($C76,'Type Chart'!$B$4:$P$4,0))*IF($D76="",1,INDEX('Type Chart'!$B$5:$P$19,MATCH(R$4,'Type Chart'!$A$5:$A$19,0),MATCH($D76,'Type Chart'!$B$4:$P$4,0)))</f>
        <v>1</v>
      </c>
      <c r="S76" s="21" t="n">
        <f aca="false">INDEX('Type Chart'!$B$5:$P$19,MATCH(S$4,'Type Chart'!$A$5:$A$19,0),MATCH($C76,'Type Chart'!$B$4:$P$4,0))*IF($D76="",1,INDEX('Type Chart'!$B$5:$P$19,MATCH(S$4,'Type Chart'!$A$5:$A$19,0),MATCH($D76,'Type Chart'!$B$4:$P$4,0)))</f>
        <v>1</v>
      </c>
    </row>
    <row r="77" customFormat="false" ht="15" hidden="false" customHeight="false" outlineLevel="0" collapsed="false">
      <c r="A77" s="19" t="n">
        <v>73</v>
      </c>
      <c r="B77" s="19" t="s">
        <v>164</v>
      </c>
      <c r="C77" s="20" t="str">
        <f aca="false">Pokedex!C77</f>
        <v>Water</v>
      </c>
      <c r="D77" s="20" t="str">
        <f aca="false">Pokedex!D77</f>
        <v>Poison</v>
      </c>
      <c r="E77" s="21" t="n">
        <f aca="false">INDEX('Type Chart'!$B$5:$P$19,MATCH(E$4,'Type Chart'!$A$5:$A$19,0),MATCH($C77,'Type Chart'!$B$4:$P$4,0))*IF($D77="",1,INDEX('Type Chart'!$B$5:$P$19,MATCH(E$4,'Type Chart'!$A$5:$A$19,0),MATCH($D77,'Type Chart'!$B$4:$P$4,0)))</f>
        <v>1</v>
      </c>
      <c r="F77" s="21" t="n">
        <f aca="false">INDEX('Type Chart'!$B$5:$P$19,MATCH(F$4,'Type Chart'!$A$5:$A$19,0),MATCH($C77,'Type Chart'!$B$4:$P$4,0))*IF($D77="",1,INDEX('Type Chart'!$B$5:$P$19,MATCH(F$4,'Type Chart'!$A$5:$A$19,0),MATCH($D77,'Type Chart'!$B$4:$P$4,0)))</f>
        <v>0.5</v>
      </c>
      <c r="G77" s="21" t="n">
        <f aca="false">INDEX('Type Chart'!$B$5:$P$19,MATCH(G$4,'Type Chart'!$A$5:$A$19,0),MATCH($C77,'Type Chart'!$B$4:$P$4,0))*IF($D77="",1,INDEX('Type Chart'!$B$5:$P$19,MATCH(G$4,'Type Chart'!$A$5:$A$19,0),MATCH($D77,'Type Chart'!$B$4:$P$4,0)))</f>
        <v>0.5</v>
      </c>
      <c r="H77" s="21" t="n">
        <f aca="false">INDEX('Type Chart'!$B$5:$P$19,MATCH(H$4,'Type Chart'!$A$5:$A$19,0),MATCH($C77,'Type Chart'!$B$4:$P$4,0))*IF($D77="",1,INDEX('Type Chart'!$B$5:$P$19,MATCH(H$4,'Type Chart'!$A$5:$A$19,0),MATCH($D77,'Type Chart'!$B$4:$P$4,0)))</f>
        <v>2</v>
      </c>
      <c r="I77" s="21" t="n">
        <f aca="false">INDEX('Type Chart'!$B$5:$P$19,MATCH(I$4,'Type Chart'!$A$5:$A$19,0),MATCH($C77,'Type Chart'!$B$4:$P$4,0))*IF($D77="",1,INDEX('Type Chart'!$B$5:$P$19,MATCH(I$4,'Type Chart'!$A$5:$A$19,0),MATCH($D77,'Type Chart'!$B$4:$P$4,0)))</f>
        <v>1</v>
      </c>
      <c r="J77" s="21" t="n">
        <f aca="false">INDEX('Type Chart'!$B$5:$P$19,MATCH(J$4,'Type Chart'!$A$5:$A$19,0),MATCH($C77,'Type Chart'!$B$4:$P$4,0))*IF($D77="",1,INDEX('Type Chart'!$B$5:$P$19,MATCH(J$4,'Type Chart'!$A$5:$A$19,0),MATCH($D77,'Type Chart'!$B$4:$P$4,0)))</f>
        <v>0.5</v>
      </c>
      <c r="K77" s="21" t="n">
        <f aca="false">INDEX('Type Chart'!$B$5:$P$19,MATCH(K$4,'Type Chart'!$A$5:$A$19,0),MATCH($C77,'Type Chart'!$B$4:$P$4,0))*IF($D77="",1,INDEX('Type Chart'!$B$5:$P$19,MATCH(K$4,'Type Chart'!$A$5:$A$19,0),MATCH($D77,'Type Chart'!$B$4:$P$4,0)))</f>
        <v>0.5</v>
      </c>
      <c r="L77" s="21" t="n">
        <f aca="false">INDEX('Type Chart'!$B$5:$P$19,MATCH(L$4,'Type Chart'!$A$5:$A$19,0),MATCH($C77,'Type Chart'!$B$4:$P$4,0))*IF($D77="",1,INDEX('Type Chart'!$B$5:$P$19,MATCH(L$4,'Type Chart'!$A$5:$A$19,0),MATCH($D77,'Type Chart'!$B$4:$P$4,0)))</f>
        <v>0.5</v>
      </c>
      <c r="M77" s="21" t="n">
        <f aca="false">INDEX('Type Chart'!$B$5:$P$19,MATCH(M$4,'Type Chart'!$A$5:$A$19,0),MATCH($C77,'Type Chart'!$B$4:$P$4,0))*IF($D77="",1,INDEX('Type Chart'!$B$5:$P$19,MATCH(M$4,'Type Chart'!$A$5:$A$19,0),MATCH($D77,'Type Chart'!$B$4:$P$4,0)))</f>
        <v>2</v>
      </c>
      <c r="N77" s="21" t="n">
        <f aca="false">INDEX('Type Chart'!$B$5:$P$19,MATCH(N$4,'Type Chart'!$A$5:$A$19,0),MATCH($C77,'Type Chart'!$B$4:$P$4,0))*IF($D77="",1,INDEX('Type Chart'!$B$5:$P$19,MATCH(N$4,'Type Chart'!$A$5:$A$19,0),MATCH($D77,'Type Chart'!$B$4:$P$4,0)))</f>
        <v>1</v>
      </c>
      <c r="O77" s="21" t="n">
        <f aca="false">INDEX('Type Chart'!$B$5:$P$19,MATCH(O$4,'Type Chart'!$A$5:$A$19,0),MATCH($C77,'Type Chart'!$B$4:$P$4,0))*IF($D77="",1,INDEX('Type Chart'!$B$5:$P$19,MATCH(O$4,'Type Chart'!$A$5:$A$19,0),MATCH($D77,'Type Chart'!$B$4:$P$4,0)))</f>
        <v>2</v>
      </c>
      <c r="P77" s="21" t="n">
        <f aca="false">INDEX('Type Chart'!$B$5:$P$19,MATCH(P$4,'Type Chart'!$A$5:$A$19,0),MATCH($C77,'Type Chart'!$B$4:$P$4,0))*IF($D77="",1,INDEX('Type Chart'!$B$5:$P$19,MATCH(P$4,'Type Chart'!$A$5:$A$19,0),MATCH($D77,'Type Chart'!$B$4:$P$4,0)))</f>
        <v>2</v>
      </c>
      <c r="Q77" s="21" t="n">
        <f aca="false">INDEX('Type Chart'!$B$5:$P$19,MATCH(Q$4,'Type Chart'!$A$5:$A$19,0),MATCH($C77,'Type Chart'!$B$4:$P$4,0))*IF($D77="",1,INDEX('Type Chart'!$B$5:$P$19,MATCH(Q$4,'Type Chart'!$A$5:$A$19,0),MATCH($D77,'Type Chart'!$B$4:$P$4,0)))</f>
        <v>1</v>
      </c>
      <c r="R77" s="21" t="n">
        <f aca="false">INDEX('Type Chart'!$B$5:$P$19,MATCH(R$4,'Type Chart'!$A$5:$A$19,0),MATCH($C77,'Type Chart'!$B$4:$P$4,0))*IF($D77="",1,INDEX('Type Chart'!$B$5:$P$19,MATCH(R$4,'Type Chart'!$A$5:$A$19,0),MATCH($D77,'Type Chart'!$B$4:$P$4,0)))</f>
        <v>1</v>
      </c>
      <c r="S77" s="21" t="n">
        <f aca="false">INDEX('Type Chart'!$B$5:$P$19,MATCH(S$4,'Type Chart'!$A$5:$A$19,0),MATCH($C77,'Type Chart'!$B$4:$P$4,0))*IF($D77="",1,INDEX('Type Chart'!$B$5:$P$19,MATCH(S$4,'Type Chart'!$A$5:$A$19,0),MATCH($D77,'Type Chart'!$B$4:$P$4,0)))</f>
        <v>1</v>
      </c>
    </row>
    <row r="78" customFormat="false" ht="15" hidden="false" customHeight="false" outlineLevel="0" collapsed="false">
      <c r="A78" s="19" t="n">
        <v>74</v>
      </c>
      <c r="B78" s="19" t="s">
        <v>165</v>
      </c>
      <c r="C78" s="20" t="str">
        <f aca="false">Pokedex!C78</f>
        <v>Rock</v>
      </c>
      <c r="D78" s="20" t="str">
        <f aca="false">Pokedex!D78</f>
        <v>Ground</v>
      </c>
      <c r="E78" s="21" t="n">
        <f aca="false">INDEX('Type Chart'!$B$5:$P$19,MATCH(E$4,'Type Chart'!$A$5:$A$19,0),MATCH($C78,'Type Chart'!$B$4:$P$4,0))*IF($D78="",1,INDEX('Type Chart'!$B$5:$P$19,MATCH(E$4,'Type Chart'!$A$5:$A$19,0),MATCH($D78,'Type Chart'!$B$4:$P$4,0)))</f>
        <v>0.5</v>
      </c>
      <c r="F78" s="21" t="n">
        <f aca="false">INDEX('Type Chart'!$B$5:$P$19,MATCH(F$4,'Type Chart'!$A$5:$A$19,0),MATCH($C78,'Type Chart'!$B$4:$P$4,0))*IF($D78="",1,INDEX('Type Chart'!$B$5:$P$19,MATCH(F$4,'Type Chart'!$A$5:$A$19,0),MATCH($D78,'Type Chart'!$B$4:$P$4,0)))</f>
        <v>0.5</v>
      </c>
      <c r="G78" s="21" t="n">
        <f aca="false">INDEX('Type Chart'!$B$5:$P$19,MATCH(G$4,'Type Chart'!$A$5:$A$19,0),MATCH($C78,'Type Chart'!$B$4:$P$4,0))*IF($D78="",1,INDEX('Type Chart'!$B$5:$P$19,MATCH(G$4,'Type Chart'!$A$5:$A$19,0),MATCH($D78,'Type Chart'!$B$4:$P$4,0)))</f>
        <v>4</v>
      </c>
      <c r="H78" s="21" t="n">
        <f aca="false">INDEX('Type Chart'!$B$5:$P$19,MATCH(H$4,'Type Chart'!$A$5:$A$19,0),MATCH($C78,'Type Chart'!$B$4:$P$4,0))*IF($D78="",1,INDEX('Type Chart'!$B$5:$P$19,MATCH(H$4,'Type Chart'!$A$5:$A$19,0),MATCH($D78,'Type Chart'!$B$4:$P$4,0)))</f>
        <v>0</v>
      </c>
      <c r="I78" s="21" t="n">
        <f aca="false">INDEX('Type Chart'!$B$5:$P$19,MATCH(I$4,'Type Chart'!$A$5:$A$19,0),MATCH($C78,'Type Chart'!$B$4:$P$4,0))*IF($D78="",1,INDEX('Type Chart'!$B$5:$P$19,MATCH(I$4,'Type Chart'!$A$5:$A$19,0),MATCH($D78,'Type Chart'!$B$4:$P$4,0)))</f>
        <v>4</v>
      </c>
      <c r="J78" s="21" t="n">
        <f aca="false">INDEX('Type Chart'!$B$5:$P$19,MATCH(J$4,'Type Chart'!$A$5:$A$19,0),MATCH($C78,'Type Chart'!$B$4:$P$4,0))*IF($D78="",1,INDEX('Type Chart'!$B$5:$P$19,MATCH(J$4,'Type Chart'!$A$5:$A$19,0),MATCH($D78,'Type Chart'!$B$4:$P$4,0)))</f>
        <v>2</v>
      </c>
      <c r="K78" s="21" t="n">
        <f aca="false">INDEX('Type Chart'!$B$5:$P$19,MATCH(K$4,'Type Chart'!$A$5:$A$19,0),MATCH($C78,'Type Chart'!$B$4:$P$4,0))*IF($D78="",1,INDEX('Type Chart'!$B$5:$P$19,MATCH(K$4,'Type Chart'!$A$5:$A$19,0),MATCH($D78,'Type Chart'!$B$4:$P$4,0)))</f>
        <v>2</v>
      </c>
      <c r="L78" s="21" t="n">
        <f aca="false">INDEX('Type Chart'!$B$5:$P$19,MATCH(L$4,'Type Chart'!$A$5:$A$19,0),MATCH($C78,'Type Chart'!$B$4:$P$4,0))*IF($D78="",1,INDEX('Type Chart'!$B$5:$P$19,MATCH(L$4,'Type Chart'!$A$5:$A$19,0),MATCH($D78,'Type Chart'!$B$4:$P$4,0)))</f>
        <v>0.25</v>
      </c>
      <c r="M78" s="21" t="n">
        <f aca="false">INDEX('Type Chart'!$B$5:$P$19,MATCH(M$4,'Type Chart'!$A$5:$A$19,0),MATCH($C78,'Type Chart'!$B$4:$P$4,0))*IF($D78="",1,INDEX('Type Chart'!$B$5:$P$19,MATCH(M$4,'Type Chart'!$A$5:$A$19,0),MATCH($D78,'Type Chart'!$B$4:$P$4,0)))</f>
        <v>2</v>
      </c>
      <c r="N78" s="21" t="n">
        <f aca="false">INDEX('Type Chart'!$B$5:$P$19,MATCH(N$4,'Type Chart'!$A$5:$A$19,0),MATCH($C78,'Type Chart'!$B$4:$P$4,0))*IF($D78="",1,INDEX('Type Chart'!$B$5:$P$19,MATCH(N$4,'Type Chart'!$A$5:$A$19,0),MATCH($D78,'Type Chart'!$B$4:$P$4,0)))</f>
        <v>0.5</v>
      </c>
      <c r="O78" s="21" t="n">
        <f aca="false">INDEX('Type Chart'!$B$5:$P$19,MATCH(O$4,'Type Chart'!$A$5:$A$19,0),MATCH($C78,'Type Chart'!$B$4:$P$4,0))*IF($D78="",1,INDEX('Type Chart'!$B$5:$P$19,MATCH(O$4,'Type Chart'!$A$5:$A$19,0),MATCH($D78,'Type Chart'!$B$4:$P$4,0)))</f>
        <v>1</v>
      </c>
      <c r="P78" s="21" t="n">
        <f aca="false">INDEX('Type Chart'!$B$5:$P$19,MATCH(P$4,'Type Chart'!$A$5:$A$19,0),MATCH($C78,'Type Chart'!$B$4:$P$4,0))*IF($D78="",1,INDEX('Type Chart'!$B$5:$P$19,MATCH(P$4,'Type Chart'!$A$5:$A$19,0),MATCH($D78,'Type Chart'!$B$4:$P$4,0)))</f>
        <v>1</v>
      </c>
      <c r="Q78" s="21" t="n">
        <f aca="false">INDEX('Type Chart'!$B$5:$P$19,MATCH(Q$4,'Type Chart'!$A$5:$A$19,0),MATCH($C78,'Type Chart'!$B$4:$P$4,0))*IF($D78="",1,INDEX('Type Chart'!$B$5:$P$19,MATCH(Q$4,'Type Chart'!$A$5:$A$19,0),MATCH($D78,'Type Chart'!$B$4:$P$4,0)))</f>
        <v>0.5</v>
      </c>
      <c r="R78" s="21" t="n">
        <f aca="false">INDEX('Type Chart'!$B$5:$P$19,MATCH(R$4,'Type Chart'!$A$5:$A$19,0),MATCH($C78,'Type Chart'!$B$4:$P$4,0))*IF($D78="",1,INDEX('Type Chart'!$B$5:$P$19,MATCH(R$4,'Type Chart'!$A$5:$A$19,0),MATCH($D78,'Type Chart'!$B$4:$P$4,0)))</f>
        <v>1</v>
      </c>
      <c r="S78" s="21" t="n">
        <f aca="false">INDEX('Type Chart'!$B$5:$P$19,MATCH(S$4,'Type Chart'!$A$5:$A$19,0),MATCH($C78,'Type Chart'!$B$4:$P$4,0))*IF($D78="",1,INDEX('Type Chart'!$B$5:$P$19,MATCH(S$4,'Type Chart'!$A$5:$A$19,0),MATCH($D78,'Type Chart'!$B$4:$P$4,0)))</f>
        <v>1</v>
      </c>
    </row>
    <row r="79" customFormat="false" ht="15" hidden="false" customHeight="false" outlineLevel="0" collapsed="false">
      <c r="A79" s="19" t="n">
        <v>75</v>
      </c>
      <c r="B79" s="19" t="s">
        <v>166</v>
      </c>
      <c r="C79" s="20" t="str">
        <f aca="false">Pokedex!C79</f>
        <v>Rock</v>
      </c>
      <c r="D79" s="20" t="str">
        <f aca="false">Pokedex!D79</f>
        <v>Ground</v>
      </c>
      <c r="E79" s="21" t="n">
        <f aca="false">INDEX('Type Chart'!$B$5:$P$19,MATCH(E$4,'Type Chart'!$A$5:$A$19,0),MATCH($C79,'Type Chart'!$B$4:$P$4,0))*IF($D79="",1,INDEX('Type Chart'!$B$5:$P$19,MATCH(E$4,'Type Chart'!$A$5:$A$19,0),MATCH($D79,'Type Chart'!$B$4:$P$4,0)))</f>
        <v>0.5</v>
      </c>
      <c r="F79" s="21" t="n">
        <f aca="false">INDEX('Type Chart'!$B$5:$P$19,MATCH(F$4,'Type Chart'!$A$5:$A$19,0),MATCH($C79,'Type Chart'!$B$4:$P$4,0))*IF($D79="",1,INDEX('Type Chart'!$B$5:$P$19,MATCH(F$4,'Type Chart'!$A$5:$A$19,0),MATCH($D79,'Type Chart'!$B$4:$P$4,0)))</f>
        <v>0.5</v>
      </c>
      <c r="G79" s="21" t="n">
        <f aca="false">INDEX('Type Chart'!$B$5:$P$19,MATCH(G$4,'Type Chart'!$A$5:$A$19,0),MATCH($C79,'Type Chart'!$B$4:$P$4,0))*IF($D79="",1,INDEX('Type Chart'!$B$5:$P$19,MATCH(G$4,'Type Chart'!$A$5:$A$19,0),MATCH($D79,'Type Chart'!$B$4:$P$4,0)))</f>
        <v>4</v>
      </c>
      <c r="H79" s="21" t="n">
        <f aca="false">INDEX('Type Chart'!$B$5:$P$19,MATCH(H$4,'Type Chart'!$A$5:$A$19,0),MATCH($C79,'Type Chart'!$B$4:$P$4,0))*IF($D79="",1,INDEX('Type Chart'!$B$5:$P$19,MATCH(H$4,'Type Chart'!$A$5:$A$19,0),MATCH($D79,'Type Chart'!$B$4:$P$4,0)))</f>
        <v>0</v>
      </c>
      <c r="I79" s="21" t="n">
        <f aca="false">INDEX('Type Chart'!$B$5:$P$19,MATCH(I$4,'Type Chart'!$A$5:$A$19,0),MATCH($C79,'Type Chart'!$B$4:$P$4,0))*IF($D79="",1,INDEX('Type Chart'!$B$5:$P$19,MATCH(I$4,'Type Chart'!$A$5:$A$19,0),MATCH($D79,'Type Chart'!$B$4:$P$4,0)))</f>
        <v>4</v>
      </c>
      <c r="J79" s="21" t="n">
        <f aca="false">INDEX('Type Chart'!$B$5:$P$19,MATCH(J$4,'Type Chart'!$A$5:$A$19,0),MATCH($C79,'Type Chart'!$B$4:$P$4,0))*IF($D79="",1,INDEX('Type Chart'!$B$5:$P$19,MATCH(J$4,'Type Chart'!$A$5:$A$19,0),MATCH($D79,'Type Chart'!$B$4:$P$4,0)))</f>
        <v>2</v>
      </c>
      <c r="K79" s="21" t="n">
        <f aca="false">INDEX('Type Chart'!$B$5:$P$19,MATCH(K$4,'Type Chart'!$A$5:$A$19,0),MATCH($C79,'Type Chart'!$B$4:$P$4,0))*IF($D79="",1,INDEX('Type Chart'!$B$5:$P$19,MATCH(K$4,'Type Chart'!$A$5:$A$19,0),MATCH($D79,'Type Chart'!$B$4:$P$4,0)))</f>
        <v>2</v>
      </c>
      <c r="L79" s="21" t="n">
        <f aca="false">INDEX('Type Chart'!$B$5:$P$19,MATCH(L$4,'Type Chart'!$A$5:$A$19,0),MATCH($C79,'Type Chart'!$B$4:$P$4,0))*IF($D79="",1,INDEX('Type Chart'!$B$5:$P$19,MATCH(L$4,'Type Chart'!$A$5:$A$19,0),MATCH($D79,'Type Chart'!$B$4:$P$4,0)))</f>
        <v>0.25</v>
      </c>
      <c r="M79" s="21" t="n">
        <f aca="false">INDEX('Type Chart'!$B$5:$P$19,MATCH(M$4,'Type Chart'!$A$5:$A$19,0),MATCH($C79,'Type Chart'!$B$4:$P$4,0))*IF($D79="",1,INDEX('Type Chart'!$B$5:$P$19,MATCH(M$4,'Type Chart'!$A$5:$A$19,0),MATCH($D79,'Type Chart'!$B$4:$P$4,0)))</f>
        <v>2</v>
      </c>
      <c r="N79" s="21" t="n">
        <f aca="false">INDEX('Type Chart'!$B$5:$P$19,MATCH(N$4,'Type Chart'!$A$5:$A$19,0),MATCH($C79,'Type Chart'!$B$4:$P$4,0))*IF($D79="",1,INDEX('Type Chart'!$B$5:$P$19,MATCH(N$4,'Type Chart'!$A$5:$A$19,0),MATCH($D79,'Type Chart'!$B$4:$P$4,0)))</f>
        <v>0.5</v>
      </c>
      <c r="O79" s="21" t="n">
        <f aca="false">INDEX('Type Chart'!$B$5:$P$19,MATCH(O$4,'Type Chart'!$A$5:$A$19,0),MATCH($C79,'Type Chart'!$B$4:$P$4,0))*IF($D79="",1,INDEX('Type Chart'!$B$5:$P$19,MATCH(O$4,'Type Chart'!$A$5:$A$19,0),MATCH($D79,'Type Chart'!$B$4:$P$4,0)))</f>
        <v>1</v>
      </c>
      <c r="P79" s="21" t="n">
        <f aca="false">INDEX('Type Chart'!$B$5:$P$19,MATCH(P$4,'Type Chart'!$A$5:$A$19,0),MATCH($C79,'Type Chart'!$B$4:$P$4,0))*IF($D79="",1,INDEX('Type Chart'!$B$5:$P$19,MATCH(P$4,'Type Chart'!$A$5:$A$19,0),MATCH($D79,'Type Chart'!$B$4:$P$4,0)))</f>
        <v>1</v>
      </c>
      <c r="Q79" s="21" t="n">
        <f aca="false">INDEX('Type Chart'!$B$5:$P$19,MATCH(Q$4,'Type Chart'!$A$5:$A$19,0),MATCH($C79,'Type Chart'!$B$4:$P$4,0))*IF($D79="",1,INDEX('Type Chart'!$B$5:$P$19,MATCH(Q$4,'Type Chart'!$A$5:$A$19,0),MATCH($D79,'Type Chart'!$B$4:$P$4,0)))</f>
        <v>0.5</v>
      </c>
      <c r="R79" s="21" t="n">
        <f aca="false">INDEX('Type Chart'!$B$5:$P$19,MATCH(R$4,'Type Chart'!$A$5:$A$19,0),MATCH($C79,'Type Chart'!$B$4:$P$4,0))*IF($D79="",1,INDEX('Type Chart'!$B$5:$P$19,MATCH(R$4,'Type Chart'!$A$5:$A$19,0),MATCH($D79,'Type Chart'!$B$4:$P$4,0)))</f>
        <v>1</v>
      </c>
      <c r="S79" s="21" t="n">
        <f aca="false">INDEX('Type Chart'!$B$5:$P$19,MATCH(S$4,'Type Chart'!$A$5:$A$19,0),MATCH($C79,'Type Chart'!$B$4:$P$4,0))*IF($D79="",1,INDEX('Type Chart'!$B$5:$P$19,MATCH(S$4,'Type Chart'!$A$5:$A$19,0),MATCH($D79,'Type Chart'!$B$4:$P$4,0)))</f>
        <v>1</v>
      </c>
    </row>
    <row r="80" customFormat="false" ht="15" hidden="false" customHeight="false" outlineLevel="0" collapsed="false">
      <c r="A80" s="19" t="n">
        <v>76</v>
      </c>
      <c r="B80" s="19" t="s">
        <v>167</v>
      </c>
      <c r="C80" s="20" t="str">
        <f aca="false">Pokedex!C80</f>
        <v>Rock</v>
      </c>
      <c r="D80" s="20" t="str">
        <f aca="false">Pokedex!D80</f>
        <v>Ground</v>
      </c>
      <c r="E80" s="21" t="n">
        <f aca="false">INDEX('Type Chart'!$B$5:$P$19,MATCH(E$4,'Type Chart'!$A$5:$A$19,0),MATCH($C80,'Type Chart'!$B$4:$P$4,0))*IF($D80="",1,INDEX('Type Chart'!$B$5:$P$19,MATCH(E$4,'Type Chart'!$A$5:$A$19,0),MATCH($D80,'Type Chart'!$B$4:$P$4,0)))</f>
        <v>0.5</v>
      </c>
      <c r="F80" s="21" t="n">
        <f aca="false">INDEX('Type Chart'!$B$5:$P$19,MATCH(F$4,'Type Chart'!$A$5:$A$19,0),MATCH($C80,'Type Chart'!$B$4:$P$4,0))*IF($D80="",1,INDEX('Type Chart'!$B$5:$P$19,MATCH(F$4,'Type Chart'!$A$5:$A$19,0),MATCH($D80,'Type Chart'!$B$4:$P$4,0)))</f>
        <v>0.5</v>
      </c>
      <c r="G80" s="21" t="n">
        <f aca="false">INDEX('Type Chart'!$B$5:$P$19,MATCH(G$4,'Type Chart'!$A$5:$A$19,0),MATCH($C80,'Type Chart'!$B$4:$P$4,0))*IF($D80="",1,INDEX('Type Chart'!$B$5:$P$19,MATCH(G$4,'Type Chart'!$A$5:$A$19,0),MATCH($D80,'Type Chart'!$B$4:$P$4,0)))</f>
        <v>4</v>
      </c>
      <c r="H80" s="21" t="n">
        <f aca="false">INDEX('Type Chart'!$B$5:$P$19,MATCH(H$4,'Type Chart'!$A$5:$A$19,0),MATCH($C80,'Type Chart'!$B$4:$P$4,0))*IF($D80="",1,INDEX('Type Chart'!$B$5:$P$19,MATCH(H$4,'Type Chart'!$A$5:$A$19,0),MATCH($D80,'Type Chart'!$B$4:$P$4,0)))</f>
        <v>0</v>
      </c>
      <c r="I80" s="21" t="n">
        <f aca="false">INDEX('Type Chart'!$B$5:$P$19,MATCH(I$4,'Type Chart'!$A$5:$A$19,0),MATCH($C80,'Type Chart'!$B$4:$P$4,0))*IF($D80="",1,INDEX('Type Chart'!$B$5:$P$19,MATCH(I$4,'Type Chart'!$A$5:$A$19,0),MATCH($D80,'Type Chart'!$B$4:$P$4,0)))</f>
        <v>4</v>
      </c>
      <c r="J80" s="21" t="n">
        <f aca="false">INDEX('Type Chart'!$B$5:$P$19,MATCH(J$4,'Type Chart'!$A$5:$A$19,0),MATCH($C80,'Type Chart'!$B$4:$P$4,0))*IF($D80="",1,INDEX('Type Chart'!$B$5:$P$19,MATCH(J$4,'Type Chart'!$A$5:$A$19,0),MATCH($D80,'Type Chart'!$B$4:$P$4,0)))</f>
        <v>2</v>
      </c>
      <c r="K80" s="21" t="n">
        <f aca="false">INDEX('Type Chart'!$B$5:$P$19,MATCH(K$4,'Type Chart'!$A$5:$A$19,0),MATCH($C80,'Type Chart'!$B$4:$P$4,0))*IF($D80="",1,INDEX('Type Chart'!$B$5:$P$19,MATCH(K$4,'Type Chart'!$A$5:$A$19,0),MATCH($D80,'Type Chart'!$B$4:$P$4,0)))</f>
        <v>2</v>
      </c>
      <c r="L80" s="21" t="n">
        <f aca="false">INDEX('Type Chart'!$B$5:$P$19,MATCH(L$4,'Type Chart'!$A$5:$A$19,0),MATCH($C80,'Type Chart'!$B$4:$P$4,0))*IF($D80="",1,INDEX('Type Chart'!$B$5:$P$19,MATCH(L$4,'Type Chart'!$A$5:$A$19,0),MATCH($D80,'Type Chart'!$B$4:$P$4,0)))</f>
        <v>0.25</v>
      </c>
      <c r="M80" s="21" t="n">
        <f aca="false">INDEX('Type Chart'!$B$5:$P$19,MATCH(M$4,'Type Chart'!$A$5:$A$19,0),MATCH($C80,'Type Chart'!$B$4:$P$4,0))*IF($D80="",1,INDEX('Type Chart'!$B$5:$P$19,MATCH(M$4,'Type Chart'!$A$5:$A$19,0),MATCH($D80,'Type Chart'!$B$4:$P$4,0)))</f>
        <v>2</v>
      </c>
      <c r="N80" s="21" t="n">
        <f aca="false">INDEX('Type Chart'!$B$5:$P$19,MATCH(N$4,'Type Chart'!$A$5:$A$19,0),MATCH($C80,'Type Chart'!$B$4:$P$4,0))*IF($D80="",1,INDEX('Type Chart'!$B$5:$P$19,MATCH(N$4,'Type Chart'!$A$5:$A$19,0),MATCH($D80,'Type Chart'!$B$4:$P$4,0)))</f>
        <v>0.5</v>
      </c>
      <c r="O80" s="21" t="n">
        <f aca="false">INDEX('Type Chart'!$B$5:$P$19,MATCH(O$4,'Type Chart'!$A$5:$A$19,0),MATCH($C80,'Type Chart'!$B$4:$P$4,0))*IF($D80="",1,INDEX('Type Chart'!$B$5:$P$19,MATCH(O$4,'Type Chart'!$A$5:$A$19,0),MATCH($D80,'Type Chart'!$B$4:$P$4,0)))</f>
        <v>1</v>
      </c>
      <c r="P80" s="21" t="n">
        <f aca="false">INDEX('Type Chart'!$B$5:$P$19,MATCH(P$4,'Type Chart'!$A$5:$A$19,0),MATCH($C80,'Type Chart'!$B$4:$P$4,0))*IF($D80="",1,INDEX('Type Chart'!$B$5:$P$19,MATCH(P$4,'Type Chart'!$A$5:$A$19,0),MATCH($D80,'Type Chart'!$B$4:$P$4,0)))</f>
        <v>1</v>
      </c>
      <c r="Q80" s="21" t="n">
        <f aca="false">INDEX('Type Chart'!$B$5:$P$19,MATCH(Q$4,'Type Chart'!$A$5:$A$19,0),MATCH($C80,'Type Chart'!$B$4:$P$4,0))*IF($D80="",1,INDEX('Type Chart'!$B$5:$P$19,MATCH(Q$4,'Type Chart'!$A$5:$A$19,0),MATCH($D80,'Type Chart'!$B$4:$P$4,0)))</f>
        <v>0.5</v>
      </c>
      <c r="R80" s="21" t="n">
        <f aca="false">INDEX('Type Chart'!$B$5:$P$19,MATCH(R$4,'Type Chart'!$A$5:$A$19,0),MATCH($C80,'Type Chart'!$B$4:$P$4,0))*IF($D80="",1,INDEX('Type Chart'!$B$5:$P$19,MATCH(R$4,'Type Chart'!$A$5:$A$19,0),MATCH($D80,'Type Chart'!$B$4:$P$4,0)))</f>
        <v>1</v>
      </c>
      <c r="S80" s="21" t="n">
        <f aca="false">INDEX('Type Chart'!$B$5:$P$19,MATCH(S$4,'Type Chart'!$A$5:$A$19,0),MATCH($C80,'Type Chart'!$B$4:$P$4,0))*IF($D80="",1,INDEX('Type Chart'!$B$5:$P$19,MATCH(S$4,'Type Chart'!$A$5:$A$19,0),MATCH($D80,'Type Chart'!$B$4:$P$4,0)))</f>
        <v>1</v>
      </c>
    </row>
    <row r="81" customFormat="false" ht="15" hidden="false" customHeight="false" outlineLevel="0" collapsed="false">
      <c r="A81" s="19" t="n">
        <v>77</v>
      </c>
      <c r="B81" s="19" t="s">
        <v>168</v>
      </c>
      <c r="C81" s="20" t="str">
        <f aca="false">Pokedex!C81</f>
        <v>Fire</v>
      </c>
      <c r="D81" s="20" t="n">
        <f aca="false">Pokedex!D81</f>
        <v>0</v>
      </c>
      <c r="E81" s="21" t="n">
        <f aca="false">INDEX('Type Chart'!$B$5:$P$19,MATCH(E$4,'Type Chart'!$A$5:$A$19,0),MATCH($C81,'Type Chart'!$B$4:$P$4,0))*IF($D81="",1,INDEX('Type Chart'!$B$5:$P$19,MATCH(E$4,'Type Chart'!$A$5:$A$19,0),MATCH($D81,'Type Chart'!$B$4:$P$4,0)))</f>
        <v>1</v>
      </c>
      <c r="F81" s="21" t="n">
        <f aca="false">INDEX('Type Chart'!$B$5:$P$19,MATCH(F$4,'Type Chart'!$A$5:$A$19,0),MATCH($C81,'Type Chart'!$B$4:$P$4,0))*IF($D81="",1,INDEX('Type Chart'!$B$5:$P$19,MATCH(F$4,'Type Chart'!$A$5:$A$19,0),MATCH($D81,'Type Chart'!$B$4:$P$4,0)))</f>
        <v>0.5</v>
      </c>
      <c r="G81" s="21" t="n">
        <f aca="false">INDEX('Type Chart'!$B$5:$P$19,MATCH(G$4,'Type Chart'!$A$5:$A$19,0),MATCH($C81,'Type Chart'!$B$4:$P$4,0))*IF($D81="",1,INDEX('Type Chart'!$B$5:$P$19,MATCH(G$4,'Type Chart'!$A$5:$A$19,0),MATCH($D81,'Type Chart'!$B$4:$P$4,0)))</f>
        <v>2</v>
      </c>
      <c r="H81" s="21" t="n">
        <f aca="false">INDEX('Type Chart'!$B$5:$P$19,MATCH(H$4,'Type Chart'!$A$5:$A$19,0),MATCH($C81,'Type Chart'!$B$4:$P$4,0))*IF($D81="",1,INDEX('Type Chart'!$B$5:$P$19,MATCH(H$4,'Type Chart'!$A$5:$A$19,0),MATCH($D81,'Type Chart'!$B$4:$P$4,0)))</f>
        <v>1</v>
      </c>
      <c r="I81" s="21" t="n">
        <f aca="false">INDEX('Type Chart'!$B$5:$P$19,MATCH(I$4,'Type Chart'!$A$5:$A$19,0),MATCH($C81,'Type Chart'!$B$4:$P$4,0))*IF($D81="",1,INDEX('Type Chart'!$B$5:$P$19,MATCH(I$4,'Type Chart'!$A$5:$A$19,0),MATCH($D81,'Type Chart'!$B$4:$P$4,0)))</f>
        <v>0.5</v>
      </c>
      <c r="J81" s="21" t="n">
        <f aca="false">INDEX('Type Chart'!$B$5:$P$19,MATCH(J$4,'Type Chart'!$A$5:$A$19,0),MATCH($C81,'Type Chart'!$B$4:$P$4,0))*IF($D81="",1,INDEX('Type Chart'!$B$5:$P$19,MATCH(J$4,'Type Chart'!$A$5:$A$19,0),MATCH($D81,'Type Chart'!$B$4:$P$4,0)))</f>
        <v>1</v>
      </c>
      <c r="K81" s="21" t="n">
        <f aca="false">INDEX('Type Chart'!$B$5:$P$19,MATCH(K$4,'Type Chart'!$A$5:$A$19,0),MATCH($C81,'Type Chart'!$B$4:$P$4,0))*IF($D81="",1,INDEX('Type Chart'!$B$5:$P$19,MATCH(K$4,'Type Chart'!$A$5:$A$19,0),MATCH($D81,'Type Chart'!$B$4:$P$4,0)))</f>
        <v>1</v>
      </c>
      <c r="L81" s="21" t="n">
        <f aca="false">INDEX('Type Chart'!$B$5:$P$19,MATCH(L$4,'Type Chart'!$A$5:$A$19,0),MATCH($C81,'Type Chart'!$B$4:$P$4,0))*IF($D81="",1,INDEX('Type Chart'!$B$5:$P$19,MATCH(L$4,'Type Chart'!$A$5:$A$19,0),MATCH($D81,'Type Chart'!$B$4:$P$4,0)))</f>
        <v>1</v>
      </c>
      <c r="M81" s="21" t="n">
        <f aca="false">INDEX('Type Chart'!$B$5:$P$19,MATCH(M$4,'Type Chart'!$A$5:$A$19,0),MATCH($C81,'Type Chart'!$B$4:$P$4,0))*IF($D81="",1,INDEX('Type Chart'!$B$5:$P$19,MATCH(M$4,'Type Chart'!$A$5:$A$19,0),MATCH($D81,'Type Chart'!$B$4:$P$4,0)))</f>
        <v>2</v>
      </c>
      <c r="N81" s="21" t="n">
        <f aca="false">INDEX('Type Chart'!$B$5:$P$19,MATCH(N$4,'Type Chart'!$A$5:$A$19,0),MATCH($C81,'Type Chart'!$B$4:$P$4,0))*IF($D81="",1,INDEX('Type Chart'!$B$5:$P$19,MATCH(N$4,'Type Chart'!$A$5:$A$19,0),MATCH($D81,'Type Chart'!$B$4:$P$4,0)))</f>
        <v>1</v>
      </c>
      <c r="O81" s="21" t="n">
        <f aca="false">INDEX('Type Chart'!$B$5:$P$19,MATCH(O$4,'Type Chart'!$A$5:$A$19,0),MATCH($C81,'Type Chart'!$B$4:$P$4,0))*IF($D81="",1,INDEX('Type Chart'!$B$5:$P$19,MATCH(O$4,'Type Chart'!$A$5:$A$19,0),MATCH($D81,'Type Chart'!$B$4:$P$4,0)))</f>
        <v>1</v>
      </c>
      <c r="P81" s="21" t="n">
        <f aca="false">INDEX('Type Chart'!$B$5:$P$19,MATCH(P$4,'Type Chart'!$A$5:$A$19,0),MATCH($C81,'Type Chart'!$B$4:$P$4,0))*IF($D81="",1,INDEX('Type Chart'!$B$5:$P$19,MATCH(P$4,'Type Chart'!$A$5:$A$19,0),MATCH($D81,'Type Chart'!$B$4:$P$4,0)))</f>
        <v>0.5</v>
      </c>
      <c r="Q81" s="21" t="n">
        <f aca="false">INDEX('Type Chart'!$B$5:$P$19,MATCH(Q$4,'Type Chart'!$A$5:$A$19,0),MATCH($C81,'Type Chart'!$B$4:$P$4,0))*IF($D81="",1,INDEX('Type Chart'!$B$5:$P$19,MATCH(Q$4,'Type Chart'!$A$5:$A$19,0),MATCH($D81,'Type Chart'!$B$4:$P$4,0)))</f>
        <v>2</v>
      </c>
      <c r="R81" s="21" t="n">
        <f aca="false">INDEX('Type Chart'!$B$5:$P$19,MATCH(R$4,'Type Chart'!$A$5:$A$19,0),MATCH($C81,'Type Chart'!$B$4:$P$4,0))*IF($D81="",1,INDEX('Type Chart'!$B$5:$P$19,MATCH(R$4,'Type Chart'!$A$5:$A$19,0),MATCH($D81,'Type Chart'!$B$4:$P$4,0)))</f>
        <v>1</v>
      </c>
      <c r="S81" s="21" t="n">
        <f aca="false">INDEX('Type Chart'!$B$5:$P$19,MATCH(S$4,'Type Chart'!$A$5:$A$19,0),MATCH($C81,'Type Chart'!$B$4:$P$4,0))*IF($D81="",1,INDEX('Type Chart'!$B$5:$P$19,MATCH(S$4,'Type Chart'!$A$5:$A$19,0),MATCH($D81,'Type Chart'!$B$4:$P$4,0)))</f>
        <v>1</v>
      </c>
    </row>
    <row r="82" customFormat="false" ht="15" hidden="false" customHeight="false" outlineLevel="0" collapsed="false">
      <c r="A82" s="19" t="n">
        <v>78</v>
      </c>
      <c r="B82" s="19" t="s">
        <v>169</v>
      </c>
      <c r="C82" s="20" t="str">
        <f aca="false">Pokedex!C82</f>
        <v>Fire</v>
      </c>
      <c r="D82" s="20" t="n">
        <f aca="false">Pokedex!D82</f>
        <v>0</v>
      </c>
      <c r="E82" s="21" t="n">
        <f aca="false">INDEX('Type Chart'!$B$5:$P$19,MATCH(E$4,'Type Chart'!$A$5:$A$19,0),MATCH($C82,'Type Chart'!$B$4:$P$4,0))*IF($D82="",1,INDEX('Type Chart'!$B$5:$P$19,MATCH(E$4,'Type Chart'!$A$5:$A$19,0),MATCH($D82,'Type Chart'!$B$4:$P$4,0)))</f>
        <v>1</v>
      </c>
      <c r="F82" s="21" t="n">
        <f aca="false">INDEX('Type Chart'!$B$5:$P$19,MATCH(F$4,'Type Chart'!$A$5:$A$19,0),MATCH($C82,'Type Chart'!$B$4:$P$4,0))*IF($D82="",1,INDEX('Type Chart'!$B$5:$P$19,MATCH(F$4,'Type Chart'!$A$5:$A$19,0),MATCH($D82,'Type Chart'!$B$4:$P$4,0)))</f>
        <v>0.5</v>
      </c>
      <c r="G82" s="21" t="n">
        <f aca="false">INDEX('Type Chart'!$B$5:$P$19,MATCH(G$4,'Type Chart'!$A$5:$A$19,0),MATCH($C82,'Type Chart'!$B$4:$P$4,0))*IF($D82="",1,INDEX('Type Chart'!$B$5:$P$19,MATCH(G$4,'Type Chart'!$A$5:$A$19,0),MATCH($D82,'Type Chart'!$B$4:$P$4,0)))</f>
        <v>2</v>
      </c>
      <c r="H82" s="21" t="n">
        <f aca="false">INDEX('Type Chart'!$B$5:$P$19,MATCH(H$4,'Type Chart'!$A$5:$A$19,0),MATCH($C82,'Type Chart'!$B$4:$P$4,0))*IF($D82="",1,INDEX('Type Chart'!$B$5:$P$19,MATCH(H$4,'Type Chart'!$A$5:$A$19,0),MATCH($D82,'Type Chart'!$B$4:$P$4,0)))</f>
        <v>1</v>
      </c>
      <c r="I82" s="21" t="n">
        <f aca="false">INDEX('Type Chart'!$B$5:$P$19,MATCH(I$4,'Type Chart'!$A$5:$A$19,0),MATCH($C82,'Type Chart'!$B$4:$P$4,0))*IF($D82="",1,INDEX('Type Chart'!$B$5:$P$19,MATCH(I$4,'Type Chart'!$A$5:$A$19,0),MATCH($D82,'Type Chart'!$B$4:$P$4,0)))</f>
        <v>0.5</v>
      </c>
      <c r="J82" s="21" t="n">
        <f aca="false">INDEX('Type Chart'!$B$5:$P$19,MATCH(J$4,'Type Chart'!$A$5:$A$19,0),MATCH($C82,'Type Chart'!$B$4:$P$4,0))*IF($D82="",1,INDEX('Type Chart'!$B$5:$P$19,MATCH(J$4,'Type Chart'!$A$5:$A$19,0),MATCH($D82,'Type Chart'!$B$4:$P$4,0)))</f>
        <v>1</v>
      </c>
      <c r="K82" s="21" t="n">
        <f aca="false">INDEX('Type Chart'!$B$5:$P$19,MATCH(K$4,'Type Chart'!$A$5:$A$19,0),MATCH($C82,'Type Chart'!$B$4:$P$4,0))*IF($D82="",1,INDEX('Type Chart'!$B$5:$P$19,MATCH(K$4,'Type Chart'!$A$5:$A$19,0),MATCH($D82,'Type Chart'!$B$4:$P$4,0)))</f>
        <v>1</v>
      </c>
      <c r="L82" s="21" t="n">
        <f aca="false">INDEX('Type Chart'!$B$5:$P$19,MATCH(L$4,'Type Chart'!$A$5:$A$19,0),MATCH($C82,'Type Chart'!$B$4:$P$4,0))*IF($D82="",1,INDEX('Type Chart'!$B$5:$P$19,MATCH(L$4,'Type Chart'!$A$5:$A$19,0),MATCH($D82,'Type Chart'!$B$4:$P$4,0)))</f>
        <v>1</v>
      </c>
      <c r="M82" s="21" t="n">
        <f aca="false">INDEX('Type Chart'!$B$5:$P$19,MATCH(M$4,'Type Chart'!$A$5:$A$19,0),MATCH($C82,'Type Chart'!$B$4:$P$4,0))*IF($D82="",1,INDEX('Type Chart'!$B$5:$P$19,MATCH(M$4,'Type Chart'!$A$5:$A$19,0),MATCH($D82,'Type Chart'!$B$4:$P$4,0)))</f>
        <v>2</v>
      </c>
      <c r="N82" s="21" t="n">
        <f aca="false">INDEX('Type Chart'!$B$5:$P$19,MATCH(N$4,'Type Chart'!$A$5:$A$19,0),MATCH($C82,'Type Chart'!$B$4:$P$4,0))*IF($D82="",1,INDEX('Type Chart'!$B$5:$P$19,MATCH(N$4,'Type Chart'!$A$5:$A$19,0),MATCH($D82,'Type Chart'!$B$4:$P$4,0)))</f>
        <v>1</v>
      </c>
      <c r="O82" s="21" t="n">
        <f aca="false">INDEX('Type Chart'!$B$5:$P$19,MATCH(O$4,'Type Chart'!$A$5:$A$19,0),MATCH($C82,'Type Chart'!$B$4:$P$4,0))*IF($D82="",1,INDEX('Type Chart'!$B$5:$P$19,MATCH(O$4,'Type Chart'!$A$5:$A$19,0),MATCH($D82,'Type Chart'!$B$4:$P$4,0)))</f>
        <v>1</v>
      </c>
      <c r="P82" s="21" t="n">
        <f aca="false">INDEX('Type Chart'!$B$5:$P$19,MATCH(P$4,'Type Chart'!$A$5:$A$19,0),MATCH($C82,'Type Chart'!$B$4:$P$4,0))*IF($D82="",1,INDEX('Type Chart'!$B$5:$P$19,MATCH(P$4,'Type Chart'!$A$5:$A$19,0),MATCH($D82,'Type Chart'!$B$4:$P$4,0)))</f>
        <v>0.5</v>
      </c>
      <c r="Q82" s="21" t="n">
        <f aca="false">INDEX('Type Chart'!$B$5:$P$19,MATCH(Q$4,'Type Chart'!$A$5:$A$19,0),MATCH($C82,'Type Chart'!$B$4:$P$4,0))*IF($D82="",1,INDEX('Type Chart'!$B$5:$P$19,MATCH(Q$4,'Type Chart'!$A$5:$A$19,0),MATCH($D82,'Type Chart'!$B$4:$P$4,0)))</f>
        <v>2</v>
      </c>
      <c r="R82" s="21" t="n">
        <f aca="false">INDEX('Type Chart'!$B$5:$P$19,MATCH(R$4,'Type Chart'!$A$5:$A$19,0),MATCH($C82,'Type Chart'!$B$4:$P$4,0))*IF($D82="",1,INDEX('Type Chart'!$B$5:$P$19,MATCH(R$4,'Type Chart'!$A$5:$A$19,0),MATCH($D82,'Type Chart'!$B$4:$P$4,0)))</f>
        <v>1</v>
      </c>
      <c r="S82" s="21" t="n">
        <f aca="false">INDEX('Type Chart'!$B$5:$P$19,MATCH(S$4,'Type Chart'!$A$5:$A$19,0),MATCH($C82,'Type Chart'!$B$4:$P$4,0))*IF($D82="",1,INDEX('Type Chart'!$B$5:$P$19,MATCH(S$4,'Type Chart'!$A$5:$A$19,0),MATCH($D82,'Type Chart'!$B$4:$P$4,0)))</f>
        <v>1</v>
      </c>
    </row>
    <row r="83" customFormat="false" ht="15" hidden="false" customHeight="false" outlineLevel="0" collapsed="false">
      <c r="A83" s="19" t="n">
        <v>79</v>
      </c>
      <c r="B83" s="19" t="s">
        <v>170</v>
      </c>
      <c r="C83" s="20" t="str">
        <f aca="false">Pokedex!C83</f>
        <v>Water</v>
      </c>
      <c r="D83" s="20" t="str">
        <f aca="false">Pokedex!D83</f>
        <v>Psychic</v>
      </c>
      <c r="E83" s="21" t="n">
        <f aca="false">INDEX('Type Chart'!$B$5:$P$19,MATCH(E$4,'Type Chart'!$A$5:$A$19,0),MATCH($C83,'Type Chart'!$B$4:$P$4,0))*IF($D83="",1,INDEX('Type Chart'!$B$5:$P$19,MATCH(E$4,'Type Chart'!$A$5:$A$19,0),MATCH($D83,'Type Chart'!$B$4:$P$4,0)))</f>
        <v>1</v>
      </c>
      <c r="F83" s="21" t="n">
        <f aca="false">INDEX('Type Chart'!$B$5:$P$19,MATCH(F$4,'Type Chart'!$A$5:$A$19,0),MATCH($C83,'Type Chart'!$B$4:$P$4,0))*IF($D83="",1,INDEX('Type Chart'!$B$5:$P$19,MATCH(F$4,'Type Chart'!$A$5:$A$19,0),MATCH($D83,'Type Chart'!$B$4:$P$4,0)))</f>
        <v>0.5</v>
      </c>
      <c r="G83" s="21" t="n">
        <f aca="false">INDEX('Type Chart'!$B$5:$P$19,MATCH(G$4,'Type Chart'!$A$5:$A$19,0),MATCH($C83,'Type Chart'!$B$4:$P$4,0))*IF($D83="",1,INDEX('Type Chart'!$B$5:$P$19,MATCH(G$4,'Type Chart'!$A$5:$A$19,0),MATCH($D83,'Type Chart'!$B$4:$P$4,0)))</f>
        <v>0.5</v>
      </c>
      <c r="H83" s="21" t="n">
        <f aca="false">INDEX('Type Chart'!$B$5:$P$19,MATCH(H$4,'Type Chart'!$A$5:$A$19,0),MATCH($C83,'Type Chart'!$B$4:$P$4,0))*IF($D83="",1,INDEX('Type Chart'!$B$5:$P$19,MATCH(H$4,'Type Chart'!$A$5:$A$19,0),MATCH($D83,'Type Chart'!$B$4:$P$4,0)))</f>
        <v>2</v>
      </c>
      <c r="I83" s="21" t="n">
        <f aca="false">INDEX('Type Chart'!$B$5:$P$19,MATCH(I$4,'Type Chart'!$A$5:$A$19,0),MATCH($C83,'Type Chart'!$B$4:$P$4,0))*IF($D83="",1,INDEX('Type Chart'!$B$5:$P$19,MATCH(I$4,'Type Chart'!$A$5:$A$19,0),MATCH($D83,'Type Chart'!$B$4:$P$4,0)))</f>
        <v>2</v>
      </c>
      <c r="J83" s="21" t="n">
        <f aca="false">INDEX('Type Chart'!$B$5:$P$19,MATCH(J$4,'Type Chart'!$A$5:$A$19,0),MATCH($C83,'Type Chart'!$B$4:$P$4,0))*IF($D83="",1,INDEX('Type Chart'!$B$5:$P$19,MATCH(J$4,'Type Chart'!$A$5:$A$19,0),MATCH($D83,'Type Chart'!$B$4:$P$4,0)))</f>
        <v>0.5</v>
      </c>
      <c r="K83" s="21" t="n">
        <f aca="false">INDEX('Type Chart'!$B$5:$P$19,MATCH(K$4,'Type Chart'!$A$5:$A$19,0),MATCH($C83,'Type Chart'!$B$4:$P$4,0))*IF($D83="",1,INDEX('Type Chart'!$B$5:$P$19,MATCH(K$4,'Type Chart'!$A$5:$A$19,0),MATCH($D83,'Type Chart'!$B$4:$P$4,0)))</f>
        <v>0.5</v>
      </c>
      <c r="L83" s="21" t="n">
        <f aca="false">INDEX('Type Chart'!$B$5:$P$19,MATCH(L$4,'Type Chart'!$A$5:$A$19,0),MATCH($C83,'Type Chart'!$B$4:$P$4,0))*IF($D83="",1,INDEX('Type Chart'!$B$5:$P$19,MATCH(L$4,'Type Chart'!$A$5:$A$19,0),MATCH($D83,'Type Chart'!$B$4:$P$4,0)))</f>
        <v>1</v>
      </c>
      <c r="M83" s="21" t="n">
        <f aca="false">INDEX('Type Chart'!$B$5:$P$19,MATCH(M$4,'Type Chart'!$A$5:$A$19,0),MATCH($C83,'Type Chart'!$B$4:$P$4,0))*IF($D83="",1,INDEX('Type Chart'!$B$5:$P$19,MATCH(M$4,'Type Chart'!$A$5:$A$19,0),MATCH($D83,'Type Chart'!$B$4:$P$4,0)))</f>
        <v>1</v>
      </c>
      <c r="N83" s="21" t="n">
        <f aca="false">INDEX('Type Chart'!$B$5:$P$19,MATCH(N$4,'Type Chart'!$A$5:$A$19,0),MATCH($C83,'Type Chart'!$B$4:$P$4,0))*IF($D83="",1,INDEX('Type Chart'!$B$5:$P$19,MATCH(N$4,'Type Chart'!$A$5:$A$19,0),MATCH($D83,'Type Chart'!$B$4:$P$4,0)))</f>
        <v>1</v>
      </c>
      <c r="O83" s="21" t="n">
        <f aca="false">INDEX('Type Chart'!$B$5:$P$19,MATCH(O$4,'Type Chart'!$A$5:$A$19,0),MATCH($C83,'Type Chart'!$B$4:$P$4,0))*IF($D83="",1,INDEX('Type Chart'!$B$5:$P$19,MATCH(O$4,'Type Chart'!$A$5:$A$19,0),MATCH($D83,'Type Chart'!$B$4:$P$4,0)))</f>
        <v>0.5</v>
      </c>
      <c r="P83" s="21" t="n">
        <f aca="false">INDEX('Type Chart'!$B$5:$P$19,MATCH(P$4,'Type Chart'!$A$5:$A$19,0),MATCH($C83,'Type Chart'!$B$4:$P$4,0))*IF($D83="",1,INDEX('Type Chart'!$B$5:$P$19,MATCH(P$4,'Type Chart'!$A$5:$A$19,0),MATCH($D83,'Type Chart'!$B$4:$P$4,0)))</f>
        <v>2</v>
      </c>
      <c r="Q83" s="21" t="n">
        <f aca="false">INDEX('Type Chart'!$B$5:$P$19,MATCH(Q$4,'Type Chart'!$A$5:$A$19,0),MATCH($C83,'Type Chart'!$B$4:$P$4,0))*IF($D83="",1,INDEX('Type Chart'!$B$5:$P$19,MATCH(Q$4,'Type Chart'!$A$5:$A$19,0),MATCH($D83,'Type Chart'!$B$4:$P$4,0)))</f>
        <v>1</v>
      </c>
      <c r="R83" s="21" t="n">
        <f aca="false">INDEX('Type Chart'!$B$5:$P$19,MATCH(R$4,'Type Chart'!$A$5:$A$19,0),MATCH($C83,'Type Chart'!$B$4:$P$4,0))*IF($D83="",1,INDEX('Type Chart'!$B$5:$P$19,MATCH(R$4,'Type Chart'!$A$5:$A$19,0),MATCH($D83,'Type Chart'!$B$4:$P$4,0)))</f>
        <v>0</v>
      </c>
      <c r="S83" s="21" t="n">
        <f aca="false">INDEX('Type Chart'!$B$5:$P$19,MATCH(S$4,'Type Chart'!$A$5:$A$19,0),MATCH($C83,'Type Chart'!$B$4:$P$4,0))*IF($D83="",1,INDEX('Type Chart'!$B$5:$P$19,MATCH(S$4,'Type Chart'!$A$5:$A$19,0),MATCH($D83,'Type Chart'!$B$4:$P$4,0)))</f>
        <v>1</v>
      </c>
    </row>
    <row r="84" customFormat="false" ht="15" hidden="false" customHeight="false" outlineLevel="0" collapsed="false">
      <c r="A84" s="19" t="n">
        <v>80</v>
      </c>
      <c r="B84" s="19" t="s">
        <v>171</v>
      </c>
      <c r="C84" s="20" t="str">
        <f aca="false">Pokedex!C84</f>
        <v>Water</v>
      </c>
      <c r="D84" s="20" t="str">
        <f aca="false">Pokedex!D84</f>
        <v>Psychic</v>
      </c>
      <c r="E84" s="21" t="n">
        <f aca="false">INDEX('Type Chart'!$B$5:$P$19,MATCH(E$4,'Type Chart'!$A$5:$A$19,0),MATCH($C84,'Type Chart'!$B$4:$P$4,0))*IF($D84="",1,INDEX('Type Chart'!$B$5:$P$19,MATCH(E$4,'Type Chart'!$A$5:$A$19,0),MATCH($D84,'Type Chart'!$B$4:$P$4,0)))</f>
        <v>1</v>
      </c>
      <c r="F84" s="21" t="n">
        <f aca="false">INDEX('Type Chart'!$B$5:$P$19,MATCH(F$4,'Type Chart'!$A$5:$A$19,0),MATCH($C84,'Type Chart'!$B$4:$P$4,0))*IF($D84="",1,INDEX('Type Chart'!$B$5:$P$19,MATCH(F$4,'Type Chart'!$A$5:$A$19,0),MATCH($D84,'Type Chart'!$B$4:$P$4,0)))</f>
        <v>0.5</v>
      </c>
      <c r="G84" s="21" t="n">
        <f aca="false">INDEX('Type Chart'!$B$5:$P$19,MATCH(G$4,'Type Chart'!$A$5:$A$19,0),MATCH($C84,'Type Chart'!$B$4:$P$4,0))*IF($D84="",1,INDEX('Type Chart'!$B$5:$P$19,MATCH(G$4,'Type Chart'!$A$5:$A$19,0),MATCH($D84,'Type Chart'!$B$4:$P$4,0)))</f>
        <v>0.5</v>
      </c>
      <c r="H84" s="21" t="n">
        <f aca="false">INDEX('Type Chart'!$B$5:$P$19,MATCH(H$4,'Type Chart'!$A$5:$A$19,0),MATCH($C84,'Type Chart'!$B$4:$P$4,0))*IF($D84="",1,INDEX('Type Chart'!$B$5:$P$19,MATCH(H$4,'Type Chart'!$A$5:$A$19,0),MATCH($D84,'Type Chart'!$B$4:$P$4,0)))</f>
        <v>2</v>
      </c>
      <c r="I84" s="21" t="n">
        <f aca="false">INDEX('Type Chart'!$B$5:$P$19,MATCH(I$4,'Type Chart'!$A$5:$A$19,0),MATCH($C84,'Type Chart'!$B$4:$P$4,0))*IF($D84="",1,INDEX('Type Chart'!$B$5:$P$19,MATCH(I$4,'Type Chart'!$A$5:$A$19,0),MATCH($D84,'Type Chart'!$B$4:$P$4,0)))</f>
        <v>2</v>
      </c>
      <c r="J84" s="21" t="n">
        <f aca="false">INDEX('Type Chart'!$B$5:$P$19,MATCH(J$4,'Type Chart'!$A$5:$A$19,0),MATCH($C84,'Type Chart'!$B$4:$P$4,0))*IF($D84="",1,INDEX('Type Chart'!$B$5:$P$19,MATCH(J$4,'Type Chart'!$A$5:$A$19,0),MATCH($D84,'Type Chart'!$B$4:$P$4,0)))</f>
        <v>0.5</v>
      </c>
      <c r="K84" s="21" t="n">
        <f aca="false">INDEX('Type Chart'!$B$5:$P$19,MATCH(K$4,'Type Chart'!$A$5:$A$19,0),MATCH($C84,'Type Chart'!$B$4:$P$4,0))*IF($D84="",1,INDEX('Type Chart'!$B$5:$P$19,MATCH(K$4,'Type Chart'!$A$5:$A$19,0),MATCH($D84,'Type Chart'!$B$4:$P$4,0)))</f>
        <v>0.5</v>
      </c>
      <c r="L84" s="21" t="n">
        <f aca="false">INDEX('Type Chart'!$B$5:$P$19,MATCH(L$4,'Type Chart'!$A$5:$A$19,0),MATCH($C84,'Type Chart'!$B$4:$P$4,0))*IF($D84="",1,INDEX('Type Chart'!$B$5:$P$19,MATCH(L$4,'Type Chart'!$A$5:$A$19,0),MATCH($D84,'Type Chart'!$B$4:$P$4,0)))</f>
        <v>1</v>
      </c>
      <c r="M84" s="21" t="n">
        <f aca="false">INDEX('Type Chart'!$B$5:$P$19,MATCH(M$4,'Type Chart'!$A$5:$A$19,0),MATCH($C84,'Type Chart'!$B$4:$P$4,0))*IF($D84="",1,INDEX('Type Chart'!$B$5:$P$19,MATCH(M$4,'Type Chart'!$A$5:$A$19,0),MATCH($D84,'Type Chart'!$B$4:$P$4,0)))</f>
        <v>1</v>
      </c>
      <c r="N84" s="21" t="n">
        <f aca="false">INDEX('Type Chart'!$B$5:$P$19,MATCH(N$4,'Type Chart'!$A$5:$A$19,0),MATCH($C84,'Type Chart'!$B$4:$P$4,0))*IF($D84="",1,INDEX('Type Chart'!$B$5:$P$19,MATCH(N$4,'Type Chart'!$A$5:$A$19,0),MATCH($D84,'Type Chart'!$B$4:$P$4,0)))</f>
        <v>1</v>
      </c>
      <c r="O84" s="21" t="n">
        <f aca="false">INDEX('Type Chart'!$B$5:$P$19,MATCH(O$4,'Type Chart'!$A$5:$A$19,0),MATCH($C84,'Type Chart'!$B$4:$P$4,0))*IF($D84="",1,INDEX('Type Chart'!$B$5:$P$19,MATCH(O$4,'Type Chart'!$A$5:$A$19,0),MATCH($D84,'Type Chart'!$B$4:$P$4,0)))</f>
        <v>0.5</v>
      </c>
      <c r="P84" s="21" t="n">
        <f aca="false">INDEX('Type Chart'!$B$5:$P$19,MATCH(P$4,'Type Chart'!$A$5:$A$19,0),MATCH($C84,'Type Chart'!$B$4:$P$4,0))*IF($D84="",1,INDEX('Type Chart'!$B$5:$P$19,MATCH(P$4,'Type Chart'!$A$5:$A$19,0),MATCH($D84,'Type Chart'!$B$4:$P$4,0)))</f>
        <v>2</v>
      </c>
      <c r="Q84" s="21" t="n">
        <f aca="false">INDEX('Type Chart'!$B$5:$P$19,MATCH(Q$4,'Type Chart'!$A$5:$A$19,0),MATCH($C84,'Type Chart'!$B$4:$P$4,0))*IF($D84="",1,INDEX('Type Chart'!$B$5:$P$19,MATCH(Q$4,'Type Chart'!$A$5:$A$19,0),MATCH($D84,'Type Chart'!$B$4:$P$4,0)))</f>
        <v>1</v>
      </c>
      <c r="R84" s="21" t="n">
        <f aca="false">INDEX('Type Chart'!$B$5:$P$19,MATCH(R$4,'Type Chart'!$A$5:$A$19,0),MATCH($C84,'Type Chart'!$B$4:$P$4,0))*IF($D84="",1,INDEX('Type Chart'!$B$5:$P$19,MATCH(R$4,'Type Chart'!$A$5:$A$19,0),MATCH($D84,'Type Chart'!$B$4:$P$4,0)))</f>
        <v>0</v>
      </c>
      <c r="S84" s="21" t="n">
        <f aca="false">INDEX('Type Chart'!$B$5:$P$19,MATCH(S$4,'Type Chart'!$A$5:$A$19,0),MATCH($C84,'Type Chart'!$B$4:$P$4,0))*IF($D84="",1,INDEX('Type Chart'!$B$5:$P$19,MATCH(S$4,'Type Chart'!$A$5:$A$19,0),MATCH($D84,'Type Chart'!$B$4:$P$4,0)))</f>
        <v>1</v>
      </c>
    </row>
    <row r="85" customFormat="false" ht="15" hidden="false" customHeight="false" outlineLevel="0" collapsed="false">
      <c r="A85" s="19" t="n">
        <v>81</v>
      </c>
      <c r="B85" s="19" t="s">
        <v>172</v>
      </c>
      <c r="C85" s="20" t="str">
        <f aca="false">Pokedex!C85</f>
        <v>Electric</v>
      </c>
      <c r="D85" s="20" t="n">
        <f aca="false">Pokedex!D85</f>
        <v>0</v>
      </c>
      <c r="E85" s="21" t="n">
        <f aca="false">INDEX('Type Chart'!$B$5:$P$19,MATCH(E$4,'Type Chart'!$A$5:$A$19,0),MATCH($C85,'Type Chart'!$B$4:$P$4,0))*IF($D85="",1,INDEX('Type Chart'!$B$5:$P$19,MATCH(E$4,'Type Chart'!$A$5:$A$19,0),MATCH($D85,'Type Chart'!$B$4:$P$4,0)))</f>
        <v>1</v>
      </c>
      <c r="F85" s="21" t="n">
        <f aca="false">INDEX('Type Chart'!$B$5:$P$19,MATCH(F$4,'Type Chart'!$A$5:$A$19,0),MATCH($C85,'Type Chart'!$B$4:$P$4,0))*IF($D85="",1,INDEX('Type Chart'!$B$5:$P$19,MATCH(F$4,'Type Chart'!$A$5:$A$19,0),MATCH($D85,'Type Chart'!$B$4:$P$4,0)))</f>
        <v>1</v>
      </c>
      <c r="G85" s="21" t="n">
        <f aca="false">INDEX('Type Chart'!$B$5:$P$19,MATCH(G$4,'Type Chart'!$A$5:$A$19,0),MATCH($C85,'Type Chart'!$B$4:$P$4,0))*IF($D85="",1,INDEX('Type Chart'!$B$5:$P$19,MATCH(G$4,'Type Chart'!$A$5:$A$19,0),MATCH($D85,'Type Chart'!$B$4:$P$4,0)))</f>
        <v>1</v>
      </c>
      <c r="H85" s="21" t="n">
        <f aca="false">INDEX('Type Chart'!$B$5:$P$19,MATCH(H$4,'Type Chart'!$A$5:$A$19,0),MATCH($C85,'Type Chart'!$B$4:$P$4,0))*IF($D85="",1,INDEX('Type Chart'!$B$5:$P$19,MATCH(H$4,'Type Chart'!$A$5:$A$19,0),MATCH($D85,'Type Chart'!$B$4:$P$4,0)))</f>
        <v>0.5</v>
      </c>
      <c r="I85" s="21" t="n">
        <f aca="false">INDEX('Type Chart'!$B$5:$P$19,MATCH(I$4,'Type Chart'!$A$5:$A$19,0),MATCH($C85,'Type Chart'!$B$4:$P$4,0))*IF($D85="",1,INDEX('Type Chart'!$B$5:$P$19,MATCH(I$4,'Type Chart'!$A$5:$A$19,0),MATCH($D85,'Type Chart'!$B$4:$P$4,0)))</f>
        <v>1</v>
      </c>
      <c r="J85" s="21" t="n">
        <f aca="false">INDEX('Type Chart'!$B$5:$P$19,MATCH(J$4,'Type Chart'!$A$5:$A$19,0),MATCH($C85,'Type Chart'!$B$4:$P$4,0))*IF($D85="",1,INDEX('Type Chart'!$B$5:$P$19,MATCH(J$4,'Type Chart'!$A$5:$A$19,0),MATCH($D85,'Type Chart'!$B$4:$P$4,0)))</f>
        <v>1</v>
      </c>
      <c r="K85" s="21" t="n">
        <f aca="false">INDEX('Type Chart'!$B$5:$P$19,MATCH(K$4,'Type Chart'!$A$5:$A$19,0),MATCH($C85,'Type Chart'!$B$4:$P$4,0))*IF($D85="",1,INDEX('Type Chart'!$B$5:$P$19,MATCH(K$4,'Type Chart'!$A$5:$A$19,0),MATCH($D85,'Type Chart'!$B$4:$P$4,0)))</f>
        <v>1</v>
      </c>
      <c r="L85" s="21" t="n">
        <f aca="false">INDEX('Type Chart'!$B$5:$P$19,MATCH(L$4,'Type Chart'!$A$5:$A$19,0),MATCH($C85,'Type Chart'!$B$4:$P$4,0))*IF($D85="",1,INDEX('Type Chart'!$B$5:$P$19,MATCH(L$4,'Type Chart'!$A$5:$A$19,0),MATCH($D85,'Type Chart'!$B$4:$P$4,0)))</f>
        <v>1</v>
      </c>
      <c r="M85" s="21" t="n">
        <f aca="false">INDEX('Type Chart'!$B$5:$P$19,MATCH(M$4,'Type Chart'!$A$5:$A$19,0),MATCH($C85,'Type Chart'!$B$4:$P$4,0))*IF($D85="",1,INDEX('Type Chart'!$B$5:$P$19,MATCH(M$4,'Type Chart'!$A$5:$A$19,0),MATCH($D85,'Type Chart'!$B$4:$P$4,0)))</f>
        <v>2</v>
      </c>
      <c r="N85" s="21" t="n">
        <f aca="false">INDEX('Type Chart'!$B$5:$P$19,MATCH(N$4,'Type Chart'!$A$5:$A$19,0),MATCH($C85,'Type Chart'!$B$4:$P$4,0))*IF($D85="",1,INDEX('Type Chart'!$B$5:$P$19,MATCH(N$4,'Type Chart'!$A$5:$A$19,0),MATCH($D85,'Type Chart'!$B$4:$P$4,0)))</f>
        <v>0.5</v>
      </c>
      <c r="O85" s="21" t="n">
        <f aca="false">INDEX('Type Chart'!$B$5:$P$19,MATCH(O$4,'Type Chart'!$A$5:$A$19,0),MATCH($C85,'Type Chart'!$B$4:$P$4,0))*IF($D85="",1,INDEX('Type Chart'!$B$5:$P$19,MATCH(O$4,'Type Chart'!$A$5:$A$19,0),MATCH($D85,'Type Chart'!$B$4:$P$4,0)))</f>
        <v>1</v>
      </c>
      <c r="P85" s="21" t="n">
        <f aca="false">INDEX('Type Chart'!$B$5:$P$19,MATCH(P$4,'Type Chart'!$A$5:$A$19,0),MATCH($C85,'Type Chart'!$B$4:$P$4,0))*IF($D85="",1,INDEX('Type Chart'!$B$5:$P$19,MATCH(P$4,'Type Chart'!$A$5:$A$19,0),MATCH($D85,'Type Chart'!$B$4:$P$4,0)))</f>
        <v>1</v>
      </c>
      <c r="Q85" s="21" t="n">
        <f aca="false">INDEX('Type Chart'!$B$5:$P$19,MATCH(Q$4,'Type Chart'!$A$5:$A$19,0),MATCH($C85,'Type Chart'!$B$4:$P$4,0))*IF($D85="",1,INDEX('Type Chart'!$B$5:$P$19,MATCH(Q$4,'Type Chart'!$A$5:$A$19,0),MATCH($D85,'Type Chart'!$B$4:$P$4,0)))</f>
        <v>1</v>
      </c>
      <c r="R85" s="21" t="n">
        <f aca="false">INDEX('Type Chart'!$B$5:$P$19,MATCH(R$4,'Type Chart'!$A$5:$A$19,0),MATCH($C85,'Type Chart'!$B$4:$P$4,0))*IF($D85="",1,INDEX('Type Chart'!$B$5:$P$19,MATCH(R$4,'Type Chart'!$A$5:$A$19,0),MATCH($D85,'Type Chart'!$B$4:$P$4,0)))</f>
        <v>1</v>
      </c>
      <c r="S85" s="21" t="n">
        <f aca="false">INDEX('Type Chart'!$B$5:$P$19,MATCH(S$4,'Type Chart'!$A$5:$A$19,0),MATCH($C85,'Type Chart'!$B$4:$P$4,0))*IF($D85="",1,INDEX('Type Chart'!$B$5:$P$19,MATCH(S$4,'Type Chart'!$A$5:$A$19,0),MATCH($D85,'Type Chart'!$B$4:$P$4,0)))</f>
        <v>1</v>
      </c>
    </row>
    <row r="86" customFormat="false" ht="15" hidden="false" customHeight="false" outlineLevel="0" collapsed="false">
      <c r="A86" s="19" t="n">
        <v>82</v>
      </c>
      <c r="B86" s="19" t="s">
        <v>173</v>
      </c>
      <c r="C86" s="20" t="str">
        <f aca="false">Pokedex!C86</f>
        <v>Electric</v>
      </c>
      <c r="D86" s="20" t="n">
        <f aca="false">Pokedex!D86</f>
        <v>0</v>
      </c>
      <c r="E86" s="21" t="n">
        <f aca="false">INDEX('Type Chart'!$B$5:$P$19,MATCH(E$4,'Type Chart'!$A$5:$A$19,0),MATCH($C86,'Type Chart'!$B$4:$P$4,0))*IF($D86="",1,INDEX('Type Chart'!$B$5:$P$19,MATCH(E$4,'Type Chart'!$A$5:$A$19,0),MATCH($D86,'Type Chart'!$B$4:$P$4,0)))</f>
        <v>1</v>
      </c>
      <c r="F86" s="21" t="n">
        <f aca="false">INDEX('Type Chart'!$B$5:$P$19,MATCH(F$4,'Type Chart'!$A$5:$A$19,0),MATCH($C86,'Type Chart'!$B$4:$P$4,0))*IF($D86="",1,INDEX('Type Chart'!$B$5:$P$19,MATCH(F$4,'Type Chart'!$A$5:$A$19,0),MATCH($D86,'Type Chart'!$B$4:$P$4,0)))</f>
        <v>1</v>
      </c>
      <c r="G86" s="21" t="n">
        <f aca="false">INDEX('Type Chart'!$B$5:$P$19,MATCH(G$4,'Type Chart'!$A$5:$A$19,0),MATCH($C86,'Type Chart'!$B$4:$P$4,0))*IF($D86="",1,INDEX('Type Chart'!$B$5:$P$19,MATCH(G$4,'Type Chart'!$A$5:$A$19,0),MATCH($D86,'Type Chart'!$B$4:$P$4,0)))</f>
        <v>1</v>
      </c>
      <c r="H86" s="21" t="n">
        <f aca="false">INDEX('Type Chart'!$B$5:$P$19,MATCH(H$4,'Type Chart'!$A$5:$A$19,0),MATCH($C86,'Type Chart'!$B$4:$P$4,0))*IF($D86="",1,INDEX('Type Chart'!$B$5:$P$19,MATCH(H$4,'Type Chart'!$A$5:$A$19,0),MATCH($D86,'Type Chart'!$B$4:$P$4,0)))</f>
        <v>0.5</v>
      </c>
      <c r="I86" s="21" t="n">
        <f aca="false">INDEX('Type Chart'!$B$5:$P$19,MATCH(I$4,'Type Chart'!$A$5:$A$19,0),MATCH($C86,'Type Chart'!$B$4:$P$4,0))*IF($D86="",1,INDEX('Type Chart'!$B$5:$P$19,MATCH(I$4,'Type Chart'!$A$5:$A$19,0),MATCH($D86,'Type Chart'!$B$4:$P$4,0)))</f>
        <v>1</v>
      </c>
      <c r="J86" s="21" t="n">
        <f aca="false">INDEX('Type Chart'!$B$5:$P$19,MATCH(J$4,'Type Chart'!$A$5:$A$19,0),MATCH($C86,'Type Chart'!$B$4:$P$4,0))*IF($D86="",1,INDEX('Type Chart'!$B$5:$P$19,MATCH(J$4,'Type Chart'!$A$5:$A$19,0),MATCH($D86,'Type Chart'!$B$4:$P$4,0)))</f>
        <v>1</v>
      </c>
      <c r="K86" s="21" t="n">
        <f aca="false">INDEX('Type Chart'!$B$5:$P$19,MATCH(K$4,'Type Chart'!$A$5:$A$19,0),MATCH($C86,'Type Chart'!$B$4:$P$4,0))*IF($D86="",1,INDEX('Type Chart'!$B$5:$P$19,MATCH(K$4,'Type Chart'!$A$5:$A$19,0),MATCH($D86,'Type Chart'!$B$4:$P$4,0)))</f>
        <v>1</v>
      </c>
      <c r="L86" s="21" t="n">
        <f aca="false">INDEX('Type Chart'!$B$5:$P$19,MATCH(L$4,'Type Chart'!$A$5:$A$19,0),MATCH($C86,'Type Chart'!$B$4:$P$4,0))*IF($D86="",1,INDEX('Type Chart'!$B$5:$P$19,MATCH(L$4,'Type Chart'!$A$5:$A$19,0),MATCH($D86,'Type Chart'!$B$4:$P$4,0)))</f>
        <v>1</v>
      </c>
      <c r="M86" s="21" t="n">
        <f aca="false">INDEX('Type Chart'!$B$5:$P$19,MATCH(M$4,'Type Chart'!$A$5:$A$19,0),MATCH($C86,'Type Chart'!$B$4:$P$4,0))*IF($D86="",1,INDEX('Type Chart'!$B$5:$P$19,MATCH(M$4,'Type Chart'!$A$5:$A$19,0),MATCH($D86,'Type Chart'!$B$4:$P$4,0)))</f>
        <v>2</v>
      </c>
      <c r="N86" s="21" t="n">
        <f aca="false">INDEX('Type Chart'!$B$5:$P$19,MATCH(N$4,'Type Chart'!$A$5:$A$19,0),MATCH($C86,'Type Chart'!$B$4:$P$4,0))*IF($D86="",1,INDEX('Type Chart'!$B$5:$P$19,MATCH(N$4,'Type Chart'!$A$5:$A$19,0),MATCH($D86,'Type Chart'!$B$4:$P$4,0)))</f>
        <v>0.5</v>
      </c>
      <c r="O86" s="21" t="n">
        <f aca="false">INDEX('Type Chart'!$B$5:$P$19,MATCH(O$4,'Type Chart'!$A$5:$A$19,0),MATCH($C86,'Type Chart'!$B$4:$P$4,0))*IF($D86="",1,INDEX('Type Chart'!$B$5:$P$19,MATCH(O$4,'Type Chart'!$A$5:$A$19,0),MATCH($D86,'Type Chart'!$B$4:$P$4,0)))</f>
        <v>1</v>
      </c>
      <c r="P86" s="21" t="n">
        <f aca="false">INDEX('Type Chart'!$B$5:$P$19,MATCH(P$4,'Type Chart'!$A$5:$A$19,0),MATCH($C86,'Type Chart'!$B$4:$P$4,0))*IF($D86="",1,INDEX('Type Chart'!$B$5:$P$19,MATCH(P$4,'Type Chart'!$A$5:$A$19,0),MATCH($D86,'Type Chart'!$B$4:$P$4,0)))</f>
        <v>1</v>
      </c>
      <c r="Q86" s="21" t="n">
        <f aca="false">INDEX('Type Chart'!$B$5:$P$19,MATCH(Q$4,'Type Chart'!$A$5:$A$19,0),MATCH($C86,'Type Chart'!$B$4:$P$4,0))*IF($D86="",1,INDEX('Type Chart'!$B$5:$P$19,MATCH(Q$4,'Type Chart'!$A$5:$A$19,0),MATCH($D86,'Type Chart'!$B$4:$P$4,0)))</f>
        <v>1</v>
      </c>
      <c r="R86" s="21" t="n">
        <f aca="false">INDEX('Type Chart'!$B$5:$P$19,MATCH(R$4,'Type Chart'!$A$5:$A$19,0),MATCH($C86,'Type Chart'!$B$4:$P$4,0))*IF($D86="",1,INDEX('Type Chart'!$B$5:$P$19,MATCH(R$4,'Type Chart'!$A$5:$A$19,0),MATCH($D86,'Type Chart'!$B$4:$P$4,0)))</f>
        <v>1</v>
      </c>
      <c r="S86" s="21" t="n">
        <f aca="false">INDEX('Type Chart'!$B$5:$P$19,MATCH(S$4,'Type Chart'!$A$5:$A$19,0),MATCH($C86,'Type Chart'!$B$4:$P$4,0))*IF($D86="",1,INDEX('Type Chart'!$B$5:$P$19,MATCH(S$4,'Type Chart'!$A$5:$A$19,0),MATCH($D86,'Type Chart'!$B$4:$P$4,0)))</f>
        <v>1</v>
      </c>
    </row>
    <row r="87" customFormat="false" ht="15" hidden="false" customHeight="false" outlineLevel="0" collapsed="false">
      <c r="A87" s="19" t="n">
        <v>83</v>
      </c>
      <c r="B87" s="19" t="s">
        <v>174</v>
      </c>
      <c r="C87" s="20" t="str">
        <f aca="false">Pokedex!C87</f>
        <v>Normal</v>
      </c>
      <c r="D87" s="20" t="str">
        <f aca="false">Pokedex!D87</f>
        <v>Flying</v>
      </c>
      <c r="E87" s="21" t="n">
        <f aca="false">INDEX('Type Chart'!$B$5:$P$19,MATCH(E$4,'Type Chart'!$A$5:$A$19,0),MATCH($C87,'Type Chart'!$B$4:$P$4,0))*IF($D87="",1,INDEX('Type Chart'!$B$5:$P$19,MATCH(E$4,'Type Chart'!$A$5:$A$19,0),MATCH($D87,'Type Chart'!$B$4:$P$4,0)))</f>
        <v>1</v>
      </c>
      <c r="F87" s="21" t="n">
        <f aca="false">INDEX('Type Chart'!$B$5:$P$19,MATCH(F$4,'Type Chart'!$A$5:$A$19,0),MATCH($C87,'Type Chart'!$B$4:$P$4,0))*IF($D87="",1,INDEX('Type Chart'!$B$5:$P$19,MATCH(F$4,'Type Chart'!$A$5:$A$19,0),MATCH($D87,'Type Chart'!$B$4:$P$4,0)))</f>
        <v>1</v>
      </c>
      <c r="G87" s="21" t="n">
        <f aca="false">INDEX('Type Chart'!$B$5:$P$19,MATCH(G$4,'Type Chart'!$A$5:$A$19,0),MATCH($C87,'Type Chart'!$B$4:$P$4,0))*IF($D87="",1,INDEX('Type Chart'!$B$5:$P$19,MATCH(G$4,'Type Chart'!$A$5:$A$19,0),MATCH($D87,'Type Chart'!$B$4:$P$4,0)))</f>
        <v>1</v>
      </c>
      <c r="H87" s="21" t="n">
        <f aca="false">INDEX('Type Chart'!$B$5:$P$19,MATCH(H$4,'Type Chart'!$A$5:$A$19,0),MATCH($C87,'Type Chart'!$B$4:$P$4,0))*IF($D87="",1,INDEX('Type Chart'!$B$5:$P$19,MATCH(H$4,'Type Chart'!$A$5:$A$19,0),MATCH($D87,'Type Chart'!$B$4:$P$4,0)))</f>
        <v>2</v>
      </c>
      <c r="I87" s="21" t="n">
        <f aca="false">INDEX('Type Chart'!$B$5:$P$19,MATCH(I$4,'Type Chart'!$A$5:$A$19,0),MATCH($C87,'Type Chart'!$B$4:$P$4,0))*IF($D87="",1,INDEX('Type Chart'!$B$5:$P$19,MATCH(I$4,'Type Chart'!$A$5:$A$19,0),MATCH($D87,'Type Chart'!$B$4:$P$4,0)))</f>
        <v>0.5</v>
      </c>
      <c r="J87" s="21" t="n">
        <f aca="false">INDEX('Type Chart'!$B$5:$P$19,MATCH(J$4,'Type Chart'!$A$5:$A$19,0),MATCH($C87,'Type Chart'!$B$4:$P$4,0))*IF($D87="",1,INDEX('Type Chart'!$B$5:$P$19,MATCH(J$4,'Type Chart'!$A$5:$A$19,0),MATCH($D87,'Type Chart'!$B$4:$P$4,0)))</f>
        <v>2</v>
      </c>
      <c r="K87" s="21" t="n">
        <f aca="false">INDEX('Type Chart'!$B$5:$P$19,MATCH(K$4,'Type Chart'!$A$5:$A$19,0),MATCH($C87,'Type Chart'!$B$4:$P$4,0))*IF($D87="",1,INDEX('Type Chart'!$B$5:$P$19,MATCH(K$4,'Type Chart'!$A$5:$A$19,0),MATCH($D87,'Type Chart'!$B$4:$P$4,0)))</f>
        <v>1</v>
      </c>
      <c r="L87" s="21" t="n">
        <f aca="false">INDEX('Type Chart'!$B$5:$P$19,MATCH(L$4,'Type Chart'!$A$5:$A$19,0),MATCH($C87,'Type Chart'!$B$4:$P$4,0))*IF($D87="",1,INDEX('Type Chart'!$B$5:$P$19,MATCH(L$4,'Type Chart'!$A$5:$A$19,0),MATCH($D87,'Type Chart'!$B$4:$P$4,0)))</f>
        <v>1</v>
      </c>
      <c r="M87" s="21" t="n">
        <f aca="false">INDEX('Type Chart'!$B$5:$P$19,MATCH(M$4,'Type Chart'!$A$5:$A$19,0),MATCH($C87,'Type Chart'!$B$4:$P$4,0))*IF($D87="",1,INDEX('Type Chart'!$B$5:$P$19,MATCH(M$4,'Type Chart'!$A$5:$A$19,0),MATCH($D87,'Type Chart'!$B$4:$P$4,0)))</f>
        <v>0</v>
      </c>
      <c r="N87" s="21" t="n">
        <f aca="false">INDEX('Type Chart'!$B$5:$P$19,MATCH(N$4,'Type Chart'!$A$5:$A$19,0),MATCH($C87,'Type Chart'!$B$4:$P$4,0))*IF($D87="",1,INDEX('Type Chart'!$B$5:$P$19,MATCH(N$4,'Type Chart'!$A$5:$A$19,0),MATCH($D87,'Type Chart'!$B$4:$P$4,0)))</f>
        <v>1</v>
      </c>
      <c r="O87" s="21" t="n">
        <f aca="false">INDEX('Type Chart'!$B$5:$P$19,MATCH(O$4,'Type Chart'!$A$5:$A$19,0),MATCH($C87,'Type Chart'!$B$4:$P$4,0))*IF($D87="",1,INDEX('Type Chart'!$B$5:$P$19,MATCH(O$4,'Type Chart'!$A$5:$A$19,0),MATCH($D87,'Type Chart'!$B$4:$P$4,0)))</f>
        <v>1</v>
      </c>
      <c r="P87" s="21" t="n">
        <f aca="false">INDEX('Type Chart'!$B$5:$P$19,MATCH(P$4,'Type Chart'!$A$5:$A$19,0),MATCH($C87,'Type Chart'!$B$4:$P$4,0))*IF($D87="",1,INDEX('Type Chart'!$B$5:$P$19,MATCH(P$4,'Type Chart'!$A$5:$A$19,0),MATCH($D87,'Type Chart'!$B$4:$P$4,0)))</f>
        <v>0.5</v>
      </c>
      <c r="Q87" s="21" t="n">
        <f aca="false">INDEX('Type Chart'!$B$5:$P$19,MATCH(Q$4,'Type Chart'!$A$5:$A$19,0),MATCH($C87,'Type Chart'!$B$4:$P$4,0))*IF($D87="",1,INDEX('Type Chart'!$B$5:$P$19,MATCH(Q$4,'Type Chart'!$A$5:$A$19,0),MATCH($D87,'Type Chart'!$B$4:$P$4,0)))</f>
        <v>2</v>
      </c>
      <c r="R87" s="21" t="n">
        <f aca="false">INDEX('Type Chart'!$B$5:$P$19,MATCH(R$4,'Type Chart'!$A$5:$A$19,0),MATCH($C87,'Type Chart'!$B$4:$P$4,0))*IF($D87="",1,INDEX('Type Chart'!$B$5:$P$19,MATCH(R$4,'Type Chart'!$A$5:$A$19,0),MATCH($D87,'Type Chart'!$B$4:$P$4,0)))</f>
        <v>0</v>
      </c>
      <c r="S87" s="21" t="n">
        <f aca="false">INDEX('Type Chart'!$B$5:$P$19,MATCH(S$4,'Type Chart'!$A$5:$A$19,0),MATCH($C87,'Type Chart'!$B$4:$P$4,0))*IF($D87="",1,INDEX('Type Chart'!$B$5:$P$19,MATCH(S$4,'Type Chart'!$A$5:$A$19,0),MATCH($D87,'Type Chart'!$B$4:$P$4,0)))</f>
        <v>1</v>
      </c>
    </row>
    <row r="88" customFormat="false" ht="15" hidden="false" customHeight="false" outlineLevel="0" collapsed="false">
      <c r="A88" s="19" t="n">
        <v>84</v>
      </c>
      <c r="B88" s="19" t="s">
        <v>175</v>
      </c>
      <c r="C88" s="20" t="str">
        <f aca="false">Pokedex!C88</f>
        <v>Normal</v>
      </c>
      <c r="D88" s="20" t="str">
        <f aca="false">Pokedex!D88</f>
        <v>Flying</v>
      </c>
      <c r="E88" s="21" t="n">
        <f aca="false">INDEX('Type Chart'!$B$5:$P$19,MATCH(E$4,'Type Chart'!$A$5:$A$19,0),MATCH($C88,'Type Chart'!$B$4:$P$4,0))*IF($D88="",1,INDEX('Type Chart'!$B$5:$P$19,MATCH(E$4,'Type Chart'!$A$5:$A$19,0),MATCH($D88,'Type Chart'!$B$4:$P$4,0)))</f>
        <v>1</v>
      </c>
      <c r="F88" s="21" t="n">
        <f aca="false">INDEX('Type Chart'!$B$5:$P$19,MATCH(F$4,'Type Chart'!$A$5:$A$19,0),MATCH($C88,'Type Chart'!$B$4:$P$4,0))*IF($D88="",1,INDEX('Type Chart'!$B$5:$P$19,MATCH(F$4,'Type Chart'!$A$5:$A$19,0),MATCH($D88,'Type Chart'!$B$4:$P$4,0)))</f>
        <v>1</v>
      </c>
      <c r="G88" s="21" t="n">
        <f aca="false">INDEX('Type Chart'!$B$5:$P$19,MATCH(G$4,'Type Chart'!$A$5:$A$19,0),MATCH($C88,'Type Chart'!$B$4:$P$4,0))*IF($D88="",1,INDEX('Type Chart'!$B$5:$P$19,MATCH(G$4,'Type Chart'!$A$5:$A$19,0),MATCH($D88,'Type Chart'!$B$4:$P$4,0)))</f>
        <v>1</v>
      </c>
      <c r="H88" s="21" t="n">
        <f aca="false">INDEX('Type Chart'!$B$5:$P$19,MATCH(H$4,'Type Chart'!$A$5:$A$19,0),MATCH($C88,'Type Chart'!$B$4:$P$4,0))*IF($D88="",1,INDEX('Type Chart'!$B$5:$P$19,MATCH(H$4,'Type Chart'!$A$5:$A$19,0),MATCH($D88,'Type Chart'!$B$4:$P$4,0)))</f>
        <v>2</v>
      </c>
      <c r="I88" s="21" t="n">
        <f aca="false">INDEX('Type Chart'!$B$5:$P$19,MATCH(I$4,'Type Chart'!$A$5:$A$19,0),MATCH($C88,'Type Chart'!$B$4:$P$4,0))*IF($D88="",1,INDEX('Type Chart'!$B$5:$P$19,MATCH(I$4,'Type Chart'!$A$5:$A$19,0),MATCH($D88,'Type Chart'!$B$4:$P$4,0)))</f>
        <v>0.5</v>
      </c>
      <c r="J88" s="21" t="n">
        <f aca="false">INDEX('Type Chart'!$B$5:$P$19,MATCH(J$4,'Type Chart'!$A$5:$A$19,0),MATCH($C88,'Type Chart'!$B$4:$P$4,0))*IF($D88="",1,INDEX('Type Chart'!$B$5:$P$19,MATCH(J$4,'Type Chart'!$A$5:$A$19,0),MATCH($D88,'Type Chart'!$B$4:$P$4,0)))</f>
        <v>2</v>
      </c>
      <c r="K88" s="21" t="n">
        <f aca="false">INDEX('Type Chart'!$B$5:$P$19,MATCH(K$4,'Type Chart'!$A$5:$A$19,0),MATCH($C88,'Type Chart'!$B$4:$P$4,0))*IF($D88="",1,INDEX('Type Chart'!$B$5:$P$19,MATCH(K$4,'Type Chart'!$A$5:$A$19,0),MATCH($D88,'Type Chart'!$B$4:$P$4,0)))</f>
        <v>1</v>
      </c>
      <c r="L88" s="21" t="n">
        <f aca="false">INDEX('Type Chart'!$B$5:$P$19,MATCH(L$4,'Type Chart'!$A$5:$A$19,0),MATCH($C88,'Type Chart'!$B$4:$P$4,0))*IF($D88="",1,INDEX('Type Chart'!$B$5:$P$19,MATCH(L$4,'Type Chart'!$A$5:$A$19,0),MATCH($D88,'Type Chart'!$B$4:$P$4,0)))</f>
        <v>1</v>
      </c>
      <c r="M88" s="21" t="n">
        <f aca="false">INDEX('Type Chart'!$B$5:$P$19,MATCH(M$4,'Type Chart'!$A$5:$A$19,0),MATCH($C88,'Type Chart'!$B$4:$P$4,0))*IF($D88="",1,INDEX('Type Chart'!$B$5:$P$19,MATCH(M$4,'Type Chart'!$A$5:$A$19,0),MATCH($D88,'Type Chart'!$B$4:$P$4,0)))</f>
        <v>0</v>
      </c>
      <c r="N88" s="21" t="n">
        <f aca="false">INDEX('Type Chart'!$B$5:$P$19,MATCH(N$4,'Type Chart'!$A$5:$A$19,0),MATCH($C88,'Type Chart'!$B$4:$P$4,0))*IF($D88="",1,INDEX('Type Chart'!$B$5:$P$19,MATCH(N$4,'Type Chart'!$A$5:$A$19,0),MATCH($D88,'Type Chart'!$B$4:$P$4,0)))</f>
        <v>1</v>
      </c>
      <c r="O88" s="21" t="n">
        <f aca="false">INDEX('Type Chart'!$B$5:$P$19,MATCH(O$4,'Type Chart'!$A$5:$A$19,0),MATCH($C88,'Type Chart'!$B$4:$P$4,0))*IF($D88="",1,INDEX('Type Chart'!$B$5:$P$19,MATCH(O$4,'Type Chart'!$A$5:$A$19,0),MATCH($D88,'Type Chart'!$B$4:$P$4,0)))</f>
        <v>1</v>
      </c>
      <c r="P88" s="21" t="n">
        <f aca="false">INDEX('Type Chart'!$B$5:$P$19,MATCH(P$4,'Type Chart'!$A$5:$A$19,0),MATCH($C88,'Type Chart'!$B$4:$P$4,0))*IF($D88="",1,INDEX('Type Chart'!$B$5:$P$19,MATCH(P$4,'Type Chart'!$A$5:$A$19,0),MATCH($D88,'Type Chart'!$B$4:$P$4,0)))</f>
        <v>0.5</v>
      </c>
      <c r="Q88" s="21" t="n">
        <f aca="false">INDEX('Type Chart'!$B$5:$P$19,MATCH(Q$4,'Type Chart'!$A$5:$A$19,0),MATCH($C88,'Type Chart'!$B$4:$P$4,0))*IF($D88="",1,INDEX('Type Chart'!$B$5:$P$19,MATCH(Q$4,'Type Chart'!$A$5:$A$19,0),MATCH($D88,'Type Chart'!$B$4:$P$4,0)))</f>
        <v>2</v>
      </c>
      <c r="R88" s="21" t="n">
        <f aca="false">INDEX('Type Chart'!$B$5:$P$19,MATCH(R$4,'Type Chart'!$A$5:$A$19,0),MATCH($C88,'Type Chart'!$B$4:$P$4,0))*IF($D88="",1,INDEX('Type Chart'!$B$5:$P$19,MATCH(R$4,'Type Chart'!$A$5:$A$19,0),MATCH($D88,'Type Chart'!$B$4:$P$4,0)))</f>
        <v>0</v>
      </c>
      <c r="S88" s="21" t="n">
        <f aca="false">INDEX('Type Chart'!$B$5:$P$19,MATCH(S$4,'Type Chart'!$A$5:$A$19,0),MATCH($C88,'Type Chart'!$B$4:$P$4,0))*IF($D88="",1,INDEX('Type Chart'!$B$5:$P$19,MATCH(S$4,'Type Chart'!$A$5:$A$19,0),MATCH($D88,'Type Chart'!$B$4:$P$4,0)))</f>
        <v>1</v>
      </c>
    </row>
    <row r="89" customFormat="false" ht="15" hidden="false" customHeight="false" outlineLevel="0" collapsed="false">
      <c r="A89" s="19" t="n">
        <v>85</v>
      </c>
      <c r="B89" s="19" t="s">
        <v>176</v>
      </c>
      <c r="C89" s="20" t="str">
        <f aca="false">Pokedex!C89</f>
        <v>Normal</v>
      </c>
      <c r="D89" s="20" t="str">
        <f aca="false">Pokedex!D89</f>
        <v>Flying</v>
      </c>
      <c r="E89" s="21" t="n">
        <f aca="false">INDEX('Type Chart'!$B$5:$P$19,MATCH(E$4,'Type Chart'!$A$5:$A$19,0),MATCH($C89,'Type Chart'!$B$4:$P$4,0))*IF($D89="",1,INDEX('Type Chart'!$B$5:$P$19,MATCH(E$4,'Type Chart'!$A$5:$A$19,0),MATCH($D89,'Type Chart'!$B$4:$P$4,0)))</f>
        <v>1</v>
      </c>
      <c r="F89" s="21" t="n">
        <f aca="false">INDEX('Type Chart'!$B$5:$P$19,MATCH(F$4,'Type Chart'!$A$5:$A$19,0),MATCH($C89,'Type Chart'!$B$4:$P$4,0))*IF($D89="",1,INDEX('Type Chart'!$B$5:$P$19,MATCH(F$4,'Type Chart'!$A$5:$A$19,0),MATCH($D89,'Type Chart'!$B$4:$P$4,0)))</f>
        <v>1</v>
      </c>
      <c r="G89" s="21" t="n">
        <f aca="false">INDEX('Type Chart'!$B$5:$P$19,MATCH(G$4,'Type Chart'!$A$5:$A$19,0),MATCH($C89,'Type Chart'!$B$4:$P$4,0))*IF($D89="",1,INDEX('Type Chart'!$B$5:$P$19,MATCH(G$4,'Type Chart'!$A$5:$A$19,0),MATCH($D89,'Type Chart'!$B$4:$P$4,0)))</f>
        <v>1</v>
      </c>
      <c r="H89" s="21" t="n">
        <f aca="false">INDEX('Type Chart'!$B$5:$P$19,MATCH(H$4,'Type Chart'!$A$5:$A$19,0),MATCH($C89,'Type Chart'!$B$4:$P$4,0))*IF($D89="",1,INDEX('Type Chart'!$B$5:$P$19,MATCH(H$4,'Type Chart'!$A$5:$A$19,0),MATCH($D89,'Type Chart'!$B$4:$P$4,0)))</f>
        <v>2</v>
      </c>
      <c r="I89" s="21" t="n">
        <f aca="false">INDEX('Type Chart'!$B$5:$P$19,MATCH(I$4,'Type Chart'!$A$5:$A$19,0),MATCH($C89,'Type Chart'!$B$4:$P$4,0))*IF($D89="",1,INDEX('Type Chart'!$B$5:$P$19,MATCH(I$4,'Type Chart'!$A$5:$A$19,0),MATCH($D89,'Type Chart'!$B$4:$P$4,0)))</f>
        <v>0.5</v>
      </c>
      <c r="J89" s="21" t="n">
        <f aca="false">INDEX('Type Chart'!$B$5:$P$19,MATCH(J$4,'Type Chart'!$A$5:$A$19,0),MATCH($C89,'Type Chart'!$B$4:$P$4,0))*IF($D89="",1,INDEX('Type Chart'!$B$5:$P$19,MATCH(J$4,'Type Chart'!$A$5:$A$19,0),MATCH($D89,'Type Chart'!$B$4:$P$4,0)))</f>
        <v>2</v>
      </c>
      <c r="K89" s="21" t="n">
        <f aca="false">INDEX('Type Chart'!$B$5:$P$19,MATCH(K$4,'Type Chart'!$A$5:$A$19,0),MATCH($C89,'Type Chart'!$B$4:$P$4,0))*IF($D89="",1,INDEX('Type Chart'!$B$5:$P$19,MATCH(K$4,'Type Chart'!$A$5:$A$19,0),MATCH($D89,'Type Chart'!$B$4:$P$4,0)))</f>
        <v>1</v>
      </c>
      <c r="L89" s="21" t="n">
        <f aca="false">INDEX('Type Chart'!$B$5:$P$19,MATCH(L$4,'Type Chart'!$A$5:$A$19,0),MATCH($C89,'Type Chart'!$B$4:$P$4,0))*IF($D89="",1,INDEX('Type Chart'!$B$5:$P$19,MATCH(L$4,'Type Chart'!$A$5:$A$19,0),MATCH($D89,'Type Chart'!$B$4:$P$4,0)))</f>
        <v>1</v>
      </c>
      <c r="M89" s="21" t="n">
        <f aca="false">INDEX('Type Chart'!$B$5:$P$19,MATCH(M$4,'Type Chart'!$A$5:$A$19,0),MATCH($C89,'Type Chart'!$B$4:$P$4,0))*IF($D89="",1,INDEX('Type Chart'!$B$5:$P$19,MATCH(M$4,'Type Chart'!$A$5:$A$19,0),MATCH($D89,'Type Chart'!$B$4:$P$4,0)))</f>
        <v>0</v>
      </c>
      <c r="N89" s="21" t="n">
        <f aca="false">INDEX('Type Chart'!$B$5:$P$19,MATCH(N$4,'Type Chart'!$A$5:$A$19,0),MATCH($C89,'Type Chart'!$B$4:$P$4,0))*IF($D89="",1,INDEX('Type Chart'!$B$5:$P$19,MATCH(N$4,'Type Chart'!$A$5:$A$19,0),MATCH($D89,'Type Chart'!$B$4:$P$4,0)))</f>
        <v>1</v>
      </c>
      <c r="O89" s="21" t="n">
        <f aca="false">INDEX('Type Chart'!$B$5:$P$19,MATCH(O$4,'Type Chart'!$A$5:$A$19,0),MATCH($C89,'Type Chart'!$B$4:$P$4,0))*IF($D89="",1,INDEX('Type Chart'!$B$5:$P$19,MATCH(O$4,'Type Chart'!$A$5:$A$19,0),MATCH($D89,'Type Chart'!$B$4:$P$4,0)))</f>
        <v>1</v>
      </c>
      <c r="P89" s="21" t="n">
        <f aca="false">INDEX('Type Chart'!$B$5:$P$19,MATCH(P$4,'Type Chart'!$A$5:$A$19,0),MATCH($C89,'Type Chart'!$B$4:$P$4,0))*IF($D89="",1,INDEX('Type Chart'!$B$5:$P$19,MATCH(P$4,'Type Chart'!$A$5:$A$19,0),MATCH($D89,'Type Chart'!$B$4:$P$4,0)))</f>
        <v>0.5</v>
      </c>
      <c r="Q89" s="21" t="n">
        <f aca="false">INDEX('Type Chart'!$B$5:$P$19,MATCH(Q$4,'Type Chart'!$A$5:$A$19,0),MATCH($C89,'Type Chart'!$B$4:$P$4,0))*IF($D89="",1,INDEX('Type Chart'!$B$5:$P$19,MATCH(Q$4,'Type Chart'!$A$5:$A$19,0),MATCH($D89,'Type Chart'!$B$4:$P$4,0)))</f>
        <v>2</v>
      </c>
      <c r="R89" s="21" t="n">
        <f aca="false">INDEX('Type Chart'!$B$5:$P$19,MATCH(R$4,'Type Chart'!$A$5:$A$19,0),MATCH($C89,'Type Chart'!$B$4:$P$4,0))*IF($D89="",1,INDEX('Type Chart'!$B$5:$P$19,MATCH(R$4,'Type Chart'!$A$5:$A$19,0),MATCH($D89,'Type Chart'!$B$4:$P$4,0)))</f>
        <v>0</v>
      </c>
      <c r="S89" s="21" t="n">
        <f aca="false">INDEX('Type Chart'!$B$5:$P$19,MATCH(S$4,'Type Chart'!$A$5:$A$19,0),MATCH($C89,'Type Chart'!$B$4:$P$4,0))*IF($D89="",1,INDEX('Type Chart'!$B$5:$P$19,MATCH(S$4,'Type Chart'!$A$5:$A$19,0),MATCH($D89,'Type Chart'!$B$4:$P$4,0)))</f>
        <v>1</v>
      </c>
    </row>
    <row r="90" customFormat="false" ht="15" hidden="false" customHeight="false" outlineLevel="0" collapsed="false">
      <c r="A90" s="19" t="n">
        <v>86</v>
      </c>
      <c r="B90" s="19" t="s">
        <v>177</v>
      </c>
      <c r="C90" s="20" t="str">
        <f aca="false">Pokedex!C90</f>
        <v>Water</v>
      </c>
      <c r="D90" s="20" t="n">
        <f aca="false">Pokedex!D90</f>
        <v>0</v>
      </c>
      <c r="E90" s="21" t="n">
        <f aca="false">INDEX('Type Chart'!$B$5:$P$19,MATCH(E$4,'Type Chart'!$A$5:$A$19,0),MATCH($C90,'Type Chart'!$B$4:$P$4,0))*IF($D90="",1,INDEX('Type Chart'!$B$5:$P$19,MATCH(E$4,'Type Chart'!$A$5:$A$19,0),MATCH($D90,'Type Chart'!$B$4:$P$4,0)))</f>
        <v>1</v>
      </c>
      <c r="F90" s="21" t="n">
        <f aca="false">INDEX('Type Chart'!$B$5:$P$19,MATCH(F$4,'Type Chart'!$A$5:$A$19,0),MATCH($C90,'Type Chart'!$B$4:$P$4,0))*IF($D90="",1,INDEX('Type Chart'!$B$5:$P$19,MATCH(F$4,'Type Chart'!$A$5:$A$19,0),MATCH($D90,'Type Chart'!$B$4:$P$4,0)))</f>
        <v>0.5</v>
      </c>
      <c r="G90" s="21" t="n">
        <f aca="false">INDEX('Type Chart'!$B$5:$P$19,MATCH(G$4,'Type Chart'!$A$5:$A$19,0),MATCH($C90,'Type Chart'!$B$4:$P$4,0))*IF($D90="",1,INDEX('Type Chart'!$B$5:$P$19,MATCH(G$4,'Type Chart'!$A$5:$A$19,0),MATCH($D90,'Type Chart'!$B$4:$P$4,0)))</f>
        <v>0.5</v>
      </c>
      <c r="H90" s="21" t="n">
        <f aca="false">INDEX('Type Chart'!$B$5:$P$19,MATCH(H$4,'Type Chart'!$A$5:$A$19,0),MATCH($C90,'Type Chart'!$B$4:$P$4,0))*IF($D90="",1,INDEX('Type Chart'!$B$5:$P$19,MATCH(H$4,'Type Chart'!$A$5:$A$19,0),MATCH($D90,'Type Chart'!$B$4:$P$4,0)))</f>
        <v>2</v>
      </c>
      <c r="I90" s="21" t="n">
        <f aca="false">INDEX('Type Chart'!$B$5:$P$19,MATCH(I$4,'Type Chart'!$A$5:$A$19,0),MATCH($C90,'Type Chart'!$B$4:$P$4,0))*IF($D90="",1,INDEX('Type Chart'!$B$5:$P$19,MATCH(I$4,'Type Chart'!$A$5:$A$19,0),MATCH($D90,'Type Chart'!$B$4:$P$4,0)))</f>
        <v>2</v>
      </c>
      <c r="J90" s="21" t="n">
        <f aca="false">INDEX('Type Chart'!$B$5:$P$19,MATCH(J$4,'Type Chart'!$A$5:$A$19,0),MATCH($C90,'Type Chart'!$B$4:$P$4,0))*IF($D90="",1,INDEX('Type Chart'!$B$5:$P$19,MATCH(J$4,'Type Chart'!$A$5:$A$19,0),MATCH($D90,'Type Chart'!$B$4:$P$4,0)))</f>
        <v>0.5</v>
      </c>
      <c r="K90" s="21" t="n">
        <f aca="false">INDEX('Type Chart'!$B$5:$P$19,MATCH(K$4,'Type Chart'!$A$5:$A$19,0),MATCH($C90,'Type Chart'!$B$4:$P$4,0))*IF($D90="",1,INDEX('Type Chart'!$B$5:$P$19,MATCH(K$4,'Type Chart'!$A$5:$A$19,0),MATCH($D90,'Type Chart'!$B$4:$P$4,0)))</f>
        <v>1</v>
      </c>
      <c r="L90" s="21" t="n">
        <f aca="false">INDEX('Type Chart'!$B$5:$P$19,MATCH(L$4,'Type Chart'!$A$5:$A$19,0),MATCH($C90,'Type Chart'!$B$4:$P$4,0))*IF($D90="",1,INDEX('Type Chart'!$B$5:$P$19,MATCH(L$4,'Type Chart'!$A$5:$A$19,0),MATCH($D90,'Type Chart'!$B$4:$P$4,0)))</f>
        <v>1</v>
      </c>
      <c r="M90" s="21" t="n">
        <f aca="false">INDEX('Type Chart'!$B$5:$P$19,MATCH(M$4,'Type Chart'!$A$5:$A$19,0),MATCH($C90,'Type Chart'!$B$4:$P$4,0))*IF($D90="",1,INDEX('Type Chart'!$B$5:$P$19,MATCH(M$4,'Type Chart'!$A$5:$A$19,0),MATCH($D90,'Type Chart'!$B$4:$P$4,0)))</f>
        <v>1</v>
      </c>
      <c r="N90" s="21" t="n">
        <f aca="false">INDEX('Type Chart'!$B$5:$P$19,MATCH(N$4,'Type Chart'!$A$5:$A$19,0),MATCH($C90,'Type Chart'!$B$4:$P$4,0))*IF($D90="",1,INDEX('Type Chart'!$B$5:$P$19,MATCH(N$4,'Type Chart'!$A$5:$A$19,0),MATCH($D90,'Type Chart'!$B$4:$P$4,0)))</f>
        <v>1</v>
      </c>
      <c r="O90" s="21" t="n">
        <f aca="false">INDEX('Type Chart'!$B$5:$P$19,MATCH(O$4,'Type Chart'!$A$5:$A$19,0),MATCH($C90,'Type Chart'!$B$4:$P$4,0))*IF($D90="",1,INDEX('Type Chart'!$B$5:$P$19,MATCH(O$4,'Type Chart'!$A$5:$A$19,0),MATCH($D90,'Type Chart'!$B$4:$P$4,0)))</f>
        <v>1</v>
      </c>
      <c r="P90" s="21" t="n">
        <f aca="false">INDEX('Type Chart'!$B$5:$P$19,MATCH(P$4,'Type Chart'!$A$5:$A$19,0),MATCH($C90,'Type Chart'!$B$4:$P$4,0))*IF($D90="",1,INDEX('Type Chart'!$B$5:$P$19,MATCH(P$4,'Type Chart'!$A$5:$A$19,0),MATCH($D90,'Type Chart'!$B$4:$P$4,0)))</f>
        <v>1</v>
      </c>
      <c r="Q90" s="21" t="n">
        <f aca="false">INDEX('Type Chart'!$B$5:$P$19,MATCH(Q$4,'Type Chart'!$A$5:$A$19,0),MATCH($C90,'Type Chart'!$B$4:$P$4,0))*IF($D90="",1,INDEX('Type Chart'!$B$5:$P$19,MATCH(Q$4,'Type Chart'!$A$5:$A$19,0),MATCH($D90,'Type Chart'!$B$4:$P$4,0)))</f>
        <v>1</v>
      </c>
      <c r="R90" s="21" t="n">
        <f aca="false">INDEX('Type Chart'!$B$5:$P$19,MATCH(R$4,'Type Chart'!$A$5:$A$19,0),MATCH($C90,'Type Chart'!$B$4:$P$4,0))*IF($D90="",1,INDEX('Type Chart'!$B$5:$P$19,MATCH(R$4,'Type Chart'!$A$5:$A$19,0),MATCH($D90,'Type Chart'!$B$4:$P$4,0)))</f>
        <v>1</v>
      </c>
      <c r="S90" s="21" t="n">
        <f aca="false">INDEX('Type Chart'!$B$5:$P$19,MATCH(S$4,'Type Chart'!$A$5:$A$19,0),MATCH($C90,'Type Chart'!$B$4:$P$4,0))*IF($D90="",1,INDEX('Type Chart'!$B$5:$P$19,MATCH(S$4,'Type Chart'!$A$5:$A$19,0),MATCH($D90,'Type Chart'!$B$4:$P$4,0)))</f>
        <v>1</v>
      </c>
    </row>
    <row r="91" customFormat="false" ht="15" hidden="false" customHeight="false" outlineLevel="0" collapsed="false">
      <c r="A91" s="19" t="n">
        <v>87</v>
      </c>
      <c r="B91" s="19" t="s">
        <v>178</v>
      </c>
      <c r="C91" s="20" t="str">
        <f aca="false">Pokedex!C91</f>
        <v>Water</v>
      </c>
      <c r="D91" s="20" t="str">
        <f aca="false">Pokedex!D91</f>
        <v>Ice</v>
      </c>
      <c r="E91" s="21" t="n">
        <f aca="false">INDEX('Type Chart'!$B$5:$P$19,MATCH(E$4,'Type Chart'!$A$5:$A$19,0),MATCH($C91,'Type Chart'!$B$4:$P$4,0))*IF($D91="",1,INDEX('Type Chart'!$B$5:$P$19,MATCH(E$4,'Type Chart'!$A$5:$A$19,0),MATCH($D91,'Type Chart'!$B$4:$P$4,0)))</f>
        <v>1</v>
      </c>
      <c r="F91" s="21" t="n">
        <f aca="false">INDEX('Type Chart'!$B$5:$P$19,MATCH(F$4,'Type Chart'!$A$5:$A$19,0),MATCH($C91,'Type Chart'!$B$4:$P$4,0))*IF($D91="",1,INDEX('Type Chart'!$B$5:$P$19,MATCH(F$4,'Type Chart'!$A$5:$A$19,0),MATCH($D91,'Type Chart'!$B$4:$P$4,0)))</f>
        <v>1</v>
      </c>
      <c r="G91" s="21" t="n">
        <f aca="false">INDEX('Type Chart'!$B$5:$P$19,MATCH(G$4,'Type Chart'!$A$5:$A$19,0),MATCH($C91,'Type Chart'!$B$4:$P$4,0))*IF($D91="",1,INDEX('Type Chart'!$B$5:$P$19,MATCH(G$4,'Type Chart'!$A$5:$A$19,0),MATCH($D91,'Type Chart'!$B$4:$P$4,0)))</f>
        <v>0.5</v>
      </c>
      <c r="H91" s="21" t="n">
        <f aca="false">INDEX('Type Chart'!$B$5:$P$19,MATCH(H$4,'Type Chart'!$A$5:$A$19,0),MATCH($C91,'Type Chart'!$B$4:$P$4,0))*IF($D91="",1,INDEX('Type Chart'!$B$5:$P$19,MATCH(H$4,'Type Chart'!$A$5:$A$19,0),MATCH($D91,'Type Chart'!$B$4:$P$4,0)))</f>
        <v>2</v>
      </c>
      <c r="I91" s="21" t="n">
        <f aca="false">INDEX('Type Chart'!$B$5:$P$19,MATCH(I$4,'Type Chart'!$A$5:$A$19,0),MATCH($C91,'Type Chart'!$B$4:$P$4,0))*IF($D91="",1,INDEX('Type Chart'!$B$5:$P$19,MATCH(I$4,'Type Chart'!$A$5:$A$19,0),MATCH($D91,'Type Chart'!$B$4:$P$4,0)))</f>
        <v>2</v>
      </c>
      <c r="J91" s="21" t="n">
        <f aca="false">INDEX('Type Chart'!$B$5:$P$19,MATCH(J$4,'Type Chart'!$A$5:$A$19,0),MATCH($C91,'Type Chart'!$B$4:$P$4,0))*IF($D91="",1,INDEX('Type Chart'!$B$5:$P$19,MATCH(J$4,'Type Chart'!$A$5:$A$19,0),MATCH($D91,'Type Chart'!$B$4:$P$4,0)))</f>
        <v>0.25</v>
      </c>
      <c r="K91" s="21" t="n">
        <f aca="false">INDEX('Type Chart'!$B$5:$P$19,MATCH(K$4,'Type Chart'!$A$5:$A$19,0),MATCH($C91,'Type Chart'!$B$4:$P$4,0))*IF($D91="",1,INDEX('Type Chart'!$B$5:$P$19,MATCH(K$4,'Type Chart'!$A$5:$A$19,0),MATCH($D91,'Type Chart'!$B$4:$P$4,0)))</f>
        <v>2</v>
      </c>
      <c r="L91" s="21" t="n">
        <f aca="false">INDEX('Type Chart'!$B$5:$P$19,MATCH(L$4,'Type Chart'!$A$5:$A$19,0),MATCH($C91,'Type Chart'!$B$4:$P$4,0))*IF($D91="",1,INDEX('Type Chart'!$B$5:$P$19,MATCH(L$4,'Type Chart'!$A$5:$A$19,0),MATCH($D91,'Type Chart'!$B$4:$P$4,0)))</f>
        <v>1</v>
      </c>
      <c r="M91" s="21" t="n">
        <f aca="false">INDEX('Type Chart'!$B$5:$P$19,MATCH(M$4,'Type Chart'!$A$5:$A$19,0),MATCH($C91,'Type Chart'!$B$4:$P$4,0))*IF($D91="",1,INDEX('Type Chart'!$B$5:$P$19,MATCH(M$4,'Type Chart'!$A$5:$A$19,0),MATCH($D91,'Type Chart'!$B$4:$P$4,0)))</f>
        <v>1</v>
      </c>
      <c r="N91" s="21" t="n">
        <f aca="false">INDEX('Type Chart'!$B$5:$P$19,MATCH(N$4,'Type Chart'!$A$5:$A$19,0),MATCH($C91,'Type Chart'!$B$4:$P$4,0))*IF($D91="",1,INDEX('Type Chart'!$B$5:$P$19,MATCH(N$4,'Type Chart'!$A$5:$A$19,0),MATCH($D91,'Type Chart'!$B$4:$P$4,0)))</f>
        <v>1</v>
      </c>
      <c r="O91" s="21" t="n">
        <f aca="false">INDEX('Type Chart'!$B$5:$P$19,MATCH(O$4,'Type Chart'!$A$5:$A$19,0),MATCH($C91,'Type Chart'!$B$4:$P$4,0))*IF($D91="",1,INDEX('Type Chart'!$B$5:$P$19,MATCH(O$4,'Type Chart'!$A$5:$A$19,0),MATCH($D91,'Type Chart'!$B$4:$P$4,0)))</f>
        <v>1</v>
      </c>
      <c r="P91" s="21" t="n">
        <f aca="false">INDEX('Type Chart'!$B$5:$P$19,MATCH(P$4,'Type Chart'!$A$5:$A$19,0),MATCH($C91,'Type Chart'!$B$4:$P$4,0))*IF($D91="",1,INDEX('Type Chart'!$B$5:$P$19,MATCH(P$4,'Type Chart'!$A$5:$A$19,0),MATCH($D91,'Type Chart'!$B$4:$P$4,0)))</f>
        <v>1</v>
      </c>
      <c r="Q91" s="21" t="n">
        <f aca="false">INDEX('Type Chart'!$B$5:$P$19,MATCH(Q$4,'Type Chart'!$A$5:$A$19,0),MATCH($C91,'Type Chart'!$B$4:$P$4,0))*IF($D91="",1,INDEX('Type Chart'!$B$5:$P$19,MATCH(Q$4,'Type Chart'!$A$5:$A$19,0),MATCH($D91,'Type Chart'!$B$4:$P$4,0)))</f>
        <v>2</v>
      </c>
      <c r="R91" s="21" t="n">
        <f aca="false">INDEX('Type Chart'!$B$5:$P$19,MATCH(R$4,'Type Chart'!$A$5:$A$19,0),MATCH($C91,'Type Chart'!$B$4:$P$4,0))*IF($D91="",1,INDEX('Type Chart'!$B$5:$P$19,MATCH(R$4,'Type Chart'!$A$5:$A$19,0),MATCH($D91,'Type Chart'!$B$4:$P$4,0)))</f>
        <v>1</v>
      </c>
      <c r="S91" s="21" t="n">
        <f aca="false">INDEX('Type Chart'!$B$5:$P$19,MATCH(S$4,'Type Chart'!$A$5:$A$19,0),MATCH($C91,'Type Chart'!$B$4:$P$4,0))*IF($D91="",1,INDEX('Type Chart'!$B$5:$P$19,MATCH(S$4,'Type Chart'!$A$5:$A$19,0),MATCH($D91,'Type Chart'!$B$4:$P$4,0)))</f>
        <v>1</v>
      </c>
    </row>
    <row r="92" customFormat="false" ht="15" hidden="false" customHeight="false" outlineLevel="0" collapsed="false">
      <c r="A92" s="19" t="n">
        <v>88</v>
      </c>
      <c r="B92" s="19" t="s">
        <v>179</v>
      </c>
      <c r="C92" s="20" t="str">
        <f aca="false">Pokedex!C92</f>
        <v>Poison</v>
      </c>
      <c r="D92" s="20" t="n">
        <f aca="false">Pokedex!D92</f>
        <v>0</v>
      </c>
      <c r="E92" s="21" t="n">
        <f aca="false">INDEX('Type Chart'!$B$5:$P$19,MATCH(E$4,'Type Chart'!$A$5:$A$19,0),MATCH($C92,'Type Chart'!$B$4:$P$4,0))*IF($D92="",1,INDEX('Type Chart'!$B$5:$P$19,MATCH(E$4,'Type Chart'!$A$5:$A$19,0),MATCH($D92,'Type Chart'!$B$4:$P$4,0)))</f>
        <v>1</v>
      </c>
      <c r="F92" s="21" t="n">
        <f aca="false">INDEX('Type Chart'!$B$5:$P$19,MATCH(F$4,'Type Chart'!$A$5:$A$19,0),MATCH($C92,'Type Chart'!$B$4:$P$4,0))*IF($D92="",1,INDEX('Type Chart'!$B$5:$P$19,MATCH(F$4,'Type Chart'!$A$5:$A$19,0),MATCH($D92,'Type Chart'!$B$4:$P$4,0)))</f>
        <v>1</v>
      </c>
      <c r="G92" s="21" t="n">
        <f aca="false">INDEX('Type Chart'!$B$5:$P$19,MATCH(G$4,'Type Chart'!$A$5:$A$19,0),MATCH($C92,'Type Chart'!$B$4:$P$4,0))*IF($D92="",1,INDEX('Type Chart'!$B$5:$P$19,MATCH(G$4,'Type Chart'!$A$5:$A$19,0),MATCH($D92,'Type Chart'!$B$4:$P$4,0)))</f>
        <v>1</v>
      </c>
      <c r="H92" s="21" t="n">
        <f aca="false">INDEX('Type Chart'!$B$5:$P$19,MATCH(H$4,'Type Chart'!$A$5:$A$19,0),MATCH($C92,'Type Chart'!$B$4:$P$4,0))*IF($D92="",1,INDEX('Type Chart'!$B$5:$P$19,MATCH(H$4,'Type Chart'!$A$5:$A$19,0),MATCH($D92,'Type Chart'!$B$4:$P$4,0)))</f>
        <v>1</v>
      </c>
      <c r="I92" s="21" t="n">
        <f aca="false">INDEX('Type Chart'!$B$5:$P$19,MATCH(I$4,'Type Chart'!$A$5:$A$19,0),MATCH($C92,'Type Chart'!$B$4:$P$4,0))*IF($D92="",1,INDEX('Type Chart'!$B$5:$P$19,MATCH(I$4,'Type Chart'!$A$5:$A$19,0),MATCH($D92,'Type Chart'!$B$4:$P$4,0)))</f>
        <v>0.5</v>
      </c>
      <c r="J92" s="21" t="n">
        <f aca="false">INDEX('Type Chart'!$B$5:$P$19,MATCH(J$4,'Type Chart'!$A$5:$A$19,0),MATCH($C92,'Type Chart'!$B$4:$P$4,0))*IF($D92="",1,INDEX('Type Chart'!$B$5:$P$19,MATCH(J$4,'Type Chart'!$A$5:$A$19,0),MATCH($D92,'Type Chart'!$B$4:$P$4,0)))</f>
        <v>1</v>
      </c>
      <c r="K92" s="21" t="n">
        <f aca="false">INDEX('Type Chart'!$B$5:$P$19,MATCH(K$4,'Type Chart'!$A$5:$A$19,0),MATCH($C92,'Type Chart'!$B$4:$P$4,0))*IF($D92="",1,INDEX('Type Chart'!$B$5:$P$19,MATCH(K$4,'Type Chart'!$A$5:$A$19,0),MATCH($D92,'Type Chart'!$B$4:$P$4,0)))</f>
        <v>0.5</v>
      </c>
      <c r="L92" s="21" t="n">
        <f aca="false">INDEX('Type Chart'!$B$5:$P$19,MATCH(L$4,'Type Chart'!$A$5:$A$19,0),MATCH($C92,'Type Chart'!$B$4:$P$4,0))*IF($D92="",1,INDEX('Type Chart'!$B$5:$P$19,MATCH(L$4,'Type Chart'!$A$5:$A$19,0),MATCH($D92,'Type Chart'!$B$4:$P$4,0)))</f>
        <v>0.5</v>
      </c>
      <c r="M92" s="21" t="n">
        <f aca="false">INDEX('Type Chart'!$B$5:$P$19,MATCH(M$4,'Type Chart'!$A$5:$A$19,0),MATCH($C92,'Type Chart'!$B$4:$P$4,0))*IF($D92="",1,INDEX('Type Chart'!$B$5:$P$19,MATCH(M$4,'Type Chart'!$A$5:$A$19,0),MATCH($D92,'Type Chart'!$B$4:$P$4,0)))</f>
        <v>2</v>
      </c>
      <c r="N92" s="21" t="n">
        <f aca="false">INDEX('Type Chart'!$B$5:$P$19,MATCH(N$4,'Type Chart'!$A$5:$A$19,0),MATCH($C92,'Type Chart'!$B$4:$P$4,0))*IF($D92="",1,INDEX('Type Chart'!$B$5:$P$19,MATCH(N$4,'Type Chart'!$A$5:$A$19,0),MATCH($D92,'Type Chart'!$B$4:$P$4,0)))</f>
        <v>1</v>
      </c>
      <c r="O92" s="21" t="n">
        <f aca="false">INDEX('Type Chart'!$B$5:$P$19,MATCH(O$4,'Type Chart'!$A$5:$A$19,0),MATCH($C92,'Type Chart'!$B$4:$P$4,0))*IF($D92="",1,INDEX('Type Chart'!$B$5:$P$19,MATCH(O$4,'Type Chart'!$A$5:$A$19,0),MATCH($D92,'Type Chart'!$B$4:$P$4,0)))</f>
        <v>2</v>
      </c>
      <c r="P92" s="21" t="n">
        <f aca="false">INDEX('Type Chart'!$B$5:$P$19,MATCH(P$4,'Type Chart'!$A$5:$A$19,0),MATCH($C92,'Type Chart'!$B$4:$P$4,0))*IF($D92="",1,INDEX('Type Chart'!$B$5:$P$19,MATCH(P$4,'Type Chart'!$A$5:$A$19,0),MATCH($D92,'Type Chart'!$B$4:$P$4,0)))</f>
        <v>2</v>
      </c>
      <c r="Q92" s="21" t="n">
        <f aca="false">INDEX('Type Chart'!$B$5:$P$19,MATCH(Q$4,'Type Chart'!$A$5:$A$19,0),MATCH($C92,'Type Chart'!$B$4:$P$4,0))*IF($D92="",1,INDEX('Type Chart'!$B$5:$P$19,MATCH(Q$4,'Type Chart'!$A$5:$A$19,0),MATCH($D92,'Type Chart'!$B$4:$P$4,0)))</f>
        <v>1</v>
      </c>
      <c r="R92" s="21" t="n">
        <f aca="false">INDEX('Type Chart'!$B$5:$P$19,MATCH(R$4,'Type Chart'!$A$5:$A$19,0),MATCH($C92,'Type Chart'!$B$4:$P$4,0))*IF($D92="",1,INDEX('Type Chart'!$B$5:$P$19,MATCH(R$4,'Type Chart'!$A$5:$A$19,0),MATCH($D92,'Type Chart'!$B$4:$P$4,0)))</f>
        <v>1</v>
      </c>
      <c r="S92" s="21" t="n">
        <f aca="false">INDEX('Type Chart'!$B$5:$P$19,MATCH(S$4,'Type Chart'!$A$5:$A$19,0),MATCH($C92,'Type Chart'!$B$4:$P$4,0))*IF($D92="",1,INDEX('Type Chart'!$B$5:$P$19,MATCH(S$4,'Type Chart'!$A$5:$A$19,0),MATCH($D92,'Type Chart'!$B$4:$P$4,0)))</f>
        <v>1</v>
      </c>
    </row>
    <row r="93" customFormat="false" ht="15" hidden="false" customHeight="false" outlineLevel="0" collapsed="false">
      <c r="A93" s="19" t="n">
        <v>89</v>
      </c>
      <c r="B93" s="19" t="s">
        <v>180</v>
      </c>
      <c r="C93" s="20" t="str">
        <f aca="false">Pokedex!C93</f>
        <v>Poison</v>
      </c>
      <c r="D93" s="20" t="n">
        <f aca="false">Pokedex!D93</f>
        <v>0</v>
      </c>
      <c r="E93" s="21" t="n">
        <f aca="false">INDEX('Type Chart'!$B$5:$P$19,MATCH(E$4,'Type Chart'!$A$5:$A$19,0),MATCH($C93,'Type Chart'!$B$4:$P$4,0))*IF($D93="",1,INDEX('Type Chart'!$B$5:$P$19,MATCH(E$4,'Type Chart'!$A$5:$A$19,0),MATCH($D93,'Type Chart'!$B$4:$P$4,0)))</f>
        <v>1</v>
      </c>
      <c r="F93" s="21" t="n">
        <f aca="false">INDEX('Type Chart'!$B$5:$P$19,MATCH(F$4,'Type Chart'!$A$5:$A$19,0),MATCH($C93,'Type Chart'!$B$4:$P$4,0))*IF($D93="",1,INDEX('Type Chart'!$B$5:$P$19,MATCH(F$4,'Type Chart'!$A$5:$A$19,0),MATCH($D93,'Type Chart'!$B$4:$P$4,0)))</f>
        <v>1</v>
      </c>
      <c r="G93" s="21" t="n">
        <f aca="false">INDEX('Type Chart'!$B$5:$P$19,MATCH(G$4,'Type Chart'!$A$5:$A$19,0),MATCH($C93,'Type Chart'!$B$4:$P$4,0))*IF($D93="",1,INDEX('Type Chart'!$B$5:$P$19,MATCH(G$4,'Type Chart'!$A$5:$A$19,0),MATCH($D93,'Type Chart'!$B$4:$P$4,0)))</f>
        <v>1</v>
      </c>
      <c r="H93" s="21" t="n">
        <f aca="false">INDEX('Type Chart'!$B$5:$P$19,MATCH(H$4,'Type Chart'!$A$5:$A$19,0),MATCH($C93,'Type Chart'!$B$4:$P$4,0))*IF($D93="",1,INDEX('Type Chart'!$B$5:$P$19,MATCH(H$4,'Type Chart'!$A$5:$A$19,0),MATCH($D93,'Type Chart'!$B$4:$P$4,0)))</f>
        <v>1</v>
      </c>
      <c r="I93" s="21" t="n">
        <f aca="false">INDEX('Type Chart'!$B$5:$P$19,MATCH(I$4,'Type Chart'!$A$5:$A$19,0),MATCH($C93,'Type Chart'!$B$4:$P$4,0))*IF($D93="",1,INDEX('Type Chart'!$B$5:$P$19,MATCH(I$4,'Type Chart'!$A$5:$A$19,0),MATCH($D93,'Type Chart'!$B$4:$P$4,0)))</f>
        <v>0.5</v>
      </c>
      <c r="J93" s="21" t="n">
        <f aca="false">INDEX('Type Chart'!$B$5:$P$19,MATCH(J$4,'Type Chart'!$A$5:$A$19,0),MATCH($C93,'Type Chart'!$B$4:$P$4,0))*IF($D93="",1,INDEX('Type Chart'!$B$5:$P$19,MATCH(J$4,'Type Chart'!$A$5:$A$19,0),MATCH($D93,'Type Chart'!$B$4:$P$4,0)))</f>
        <v>1</v>
      </c>
      <c r="K93" s="21" t="n">
        <f aca="false">INDEX('Type Chart'!$B$5:$P$19,MATCH(K$4,'Type Chart'!$A$5:$A$19,0),MATCH($C93,'Type Chart'!$B$4:$P$4,0))*IF($D93="",1,INDEX('Type Chart'!$B$5:$P$19,MATCH(K$4,'Type Chart'!$A$5:$A$19,0),MATCH($D93,'Type Chart'!$B$4:$P$4,0)))</f>
        <v>0.5</v>
      </c>
      <c r="L93" s="21" t="n">
        <f aca="false">INDEX('Type Chart'!$B$5:$P$19,MATCH(L$4,'Type Chart'!$A$5:$A$19,0),MATCH($C93,'Type Chart'!$B$4:$P$4,0))*IF($D93="",1,INDEX('Type Chart'!$B$5:$P$19,MATCH(L$4,'Type Chart'!$A$5:$A$19,0),MATCH($D93,'Type Chart'!$B$4:$P$4,0)))</f>
        <v>0.5</v>
      </c>
      <c r="M93" s="21" t="n">
        <f aca="false">INDEX('Type Chart'!$B$5:$P$19,MATCH(M$4,'Type Chart'!$A$5:$A$19,0),MATCH($C93,'Type Chart'!$B$4:$P$4,0))*IF($D93="",1,INDEX('Type Chart'!$B$5:$P$19,MATCH(M$4,'Type Chart'!$A$5:$A$19,0),MATCH($D93,'Type Chart'!$B$4:$P$4,0)))</f>
        <v>2</v>
      </c>
      <c r="N93" s="21" t="n">
        <f aca="false">INDEX('Type Chart'!$B$5:$P$19,MATCH(N$4,'Type Chart'!$A$5:$A$19,0),MATCH($C93,'Type Chart'!$B$4:$P$4,0))*IF($D93="",1,INDEX('Type Chart'!$B$5:$P$19,MATCH(N$4,'Type Chart'!$A$5:$A$19,0),MATCH($D93,'Type Chart'!$B$4:$P$4,0)))</f>
        <v>1</v>
      </c>
      <c r="O93" s="21" t="n">
        <f aca="false">INDEX('Type Chart'!$B$5:$P$19,MATCH(O$4,'Type Chart'!$A$5:$A$19,0),MATCH($C93,'Type Chart'!$B$4:$P$4,0))*IF($D93="",1,INDEX('Type Chart'!$B$5:$P$19,MATCH(O$4,'Type Chart'!$A$5:$A$19,0),MATCH($D93,'Type Chart'!$B$4:$P$4,0)))</f>
        <v>2</v>
      </c>
      <c r="P93" s="21" t="n">
        <f aca="false">INDEX('Type Chart'!$B$5:$P$19,MATCH(P$4,'Type Chart'!$A$5:$A$19,0),MATCH($C93,'Type Chart'!$B$4:$P$4,0))*IF($D93="",1,INDEX('Type Chart'!$B$5:$P$19,MATCH(P$4,'Type Chart'!$A$5:$A$19,0),MATCH($D93,'Type Chart'!$B$4:$P$4,0)))</f>
        <v>2</v>
      </c>
      <c r="Q93" s="21" t="n">
        <f aca="false">INDEX('Type Chart'!$B$5:$P$19,MATCH(Q$4,'Type Chart'!$A$5:$A$19,0),MATCH($C93,'Type Chart'!$B$4:$P$4,0))*IF($D93="",1,INDEX('Type Chart'!$B$5:$P$19,MATCH(Q$4,'Type Chart'!$A$5:$A$19,0),MATCH($D93,'Type Chart'!$B$4:$P$4,0)))</f>
        <v>1</v>
      </c>
      <c r="R93" s="21" t="n">
        <f aca="false">INDEX('Type Chart'!$B$5:$P$19,MATCH(R$4,'Type Chart'!$A$5:$A$19,0),MATCH($C93,'Type Chart'!$B$4:$P$4,0))*IF($D93="",1,INDEX('Type Chart'!$B$5:$P$19,MATCH(R$4,'Type Chart'!$A$5:$A$19,0),MATCH($D93,'Type Chart'!$B$4:$P$4,0)))</f>
        <v>1</v>
      </c>
      <c r="S93" s="21" t="n">
        <f aca="false">INDEX('Type Chart'!$B$5:$P$19,MATCH(S$4,'Type Chart'!$A$5:$A$19,0),MATCH($C93,'Type Chart'!$B$4:$P$4,0))*IF($D93="",1,INDEX('Type Chart'!$B$5:$P$19,MATCH(S$4,'Type Chart'!$A$5:$A$19,0),MATCH($D93,'Type Chart'!$B$4:$P$4,0)))</f>
        <v>1</v>
      </c>
    </row>
    <row r="94" customFormat="false" ht="15" hidden="false" customHeight="false" outlineLevel="0" collapsed="false">
      <c r="A94" s="19" t="n">
        <v>90</v>
      </c>
      <c r="B94" s="19" t="s">
        <v>181</v>
      </c>
      <c r="C94" s="20" t="str">
        <f aca="false">Pokedex!C94</f>
        <v>Water</v>
      </c>
      <c r="D94" s="20" t="n">
        <f aca="false">Pokedex!D94</f>
        <v>0</v>
      </c>
      <c r="E94" s="21" t="n">
        <f aca="false">INDEX('Type Chart'!$B$5:$P$19,MATCH(E$4,'Type Chart'!$A$5:$A$19,0),MATCH($C94,'Type Chart'!$B$4:$P$4,0))*IF($D94="",1,INDEX('Type Chart'!$B$5:$P$19,MATCH(E$4,'Type Chart'!$A$5:$A$19,0),MATCH($D94,'Type Chart'!$B$4:$P$4,0)))</f>
        <v>1</v>
      </c>
      <c r="F94" s="21" t="n">
        <f aca="false">INDEX('Type Chart'!$B$5:$P$19,MATCH(F$4,'Type Chart'!$A$5:$A$19,0),MATCH($C94,'Type Chart'!$B$4:$P$4,0))*IF($D94="",1,INDEX('Type Chart'!$B$5:$P$19,MATCH(F$4,'Type Chart'!$A$5:$A$19,0),MATCH($D94,'Type Chart'!$B$4:$P$4,0)))</f>
        <v>0.5</v>
      </c>
      <c r="G94" s="21" t="n">
        <f aca="false">INDEX('Type Chart'!$B$5:$P$19,MATCH(G$4,'Type Chart'!$A$5:$A$19,0),MATCH($C94,'Type Chart'!$B$4:$P$4,0))*IF($D94="",1,INDEX('Type Chart'!$B$5:$P$19,MATCH(G$4,'Type Chart'!$A$5:$A$19,0),MATCH($D94,'Type Chart'!$B$4:$P$4,0)))</f>
        <v>0.5</v>
      </c>
      <c r="H94" s="21" t="n">
        <f aca="false">INDEX('Type Chart'!$B$5:$P$19,MATCH(H$4,'Type Chart'!$A$5:$A$19,0),MATCH($C94,'Type Chart'!$B$4:$P$4,0))*IF($D94="",1,INDEX('Type Chart'!$B$5:$P$19,MATCH(H$4,'Type Chart'!$A$5:$A$19,0),MATCH($D94,'Type Chart'!$B$4:$P$4,0)))</f>
        <v>2</v>
      </c>
      <c r="I94" s="21" t="n">
        <f aca="false">INDEX('Type Chart'!$B$5:$P$19,MATCH(I$4,'Type Chart'!$A$5:$A$19,0),MATCH($C94,'Type Chart'!$B$4:$P$4,0))*IF($D94="",1,INDEX('Type Chart'!$B$5:$P$19,MATCH(I$4,'Type Chart'!$A$5:$A$19,0),MATCH($D94,'Type Chart'!$B$4:$P$4,0)))</f>
        <v>2</v>
      </c>
      <c r="J94" s="21" t="n">
        <f aca="false">INDEX('Type Chart'!$B$5:$P$19,MATCH(J$4,'Type Chart'!$A$5:$A$19,0),MATCH($C94,'Type Chart'!$B$4:$P$4,0))*IF($D94="",1,INDEX('Type Chart'!$B$5:$P$19,MATCH(J$4,'Type Chart'!$A$5:$A$19,0),MATCH($D94,'Type Chart'!$B$4:$P$4,0)))</f>
        <v>0.5</v>
      </c>
      <c r="K94" s="21" t="n">
        <f aca="false">INDEX('Type Chart'!$B$5:$P$19,MATCH(K$4,'Type Chart'!$A$5:$A$19,0),MATCH($C94,'Type Chart'!$B$4:$P$4,0))*IF($D94="",1,INDEX('Type Chart'!$B$5:$P$19,MATCH(K$4,'Type Chart'!$A$5:$A$19,0),MATCH($D94,'Type Chart'!$B$4:$P$4,0)))</f>
        <v>1</v>
      </c>
      <c r="L94" s="21" t="n">
        <f aca="false">INDEX('Type Chart'!$B$5:$P$19,MATCH(L$4,'Type Chart'!$A$5:$A$19,0),MATCH($C94,'Type Chart'!$B$4:$P$4,0))*IF($D94="",1,INDEX('Type Chart'!$B$5:$P$19,MATCH(L$4,'Type Chart'!$A$5:$A$19,0),MATCH($D94,'Type Chart'!$B$4:$P$4,0)))</f>
        <v>1</v>
      </c>
      <c r="M94" s="21" t="n">
        <f aca="false">INDEX('Type Chart'!$B$5:$P$19,MATCH(M$4,'Type Chart'!$A$5:$A$19,0),MATCH($C94,'Type Chart'!$B$4:$P$4,0))*IF($D94="",1,INDEX('Type Chart'!$B$5:$P$19,MATCH(M$4,'Type Chart'!$A$5:$A$19,0),MATCH($D94,'Type Chart'!$B$4:$P$4,0)))</f>
        <v>1</v>
      </c>
      <c r="N94" s="21" t="n">
        <f aca="false">INDEX('Type Chart'!$B$5:$P$19,MATCH(N$4,'Type Chart'!$A$5:$A$19,0),MATCH($C94,'Type Chart'!$B$4:$P$4,0))*IF($D94="",1,INDEX('Type Chart'!$B$5:$P$19,MATCH(N$4,'Type Chart'!$A$5:$A$19,0),MATCH($D94,'Type Chart'!$B$4:$P$4,0)))</f>
        <v>1</v>
      </c>
      <c r="O94" s="21" t="n">
        <f aca="false">INDEX('Type Chart'!$B$5:$P$19,MATCH(O$4,'Type Chart'!$A$5:$A$19,0),MATCH($C94,'Type Chart'!$B$4:$P$4,0))*IF($D94="",1,INDEX('Type Chart'!$B$5:$P$19,MATCH(O$4,'Type Chart'!$A$5:$A$19,0),MATCH($D94,'Type Chart'!$B$4:$P$4,0)))</f>
        <v>1</v>
      </c>
      <c r="P94" s="21" t="n">
        <f aca="false">INDEX('Type Chart'!$B$5:$P$19,MATCH(P$4,'Type Chart'!$A$5:$A$19,0),MATCH($C94,'Type Chart'!$B$4:$P$4,0))*IF($D94="",1,INDEX('Type Chart'!$B$5:$P$19,MATCH(P$4,'Type Chart'!$A$5:$A$19,0),MATCH($D94,'Type Chart'!$B$4:$P$4,0)))</f>
        <v>1</v>
      </c>
      <c r="Q94" s="21" t="n">
        <f aca="false">INDEX('Type Chart'!$B$5:$P$19,MATCH(Q$4,'Type Chart'!$A$5:$A$19,0),MATCH($C94,'Type Chart'!$B$4:$P$4,0))*IF($D94="",1,INDEX('Type Chart'!$B$5:$P$19,MATCH(Q$4,'Type Chart'!$A$5:$A$19,0),MATCH($D94,'Type Chart'!$B$4:$P$4,0)))</f>
        <v>1</v>
      </c>
      <c r="R94" s="21" t="n">
        <f aca="false">INDEX('Type Chart'!$B$5:$P$19,MATCH(R$4,'Type Chart'!$A$5:$A$19,0),MATCH($C94,'Type Chart'!$B$4:$P$4,0))*IF($D94="",1,INDEX('Type Chart'!$B$5:$P$19,MATCH(R$4,'Type Chart'!$A$5:$A$19,0),MATCH($D94,'Type Chart'!$B$4:$P$4,0)))</f>
        <v>1</v>
      </c>
      <c r="S94" s="21" t="n">
        <f aca="false">INDEX('Type Chart'!$B$5:$P$19,MATCH(S$4,'Type Chart'!$A$5:$A$19,0),MATCH($C94,'Type Chart'!$B$4:$P$4,0))*IF($D94="",1,INDEX('Type Chart'!$B$5:$P$19,MATCH(S$4,'Type Chart'!$A$5:$A$19,0),MATCH($D94,'Type Chart'!$B$4:$P$4,0)))</f>
        <v>1</v>
      </c>
    </row>
    <row r="95" customFormat="false" ht="15" hidden="false" customHeight="false" outlineLevel="0" collapsed="false">
      <c r="A95" s="19" t="n">
        <v>91</v>
      </c>
      <c r="B95" s="19" t="s">
        <v>182</v>
      </c>
      <c r="C95" s="20" t="str">
        <f aca="false">Pokedex!C95</f>
        <v>Water</v>
      </c>
      <c r="D95" s="20" t="str">
        <f aca="false">Pokedex!D95</f>
        <v>Ice</v>
      </c>
      <c r="E95" s="21" t="n">
        <f aca="false">INDEX('Type Chart'!$B$5:$P$19,MATCH(E$4,'Type Chart'!$A$5:$A$19,0),MATCH($C95,'Type Chart'!$B$4:$P$4,0))*IF($D95="",1,INDEX('Type Chart'!$B$5:$P$19,MATCH(E$4,'Type Chart'!$A$5:$A$19,0),MATCH($D95,'Type Chart'!$B$4:$P$4,0)))</f>
        <v>1</v>
      </c>
      <c r="F95" s="21" t="n">
        <f aca="false">INDEX('Type Chart'!$B$5:$P$19,MATCH(F$4,'Type Chart'!$A$5:$A$19,0),MATCH($C95,'Type Chart'!$B$4:$P$4,0))*IF($D95="",1,INDEX('Type Chart'!$B$5:$P$19,MATCH(F$4,'Type Chart'!$A$5:$A$19,0),MATCH($D95,'Type Chart'!$B$4:$P$4,0)))</f>
        <v>1</v>
      </c>
      <c r="G95" s="21" t="n">
        <f aca="false">INDEX('Type Chart'!$B$5:$P$19,MATCH(G$4,'Type Chart'!$A$5:$A$19,0),MATCH($C95,'Type Chart'!$B$4:$P$4,0))*IF($D95="",1,INDEX('Type Chart'!$B$5:$P$19,MATCH(G$4,'Type Chart'!$A$5:$A$19,0),MATCH($D95,'Type Chart'!$B$4:$P$4,0)))</f>
        <v>0.5</v>
      </c>
      <c r="H95" s="21" t="n">
        <f aca="false">INDEX('Type Chart'!$B$5:$P$19,MATCH(H$4,'Type Chart'!$A$5:$A$19,0),MATCH($C95,'Type Chart'!$B$4:$P$4,0))*IF($D95="",1,INDEX('Type Chart'!$B$5:$P$19,MATCH(H$4,'Type Chart'!$A$5:$A$19,0),MATCH($D95,'Type Chart'!$B$4:$P$4,0)))</f>
        <v>2</v>
      </c>
      <c r="I95" s="21" t="n">
        <f aca="false">INDEX('Type Chart'!$B$5:$P$19,MATCH(I$4,'Type Chart'!$A$5:$A$19,0),MATCH($C95,'Type Chart'!$B$4:$P$4,0))*IF($D95="",1,INDEX('Type Chart'!$B$5:$P$19,MATCH(I$4,'Type Chart'!$A$5:$A$19,0),MATCH($D95,'Type Chart'!$B$4:$P$4,0)))</f>
        <v>2</v>
      </c>
      <c r="J95" s="21" t="n">
        <f aca="false">INDEX('Type Chart'!$B$5:$P$19,MATCH(J$4,'Type Chart'!$A$5:$A$19,0),MATCH($C95,'Type Chart'!$B$4:$P$4,0))*IF($D95="",1,INDEX('Type Chart'!$B$5:$P$19,MATCH(J$4,'Type Chart'!$A$5:$A$19,0),MATCH($D95,'Type Chart'!$B$4:$P$4,0)))</f>
        <v>0.25</v>
      </c>
      <c r="K95" s="21" t="n">
        <f aca="false">INDEX('Type Chart'!$B$5:$P$19,MATCH(K$4,'Type Chart'!$A$5:$A$19,0),MATCH($C95,'Type Chart'!$B$4:$P$4,0))*IF($D95="",1,INDEX('Type Chart'!$B$5:$P$19,MATCH(K$4,'Type Chart'!$A$5:$A$19,0),MATCH($D95,'Type Chart'!$B$4:$P$4,0)))</f>
        <v>2</v>
      </c>
      <c r="L95" s="21" t="n">
        <f aca="false">INDEX('Type Chart'!$B$5:$P$19,MATCH(L$4,'Type Chart'!$A$5:$A$19,0),MATCH($C95,'Type Chart'!$B$4:$P$4,0))*IF($D95="",1,INDEX('Type Chart'!$B$5:$P$19,MATCH(L$4,'Type Chart'!$A$5:$A$19,0),MATCH($D95,'Type Chart'!$B$4:$P$4,0)))</f>
        <v>1</v>
      </c>
      <c r="M95" s="21" t="n">
        <f aca="false">INDEX('Type Chart'!$B$5:$P$19,MATCH(M$4,'Type Chart'!$A$5:$A$19,0),MATCH($C95,'Type Chart'!$B$4:$P$4,0))*IF($D95="",1,INDEX('Type Chart'!$B$5:$P$19,MATCH(M$4,'Type Chart'!$A$5:$A$19,0),MATCH($D95,'Type Chart'!$B$4:$P$4,0)))</f>
        <v>1</v>
      </c>
      <c r="N95" s="21" t="n">
        <f aca="false">INDEX('Type Chart'!$B$5:$P$19,MATCH(N$4,'Type Chart'!$A$5:$A$19,0),MATCH($C95,'Type Chart'!$B$4:$P$4,0))*IF($D95="",1,INDEX('Type Chart'!$B$5:$P$19,MATCH(N$4,'Type Chart'!$A$5:$A$19,0),MATCH($D95,'Type Chart'!$B$4:$P$4,0)))</f>
        <v>1</v>
      </c>
      <c r="O95" s="21" t="n">
        <f aca="false">INDEX('Type Chart'!$B$5:$P$19,MATCH(O$4,'Type Chart'!$A$5:$A$19,0),MATCH($C95,'Type Chart'!$B$4:$P$4,0))*IF($D95="",1,INDEX('Type Chart'!$B$5:$P$19,MATCH(O$4,'Type Chart'!$A$5:$A$19,0),MATCH($D95,'Type Chart'!$B$4:$P$4,0)))</f>
        <v>1</v>
      </c>
      <c r="P95" s="21" t="n">
        <f aca="false">INDEX('Type Chart'!$B$5:$P$19,MATCH(P$4,'Type Chart'!$A$5:$A$19,0),MATCH($C95,'Type Chart'!$B$4:$P$4,0))*IF($D95="",1,INDEX('Type Chart'!$B$5:$P$19,MATCH(P$4,'Type Chart'!$A$5:$A$19,0),MATCH($D95,'Type Chart'!$B$4:$P$4,0)))</f>
        <v>1</v>
      </c>
      <c r="Q95" s="21" t="n">
        <f aca="false">INDEX('Type Chart'!$B$5:$P$19,MATCH(Q$4,'Type Chart'!$A$5:$A$19,0),MATCH($C95,'Type Chart'!$B$4:$P$4,0))*IF($D95="",1,INDEX('Type Chart'!$B$5:$P$19,MATCH(Q$4,'Type Chart'!$A$5:$A$19,0),MATCH($D95,'Type Chart'!$B$4:$P$4,0)))</f>
        <v>2</v>
      </c>
      <c r="R95" s="21" t="n">
        <f aca="false">INDEX('Type Chart'!$B$5:$P$19,MATCH(R$4,'Type Chart'!$A$5:$A$19,0),MATCH($C95,'Type Chart'!$B$4:$P$4,0))*IF($D95="",1,INDEX('Type Chart'!$B$5:$P$19,MATCH(R$4,'Type Chart'!$A$5:$A$19,0),MATCH($D95,'Type Chart'!$B$4:$P$4,0)))</f>
        <v>1</v>
      </c>
      <c r="S95" s="21" t="n">
        <f aca="false">INDEX('Type Chart'!$B$5:$P$19,MATCH(S$4,'Type Chart'!$A$5:$A$19,0),MATCH($C95,'Type Chart'!$B$4:$P$4,0))*IF($D95="",1,INDEX('Type Chart'!$B$5:$P$19,MATCH(S$4,'Type Chart'!$A$5:$A$19,0),MATCH($D95,'Type Chart'!$B$4:$P$4,0)))</f>
        <v>1</v>
      </c>
    </row>
    <row r="96" customFormat="false" ht="15" hidden="false" customHeight="false" outlineLevel="0" collapsed="false">
      <c r="A96" s="19" t="n">
        <v>92</v>
      </c>
      <c r="B96" s="19" t="s">
        <v>183</v>
      </c>
      <c r="C96" s="20" t="str">
        <f aca="false">Pokedex!C96</f>
        <v>Ghost</v>
      </c>
      <c r="D96" s="20" t="str">
        <f aca="false">Pokedex!D96</f>
        <v>Poison</v>
      </c>
      <c r="E96" s="21" t="n">
        <f aca="false">INDEX('Type Chart'!$B$5:$P$19,MATCH(E$4,'Type Chart'!$A$5:$A$19,0),MATCH($C96,'Type Chart'!$B$4:$P$4,0))*IF($D96="",1,INDEX('Type Chart'!$B$5:$P$19,MATCH(E$4,'Type Chart'!$A$5:$A$19,0),MATCH($D96,'Type Chart'!$B$4:$P$4,0)))</f>
        <v>0</v>
      </c>
      <c r="F96" s="21" t="n">
        <f aca="false">INDEX('Type Chart'!$B$5:$P$19,MATCH(F$4,'Type Chart'!$A$5:$A$19,0),MATCH($C96,'Type Chart'!$B$4:$P$4,0))*IF($D96="",1,INDEX('Type Chart'!$B$5:$P$19,MATCH(F$4,'Type Chart'!$A$5:$A$19,0),MATCH($D96,'Type Chart'!$B$4:$P$4,0)))</f>
        <v>1</v>
      </c>
      <c r="G96" s="21" t="n">
        <f aca="false">INDEX('Type Chart'!$B$5:$P$19,MATCH(G$4,'Type Chart'!$A$5:$A$19,0),MATCH($C96,'Type Chart'!$B$4:$P$4,0))*IF($D96="",1,INDEX('Type Chart'!$B$5:$P$19,MATCH(G$4,'Type Chart'!$A$5:$A$19,0),MATCH($D96,'Type Chart'!$B$4:$P$4,0)))</f>
        <v>1</v>
      </c>
      <c r="H96" s="21" t="n">
        <f aca="false">INDEX('Type Chart'!$B$5:$P$19,MATCH(H$4,'Type Chart'!$A$5:$A$19,0),MATCH($C96,'Type Chart'!$B$4:$P$4,0))*IF($D96="",1,INDEX('Type Chart'!$B$5:$P$19,MATCH(H$4,'Type Chart'!$A$5:$A$19,0),MATCH($D96,'Type Chart'!$B$4:$P$4,0)))</f>
        <v>1</v>
      </c>
      <c r="I96" s="21" t="n">
        <f aca="false">INDEX('Type Chart'!$B$5:$P$19,MATCH(I$4,'Type Chart'!$A$5:$A$19,0),MATCH($C96,'Type Chart'!$B$4:$P$4,0))*IF($D96="",1,INDEX('Type Chart'!$B$5:$P$19,MATCH(I$4,'Type Chart'!$A$5:$A$19,0),MATCH($D96,'Type Chart'!$B$4:$P$4,0)))</f>
        <v>0.5</v>
      </c>
      <c r="J96" s="21" t="n">
        <f aca="false">INDEX('Type Chart'!$B$5:$P$19,MATCH(J$4,'Type Chart'!$A$5:$A$19,0),MATCH($C96,'Type Chart'!$B$4:$P$4,0))*IF($D96="",1,INDEX('Type Chart'!$B$5:$P$19,MATCH(J$4,'Type Chart'!$A$5:$A$19,0),MATCH($D96,'Type Chart'!$B$4:$P$4,0)))</f>
        <v>1</v>
      </c>
      <c r="K96" s="21" t="n">
        <f aca="false">INDEX('Type Chart'!$B$5:$P$19,MATCH(K$4,'Type Chart'!$A$5:$A$19,0),MATCH($C96,'Type Chart'!$B$4:$P$4,0))*IF($D96="",1,INDEX('Type Chart'!$B$5:$P$19,MATCH(K$4,'Type Chart'!$A$5:$A$19,0),MATCH($D96,'Type Chart'!$B$4:$P$4,0)))</f>
        <v>0</v>
      </c>
      <c r="L96" s="21" t="n">
        <f aca="false">INDEX('Type Chart'!$B$5:$P$19,MATCH(L$4,'Type Chart'!$A$5:$A$19,0),MATCH($C96,'Type Chart'!$B$4:$P$4,0))*IF($D96="",1,INDEX('Type Chart'!$B$5:$P$19,MATCH(L$4,'Type Chart'!$A$5:$A$19,0),MATCH($D96,'Type Chart'!$B$4:$P$4,0)))</f>
        <v>0.25</v>
      </c>
      <c r="M96" s="21" t="n">
        <f aca="false">INDEX('Type Chart'!$B$5:$P$19,MATCH(M$4,'Type Chart'!$A$5:$A$19,0),MATCH($C96,'Type Chart'!$B$4:$P$4,0))*IF($D96="",1,INDEX('Type Chart'!$B$5:$P$19,MATCH(M$4,'Type Chart'!$A$5:$A$19,0),MATCH($D96,'Type Chart'!$B$4:$P$4,0)))</f>
        <v>2</v>
      </c>
      <c r="N96" s="21" t="n">
        <f aca="false">INDEX('Type Chart'!$B$5:$P$19,MATCH(N$4,'Type Chart'!$A$5:$A$19,0),MATCH($C96,'Type Chart'!$B$4:$P$4,0))*IF($D96="",1,INDEX('Type Chart'!$B$5:$P$19,MATCH(N$4,'Type Chart'!$A$5:$A$19,0),MATCH($D96,'Type Chart'!$B$4:$P$4,0)))</f>
        <v>1</v>
      </c>
      <c r="O96" s="21" t="n">
        <f aca="false">INDEX('Type Chart'!$B$5:$P$19,MATCH(O$4,'Type Chart'!$A$5:$A$19,0),MATCH($C96,'Type Chart'!$B$4:$P$4,0))*IF($D96="",1,INDEX('Type Chart'!$B$5:$P$19,MATCH(O$4,'Type Chart'!$A$5:$A$19,0),MATCH($D96,'Type Chart'!$B$4:$P$4,0)))</f>
        <v>2</v>
      </c>
      <c r="P96" s="21" t="n">
        <f aca="false">INDEX('Type Chart'!$B$5:$P$19,MATCH(P$4,'Type Chart'!$A$5:$A$19,0),MATCH($C96,'Type Chart'!$B$4:$P$4,0))*IF($D96="",1,INDEX('Type Chart'!$B$5:$P$19,MATCH(P$4,'Type Chart'!$A$5:$A$19,0),MATCH($D96,'Type Chart'!$B$4:$P$4,0)))</f>
        <v>1</v>
      </c>
      <c r="Q96" s="21" t="n">
        <f aca="false">INDEX('Type Chart'!$B$5:$P$19,MATCH(Q$4,'Type Chart'!$A$5:$A$19,0),MATCH($C96,'Type Chart'!$B$4:$P$4,0))*IF($D96="",1,INDEX('Type Chart'!$B$5:$P$19,MATCH(Q$4,'Type Chart'!$A$5:$A$19,0),MATCH($D96,'Type Chart'!$B$4:$P$4,0)))</f>
        <v>1</v>
      </c>
      <c r="R96" s="21" t="n">
        <f aca="false">INDEX('Type Chart'!$B$5:$P$19,MATCH(R$4,'Type Chart'!$A$5:$A$19,0),MATCH($C96,'Type Chart'!$B$4:$P$4,0))*IF($D96="",1,INDEX('Type Chart'!$B$5:$P$19,MATCH(R$4,'Type Chart'!$A$5:$A$19,0),MATCH($D96,'Type Chart'!$B$4:$P$4,0)))</f>
        <v>2</v>
      </c>
      <c r="S96" s="21" t="n">
        <f aca="false">INDEX('Type Chart'!$B$5:$P$19,MATCH(S$4,'Type Chart'!$A$5:$A$19,0),MATCH($C96,'Type Chart'!$B$4:$P$4,0))*IF($D96="",1,INDEX('Type Chart'!$B$5:$P$19,MATCH(S$4,'Type Chart'!$A$5:$A$19,0),MATCH($D96,'Type Chart'!$B$4:$P$4,0)))</f>
        <v>1</v>
      </c>
    </row>
    <row r="97" customFormat="false" ht="15" hidden="false" customHeight="false" outlineLevel="0" collapsed="false">
      <c r="A97" s="19" t="n">
        <v>93</v>
      </c>
      <c r="B97" s="19" t="s">
        <v>184</v>
      </c>
      <c r="C97" s="20" t="str">
        <f aca="false">Pokedex!C97</f>
        <v>Ghost</v>
      </c>
      <c r="D97" s="20" t="str">
        <f aca="false">Pokedex!D97</f>
        <v>Poison</v>
      </c>
      <c r="E97" s="21" t="n">
        <f aca="false">INDEX('Type Chart'!$B$5:$P$19,MATCH(E$4,'Type Chart'!$A$5:$A$19,0),MATCH($C97,'Type Chart'!$B$4:$P$4,0))*IF($D97="",1,INDEX('Type Chart'!$B$5:$P$19,MATCH(E$4,'Type Chart'!$A$5:$A$19,0),MATCH($D97,'Type Chart'!$B$4:$P$4,0)))</f>
        <v>0</v>
      </c>
      <c r="F97" s="21" t="n">
        <f aca="false">INDEX('Type Chart'!$B$5:$P$19,MATCH(F$4,'Type Chart'!$A$5:$A$19,0),MATCH($C97,'Type Chart'!$B$4:$P$4,0))*IF($D97="",1,INDEX('Type Chart'!$B$5:$P$19,MATCH(F$4,'Type Chart'!$A$5:$A$19,0),MATCH($D97,'Type Chart'!$B$4:$P$4,0)))</f>
        <v>1</v>
      </c>
      <c r="G97" s="21" t="n">
        <f aca="false">INDEX('Type Chart'!$B$5:$P$19,MATCH(G$4,'Type Chart'!$A$5:$A$19,0),MATCH($C97,'Type Chart'!$B$4:$P$4,0))*IF($D97="",1,INDEX('Type Chart'!$B$5:$P$19,MATCH(G$4,'Type Chart'!$A$5:$A$19,0),MATCH($D97,'Type Chart'!$B$4:$P$4,0)))</f>
        <v>1</v>
      </c>
      <c r="H97" s="21" t="n">
        <f aca="false">INDEX('Type Chart'!$B$5:$P$19,MATCH(H$4,'Type Chart'!$A$5:$A$19,0),MATCH($C97,'Type Chart'!$B$4:$P$4,0))*IF($D97="",1,INDEX('Type Chart'!$B$5:$P$19,MATCH(H$4,'Type Chart'!$A$5:$A$19,0),MATCH($D97,'Type Chart'!$B$4:$P$4,0)))</f>
        <v>1</v>
      </c>
      <c r="I97" s="21" t="n">
        <f aca="false">INDEX('Type Chart'!$B$5:$P$19,MATCH(I$4,'Type Chart'!$A$5:$A$19,0),MATCH($C97,'Type Chart'!$B$4:$P$4,0))*IF($D97="",1,INDEX('Type Chart'!$B$5:$P$19,MATCH(I$4,'Type Chart'!$A$5:$A$19,0),MATCH($D97,'Type Chart'!$B$4:$P$4,0)))</f>
        <v>0.5</v>
      </c>
      <c r="J97" s="21" t="n">
        <f aca="false">INDEX('Type Chart'!$B$5:$P$19,MATCH(J$4,'Type Chart'!$A$5:$A$19,0),MATCH($C97,'Type Chart'!$B$4:$P$4,0))*IF($D97="",1,INDEX('Type Chart'!$B$5:$P$19,MATCH(J$4,'Type Chart'!$A$5:$A$19,0),MATCH($D97,'Type Chart'!$B$4:$P$4,0)))</f>
        <v>1</v>
      </c>
      <c r="K97" s="21" t="n">
        <f aca="false">INDEX('Type Chart'!$B$5:$P$19,MATCH(K$4,'Type Chart'!$A$5:$A$19,0),MATCH($C97,'Type Chart'!$B$4:$P$4,0))*IF($D97="",1,INDEX('Type Chart'!$B$5:$P$19,MATCH(K$4,'Type Chart'!$A$5:$A$19,0),MATCH($D97,'Type Chart'!$B$4:$P$4,0)))</f>
        <v>0</v>
      </c>
      <c r="L97" s="21" t="n">
        <f aca="false">INDEX('Type Chart'!$B$5:$P$19,MATCH(L$4,'Type Chart'!$A$5:$A$19,0),MATCH($C97,'Type Chart'!$B$4:$P$4,0))*IF($D97="",1,INDEX('Type Chart'!$B$5:$P$19,MATCH(L$4,'Type Chart'!$A$5:$A$19,0),MATCH($D97,'Type Chart'!$B$4:$P$4,0)))</f>
        <v>0.25</v>
      </c>
      <c r="M97" s="21" t="n">
        <f aca="false">INDEX('Type Chart'!$B$5:$P$19,MATCH(M$4,'Type Chart'!$A$5:$A$19,0),MATCH($C97,'Type Chart'!$B$4:$P$4,0))*IF($D97="",1,INDEX('Type Chart'!$B$5:$P$19,MATCH(M$4,'Type Chart'!$A$5:$A$19,0),MATCH($D97,'Type Chart'!$B$4:$P$4,0)))</f>
        <v>2</v>
      </c>
      <c r="N97" s="21" t="n">
        <f aca="false">INDEX('Type Chart'!$B$5:$P$19,MATCH(N$4,'Type Chart'!$A$5:$A$19,0),MATCH($C97,'Type Chart'!$B$4:$P$4,0))*IF($D97="",1,INDEX('Type Chart'!$B$5:$P$19,MATCH(N$4,'Type Chart'!$A$5:$A$19,0),MATCH($D97,'Type Chart'!$B$4:$P$4,0)))</f>
        <v>1</v>
      </c>
      <c r="O97" s="21" t="n">
        <f aca="false">INDEX('Type Chart'!$B$5:$P$19,MATCH(O$4,'Type Chart'!$A$5:$A$19,0),MATCH($C97,'Type Chart'!$B$4:$P$4,0))*IF($D97="",1,INDEX('Type Chart'!$B$5:$P$19,MATCH(O$4,'Type Chart'!$A$5:$A$19,0),MATCH($D97,'Type Chart'!$B$4:$P$4,0)))</f>
        <v>2</v>
      </c>
      <c r="P97" s="21" t="n">
        <f aca="false">INDEX('Type Chart'!$B$5:$P$19,MATCH(P$4,'Type Chart'!$A$5:$A$19,0),MATCH($C97,'Type Chart'!$B$4:$P$4,0))*IF($D97="",1,INDEX('Type Chart'!$B$5:$P$19,MATCH(P$4,'Type Chart'!$A$5:$A$19,0),MATCH($D97,'Type Chart'!$B$4:$P$4,0)))</f>
        <v>1</v>
      </c>
      <c r="Q97" s="21" t="n">
        <f aca="false">INDEX('Type Chart'!$B$5:$P$19,MATCH(Q$4,'Type Chart'!$A$5:$A$19,0),MATCH($C97,'Type Chart'!$B$4:$P$4,0))*IF($D97="",1,INDEX('Type Chart'!$B$5:$P$19,MATCH(Q$4,'Type Chart'!$A$5:$A$19,0),MATCH($D97,'Type Chart'!$B$4:$P$4,0)))</f>
        <v>1</v>
      </c>
      <c r="R97" s="21" t="n">
        <f aca="false">INDEX('Type Chart'!$B$5:$P$19,MATCH(R$4,'Type Chart'!$A$5:$A$19,0),MATCH($C97,'Type Chart'!$B$4:$P$4,0))*IF($D97="",1,INDEX('Type Chart'!$B$5:$P$19,MATCH(R$4,'Type Chart'!$A$5:$A$19,0),MATCH($D97,'Type Chart'!$B$4:$P$4,0)))</f>
        <v>2</v>
      </c>
      <c r="S97" s="21" t="n">
        <f aca="false">INDEX('Type Chart'!$B$5:$P$19,MATCH(S$4,'Type Chart'!$A$5:$A$19,0),MATCH($C97,'Type Chart'!$B$4:$P$4,0))*IF($D97="",1,INDEX('Type Chart'!$B$5:$P$19,MATCH(S$4,'Type Chart'!$A$5:$A$19,0),MATCH($D97,'Type Chart'!$B$4:$P$4,0)))</f>
        <v>1</v>
      </c>
    </row>
    <row r="98" customFormat="false" ht="15" hidden="false" customHeight="false" outlineLevel="0" collapsed="false">
      <c r="A98" s="19" t="n">
        <v>94</v>
      </c>
      <c r="B98" s="19" t="s">
        <v>185</v>
      </c>
      <c r="C98" s="20" t="str">
        <f aca="false">Pokedex!C98</f>
        <v>Ghost</v>
      </c>
      <c r="D98" s="20" t="str">
        <f aca="false">Pokedex!D98</f>
        <v>Poison</v>
      </c>
      <c r="E98" s="21" t="n">
        <f aca="false">INDEX('Type Chart'!$B$5:$P$19,MATCH(E$4,'Type Chart'!$A$5:$A$19,0),MATCH($C98,'Type Chart'!$B$4:$P$4,0))*IF($D98="",1,INDEX('Type Chart'!$B$5:$P$19,MATCH(E$4,'Type Chart'!$A$5:$A$19,0),MATCH($D98,'Type Chart'!$B$4:$P$4,0)))</f>
        <v>0</v>
      </c>
      <c r="F98" s="21" t="n">
        <f aca="false">INDEX('Type Chart'!$B$5:$P$19,MATCH(F$4,'Type Chart'!$A$5:$A$19,0),MATCH($C98,'Type Chart'!$B$4:$P$4,0))*IF($D98="",1,INDEX('Type Chart'!$B$5:$P$19,MATCH(F$4,'Type Chart'!$A$5:$A$19,0),MATCH($D98,'Type Chart'!$B$4:$P$4,0)))</f>
        <v>1</v>
      </c>
      <c r="G98" s="21" t="n">
        <f aca="false">INDEX('Type Chart'!$B$5:$P$19,MATCH(G$4,'Type Chart'!$A$5:$A$19,0),MATCH($C98,'Type Chart'!$B$4:$P$4,0))*IF($D98="",1,INDEX('Type Chart'!$B$5:$P$19,MATCH(G$4,'Type Chart'!$A$5:$A$19,0),MATCH($D98,'Type Chart'!$B$4:$P$4,0)))</f>
        <v>1</v>
      </c>
      <c r="H98" s="21" t="n">
        <f aca="false">INDEX('Type Chart'!$B$5:$P$19,MATCH(H$4,'Type Chart'!$A$5:$A$19,0),MATCH($C98,'Type Chart'!$B$4:$P$4,0))*IF($D98="",1,INDEX('Type Chart'!$B$5:$P$19,MATCH(H$4,'Type Chart'!$A$5:$A$19,0),MATCH($D98,'Type Chart'!$B$4:$P$4,0)))</f>
        <v>1</v>
      </c>
      <c r="I98" s="21" t="n">
        <f aca="false">INDEX('Type Chart'!$B$5:$P$19,MATCH(I$4,'Type Chart'!$A$5:$A$19,0),MATCH($C98,'Type Chart'!$B$4:$P$4,0))*IF($D98="",1,INDEX('Type Chart'!$B$5:$P$19,MATCH(I$4,'Type Chart'!$A$5:$A$19,0),MATCH($D98,'Type Chart'!$B$4:$P$4,0)))</f>
        <v>0.5</v>
      </c>
      <c r="J98" s="21" t="n">
        <f aca="false">INDEX('Type Chart'!$B$5:$P$19,MATCH(J$4,'Type Chart'!$A$5:$A$19,0),MATCH($C98,'Type Chart'!$B$4:$P$4,0))*IF($D98="",1,INDEX('Type Chart'!$B$5:$P$19,MATCH(J$4,'Type Chart'!$A$5:$A$19,0),MATCH($D98,'Type Chart'!$B$4:$P$4,0)))</f>
        <v>1</v>
      </c>
      <c r="K98" s="21" t="n">
        <f aca="false">INDEX('Type Chart'!$B$5:$P$19,MATCH(K$4,'Type Chart'!$A$5:$A$19,0),MATCH($C98,'Type Chart'!$B$4:$P$4,0))*IF($D98="",1,INDEX('Type Chart'!$B$5:$P$19,MATCH(K$4,'Type Chart'!$A$5:$A$19,0),MATCH($D98,'Type Chart'!$B$4:$P$4,0)))</f>
        <v>0</v>
      </c>
      <c r="L98" s="21" t="n">
        <f aca="false">INDEX('Type Chart'!$B$5:$P$19,MATCH(L$4,'Type Chart'!$A$5:$A$19,0),MATCH($C98,'Type Chart'!$B$4:$P$4,0))*IF($D98="",1,INDEX('Type Chart'!$B$5:$P$19,MATCH(L$4,'Type Chart'!$A$5:$A$19,0),MATCH($D98,'Type Chart'!$B$4:$P$4,0)))</f>
        <v>0.25</v>
      </c>
      <c r="M98" s="21" t="n">
        <f aca="false">INDEX('Type Chart'!$B$5:$P$19,MATCH(M$4,'Type Chart'!$A$5:$A$19,0),MATCH($C98,'Type Chart'!$B$4:$P$4,0))*IF($D98="",1,INDEX('Type Chart'!$B$5:$P$19,MATCH(M$4,'Type Chart'!$A$5:$A$19,0),MATCH($D98,'Type Chart'!$B$4:$P$4,0)))</f>
        <v>2</v>
      </c>
      <c r="N98" s="21" t="n">
        <f aca="false">INDEX('Type Chart'!$B$5:$P$19,MATCH(N$4,'Type Chart'!$A$5:$A$19,0),MATCH($C98,'Type Chart'!$B$4:$P$4,0))*IF($D98="",1,INDEX('Type Chart'!$B$5:$P$19,MATCH(N$4,'Type Chart'!$A$5:$A$19,0),MATCH($D98,'Type Chart'!$B$4:$P$4,0)))</f>
        <v>1</v>
      </c>
      <c r="O98" s="21" t="n">
        <f aca="false">INDEX('Type Chart'!$B$5:$P$19,MATCH(O$4,'Type Chart'!$A$5:$A$19,0),MATCH($C98,'Type Chart'!$B$4:$P$4,0))*IF($D98="",1,INDEX('Type Chart'!$B$5:$P$19,MATCH(O$4,'Type Chart'!$A$5:$A$19,0),MATCH($D98,'Type Chart'!$B$4:$P$4,0)))</f>
        <v>2</v>
      </c>
      <c r="P98" s="21" t="n">
        <f aca="false">INDEX('Type Chart'!$B$5:$P$19,MATCH(P$4,'Type Chart'!$A$5:$A$19,0),MATCH($C98,'Type Chart'!$B$4:$P$4,0))*IF($D98="",1,INDEX('Type Chart'!$B$5:$P$19,MATCH(P$4,'Type Chart'!$A$5:$A$19,0),MATCH($D98,'Type Chart'!$B$4:$P$4,0)))</f>
        <v>1</v>
      </c>
      <c r="Q98" s="21" t="n">
        <f aca="false">INDEX('Type Chart'!$B$5:$P$19,MATCH(Q$4,'Type Chart'!$A$5:$A$19,0),MATCH($C98,'Type Chart'!$B$4:$P$4,0))*IF($D98="",1,INDEX('Type Chart'!$B$5:$P$19,MATCH(Q$4,'Type Chart'!$A$5:$A$19,0),MATCH($D98,'Type Chart'!$B$4:$P$4,0)))</f>
        <v>1</v>
      </c>
      <c r="R98" s="21" t="n">
        <f aca="false">INDEX('Type Chart'!$B$5:$P$19,MATCH(R$4,'Type Chart'!$A$5:$A$19,0),MATCH($C98,'Type Chart'!$B$4:$P$4,0))*IF($D98="",1,INDEX('Type Chart'!$B$5:$P$19,MATCH(R$4,'Type Chart'!$A$5:$A$19,0),MATCH($D98,'Type Chart'!$B$4:$P$4,0)))</f>
        <v>2</v>
      </c>
      <c r="S98" s="21" t="n">
        <f aca="false">INDEX('Type Chart'!$B$5:$P$19,MATCH(S$4,'Type Chart'!$A$5:$A$19,0),MATCH($C98,'Type Chart'!$B$4:$P$4,0))*IF($D98="",1,INDEX('Type Chart'!$B$5:$P$19,MATCH(S$4,'Type Chart'!$A$5:$A$19,0),MATCH($D98,'Type Chart'!$B$4:$P$4,0)))</f>
        <v>1</v>
      </c>
    </row>
    <row r="99" customFormat="false" ht="15" hidden="false" customHeight="false" outlineLevel="0" collapsed="false">
      <c r="A99" s="19" t="n">
        <v>95</v>
      </c>
      <c r="B99" s="19" t="s">
        <v>186</v>
      </c>
      <c r="C99" s="20" t="str">
        <f aca="false">Pokedex!C99</f>
        <v>Rock</v>
      </c>
      <c r="D99" s="20" t="str">
        <f aca="false">Pokedex!D99</f>
        <v>Ground</v>
      </c>
      <c r="E99" s="21" t="n">
        <f aca="false">INDEX('Type Chart'!$B$5:$P$19,MATCH(E$4,'Type Chart'!$A$5:$A$19,0),MATCH($C99,'Type Chart'!$B$4:$P$4,0))*IF($D99="",1,INDEX('Type Chart'!$B$5:$P$19,MATCH(E$4,'Type Chart'!$A$5:$A$19,0),MATCH($D99,'Type Chart'!$B$4:$P$4,0)))</f>
        <v>0.5</v>
      </c>
      <c r="F99" s="21" t="n">
        <f aca="false">INDEX('Type Chart'!$B$5:$P$19,MATCH(F$4,'Type Chart'!$A$5:$A$19,0),MATCH($C99,'Type Chart'!$B$4:$P$4,0))*IF($D99="",1,INDEX('Type Chart'!$B$5:$P$19,MATCH(F$4,'Type Chart'!$A$5:$A$19,0),MATCH($D99,'Type Chart'!$B$4:$P$4,0)))</f>
        <v>0.5</v>
      </c>
      <c r="G99" s="21" t="n">
        <f aca="false">INDEX('Type Chart'!$B$5:$P$19,MATCH(G$4,'Type Chart'!$A$5:$A$19,0),MATCH($C99,'Type Chart'!$B$4:$P$4,0))*IF($D99="",1,INDEX('Type Chart'!$B$5:$P$19,MATCH(G$4,'Type Chart'!$A$5:$A$19,0),MATCH($D99,'Type Chart'!$B$4:$P$4,0)))</f>
        <v>4</v>
      </c>
      <c r="H99" s="21" t="n">
        <f aca="false">INDEX('Type Chart'!$B$5:$P$19,MATCH(H$4,'Type Chart'!$A$5:$A$19,0),MATCH($C99,'Type Chart'!$B$4:$P$4,0))*IF($D99="",1,INDEX('Type Chart'!$B$5:$P$19,MATCH(H$4,'Type Chart'!$A$5:$A$19,0),MATCH($D99,'Type Chart'!$B$4:$P$4,0)))</f>
        <v>0</v>
      </c>
      <c r="I99" s="21" t="n">
        <f aca="false">INDEX('Type Chart'!$B$5:$P$19,MATCH(I$4,'Type Chart'!$A$5:$A$19,0),MATCH($C99,'Type Chart'!$B$4:$P$4,0))*IF($D99="",1,INDEX('Type Chart'!$B$5:$P$19,MATCH(I$4,'Type Chart'!$A$5:$A$19,0),MATCH($D99,'Type Chart'!$B$4:$P$4,0)))</f>
        <v>4</v>
      </c>
      <c r="J99" s="21" t="n">
        <f aca="false">INDEX('Type Chart'!$B$5:$P$19,MATCH(J$4,'Type Chart'!$A$5:$A$19,0),MATCH($C99,'Type Chart'!$B$4:$P$4,0))*IF($D99="",1,INDEX('Type Chart'!$B$5:$P$19,MATCH(J$4,'Type Chart'!$A$5:$A$19,0),MATCH($D99,'Type Chart'!$B$4:$P$4,0)))</f>
        <v>2</v>
      </c>
      <c r="K99" s="21" t="n">
        <f aca="false">INDEX('Type Chart'!$B$5:$P$19,MATCH(K$4,'Type Chart'!$A$5:$A$19,0),MATCH($C99,'Type Chart'!$B$4:$P$4,0))*IF($D99="",1,INDEX('Type Chart'!$B$5:$P$19,MATCH(K$4,'Type Chart'!$A$5:$A$19,0),MATCH($D99,'Type Chart'!$B$4:$P$4,0)))</f>
        <v>2</v>
      </c>
      <c r="L99" s="21" t="n">
        <f aca="false">INDEX('Type Chart'!$B$5:$P$19,MATCH(L$4,'Type Chart'!$A$5:$A$19,0),MATCH($C99,'Type Chart'!$B$4:$P$4,0))*IF($D99="",1,INDEX('Type Chart'!$B$5:$P$19,MATCH(L$4,'Type Chart'!$A$5:$A$19,0),MATCH($D99,'Type Chart'!$B$4:$P$4,0)))</f>
        <v>0.25</v>
      </c>
      <c r="M99" s="21" t="n">
        <f aca="false">INDEX('Type Chart'!$B$5:$P$19,MATCH(M$4,'Type Chart'!$A$5:$A$19,0),MATCH($C99,'Type Chart'!$B$4:$P$4,0))*IF($D99="",1,INDEX('Type Chart'!$B$5:$P$19,MATCH(M$4,'Type Chart'!$A$5:$A$19,0),MATCH($D99,'Type Chart'!$B$4:$P$4,0)))</f>
        <v>2</v>
      </c>
      <c r="N99" s="21" t="n">
        <f aca="false">INDEX('Type Chart'!$B$5:$P$19,MATCH(N$4,'Type Chart'!$A$5:$A$19,0),MATCH($C99,'Type Chart'!$B$4:$P$4,0))*IF($D99="",1,INDEX('Type Chart'!$B$5:$P$19,MATCH(N$4,'Type Chart'!$A$5:$A$19,0),MATCH($D99,'Type Chart'!$B$4:$P$4,0)))</f>
        <v>0.5</v>
      </c>
      <c r="O99" s="21" t="n">
        <f aca="false">INDEX('Type Chart'!$B$5:$P$19,MATCH(O$4,'Type Chart'!$A$5:$A$19,0),MATCH($C99,'Type Chart'!$B$4:$P$4,0))*IF($D99="",1,INDEX('Type Chart'!$B$5:$P$19,MATCH(O$4,'Type Chart'!$A$5:$A$19,0),MATCH($D99,'Type Chart'!$B$4:$P$4,0)))</f>
        <v>1</v>
      </c>
      <c r="P99" s="21" t="n">
        <f aca="false">INDEX('Type Chart'!$B$5:$P$19,MATCH(P$4,'Type Chart'!$A$5:$A$19,0),MATCH($C99,'Type Chart'!$B$4:$P$4,0))*IF($D99="",1,INDEX('Type Chart'!$B$5:$P$19,MATCH(P$4,'Type Chart'!$A$5:$A$19,0),MATCH($D99,'Type Chart'!$B$4:$P$4,0)))</f>
        <v>1</v>
      </c>
      <c r="Q99" s="21" t="n">
        <f aca="false">INDEX('Type Chart'!$B$5:$P$19,MATCH(Q$4,'Type Chart'!$A$5:$A$19,0),MATCH($C99,'Type Chart'!$B$4:$P$4,0))*IF($D99="",1,INDEX('Type Chart'!$B$5:$P$19,MATCH(Q$4,'Type Chart'!$A$5:$A$19,0),MATCH($D99,'Type Chart'!$B$4:$P$4,0)))</f>
        <v>0.5</v>
      </c>
      <c r="R99" s="21" t="n">
        <f aca="false">INDEX('Type Chart'!$B$5:$P$19,MATCH(R$4,'Type Chart'!$A$5:$A$19,0),MATCH($C99,'Type Chart'!$B$4:$P$4,0))*IF($D99="",1,INDEX('Type Chart'!$B$5:$P$19,MATCH(R$4,'Type Chart'!$A$5:$A$19,0),MATCH($D99,'Type Chart'!$B$4:$P$4,0)))</f>
        <v>1</v>
      </c>
      <c r="S99" s="21" t="n">
        <f aca="false">INDEX('Type Chart'!$B$5:$P$19,MATCH(S$4,'Type Chart'!$A$5:$A$19,0),MATCH($C99,'Type Chart'!$B$4:$P$4,0))*IF($D99="",1,INDEX('Type Chart'!$B$5:$P$19,MATCH(S$4,'Type Chart'!$A$5:$A$19,0),MATCH($D99,'Type Chart'!$B$4:$P$4,0)))</f>
        <v>1</v>
      </c>
    </row>
    <row r="100" customFormat="false" ht="15" hidden="false" customHeight="false" outlineLevel="0" collapsed="false">
      <c r="A100" s="19" t="n">
        <v>96</v>
      </c>
      <c r="B100" s="19" t="s">
        <v>187</v>
      </c>
      <c r="C100" s="20" t="str">
        <f aca="false">Pokedex!C100</f>
        <v>Psychic</v>
      </c>
      <c r="D100" s="20" t="n">
        <f aca="false">Pokedex!D100</f>
        <v>0</v>
      </c>
      <c r="E100" s="21" t="n">
        <f aca="false">INDEX('Type Chart'!$B$5:$P$19,MATCH(E$4,'Type Chart'!$A$5:$A$19,0),MATCH($C100,'Type Chart'!$B$4:$P$4,0))*IF($D100="",1,INDEX('Type Chart'!$B$5:$P$19,MATCH(E$4,'Type Chart'!$A$5:$A$19,0),MATCH($D100,'Type Chart'!$B$4:$P$4,0)))</f>
        <v>1</v>
      </c>
      <c r="F100" s="21" t="n">
        <f aca="false">INDEX('Type Chart'!$B$5:$P$19,MATCH(F$4,'Type Chart'!$A$5:$A$19,0),MATCH($C100,'Type Chart'!$B$4:$P$4,0))*IF($D100="",1,INDEX('Type Chart'!$B$5:$P$19,MATCH(F$4,'Type Chart'!$A$5:$A$19,0),MATCH($D100,'Type Chart'!$B$4:$P$4,0)))</f>
        <v>1</v>
      </c>
      <c r="G100" s="21" t="n">
        <f aca="false">INDEX('Type Chart'!$B$5:$P$19,MATCH(G$4,'Type Chart'!$A$5:$A$19,0),MATCH($C100,'Type Chart'!$B$4:$P$4,0))*IF($D100="",1,INDEX('Type Chart'!$B$5:$P$19,MATCH(G$4,'Type Chart'!$A$5:$A$19,0),MATCH($D100,'Type Chart'!$B$4:$P$4,0)))</f>
        <v>1</v>
      </c>
      <c r="H100" s="21" t="n">
        <f aca="false">INDEX('Type Chart'!$B$5:$P$19,MATCH(H$4,'Type Chart'!$A$5:$A$19,0),MATCH($C100,'Type Chart'!$B$4:$P$4,0))*IF($D100="",1,INDEX('Type Chart'!$B$5:$P$19,MATCH(H$4,'Type Chart'!$A$5:$A$19,0),MATCH($D100,'Type Chart'!$B$4:$P$4,0)))</f>
        <v>1</v>
      </c>
      <c r="I100" s="21" t="n">
        <f aca="false">INDEX('Type Chart'!$B$5:$P$19,MATCH(I$4,'Type Chart'!$A$5:$A$19,0),MATCH($C100,'Type Chart'!$B$4:$P$4,0))*IF($D100="",1,INDEX('Type Chart'!$B$5:$P$19,MATCH(I$4,'Type Chart'!$A$5:$A$19,0),MATCH($D100,'Type Chart'!$B$4:$P$4,0)))</f>
        <v>1</v>
      </c>
      <c r="J100" s="21" t="n">
        <f aca="false">INDEX('Type Chart'!$B$5:$P$19,MATCH(J$4,'Type Chart'!$A$5:$A$19,0),MATCH($C100,'Type Chart'!$B$4:$P$4,0))*IF($D100="",1,INDEX('Type Chart'!$B$5:$P$19,MATCH(J$4,'Type Chart'!$A$5:$A$19,0),MATCH($D100,'Type Chart'!$B$4:$P$4,0)))</f>
        <v>1</v>
      </c>
      <c r="K100" s="21" t="n">
        <f aca="false">INDEX('Type Chart'!$B$5:$P$19,MATCH(K$4,'Type Chart'!$A$5:$A$19,0),MATCH($C100,'Type Chart'!$B$4:$P$4,0))*IF($D100="",1,INDEX('Type Chart'!$B$5:$P$19,MATCH(K$4,'Type Chart'!$A$5:$A$19,0),MATCH($D100,'Type Chart'!$B$4:$P$4,0)))</f>
        <v>0.5</v>
      </c>
      <c r="L100" s="21" t="n">
        <f aca="false">INDEX('Type Chart'!$B$5:$P$19,MATCH(L$4,'Type Chart'!$A$5:$A$19,0),MATCH($C100,'Type Chart'!$B$4:$P$4,0))*IF($D100="",1,INDEX('Type Chart'!$B$5:$P$19,MATCH(L$4,'Type Chart'!$A$5:$A$19,0),MATCH($D100,'Type Chart'!$B$4:$P$4,0)))</f>
        <v>1</v>
      </c>
      <c r="M100" s="21" t="n">
        <f aca="false">INDEX('Type Chart'!$B$5:$P$19,MATCH(M$4,'Type Chart'!$A$5:$A$19,0),MATCH($C100,'Type Chart'!$B$4:$P$4,0))*IF($D100="",1,INDEX('Type Chart'!$B$5:$P$19,MATCH(M$4,'Type Chart'!$A$5:$A$19,0),MATCH($D100,'Type Chart'!$B$4:$P$4,0)))</f>
        <v>1</v>
      </c>
      <c r="N100" s="21" t="n">
        <f aca="false">INDEX('Type Chart'!$B$5:$P$19,MATCH(N$4,'Type Chart'!$A$5:$A$19,0),MATCH($C100,'Type Chart'!$B$4:$P$4,0))*IF($D100="",1,INDEX('Type Chart'!$B$5:$P$19,MATCH(N$4,'Type Chart'!$A$5:$A$19,0),MATCH($D100,'Type Chart'!$B$4:$P$4,0)))</f>
        <v>1</v>
      </c>
      <c r="O100" s="21" t="n">
        <f aca="false">INDEX('Type Chart'!$B$5:$P$19,MATCH(O$4,'Type Chart'!$A$5:$A$19,0),MATCH($C100,'Type Chart'!$B$4:$P$4,0))*IF($D100="",1,INDEX('Type Chart'!$B$5:$P$19,MATCH(O$4,'Type Chart'!$A$5:$A$19,0),MATCH($D100,'Type Chart'!$B$4:$P$4,0)))</f>
        <v>0.5</v>
      </c>
      <c r="P100" s="21" t="n">
        <f aca="false">INDEX('Type Chart'!$B$5:$P$19,MATCH(P$4,'Type Chart'!$A$5:$A$19,0),MATCH($C100,'Type Chart'!$B$4:$P$4,0))*IF($D100="",1,INDEX('Type Chart'!$B$5:$P$19,MATCH(P$4,'Type Chart'!$A$5:$A$19,0),MATCH($D100,'Type Chart'!$B$4:$P$4,0)))</f>
        <v>2</v>
      </c>
      <c r="Q100" s="21" t="n">
        <f aca="false">INDEX('Type Chart'!$B$5:$P$19,MATCH(Q$4,'Type Chart'!$A$5:$A$19,0),MATCH($C100,'Type Chart'!$B$4:$P$4,0))*IF($D100="",1,INDEX('Type Chart'!$B$5:$P$19,MATCH(Q$4,'Type Chart'!$A$5:$A$19,0),MATCH($D100,'Type Chart'!$B$4:$P$4,0)))</f>
        <v>1</v>
      </c>
      <c r="R100" s="21" t="n">
        <f aca="false">INDEX('Type Chart'!$B$5:$P$19,MATCH(R$4,'Type Chart'!$A$5:$A$19,0),MATCH($C100,'Type Chart'!$B$4:$P$4,0))*IF($D100="",1,INDEX('Type Chart'!$B$5:$P$19,MATCH(R$4,'Type Chart'!$A$5:$A$19,0),MATCH($D100,'Type Chart'!$B$4:$P$4,0)))</f>
        <v>0</v>
      </c>
      <c r="S100" s="21" t="n">
        <f aca="false">INDEX('Type Chart'!$B$5:$P$19,MATCH(S$4,'Type Chart'!$A$5:$A$19,0),MATCH($C100,'Type Chart'!$B$4:$P$4,0))*IF($D100="",1,INDEX('Type Chart'!$B$5:$P$19,MATCH(S$4,'Type Chart'!$A$5:$A$19,0),MATCH($D100,'Type Chart'!$B$4:$P$4,0)))</f>
        <v>1</v>
      </c>
    </row>
    <row r="101" customFormat="false" ht="15" hidden="false" customHeight="false" outlineLevel="0" collapsed="false">
      <c r="A101" s="19" t="n">
        <v>97</v>
      </c>
      <c r="B101" s="19" t="s">
        <v>188</v>
      </c>
      <c r="C101" s="20" t="str">
        <f aca="false">Pokedex!C101</f>
        <v>Psychic</v>
      </c>
      <c r="D101" s="20" t="n">
        <f aca="false">Pokedex!D101</f>
        <v>0</v>
      </c>
      <c r="E101" s="21" t="n">
        <f aca="false">INDEX('Type Chart'!$B$5:$P$19,MATCH(E$4,'Type Chart'!$A$5:$A$19,0),MATCH($C101,'Type Chart'!$B$4:$P$4,0))*IF($D101="",1,INDEX('Type Chart'!$B$5:$P$19,MATCH(E$4,'Type Chart'!$A$5:$A$19,0),MATCH($D101,'Type Chart'!$B$4:$P$4,0)))</f>
        <v>1</v>
      </c>
      <c r="F101" s="21" t="n">
        <f aca="false">INDEX('Type Chart'!$B$5:$P$19,MATCH(F$4,'Type Chart'!$A$5:$A$19,0),MATCH($C101,'Type Chart'!$B$4:$P$4,0))*IF($D101="",1,INDEX('Type Chart'!$B$5:$P$19,MATCH(F$4,'Type Chart'!$A$5:$A$19,0),MATCH($D101,'Type Chart'!$B$4:$P$4,0)))</f>
        <v>1</v>
      </c>
      <c r="G101" s="21" t="n">
        <f aca="false">INDEX('Type Chart'!$B$5:$P$19,MATCH(G$4,'Type Chart'!$A$5:$A$19,0),MATCH($C101,'Type Chart'!$B$4:$P$4,0))*IF($D101="",1,INDEX('Type Chart'!$B$5:$P$19,MATCH(G$4,'Type Chart'!$A$5:$A$19,0),MATCH($D101,'Type Chart'!$B$4:$P$4,0)))</f>
        <v>1</v>
      </c>
      <c r="H101" s="21" t="n">
        <f aca="false">INDEX('Type Chart'!$B$5:$P$19,MATCH(H$4,'Type Chart'!$A$5:$A$19,0),MATCH($C101,'Type Chart'!$B$4:$P$4,0))*IF($D101="",1,INDEX('Type Chart'!$B$5:$P$19,MATCH(H$4,'Type Chart'!$A$5:$A$19,0),MATCH($D101,'Type Chart'!$B$4:$P$4,0)))</f>
        <v>1</v>
      </c>
      <c r="I101" s="21" t="n">
        <f aca="false">INDEX('Type Chart'!$B$5:$P$19,MATCH(I$4,'Type Chart'!$A$5:$A$19,0),MATCH($C101,'Type Chart'!$B$4:$P$4,0))*IF($D101="",1,INDEX('Type Chart'!$B$5:$P$19,MATCH(I$4,'Type Chart'!$A$5:$A$19,0),MATCH($D101,'Type Chart'!$B$4:$P$4,0)))</f>
        <v>1</v>
      </c>
      <c r="J101" s="21" t="n">
        <f aca="false">INDEX('Type Chart'!$B$5:$P$19,MATCH(J$4,'Type Chart'!$A$5:$A$19,0),MATCH($C101,'Type Chart'!$B$4:$P$4,0))*IF($D101="",1,INDEX('Type Chart'!$B$5:$P$19,MATCH(J$4,'Type Chart'!$A$5:$A$19,0),MATCH($D101,'Type Chart'!$B$4:$P$4,0)))</f>
        <v>1</v>
      </c>
      <c r="K101" s="21" t="n">
        <f aca="false">INDEX('Type Chart'!$B$5:$P$19,MATCH(K$4,'Type Chart'!$A$5:$A$19,0),MATCH($C101,'Type Chart'!$B$4:$P$4,0))*IF($D101="",1,INDEX('Type Chart'!$B$5:$P$19,MATCH(K$4,'Type Chart'!$A$5:$A$19,0),MATCH($D101,'Type Chart'!$B$4:$P$4,0)))</f>
        <v>0.5</v>
      </c>
      <c r="L101" s="21" t="n">
        <f aca="false">INDEX('Type Chart'!$B$5:$P$19,MATCH(L$4,'Type Chart'!$A$5:$A$19,0),MATCH($C101,'Type Chart'!$B$4:$P$4,0))*IF($D101="",1,INDEX('Type Chart'!$B$5:$P$19,MATCH(L$4,'Type Chart'!$A$5:$A$19,0),MATCH($D101,'Type Chart'!$B$4:$P$4,0)))</f>
        <v>1</v>
      </c>
      <c r="M101" s="21" t="n">
        <f aca="false">INDEX('Type Chart'!$B$5:$P$19,MATCH(M$4,'Type Chart'!$A$5:$A$19,0),MATCH($C101,'Type Chart'!$B$4:$P$4,0))*IF($D101="",1,INDEX('Type Chart'!$B$5:$P$19,MATCH(M$4,'Type Chart'!$A$5:$A$19,0),MATCH($D101,'Type Chart'!$B$4:$P$4,0)))</f>
        <v>1</v>
      </c>
      <c r="N101" s="21" t="n">
        <f aca="false">INDEX('Type Chart'!$B$5:$P$19,MATCH(N$4,'Type Chart'!$A$5:$A$19,0),MATCH($C101,'Type Chart'!$B$4:$P$4,0))*IF($D101="",1,INDEX('Type Chart'!$B$5:$P$19,MATCH(N$4,'Type Chart'!$A$5:$A$19,0),MATCH($D101,'Type Chart'!$B$4:$P$4,0)))</f>
        <v>1</v>
      </c>
      <c r="O101" s="21" t="n">
        <f aca="false">INDEX('Type Chart'!$B$5:$P$19,MATCH(O$4,'Type Chart'!$A$5:$A$19,0),MATCH($C101,'Type Chart'!$B$4:$P$4,0))*IF($D101="",1,INDEX('Type Chart'!$B$5:$P$19,MATCH(O$4,'Type Chart'!$A$5:$A$19,0),MATCH($D101,'Type Chart'!$B$4:$P$4,0)))</f>
        <v>0.5</v>
      </c>
      <c r="P101" s="21" t="n">
        <f aca="false">INDEX('Type Chart'!$B$5:$P$19,MATCH(P$4,'Type Chart'!$A$5:$A$19,0),MATCH($C101,'Type Chart'!$B$4:$P$4,0))*IF($D101="",1,INDEX('Type Chart'!$B$5:$P$19,MATCH(P$4,'Type Chart'!$A$5:$A$19,0),MATCH($D101,'Type Chart'!$B$4:$P$4,0)))</f>
        <v>2</v>
      </c>
      <c r="Q101" s="21" t="n">
        <f aca="false">INDEX('Type Chart'!$B$5:$P$19,MATCH(Q$4,'Type Chart'!$A$5:$A$19,0),MATCH($C101,'Type Chart'!$B$4:$P$4,0))*IF($D101="",1,INDEX('Type Chart'!$B$5:$P$19,MATCH(Q$4,'Type Chart'!$A$5:$A$19,0),MATCH($D101,'Type Chart'!$B$4:$P$4,0)))</f>
        <v>1</v>
      </c>
      <c r="R101" s="21" t="n">
        <f aca="false">INDEX('Type Chart'!$B$5:$P$19,MATCH(R$4,'Type Chart'!$A$5:$A$19,0),MATCH($C101,'Type Chart'!$B$4:$P$4,0))*IF($D101="",1,INDEX('Type Chart'!$B$5:$P$19,MATCH(R$4,'Type Chart'!$A$5:$A$19,0),MATCH($D101,'Type Chart'!$B$4:$P$4,0)))</f>
        <v>0</v>
      </c>
      <c r="S101" s="21" t="n">
        <f aca="false">INDEX('Type Chart'!$B$5:$P$19,MATCH(S$4,'Type Chart'!$A$5:$A$19,0),MATCH($C101,'Type Chart'!$B$4:$P$4,0))*IF($D101="",1,INDEX('Type Chart'!$B$5:$P$19,MATCH(S$4,'Type Chart'!$A$5:$A$19,0),MATCH($D101,'Type Chart'!$B$4:$P$4,0)))</f>
        <v>1</v>
      </c>
    </row>
    <row r="102" customFormat="false" ht="15" hidden="false" customHeight="false" outlineLevel="0" collapsed="false">
      <c r="A102" s="19" t="n">
        <v>98</v>
      </c>
      <c r="B102" s="19" t="s">
        <v>189</v>
      </c>
      <c r="C102" s="20" t="str">
        <f aca="false">Pokedex!C102</f>
        <v>Water</v>
      </c>
      <c r="D102" s="20" t="n">
        <f aca="false">Pokedex!D102</f>
        <v>0</v>
      </c>
      <c r="E102" s="21" t="n">
        <f aca="false">INDEX('Type Chart'!$B$5:$P$19,MATCH(E$4,'Type Chart'!$A$5:$A$19,0),MATCH($C102,'Type Chart'!$B$4:$P$4,0))*IF($D102="",1,INDEX('Type Chart'!$B$5:$P$19,MATCH(E$4,'Type Chart'!$A$5:$A$19,0),MATCH($D102,'Type Chart'!$B$4:$P$4,0)))</f>
        <v>1</v>
      </c>
      <c r="F102" s="21" t="n">
        <f aca="false">INDEX('Type Chart'!$B$5:$P$19,MATCH(F$4,'Type Chart'!$A$5:$A$19,0),MATCH($C102,'Type Chart'!$B$4:$P$4,0))*IF($D102="",1,INDEX('Type Chart'!$B$5:$P$19,MATCH(F$4,'Type Chart'!$A$5:$A$19,0),MATCH($D102,'Type Chart'!$B$4:$P$4,0)))</f>
        <v>0.5</v>
      </c>
      <c r="G102" s="21" t="n">
        <f aca="false">INDEX('Type Chart'!$B$5:$P$19,MATCH(G$4,'Type Chart'!$A$5:$A$19,0),MATCH($C102,'Type Chart'!$B$4:$P$4,0))*IF($D102="",1,INDEX('Type Chart'!$B$5:$P$19,MATCH(G$4,'Type Chart'!$A$5:$A$19,0),MATCH($D102,'Type Chart'!$B$4:$P$4,0)))</f>
        <v>0.5</v>
      </c>
      <c r="H102" s="21" t="n">
        <f aca="false">INDEX('Type Chart'!$B$5:$P$19,MATCH(H$4,'Type Chart'!$A$5:$A$19,0),MATCH($C102,'Type Chart'!$B$4:$P$4,0))*IF($D102="",1,INDEX('Type Chart'!$B$5:$P$19,MATCH(H$4,'Type Chart'!$A$5:$A$19,0),MATCH($D102,'Type Chart'!$B$4:$P$4,0)))</f>
        <v>2</v>
      </c>
      <c r="I102" s="21" t="n">
        <f aca="false">INDEX('Type Chart'!$B$5:$P$19,MATCH(I$4,'Type Chart'!$A$5:$A$19,0),MATCH($C102,'Type Chart'!$B$4:$P$4,0))*IF($D102="",1,INDEX('Type Chart'!$B$5:$P$19,MATCH(I$4,'Type Chart'!$A$5:$A$19,0),MATCH($D102,'Type Chart'!$B$4:$P$4,0)))</f>
        <v>2</v>
      </c>
      <c r="J102" s="21" t="n">
        <f aca="false">INDEX('Type Chart'!$B$5:$P$19,MATCH(J$4,'Type Chart'!$A$5:$A$19,0),MATCH($C102,'Type Chart'!$B$4:$P$4,0))*IF($D102="",1,INDEX('Type Chart'!$B$5:$P$19,MATCH(J$4,'Type Chart'!$A$5:$A$19,0),MATCH($D102,'Type Chart'!$B$4:$P$4,0)))</f>
        <v>0.5</v>
      </c>
      <c r="K102" s="21" t="n">
        <f aca="false">INDEX('Type Chart'!$B$5:$P$19,MATCH(K$4,'Type Chart'!$A$5:$A$19,0),MATCH($C102,'Type Chart'!$B$4:$P$4,0))*IF($D102="",1,INDEX('Type Chart'!$B$5:$P$19,MATCH(K$4,'Type Chart'!$A$5:$A$19,0),MATCH($D102,'Type Chart'!$B$4:$P$4,0)))</f>
        <v>1</v>
      </c>
      <c r="L102" s="21" t="n">
        <f aca="false">INDEX('Type Chart'!$B$5:$P$19,MATCH(L$4,'Type Chart'!$A$5:$A$19,0),MATCH($C102,'Type Chart'!$B$4:$P$4,0))*IF($D102="",1,INDEX('Type Chart'!$B$5:$P$19,MATCH(L$4,'Type Chart'!$A$5:$A$19,0),MATCH($D102,'Type Chart'!$B$4:$P$4,0)))</f>
        <v>1</v>
      </c>
      <c r="M102" s="21" t="n">
        <f aca="false">INDEX('Type Chart'!$B$5:$P$19,MATCH(M$4,'Type Chart'!$A$5:$A$19,0),MATCH($C102,'Type Chart'!$B$4:$P$4,0))*IF($D102="",1,INDEX('Type Chart'!$B$5:$P$19,MATCH(M$4,'Type Chart'!$A$5:$A$19,0),MATCH($D102,'Type Chart'!$B$4:$P$4,0)))</f>
        <v>1</v>
      </c>
      <c r="N102" s="21" t="n">
        <f aca="false">INDEX('Type Chart'!$B$5:$P$19,MATCH(N$4,'Type Chart'!$A$5:$A$19,0),MATCH($C102,'Type Chart'!$B$4:$P$4,0))*IF($D102="",1,INDEX('Type Chart'!$B$5:$P$19,MATCH(N$4,'Type Chart'!$A$5:$A$19,0),MATCH($D102,'Type Chart'!$B$4:$P$4,0)))</f>
        <v>1</v>
      </c>
      <c r="O102" s="21" t="n">
        <f aca="false">INDEX('Type Chart'!$B$5:$P$19,MATCH(O$4,'Type Chart'!$A$5:$A$19,0),MATCH($C102,'Type Chart'!$B$4:$P$4,0))*IF($D102="",1,INDEX('Type Chart'!$B$5:$P$19,MATCH(O$4,'Type Chart'!$A$5:$A$19,0),MATCH($D102,'Type Chart'!$B$4:$P$4,0)))</f>
        <v>1</v>
      </c>
      <c r="P102" s="21" t="n">
        <f aca="false">INDEX('Type Chart'!$B$5:$P$19,MATCH(P$4,'Type Chart'!$A$5:$A$19,0),MATCH($C102,'Type Chart'!$B$4:$P$4,0))*IF($D102="",1,INDEX('Type Chart'!$B$5:$P$19,MATCH(P$4,'Type Chart'!$A$5:$A$19,0),MATCH($D102,'Type Chart'!$B$4:$P$4,0)))</f>
        <v>1</v>
      </c>
      <c r="Q102" s="21" t="n">
        <f aca="false">INDEX('Type Chart'!$B$5:$P$19,MATCH(Q$4,'Type Chart'!$A$5:$A$19,0),MATCH($C102,'Type Chart'!$B$4:$P$4,0))*IF($D102="",1,INDEX('Type Chart'!$B$5:$P$19,MATCH(Q$4,'Type Chart'!$A$5:$A$19,0),MATCH($D102,'Type Chart'!$B$4:$P$4,0)))</f>
        <v>1</v>
      </c>
      <c r="R102" s="21" t="n">
        <f aca="false">INDEX('Type Chart'!$B$5:$P$19,MATCH(R$4,'Type Chart'!$A$5:$A$19,0),MATCH($C102,'Type Chart'!$B$4:$P$4,0))*IF($D102="",1,INDEX('Type Chart'!$B$5:$P$19,MATCH(R$4,'Type Chart'!$A$5:$A$19,0),MATCH($D102,'Type Chart'!$B$4:$P$4,0)))</f>
        <v>1</v>
      </c>
      <c r="S102" s="21" t="n">
        <f aca="false">INDEX('Type Chart'!$B$5:$P$19,MATCH(S$4,'Type Chart'!$A$5:$A$19,0),MATCH($C102,'Type Chart'!$B$4:$P$4,0))*IF($D102="",1,INDEX('Type Chart'!$B$5:$P$19,MATCH(S$4,'Type Chart'!$A$5:$A$19,0),MATCH($D102,'Type Chart'!$B$4:$P$4,0)))</f>
        <v>1</v>
      </c>
    </row>
    <row r="103" customFormat="false" ht="15" hidden="false" customHeight="false" outlineLevel="0" collapsed="false">
      <c r="A103" s="19" t="n">
        <v>99</v>
      </c>
      <c r="B103" s="19" t="s">
        <v>190</v>
      </c>
      <c r="C103" s="20" t="str">
        <f aca="false">Pokedex!C103</f>
        <v>Water</v>
      </c>
      <c r="D103" s="20" t="n">
        <f aca="false">Pokedex!D103</f>
        <v>0</v>
      </c>
      <c r="E103" s="21" t="n">
        <f aca="false">INDEX('Type Chart'!$B$5:$P$19,MATCH(E$4,'Type Chart'!$A$5:$A$19,0),MATCH($C103,'Type Chart'!$B$4:$P$4,0))*IF($D103="",1,INDEX('Type Chart'!$B$5:$P$19,MATCH(E$4,'Type Chart'!$A$5:$A$19,0),MATCH($D103,'Type Chart'!$B$4:$P$4,0)))</f>
        <v>1</v>
      </c>
      <c r="F103" s="21" t="n">
        <f aca="false">INDEX('Type Chart'!$B$5:$P$19,MATCH(F$4,'Type Chart'!$A$5:$A$19,0),MATCH($C103,'Type Chart'!$B$4:$P$4,0))*IF($D103="",1,INDEX('Type Chart'!$B$5:$P$19,MATCH(F$4,'Type Chart'!$A$5:$A$19,0),MATCH($D103,'Type Chart'!$B$4:$P$4,0)))</f>
        <v>0.5</v>
      </c>
      <c r="G103" s="21" t="n">
        <f aca="false">INDEX('Type Chart'!$B$5:$P$19,MATCH(G$4,'Type Chart'!$A$5:$A$19,0),MATCH($C103,'Type Chart'!$B$4:$P$4,0))*IF($D103="",1,INDEX('Type Chart'!$B$5:$P$19,MATCH(G$4,'Type Chart'!$A$5:$A$19,0),MATCH($D103,'Type Chart'!$B$4:$P$4,0)))</f>
        <v>0.5</v>
      </c>
      <c r="H103" s="21" t="n">
        <f aca="false">INDEX('Type Chart'!$B$5:$P$19,MATCH(H$4,'Type Chart'!$A$5:$A$19,0),MATCH($C103,'Type Chart'!$B$4:$P$4,0))*IF($D103="",1,INDEX('Type Chart'!$B$5:$P$19,MATCH(H$4,'Type Chart'!$A$5:$A$19,0),MATCH($D103,'Type Chart'!$B$4:$P$4,0)))</f>
        <v>2</v>
      </c>
      <c r="I103" s="21" t="n">
        <f aca="false">INDEX('Type Chart'!$B$5:$P$19,MATCH(I$4,'Type Chart'!$A$5:$A$19,0),MATCH($C103,'Type Chart'!$B$4:$P$4,0))*IF($D103="",1,INDEX('Type Chart'!$B$5:$P$19,MATCH(I$4,'Type Chart'!$A$5:$A$19,0),MATCH($D103,'Type Chart'!$B$4:$P$4,0)))</f>
        <v>2</v>
      </c>
      <c r="J103" s="21" t="n">
        <f aca="false">INDEX('Type Chart'!$B$5:$P$19,MATCH(J$4,'Type Chart'!$A$5:$A$19,0),MATCH($C103,'Type Chart'!$B$4:$P$4,0))*IF($D103="",1,INDEX('Type Chart'!$B$5:$P$19,MATCH(J$4,'Type Chart'!$A$5:$A$19,0),MATCH($D103,'Type Chart'!$B$4:$P$4,0)))</f>
        <v>0.5</v>
      </c>
      <c r="K103" s="21" t="n">
        <f aca="false">INDEX('Type Chart'!$B$5:$P$19,MATCH(K$4,'Type Chart'!$A$5:$A$19,0),MATCH($C103,'Type Chart'!$B$4:$P$4,0))*IF($D103="",1,INDEX('Type Chart'!$B$5:$P$19,MATCH(K$4,'Type Chart'!$A$5:$A$19,0),MATCH($D103,'Type Chart'!$B$4:$P$4,0)))</f>
        <v>1</v>
      </c>
      <c r="L103" s="21" t="n">
        <f aca="false">INDEX('Type Chart'!$B$5:$P$19,MATCH(L$4,'Type Chart'!$A$5:$A$19,0),MATCH($C103,'Type Chart'!$B$4:$P$4,0))*IF($D103="",1,INDEX('Type Chart'!$B$5:$P$19,MATCH(L$4,'Type Chart'!$A$5:$A$19,0),MATCH($D103,'Type Chart'!$B$4:$P$4,0)))</f>
        <v>1</v>
      </c>
      <c r="M103" s="21" t="n">
        <f aca="false">INDEX('Type Chart'!$B$5:$P$19,MATCH(M$4,'Type Chart'!$A$5:$A$19,0),MATCH($C103,'Type Chart'!$B$4:$P$4,0))*IF($D103="",1,INDEX('Type Chart'!$B$5:$P$19,MATCH(M$4,'Type Chart'!$A$5:$A$19,0),MATCH($D103,'Type Chart'!$B$4:$P$4,0)))</f>
        <v>1</v>
      </c>
      <c r="N103" s="21" t="n">
        <f aca="false">INDEX('Type Chart'!$B$5:$P$19,MATCH(N$4,'Type Chart'!$A$5:$A$19,0),MATCH($C103,'Type Chart'!$B$4:$P$4,0))*IF($D103="",1,INDEX('Type Chart'!$B$5:$P$19,MATCH(N$4,'Type Chart'!$A$5:$A$19,0),MATCH($D103,'Type Chart'!$B$4:$P$4,0)))</f>
        <v>1</v>
      </c>
      <c r="O103" s="21" t="n">
        <f aca="false">INDEX('Type Chart'!$B$5:$P$19,MATCH(O$4,'Type Chart'!$A$5:$A$19,0),MATCH($C103,'Type Chart'!$B$4:$P$4,0))*IF($D103="",1,INDEX('Type Chart'!$B$5:$P$19,MATCH(O$4,'Type Chart'!$A$5:$A$19,0),MATCH($D103,'Type Chart'!$B$4:$P$4,0)))</f>
        <v>1</v>
      </c>
      <c r="P103" s="21" t="n">
        <f aca="false">INDEX('Type Chart'!$B$5:$P$19,MATCH(P$4,'Type Chart'!$A$5:$A$19,0),MATCH($C103,'Type Chart'!$B$4:$P$4,0))*IF($D103="",1,INDEX('Type Chart'!$B$5:$P$19,MATCH(P$4,'Type Chart'!$A$5:$A$19,0),MATCH($D103,'Type Chart'!$B$4:$P$4,0)))</f>
        <v>1</v>
      </c>
      <c r="Q103" s="21" t="n">
        <f aca="false">INDEX('Type Chart'!$B$5:$P$19,MATCH(Q$4,'Type Chart'!$A$5:$A$19,0),MATCH($C103,'Type Chart'!$B$4:$P$4,0))*IF($D103="",1,INDEX('Type Chart'!$B$5:$P$19,MATCH(Q$4,'Type Chart'!$A$5:$A$19,0),MATCH($D103,'Type Chart'!$B$4:$P$4,0)))</f>
        <v>1</v>
      </c>
      <c r="R103" s="21" t="n">
        <f aca="false">INDEX('Type Chart'!$B$5:$P$19,MATCH(R$4,'Type Chart'!$A$5:$A$19,0),MATCH($C103,'Type Chart'!$B$4:$P$4,0))*IF($D103="",1,INDEX('Type Chart'!$B$5:$P$19,MATCH(R$4,'Type Chart'!$A$5:$A$19,0),MATCH($D103,'Type Chart'!$B$4:$P$4,0)))</f>
        <v>1</v>
      </c>
      <c r="S103" s="21" t="n">
        <f aca="false">INDEX('Type Chart'!$B$5:$P$19,MATCH(S$4,'Type Chart'!$A$5:$A$19,0),MATCH($C103,'Type Chart'!$B$4:$P$4,0))*IF($D103="",1,INDEX('Type Chart'!$B$5:$P$19,MATCH(S$4,'Type Chart'!$A$5:$A$19,0),MATCH($D103,'Type Chart'!$B$4:$P$4,0)))</f>
        <v>1</v>
      </c>
    </row>
    <row r="104" customFormat="false" ht="15" hidden="false" customHeight="false" outlineLevel="0" collapsed="false">
      <c r="A104" s="19" t="n">
        <v>100</v>
      </c>
      <c r="B104" s="19" t="s">
        <v>191</v>
      </c>
      <c r="C104" s="20" t="str">
        <f aca="false">Pokedex!C104</f>
        <v>Electric</v>
      </c>
      <c r="D104" s="20" t="n">
        <f aca="false">Pokedex!D104</f>
        <v>0</v>
      </c>
      <c r="E104" s="21" t="n">
        <f aca="false">INDEX('Type Chart'!$B$5:$P$19,MATCH(E$4,'Type Chart'!$A$5:$A$19,0),MATCH($C104,'Type Chart'!$B$4:$P$4,0))*IF($D104="",1,INDEX('Type Chart'!$B$5:$P$19,MATCH(E$4,'Type Chart'!$A$5:$A$19,0),MATCH($D104,'Type Chart'!$B$4:$P$4,0)))</f>
        <v>1</v>
      </c>
      <c r="F104" s="21" t="n">
        <f aca="false">INDEX('Type Chart'!$B$5:$P$19,MATCH(F$4,'Type Chart'!$A$5:$A$19,0),MATCH($C104,'Type Chart'!$B$4:$P$4,0))*IF($D104="",1,INDEX('Type Chart'!$B$5:$P$19,MATCH(F$4,'Type Chart'!$A$5:$A$19,0),MATCH($D104,'Type Chart'!$B$4:$P$4,0)))</f>
        <v>1</v>
      </c>
      <c r="G104" s="21" t="n">
        <f aca="false">INDEX('Type Chart'!$B$5:$P$19,MATCH(G$4,'Type Chart'!$A$5:$A$19,0),MATCH($C104,'Type Chart'!$B$4:$P$4,0))*IF($D104="",1,INDEX('Type Chart'!$B$5:$P$19,MATCH(G$4,'Type Chart'!$A$5:$A$19,0),MATCH($D104,'Type Chart'!$B$4:$P$4,0)))</f>
        <v>1</v>
      </c>
      <c r="H104" s="21" t="n">
        <f aca="false">INDEX('Type Chart'!$B$5:$P$19,MATCH(H$4,'Type Chart'!$A$5:$A$19,0),MATCH($C104,'Type Chart'!$B$4:$P$4,0))*IF($D104="",1,INDEX('Type Chart'!$B$5:$P$19,MATCH(H$4,'Type Chart'!$A$5:$A$19,0),MATCH($D104,'Type Chart'!$B$4:$P$4,0)))</f>
        <v>0.5</v>
      </c>
      <c r="I104" s="21" t="n">
        <f aca="false">INDEX('Type Chart'!$B$5:$P$19,MATCH(I$4,'Type Chart'!$A$5:$A$19,0),MATCH($C104,'Type Chart'!$B$4:$P$4,0))*IF($D104="",1,INDEX('Type Chart'!$B$5:$P$19,MATCH(I$4,'Type Chart'!$A$5:$A$19,0),MATCH($D104,'Type Chart'!$B$4:$P$4,0)))</f>
        <v>1</v>
      </c>
      <c r="J104" s="21" t="n">
        <f aca="false">INDEX('Type Chart'!$B$5:$P$19,MATCH(J$4,'Type Chart'!$A$5:$A$19,0),MATCH($C104,'Type Chart'!$B$4:$P$4,0))*IF($D104="",1,INDEX('Type Chart'!$B$5:$P$19,MATCH(J$4,'Type Chart'!$A$5:$A$19,0),MATCH($D104,'Type Chart'!$B$4:$P$4,0)))</f>
        <v>1</v>
      </c>
      <c r="K104" s="21" t="n">
        <f aca="false">INDEX('Type Chart'!$B$5:$P$19,MATCH(K$4,'Type Chart'!$A$5:$A$19,0),MATCH($C104,'Type Chart'!$B$4:$P$4,0))*IF($D104="",1,INDEX('Type Chart'!$B$5:$P$19,MATCH(K$4,'Type Chart'!$A$5:$A$19,0),MATCH($D104,'Type Chart'!$B$4:$P$4,0)))</f>
        <v>1</v>
      </c>
      <c r="L104" s="21" t="n">
        <f aca="false">INDEX('Type Chart'!$B$5:$P$19,MATCH(L$4,'Type Chart'!$A$5:$A$19,0),MATCH($C104,'Type Chart'!$B$4:$P$4,0))*IF($D104="",1,INDEX('Type Chart'!$B$5:$P$19,MATCH(L$4,'Type Chart'!$A$5:$A$19,0),MATCH($D104,'Type Chart'!$B$4:$P$4,0)))</f>
        <v>1</v>
      </c>
      <c r="M104" s="21" t="n">
        <f aca="false">INDEX('Type Chart'!$B$5:$P$19,MATCH(M$4,'Type Chart'!$A$5:$A$19,0),MATCH($C104,'Type Chart'!$B$4:$P$4,0))*IF($D104="",1,INDEX('Type Chart'!$B$5:$P$19,MATCH(M$4,'Type Chart'!$A$5:$A$19,0),MATCH($D104,'Type Chart'!$B$4:$P$4,0)))</f>
        <v>2</v>
      </c>
      <c r="N104" s="21" t="n">
        <f aca="false">INDEX('Type Chart'!$B$5:$P$19,MATCH(N$4,'Type Chart'!$A$5:$A$19,0),MATCH($C104,'Type Chart'!$B$4:$P$4,0))*IF($D104="",1,INDEX('Type Chart'!$B$5:$P$19,MATCH(N$4,'Type Chart'!$A$5:$A$19,0),MATCH($D104,'Type Chart'!$B$4:$P$4,0)))</f>
        <v>0.5</v>
      </c>
      <c r="O104" s="21" t="n">
        <f aca="false">INDEX('Type Chart'!$B$5:$P$19,MATCH(O$4,'Type Chart'!$A$5:$A$19,0),MATCH($C104,'Type Chart'!$B$4:$P$4,0))*IF($D104="",1,INDEX('Type Chart'!$B$5:$P$19,MATCH(O$4,'Type Chart'!$A$5:$A$19,0),MATCH($D104,'Type Chart'!$B$4:$P$4,0)))</f>
        <v>1</v>
      </c>
      <c r="P104" s="21" t="n">
        <f aca="false">INDEX('Type Chart'!$B$5:$P$19,MATCH(P$4,'Type Chart'!$A$5:$A$19,0),MATCH($C104,'Type Chart'!$B$4:$P$4,0))*IF($D104="",1,INDEX('Type Chart'!$B$5:$P$19,MATCH(P$4,'Type Chart'!$A$5:$A$19,0),MATCH($D104,'Type Chart'!$B$4:$P$4,0)))</f>
        <v>1</v>
      </c>
      <c r="Q104" s="21" t="n">
        <f aca="false">INDEX('Type Chart'!$B$5:$P$19,MATCH(Q$4,'Type Chart'!$A$5:$A$19,0),MATCH($C104,'Type Chart'!$B$4:$P$4,0))*IF($D104="",1,INDEX('Type Chart'!$B$5:$P$19,MATCH(Q$4,'Type Chart'!$A$5:$A$19,0),MATCH($D104,'Type Chart'!$B$4:$P$4,0)))</f>
        <v>1</v>
      </c>
      <c r="R104" s="21" t="n">
        <f aca="false">INDEX('Type Chart'!$B$5:$P$19,MATCH(R$4,'Type Chart'!$A$5:$A$19,0),MATCH($C104,'Type Chart'!$B$4:$P$4,0))*IF($D104="",1,INDEX('Type Chart'!$B$5:$P$19,MATCH(R$4,'Type Chart'!$A$5:$A$19,0),MATCH($D104,'Type Chart'!$B$4:$P$4,0)))</f>
        <v>1</v>
      </c>
      <c r="S104" s="21" t="n">
        <f aca="false">INDEX('Type Chart'!$B$5:$P$19,MATCH(S$4,'Type Chart'!$A$5:$A$19,0),MATCH($C104,'Type Chart'!$B$4:$P$4,0))*IF($D104="",1,INDEX('Type Chart'!$B$5:$P$19,MATCH(S$4,'Type Chart'!$A$5:$A$19,0),MATCH($D104,'Type Chart'!$B$4:$P$4,0)))</f>
        <v>1</v>
      </c>
    </row>
    <row r="105" customFormat="false" ht="15" hidden="false" customHeight="false" outlineLevel="0" collapsed="false">
      <c r="A105" s="19" t="n">
        <v>101</v>
      </c>
      <c r="B105" s="19" t="s">
        <v>192</v>
      </c>
      <c r="C105" s="20" t="str">
        <f aca="false">Pokedex!C105</f>
        <v>Electric</v>
      </c>
      <c r="D105" s="20" t="n">
        <f aca="false">Pokedex!D105</f>
        <v>0</v>
      </c>
      <c r="E105" s="21" t="n">
        <f aca="false">INDEX('Type Chart'!$B$5:$P$19,MATCH(E$4,'Type Chart'!$A$5:$A$19,0),MATCH($C105,'Type Chart'!$B$4:$P$4,0))*IF($D105="",1,INDEX('Type Chart'!$B$5:$P$19,MATCH(E$4,'Type Chart'!$A$5:$A$19,0),MATCH($D105,'Type Chart'!$B$4:$P$4,0)))</f>
        <v>1</v>
      </c>
      <c r="F105" s="21" t="n">
        <f aca="false">INDEX('Type Chart'!$B$5:$P$19,MATCH(F$4,'Type Chart'!$A$5:$A$19,0),MATCH($C105,'Type Chart'!$B$4:$P$4,0))*IF($D105="",1,INDEX('Type Chart'!$B$5:$P$19,MATCH(F$4,'Type Chart'!$A$5:$A$19,0),MATCH($D105,'Type Chart'!$B$4:$P$4,0)))</f>
        <v>1</v>
      </c>
      <c r="G105" s="21" t="n">
        <f aca="false">INDEX('Type Chart'!$B$5:$P$19,MATCH(G$4,'Type Chart'!$A$5:$A$19,0),MATCH($C105,'Type Chart'!$B$4:$P$4,0))*IF($D105="",1,INDEX('Type Chart'!$B$5:$P$19,MATCH(G$4,'Type Chart'!$A$5:$A$19,0),MATCH($D105,'Type Chart'!$B$4:$P$4,0)))</f>
        <v>1</v>
      </c>
      <c r="H105" s="21" t="n">
        <f aca="false">INDEX('Type Chart'!$B$5:$P$19,MATCH(H$4,'Type Chart'!$A$5:$A$19,0),MATCH($C105,'Type Chart'!$B$4:$P$4,0))*IF($D105="",1,INDEX('Type Chart'!$B$5:$P$19,MATCH(H$4,'Type Chart'!$A$5:$A$19,0),MATCH($D105,'Type Chart'!$B$4:$P$4,0)))</f>
        <v>0.5</v>
      </c>
      <c r="I105" s="21" t="n">
        <f aca="false">INDEX('Type Chart'!$B$5:$P$19,MATCH(I$4,'Type Chart'!$A$5:$A$19,0),MATCH($C105,'Type Chart'!$B$4:$P$4,0))*IF($D105="",1,INDEX('Type Chart'!$B$5:$P$19,MATCH(I$4,'Type Chart'!$A$5:$A$19,0),MATCH($D105,'Type Chart'!$B$4:$P$4,0)))</f>
        <v>1</v>
      </c>
      <c r="J105" s="21" t="n">
        <f aca="false">INDEX('Type Chart'!$B$5:$P$19,MATCH(J$4,'Type Chart'!$A$5:$A$19,0),MATCH($C105,'Type Chart'!$B$4:$P$4,0))*IF($D105="",1,INDEX('Type Chart'!$B$5:$P$19,MATCH(J$4,'Type Chart'!$A$5:$A$19,0),MATCH($D105,'Type Chart'!$B$4:$P$4,0)))</f>
        <v>1</v>
      </c>
      <c r="K105" s="21" t="n">
        <f aca="false">INDEX('Type Chart'!$B$5:$P$19,MATCH(K$4,'Type Chart'!$A$5:$A$19,0),MATCH($C105,'Type Chart'!$B$4:$P$4,0))*IF($D105="",1,INDEX('Type Chart'!$B$5:$P$19,MATCH(K$4,'Type Chart'!$A$5:$A$19,0),MATCH($D105,'Type Chart'!$B$4:$P$4,0)))</f>
        <v>1</v>
      </c>
      <c r="L105" s="21" t="n">
        <f aca="false">INDEX('Type Chart'!$B$5:$P$19,MATCH(L$4,'Type Chart'!$A$5:$A$19,0),MATCH($C105,'Type Chart'!$B$4:$P$4,0))*IF($D105="",1,INDEX('Type Chart'!$B$5:$P$19,MATCH(L$4,'Type Chart'!$A$5:$A$19,0),MATCH($D105,'Type Chart'!$B$4:$P$4,0)))</f>
        <v>1</v>
      </c>
      <c r="M105" s="21" t="n">
        <f aca="false">INDEX('Type Chart'!$B$5:$P$19,MATCH(M$4,'Type Chart'!$A$5:$A$19,0),MATCH($C105,'Type Chart'!$B$4:$P$4,0))*IF($D105="",1,INDEX('Type Chart'!$B$5:$P$19,MATCH(M$4,'Type Chart'!$A$5:$A$19,0),MATCH($D105,'Type Chart'!$B$4:$P$4,0)))</f>
        <v>2</v>
      </c>
      <c r="N105" s="21" t="n">
        <f aca="false">INDEX('Type Chart'!$B$5:$P$19,MATCH(N$4,'Type Chart'!$A$5:$A$19,0),MATCH($C105,'Type Chart'!$B$4:$P$4,0))*IF($D105="",1,INDEX('Type Chart'!$B$5:$P$19,MATCH(N$4,'Type Chart'!$A$5:$A$19,0),MATCH($D105,'Type Chart'!$B$4:$P$4,0)))</f>
        <v>0.5</v>
      </c>
      <c r="O105" s="21" t="n">
        <f aca="false">INDEX('Type Chart'!$B$5:$P$19,MATCH(O$4,'Type Chart'!$A$5:$A$19,0),MATCH($C105,'Type Chart'!$B$4:$P$4,0))*IF($D105="",1,INDEX('Type Chart'!$B$5:$P$19,MATCH(O$4,'Type Chart'!$A$5:$A$19,0),MATCH($D105,'Type Chart'!$B$4:$P$4,0)))</f>
        <v>1</v>
      </c>
      <c r="P105" s="21" t="n">
        <f aca="false">INDEX('Type Chart'!$B$5:$P$19,MATCH(P$4,'Type Chart'!$A$5:$A$19,0),MATCH($C105,'Type Chart'!$B$4:$P$4,0))*IF($D105="",1,INDEX('Type Chart'!$B$5:$P$19,MATCH(P$4,'Type Chart'!$A$5:$A$19,0),MATCH($D105,'Type Chart'!$B$4:$P$4,0)))</f>
        <v>1</v>
      </c>
      <c r="Q105" s="21" t="n">
        <f aca="false">INDEX('Type Chart'!$B$5:$P$19,MATCH(Q$4,'Type Chart'!$A$5:$A$19,0),MATCH($C105,'Type Chart'!$B$4:$P$4,0))*IF($D105="",1,INDEX('Type Chart'!$B$5:$P$19,MATCH(Q$4,'Type Chart'!$A$5:$A$19,0),MATCH($D105,'Type Chart'!$B$4:$P$4,0)))</f>
        <v>1</v>
      </c>
      <c r="R105" s="21" t="n">
        <f aca="false">INDEX('Type Chart'!$B$5:$P$19,MATCH(R$4,'Type Chart'!$A$5:$A$19,0),MATCH($C105,'Type Chart'!$B$4:$P$4,0))*IF($D105="",1,INDEX('Type Chart'!$B$5:$P$19,MATCH(R$4,'Type Chart'!$A$5:$A$19,0),MATCH($D105,'Type Chart'!$B$4:$P$4,0)))</f>
        <v>1</v>
      </c>
      <c r="S105" s="21" t="n">
        <f aca="false">INDEX('Type Chart'!$B$5:$P$19,MATCH(S$4,'Type Chart'!$A$5:$A$19,0),MATCH($C105,'Type Chart'!$B$4:$P$4,0))*IF($D105="",1,INDEX('Type Chart'!$B$5:$P$19,MATCH(S$4,'Type Chart'!$A$5:$A$19,0),MATCH($D105,'Type Chart'!$B$4:$P$4,0)))</f>
        <v>1</v>
      </c>
    </row>
    <row r="106" customFormat="false" ht="15" hidden="false" customHeight="false" outlineLevel="0" collapsed="false">
      <c r="A106" s="19" t="n">
        <v>102</v>
      </c>
      <c r="B106" s="19" t="s">
        <v>193</v>
      </c>
      <c r="C106" s="20" t="str">
        <f aca="false">Pokedex!C106</f>
        <v>Grass</v>
      </c>
      <c r="D106" s="20" t="str">
        <f aca="false">Pokedex!D106</f>
        <v>Psychic</v>
      </c>
      <c r="E106" s="21" t="n">
        <f aca="false">INDEX('Type Chart'!$B$5:$P$19,MATCH(E$4,'Type Chart'!$A$5:$A$19,0),MATCH($C106,'Type Chart'!$B$4:$P$4,0))*IF($D106="",1,INDEX('Type Chart'!$B$5:$P$19,MATCH(E$4,'Type Chart'!$A$5:$A$19,0),MATCH($D106,'Type Chart'!$B$4:$P$4,0)))</f>
        <v>1</v>
      </c>
      <c r="F106" s="21" t="n">
        <f aca="false">INDEX('Type Chart'!$B$5:$P$19,MATCH(F$4,'Type Chart'!$A$5:$A$19,0),MATCH($C106,'Type Chart'!$B$4:$P$4,0))*IF($D106="",1,INDEX('Type Chart'!$B$5:$P$19,MATCH(F$4,'Type Chart'!$A$5:$A$19,0),MATCH($D106,'Type Chart'!$B$4:$P$4,0)))</f>
        <v>2</v>
      </c>
      <c r="G106" s="21" t="n">
        <f aca="false">INDEX('Type Chart'!$B$5:$P$19,MATCH(G$4,'Type Chart'!$A$5:$A$19,0),MATCH($C106,'Type Chart'!$B$4:$P$4,0))*IF($D106="",1,INDEX('Type Chart'!$B$5:$P$19,MATCH(G$4,'Type Chart'!$A$5:$A$19,0),MATCH($D106,'Type Chart'!$B$4:$P$4,0)))</f>
        <v>0.5</v>
      </c>
      <c r="H106" s="21" t="n">
        <f aca="false">INDEX('Type Chart'!$B$5:$P$19,MATCH(H$4,'Type Chart'!$A$5:$A$19,0),MATCH($C106,'Type Chart'!$B$4:$P$4,0))*IF($D106="",1,INDEX('Type Chart'!$B$5:$P$19,MATCH(H$4,'Type Chart'!$A$5:$A$19,0),MATCH($D106,'Type Chart'!$B$4:$P$4,0)))</f>
        <v>0.5</v>
      </c>
      <c r="I106" s="21" t="n">
        <f aca="false">INDEX('Type Chart'!$B$5:$P$19,MATCH(I$4,'Type Chart'!$A$5:$A$19,0),MATCH($C106,'Type Chart'!$B$4:$P$4,0))*IF($D106="",1,INDEX('Type Chart'!$B$5:$P$19,MATCH(I$4,'Type Chart'!$A$5:$A$19,0),MATCH($D106,'Type Chart'!$B$4:$P$4,0)))</f>
        <v>0.5</v>
      </c>
      <c r="J106" s="21" t="n">
        <f aca="false">INDEX('Type Chart'!$B$5:$P$19,MATCH(J$4,'Type Chart'!$A$5:$A$19,0),MATCH($C106,'Type Chart'!$B$4:$P$4,0))*IF($D106="",1,INDEX('Type Chart'!$B$5:$P$19,MATCH(J$4,'Type Chart'!$A$5:$A$19,0),MATCH($D106,'Type Chart'!$B$4:$P$4,0)))</f>
        <v>2</v>
      </c>
      <c r="K106" s="21" t="n">
        <f aca="false">INDEX('Type Chart'!$B$5:$P$19,MATCH(K$4,'Type Chart'!$A$5:$A$19,0),MATCH($C106,'Type Chart'!$B$4:$P$4,0))*IF($D106="",1,INDEX('Type Chart'!$B$5:$P$19,MATCH(K$4,'Type Chart'!$A$5:$A$19,0),MATCH($D106,'Type Chart'!$B$4:$P$4,0)))</f>
        <v>0.5</v>
      </c>
      <c r="L106" s="21" t="n">
        <f aca="false">INDEX('Type Chart'!$B$5:$P$19,MATCH(L$4,'Type Chart'!$A$5:$A$19,0),MATCH($C106,'Type Chart'!$B$4:$P$4,0))*IF($D106="",1,INDEX('Type Chart'!$B$5:$P$19,MATCH(L$4,'Type Chart'!$A$5:$A$19,0),MATCH($D106,'Type Chart'!$B$4:$P$4,0)))</f>
        <v>2</v>
      </c>
      <c r="M106" s="21" t="n">
        <f aca="false">INDEX('Type Chart'!$B$5:$P$19,MATCH(M$4,'Type Chart'!$A$5:$A$19,0),MATCH($C106,'Type Chart'!$B$4:$P$4,0))*IF($D106="",1,INDEX('Type Chart'!$B$5:$P$19,MATCH(M$4,'Type Chart'!$A$5:$A$19,0),MATCH($D106,'Type Chart'!$B$4:$P$4,0)))</f>
        <v>0.5</v>
      </c>
      <c r="N106" s="21" t="n">
        <f aca="false">INDEX('Type Chart'!$B$5:$P$19,MATCH(N$4,'Type Chart'!$A$5:$A$19,0),MATCH($C106,'Type Chart'!$B$4:$P$4,0))*IF($D106="",1,INDEX('Type Chart'!$B$5:$P$19,MATCH(N$4,'Type Chart'!$A$5:$A$19,0),MATCH($D106,'Type Chart'!$B$4:$P$4,0)))</f>
        <v>2</v>
      </c>
      <c r="O106" s="21" t="n">
        <f aca="false">INDEX('Type Chart'!$B$5:$P$19,MATCH(O$4,'Type Chart'!$A$5:$A$19,0),MATCH($C106,'Type Chart'!$B$4:$P$4,0))*IF($D106="",1,INDEX('Type Chart'!$B$5:$P$19,MATCH(O$4,'Type Chart'!$A$5:$A$19,0),MATCH($D106,'Type Chart'!$B$4:$P$4,0)))</f>
        <v>0.5</v>
      </c>
      <c r="P106" s="21" t="n">
        <f aca="false">INDEX('Type Chart'!$B$5:$P$19,MATCH(P$4,'Type Chart'!$A$5:$A$19,0),MATCH($C106,'Type Chart'!$B$4:$P$4,0))*IF($D106="",1,INDEX('Type Chart'!$B$5:$P$19,MATCH(P$4,'Type Chart'!$A$5:$A$19,0),MATCH($D106,'Type Chart'!$B$4:$P$4,0)))</f>
        <v>4</v>
      </c>
      <c r="Q106" s="21" t="n">
        <f aca="false">INDEX('Type Chart'!$B$5:$P$19,MATCH(Q$4,'Type Chart'!$A$5:$A$19,0),MATCH($C106,'Type Chart'!$B$4:$P$4,0))*IF($D106="",1,INDEX('Type Chart'!$B$5:$P$19,MATCH(Q$4,'Type Chart'!$A$5:$A$19,0),MATCH($D106,'Type Chart'!$B$4:$P$4,0)))</f>
        <v>1</v>
      </c>
      <c r="R106" s="21" t="n">
        <f aca="false">INDEX('Type Chart'!$B$5:$P$19,MATCH(R$4,'Type Chart'!$A$5:$A$19,0),MATCH($C106,'Type Chart'!$B$4:$P$4,0))*IF($D106="",1,INDEX('Type Chart'!$B$5:$P$19,MATCH(R$4,'Type Chart'!$A$5:$A$19,0),MATCH($D106,'Type Chart'!$B$4:$P$4,0)))</f>
        <v>0</v>
      </c>
      <c r="S106" s="21" t="n">
        <f aca="false">INDEX('Type Chart'!$B$5:$P$19,MATCH(S$4,'Type Chart'!$A$5:$A$19,0),MATCH($C106,'Type Chart'!$B$4:$P$4,0))*IF($D106="",1,INDEX('Type Chart'!$B$5:$P$19,MATCH(S$4,'Type Chart'!$A$5:$A$19,0),MATCH($D106,'Type Chart'!$B$4:$P$4,0)))</f>
        <v>1</v>
      </c>
    </row>
    <row r="107" customFormat="false" ht="15" hidden="false" customHeight="false" outlineLevel="0" collapsed="false">
      <c r="A107" s="19" t="n">
        <v>103</v>
      </c>
      <c r="B107" s="19" t="s">
        <v>194</v>
      </c>
      <c r="C107" s="20" t="str">
        <f aca="false">Pokedex!C107</f>
        <v>Grass</v>
      </c>
      <c r="D107" s="20" t="str">
        <f aca="false">Pokedex!D107</f>
        <v>Psychic</v>
      </c>
      <c r="E107" s="21" t="n">
        <f aca="false">INDEX('Type Chart'!$B$5:$P$19,MATCH(E$4,'Type Chart'!$A$5:$A$19,0),MATCH($C107,'Type Chart'!$B$4:$P$4,0))*IF($D107="",1,INDEX('Type Chart'!$B$5:$P$19,MATCH(E$4,'Type Chart'!$A$5:$A$19,0),MATCH($D107,'Type Chart'!$B$4:$P$4,0)))</f>
        <v>1</v>
      </c>
      <c r="F107" s="21" t="n">
        <f aca="false">INDEX('Type Chart'!$B$5:$P$19,MATCH(F$4,'Type Chart'!$A$5:$A$19,0),MATCH($C107,'Type Chart'!$B$4:$P$4,0))*IF($D107="",1,INDEX('Type Chart'!$B$5:$P$19,MATCH(F$4,'Type Chart'!$A$5:$A$19,0),MATCH($D107,'Type Chart'!$B$4:$P$4,0)))</f>
        <v>2</v>
      </c>
      <c r="G107" s="21" t="n">
        <f aca="false">INDEX('Type Chart'!$B$5:$P$19,MATCH(G$4,'Type Chart'!$A$5:$A$19,0),MATCH($C107,'Type Chart'!$B$4:$P$4,0))*IF($D107="",1,INDEX('Type Chart'!$B$5:$P$19,MATCH(G$4,'Type Chart'!$A$5:$A$19,0),MATCH($D107,'Type Chart'!$B$4:$P$4,0)))</f>
        <v>0.5</v>
      </c>
      <c r="H107" s="21" t="n">
        <f aca="false">INDEX('Type Chart'!$B$5:$P$19,MATCH(H$4,'Type Chart'!$A$5:$A$19,0),MATCH($C107,'Type Chart'!$B$4:$P$4,0))*IF($D107="",1,INDEX('Type Chart'!$B$5:$P$19,MATCH(H$4,'Type Chart'!$A$5:$A$19,0),MATCH($D107,'Type Chart'!$B$4:$P$4,0)))</f>
        <v>0.5</v>
      </c>
      <c r="I107" s="21" t="n">
        <f aca="false">INDEX('Type Chart'!$B$5:$P$19,MATCH(I$4,'Type Chart'!$A$5:$A$19,0),MATCH($C107,'Type Chart'!$B$4:$P$4,0))*IF($D107="",1,INDEX('Type Chart'!$B$5:$P$19,MATCH(I$4,'Type Chart'!$A$5:$A$19,0),MATCH($D107,'Type Chart'!$B$4:$P$4,0)))</f>
        <v>0.5</v>
      </c>
      <c r="J107" s="21" t="n">
        <f aca="false">INDEX('Type Chart'!$B$5:$P$19,MATCH(J$4,'Type Chart'!$A$5:$A$19,0),MATCH($C107,'Type Chart'!$B$4:$P$4,0))*IF($D107="",1,INDEX('Type Chart'!$B$5:$P$19,MATCH(J$4,'Type Chart'!$A$5:$A$19,0),MATCH($D107,'Type Chart'!$B$4:$P$4,0)))</f>
        <v>2</v>
      </c>
      <c r="K107" s="21" t="n">
        <f aca="false">INDEX('Type Chart'!$B$5:$P$19,MATCH(K$4,'Type Chart'!$A$5:$A$19,0),MATCH($C107,'Type Chart'!$B$4:$P$4,0))*IF($D107="",1,INDEX('Type Chart'!$B$5:$P$19,MATCH(K$4,'Type Chart'!$A$5:$A$19,0),MATCH($D107,'Type Chart'!$B$4:$P$4,0)))</f>
        <v>0.5</v>
      </c>
      <c r="L107" s="21" t="n">
        <f aca="false">INDEX('Type Chart'!$B$5:$P$19,MATCH(L$4,'Type Chart'!$A$5:$A$19,0),MATCH($C107,'Type Chart'!$B$4:$P$4,0))*IF($D107="",1,INDEX('Type Chart'!$B$5:$P$19,MATCH(L$4,'Type Chart'!$A$5:$A$19,0),MATCH($D107,'Type Chart'!$B$4:$P$4,0)))</f>
        <v>2</v>
      </c>
      <c r="M107" s="21" t="n">
        <f aca="false">INDEX('Type Chart'!$B$5:$P$19,MATCH(M$4,'Type Chart'!$A$5:$A$19,0),MATCH($C107,'Type Chart'!$B$4:$P$4,0))*IF($D107="",1,INDEX('Type Chart'!$B$5:$P$19,MATCH(M$4,'Type Chart'!$A$5:$A$19,0),MATCH($D107,'Type Chart'!$B$4:$P$4,0)))</f>
        <v>0.5</v>
      </c>
      <c r="N107" s="21" t="n">
        <f aca="false">INDEX('Type Chart'!$B$5:$P$19,MATCH(N$4,'Type Chart'!$A$5:$A$19,0),MATCH($C107,'Type Chart'!$B$4:$P$4,0))*IF($D107="",1,INDEX('Type Chart'!$B$5:$P$19,MATCH(N$4,'Type Chart'!$A$5:$A$19,0),MATCH($D107,'Type Chart'!$B$4:$P$4,0)))</f>
        <v>2</v>
      </c>
      <c r="O107" s="21" t="n">
        <f aca="false">INDEX('Type Chart'!$B$5:$P$19,MATCH(O$4,'Type Chart'!$A$5:$A$19,0),MATCH($C107,'Type Chart'!$B$4:$P$4,0))*IF($D107="",1,INDEX('Type Chart'!$B$5:$P$19,MATCH(O$4,'Type Chart'!$A$5:$A$19,0),MATCH($D107,'Type Chart'!$B$4:$P$4,0)))</f>
        <v>0.5</v>
      </c>
      <c r="P107" s="21" t="n">
        <f aca="false">INDEX('Type Chart'!$B$5:$P$19,MATCH(P$4,'Type Chart'!$A$5:$A$19,0),MATCH($C107,'Type Chart'!$B$4:$P$4,0))*IF($D107="",1,INDEX('Type Chart'!$B$5:$P$19,MATCH(P$4,'Type Chart'!$A$5:$A$19,0),MATCH($D107,'Type Chart'!$B$4:$P$4,0)))</f>
        <v>4</v>
      </c>
      <c r="Q107" s="21" t="n">
        <f aca="false">INDEX('Type Chart'!$B$5:$P$19,MATCH(Q$4,'Type Chart'!$A$5:$A$19,0),MATCH($C107,'Type Chart'!$B$4:$P$4,0))*IF($D107="",1,INDEX('Type Chart'!$B$5:$P$19,MATCH(Q$4,'Type Chart'!$A$5:$A$19,0),MATCH($D107,'Type Chart'!$B$4:$P$4,0)))</f>
        <v>1</v>
      </c>
      <c r="R107" s="21" t="n">
        <f aca="false">INDEX('Type Chart'!$B$5:$P$19,MATCH(R$4,'Type Chart'!$A$5:$A$19,0),MATCH($C107,'Type Chart'!$B$4:$P$4,0))*IF($D107="",1,INDEX('Type Chart'!$B$5:$P$19,MATCH(R$4,'Type Chart'!$A$5:$A$19,0),MATCH($D107,'Type Chart'!$B$4:$P$4,0)))</f>
        <v>0</v>
      </c>
      <c r="S107" s="21" t="n">
        <f aca="false">INDEX('Type Chart'!$B$5:$P$19,MATCH(S$4,'Type Chart'!$A$5:$A$19,0),MATCH($C107,'Type Chart'!$B$4:$P$4,0))*IF($D107="",1,INDEX('Type Chart'!$B$5:$P$19,MATCH(S$4,'Type Chart'!$A$5:$A$19,0),MATCH($D107,'Type Chart'!$B$4:$P$4,0)))</f>
        <v>1</v>
      </c>
    </row>
    <row r="108" customFormat="false" ht="15" hidden="false" customHeight="false" outlineLevel="0" collapsed="false">
      <c r="A108" s="19" t="n">
        <v>104</v>
      </c>
      <c r="B108" s="19" t="s">
        <v>195</v>
      </c>
      <c r="C108" s="20" t="str">
        <f aca="false">Pokedex!C108</f>
        <v>Ground</v>
      </c>
      <c r="D108" s="20" t="n">
        <f aca="false">Pokedex!D108</f>
        <v>0</v>
      </c>
      <c r="E108" s="21" t="n">
        <f aca="false">INDEX('Type Chart'!$B$5:$P$19,MATCH(E$4,'Type Chart'!$A$5:$A$19,0),MATCH($C108,'Type Chart'!$B$4:$P$4,0))*IF($D108="",1,INDEX('Type Chart'!$B$5:$P$19,MATCH(E$4,'Type Chart'!$A$5:$A$19,0),MATCH($D108,'Type Chart'!$B$4:$P$4,0)))</f>
        <v>1</v>
      </c>
      <c r="F108" s="21" t="n">
        <f aca="false">INDEX('Type Chart'!$B$5:$P$19,MATCH(F$4,'Type Chart'!$A$5:$A$19,0),MATCH($C108,'Type Chart'!$B$4:$P$4,0))*IF($D108="",1,INDEX('Type Chart'!$B$5:$P$19,MATCH(F$4,'Type Chart'!$A$5:$A$19,0),MATCH($D108,'Type Chart'!$B$4:$P$4,0)))</f>
        <v>1</v>
      </c>
      <c r="G108" s="21" t="n">
        <f aca="false">INDEX('Type Chart'!$B$5:$P$19,MATCH(G$4,'Type Chart'!$A$5:$A$19,0),MATCH($C108,'Type Chart'!$B$4:$P$4,0))*IF($D108="",1,INDEX('Type Chart'!$B$5:$P$19,MATCH(G$4,'Type Chart'!$A$5:$A$19,0),MATCH($D108,'Type Chart'!$B$4:$P$4,0)))</f>
        <v>2</v>
      </c>
      <c r="H108" s="21" t="n">
        <f aca="false">INDEX('Type Chart'!$B$5:$P$19,MATCH(H$4,'Type Chart'!$A$5:$A$19,0),MATCH($C108,'Type Chart'!$B$4:$P$4,0))*IF($D108="",1,INDEX('Type Chart'!$B$5:$P$19,MATCH(H$4,'Type Chart'!$A$5:$A$19,0),MATCH($D108,'Type Chart'!$B$4:$P$4,0)))</f>
        <v>0</v>
      </c>
      <c r="I108" s="21" t="n">
        <f aca="false">INDEX('Type Chart'!$B$5:$P$19,MATCH(I$4,'Type Chart'!$A$5:$A$19,0),MATCH($C108,'Type Chart'!$B$4:$P$4,0))*IF($D108="",1,INDEX('Type Chart'!$B$5:$P$19,MATCH(I$4,'Type Chart'!$A$5:$A$19,0),MATCH($D108,'Type Chart'!$B$4:$P$4,0)))</f>
        <v>2</v>
      </c>
      <c r="J108" s="21" t="n">
        <f aca="false">INDEX('Type Chart'!$B$5:$P$19,MATCH(J$4,'Type Chart'!$A$5:$A$19,0),MATCH($C108,'Type Chart'!$B$4:$P$4,0))*IF($D108="",1,INDEX('Type Chart'!$B$5:$P$19,MATCH(J$4,'Type Chart'!$A$5:$A$19,0),MATCH($D108,'Type Chart'!$B$4:$P$4,0)))</f>
        <v>2</v>
      </c>
      <c r="K108" s="21" t="n">
        <f aca="false">INDEX('Type Chart'!$B$5:$P$19,MATCH(K$4,'Type Chart'!$A$5:$A$19,0),MATCH($C108,'Type Chart'!$B$4:$P$4,0))*IF($D108="",1,INDEX('Type Chart'!$B$5:$P$19,MATCH(K$4,'Type Chart'!$A$5:$A$19,0),MATCH($D108,'Type Chart'!$B$4:$P$4,0)))</f>
        <v>1</v>
      </c>
      <c r="L108" s="21" t="n">
        <f aca="false">INDEX('Type Chart'!$B$5:$P$19,MATCH(L$4,'Type Chart'!$A$5:$A$19,0),MATCH($C108,'Type Chart'!$B$4:$P$4,0))*IF($D108="",1,INDEX('Type Chart'!$B$5:$P$19,MATCH(L$4,'Type Chart'!$A$5:$A$19,0),MATCH($D108,'Type Chart'!$B$4:$P$4,0)))</f>
        <v>0.5</v>
      </c>
      <c r="M108" s="21" t="n">
        <f aca="false">INDEX('Type Chart'!$B$5:$P$19,MATCH(M$4,'Type Chart'!$A$5:$A$19,0),MATCH($C108,'Type Chart'!$B$4:$P$4,0))*IF($D108="",1,INDEX('Type Chart'!$B$5:$P$19,MATCH(M$4,'Type Chart'!$A$5:$A$19,0),MATCH($D108,'Type Chart'!$B$4:$P$4,0)))</f>
        <v>1</v>
      </c>
      <c r="N108" s="21" t="n">
        <f aca="false">INDEX('Type Chart'!$B$5:$P$19,MATCH(N$4,'Type Chart'!$A$5:$A$19,0),MATCH($C108,'Type Chart'!$B$4:$P$4,0))*IF($D108="",1,INDEX('Type Chart'!$B$5:$P$19,MATCH(N$4,'Type Chart'!$A$5:$A$19,0),MATCH($D108,'Type Chart'!$B$4:$P$4,0)))</f>
        <v>1</v>
      </c>
      <c r="O108" s="21" t="n">
        <f aca="false">INDEX('Type Chart'!$B$5:$P$19,MATCH(O$4,'Type Chart'!$A$5:$A$19,0),MATCH($C108,'Type Chart'!$B$4:$P$4,0))*IF($D108="",1,INDEX('Type Chart'!$B$5:$P$19,MATCH(O$4,'Type Chart'!$A$5:$A$19,0),MATCH($D108,'Type Chart'!$B$4:$P$4,0)))</f>
        <v>1</v>
      </c>
      <c r="P108" s="21" t="n">
        <f aca="false">INDEX('Type Chart'!$B$5:$P$19,MATCH(P$4,'Type Chart'!$A$5:$A$19,0),MATCH($C108,'Type Chart'!$B$4:$P$4,0))*IF($D108="",1,INDEX('Type Chart'!$B$5:$P$19,MATCH(P$4,'Type Chart'!$A$5:$A$19,0),MATCH($D108,'Type Chart'!$B$4:$P$4,0)))</f>
        <v>1</v>
      </c>
      <c r="Q108" s="21" t="n">
        <f aca="false">INDEX('Type Chart'!$B$5:$P$19,MATCH(Q$4,'Type Chart'!$A$5:$A$19,0),MATCH($C108,'Type Chart'!$B$4:$P$4,0))*IF($D108="",1,INDEX('Type Chart'!$B$5:$P$19,MATCH(Q$4,'Type Chart'!$A$5:$A$19,0),MATCH($D108,'Type Chart'!$B$4:$P$4,0)))</f>
        <v>0.5</v>
      </c>
      <c r="R108" s="21" t="n">
        <f aca="false">INDEX('Type Chart'!$B$5:$P$19,MATCH(R$4,'Type Chart'!$A$5:$A$19,0),MATCH($C108,'Type Chart'!$B$4:$P$4,0))*IF($D108="",1,INDEX('Type Chart'!$B$5:$P$19,MATCH(R$4,'Type Chart'!$A$5:$A$19,0),MATCH($D108,'Type Chart'!$B$4:$P$4,0)))</f>
        <v>1</v>
      </c>
      <c r="S108" s="21" t="n">
        <f aca="false">INDEX('Type Chart'!$B$5:$P$19,MATCH(S$4,'Type Chart'!$A$5:$A$19,0),MATCH($C108,'Type Chart'!$B$4:$P$4,0))*IF($D108="",1,INDEX('Type Chart'!$B$5:$P$19,MATCH(S$4,'Type Chart'!$A$5:$A$19,0),MATCH($D108,'Type Chart'!$B$4:$P$4,0)))</f>
        <v>1</v>
      </c>
    </row>
    <row r="109" customFormat="false" ht="15" hidden="false" customHeight="false" outlineLevel="0" collapsed="false">
      <c r="A109" s="19" t="n">
        <v>105</v>
      </c>
      <c r="B109" s="19" t="s">
        <v>196</v>
      </c>
      <c r="C109" s="20" t="str">
        <f aca="false">Pokedex!C109</f>
        <v>Ground</v>
      </c>
      <c r="D109" s="20" t="n">
        <f aca="false">Pokedex!D109</f>
        <v>0</v>
      </c>
      <c r="E109" s="21" t="n">
        <f aca="false">INDEX('Type Chart'!$B$5:$P$19,MATCH(E$4,'Type Chart'!$A$5:$A$19,0),MATCH($C109,'Type Chart'!$B$4:$P$4,0))*IF($D109="",1,INDEX('Type Chart'!$B$5:$P$19,MATCH(E$4,'Type Chart'!$A$5:$A$19,0),MATCH($D109,'Type Chart'!$B$4:$P$4,0)))</f>
        <v>1</v>
      </c>
      <c r="F109" s="21" t="n">
        <f aca="false">INDEX('Type Chart'!$B$5:$P$19,MATCH(F$4,'Type Chart'!$A$5:$A$19,0),MATCH($C109,'Type Chart'!$B$4:$P$4,0))*IF($D109="",1,INDEX('Type Chart'!$B$5:$P$19,MATCH(F$4,'Type Chart'!$A$5:$A$19,0),MATCH($D109,'Type Chart'!$B$4:$P$4,0)))</f>
        <v>1</v>
      </c>
      <c r="G109" s="21" t="n">
        <f aca="false">INDEX('Type Chart'!$B$5:$P$19,MATCH(G$4,'Type Chart'!$A$5:$A$19,0),MATCH($C109,'Type Chart'!$B$4:$P$4,0))*IF($D109="",1,INDEX('Type Chart'!$B$5:$P$19,MATCH(G$4,'Type Chart'!$A$5:$A$19,0),MATCH($D109,'Type Chart'!$B$4:$P$4,0)))</f>
        <v>2</v>
      </c>
      <c r="H109" s="21" t="n">
        <f aca="false">INDEX('Type Chart'!$B$5:$P$19,MATCH(H$4,'Type Chart'!$A$5:$A$19,0),MATCH($C109,'Type Chart'!$B$4:$P$4,0))*IF($D109="",1,INDEX('Type Chart'!$B$5:$P$19,MATCH(H$4,'Type Chart'!$A$5:$A$19,0),MATCH($D109,'Type Chart'!$B$4:$P$4,0)))</f>
        <v>0</v>
      </c>
      <c r="I109" s="21" t="n">
        <f aca="false">INDEX('Type Chart'!$B$5:$P$19,MATCH(I$4,'Type Chart'!$A$5:$A$19,0),MATCH($C109,'Type Chart'!$B$4:$P$4,0))*IF($D109="",1,INDEX('Type Chart'!$B$5:$P$19,MATCH(I$4,'Type Chart'!$A$5:$A$19,0),MATCH($D109,'Type Chart'!$B$4:$P$4,0)))</f>
        <v>2</v>
      </c>
      <c r="J109" s="21" t="n">
        <f aca="false">INDEX('Type Chart'!$B$5:$P$19,MATCH(J$4,'Type Chart'!$A$5:$A$19,0),MATCH($C109,'Type Chart'!$B$4:$P$4,0))*IF($D109="",1,INDEX('Type Chart'!$B$5:$P$19,MATCH(J$4,'Type Chart'!$A$5:$A$19,0),MATCH($D109,'Type Chart'!$B$4:$P$4,0)))</f>
        <v>2</v>
      </c>
      <c r="K109" s="21" t="n">
        <f aca="false">INDEX('Type Chart'!$B$5:$P$19,MATCH(K$4,'Type Chart'!$A$5:$A$19,0),MATCH($C109,'Type Chart'!$B$4:$P$4,0))*IF($D109="",1,INDEX('Type Chart'!$B$5:$P$19,MATCH(K$4,'Type Chart'!$A$5:$A$19,0),MATCH($D109,'Type Chart'!$B$4:$P$4,0)))</f>
        <v>1</v>
      </c>
      <c r="L109" s="21" t="n">
        <f aca="false">INDEX('Type Chart'!$B$5:$P$19,MATCH(L$4,'Type Chart'!$A$5:$A$19,0),MATCH($C109,'Type Chart'!$B$4:$P$4,0))*IF($D109="",1,INDEX('Type Chart'!$B$5:$P$19,MATCH(L$4,'Type Chart'!$A$5:$A$19,0),MATCH($D109,'Type Chart'!$B$4:$P$4,0)))</f>
        <v>0.5</v>
      </c>
      <c r="M109" s="21" t="n">
        <f aca="false">INDEX('Type Chart'!$B$5:$P$19,MATCH(M$4,'Type Chart'!$A$5:$A$19,0),MATCH($C109,'Type Chart'!$B$4:$P$4,0))*IF($D109="",1,INDEX('Type Chart'!$B$5:$P$19,MATCH(M$4,'Type Chart'!$A$5:$A$19,0),MATCH($D109,'Type Chart'!$B$4:$P$4,0)))</f>
        <v>1</v>
      </c>
      <c r="N109" s="21" t="n">
        <f aca="false">INDEX('Type Chart'!$B$5:$P$19,MATCH(N$4,'Type Chart'!$A$5:$A$19,0),MATCH($C109,'Type Chart'!$B$4:$P$4,0))*IF($D109="",1,INDEX('Type Chart'!$B$5:$P$19,MATCH(N$4,'Type Chart'!$A$5:$A$19,0),MATCH($D109,'Type Chart'!$B$4:$P$4,0)))</f>
        <v>1</v>
      </c>
      <c r="O109" s="21" t="n">
        <f aca="false">INDEX('Type Chart'!$B$5:$P$19,MATCH(O$4,'Type Chart'!$A$5:$A$19,0),MATCH($C109,'Type Chart'!$B$4:$P$4,0))*IF($D109="",1,INDEX('Type Chart'!$B$5:$P$19,MATCH(O$4,'Type Chart'!$A$5:$A$19,0),MATCH($D109,'Type Chart'!$B$4:$P$4,0)))</f>
        <v>1</v>
      </c>
      <c r="P109" s="21" t="n">
        <f aca="false">INDEX('Type Chart'!$B$5:$P$19,MATCH(P$4,'Type Chart'!$A$5:$A$19,0),MATCH($C109,'Type Chart'!$B$4:$P$4,0))*IF($D109="",1,INDEX('Type Chart'!$B$5:$P$19,MATCH(P$4,'Type Chart'!$A$5:$A$19,0),MATCH($D109,'Type Chart'!$B$4:$P$4,0)))</f>
        <v>1</v>
      </c>
      <c r="Q109" s="21" t="n">
        <f aca="false">INDEX('Type Chart'!$B$5:$P$19,MATCH(Q$4,'Type Chart'!$A$5:$A$19,0),MATCH($C109,'Type Chart'!$B$4:$P$4,0))*IF($D109="",1,INDEX('Type Chart'!$B$5:$P$19,MATCH(Q$4,'Type Chart'!$A$5:$A$19,0),MATCH($D109,'Type Chart'!$B$4:$P$4,0)))</f>
        <v>0.5</v>
      </c>
      <c r="R109" s="21" t="n">
        <f aca="false">INDEX('Type Chart'!$B$5:$P$19,MATCH(R$4,'Type Chart'!$A$5:$A$19,0),MATCH($C109,'Type Chart'!$B$4:$P$4,0))*IF($D109="",1,INDEX('Type Chart'!$B$5:$P$19,MATCH(R$4,'Type Chart'!$A$5:$A$19,0),MATCH($D109,'Type Chart'!$B$4:$P$4,0)))</f>
        <v>1</v>
      </c>
      <c r="S109" s="21" t="n">
        <f aca="false">INDEX('Type Chart'!$B$5:$P$19,MATCH(S$4,'Type Chart'!$A$5:$A$19,0),MATCH($C109,'Type Chart'!$B$4:$P$4,0))*IF($D109="",1,INDEX('Type Chart'!$B$5:$P$19,MATCH(S$4,'Type Chart'!$A$5:$A$19,0),MATCH($D109,'Type Chart'!$B$4:$P$4,0)))</f>
        <v>1</v>
      </c>
    </row>
    <row r="110" customFormat="false" ht="15" hidden="false" customHeight="false" outlineLevel="0" collapsed="false">
      <c r="A110" s="19" t="n">
        <v>106</v>
      </c>
      <c r="B110" s="19" t="s">
        <v>197</v>
      </c>
      <c r="C110" s="20" t="str">
        <f aca="false">Pokedex!C110</f>
        <v>Fighting</v>
      </c>
      <c r="D110" s="20" t="n">
        <f aca="false">Pokedex!D110</f>
        <v>0</v>
      </c>
      <c r="E110" s="21" t="n">
        <f aca="false">INDEX('Type Chart'!$B$5:$P$19,MATCH(E$4,'Type Chart'!$A$5:$A$19,0),MATCH($C110,'Type Chart'!$B$4:$P$4,0))*IF($D110="",1,INDEX('Type Chart'!$B$5:$P$19,MATCH(E$4,'Type Chart'!$A$5:$A$19,0),MATCH($D110,'Type Chart'!$B$4:$P$4,0)))</f>
        <v>1</v>
      </c>
      <c r="F110" s="21" t="n">
        <f aca="false">INDEX('Type Chart'!$B$5:$P$19,MATCH(F$4,'Type Chart'!$A$5:$A$19,0),MATCH($C110,'Type Chart'!$B$4:$P$4,0))*IF($D110="",1,INDEX('Type Chart'!$B$5:$P$19,MATCH(F$4,'Type Chart'!$A$5:$A$19,0),MATCH($D110,'Type Chart'!$B$4:$P$4,0)))</f>
        <v>1</v>
      </c>
      <c r="G110" s="21" t="n">
        <f aca="false">INDEX('Type Chart'!$B$5:$P$19,MATCH(G$4,'Type Chart'!$A$5:$A$19,0),MATCH($C110,'Type Chart'!$B$4:$P$4,0))*IF($D110="",1,INDEX('Type Chart'!$B$5:$P$19,MATCH(G$4,'Type Chart'!$A$5:$A$19,0),MATCH($D110,'Type Chart'!$B$4:$P$4,0)))</f>
        <v>1</v>
      </c>
      <c r="H110" s="21" t="n">
        <f aca="false">INDEX('Type Chart'!$B$5:$P$19,MATCH(H$4,'Type Chart'!$A$5:$A$19,0),MATCH($C110,'Type Chart'!$B$4:$P$4,0))*IF($D110="",1,INDEX('Type Chart'!$B$5:$P$19,MATCH(H$4,'Type Chart'!$A$5:$A$19,0),MATCH($D110,'Type Chart'!$B$4:$P$4,0)))</f>
        <v>1</v>
      </c>
      <c r="I110" s="21" t="n">
        <f aca="false">INDEX('Type Chart'!$B$5:$P$19,MATCH(I$4,'Type Chart'!$A$5:$A$19,0),MATCH($C110,'Type Chart'!$B$4:$P$4,0))*IF($D110="",1,INDEX('Type Chart'!$B$5:$P$19,MATCH(I$4,'Type Chart'!$A$5:$A$19,0),MATCH($D110,'Type Chart'!$B$4:$P$4,0)))</f>
        <v>1</v>
      </c>
      <c r="J110" s="21" t="n">
        <f aca="false">INDEX('Type Chart'!$B$5:$P$19,MATCH(J$4,'Type Chart'!$A$5:$A$19,0),MATCH($C110,'Type Chart'!$B$4:$P$4,0))*IF($D110="",1,INDEX('Type Chart'!$B$5:$P$19,MATCH(J$4,'Type Chart'!$A$5:$A$19,0),MATCH($D110,'Type Chart'!$B$4:$P$4,0)))</f>
        <v>1</v>
      </c>
      <c r="K110" s="21" t="n">
        <f aca="false">INDEX('Type Chart'!$B$5:$P$19,MATCH(K$4,'Type Chart'!$A$5:$A$19,0),MATCH($C110,'Type Chart'!$B$4:$P$4,0))*IF($D110="",1,INDEX('Type Chart'!$B$5:$P$19,MATCH(K$4,'Type Chart'!$A$5:$A$19,0),MATCH($D110,'Type Chart'!$B$4:$P$4,0)))</f>
        <v>1</v>
      </c>
      <c r="L110" s="21" t="n">
        <f aca="false">INDEX('Type Chart'!$B$5:$P$19,MATCH(L$4,'Type Chart'!$A$5:$A$19,0),MATCH($C110,'Type Chart'!$B$4:$P$4,0))*IF($D110="",1,INDEX('Type Chart'!$B$5:$P$19,MATCH(L$4,'Type Chart'!$A$5:$A$19,0),MATCH($D110,'Type Chart'!$B$4:$P$4,0)))</f>
        <v>1</v>
      </c>
      <c r="M110" s="21" t="n">
        <f aca="false">INDEX('Type Chart'!$B$5:$P$19,MATCH(M$4,'Type Chart'!$A$5:$A$19,0),MATCH($C110,'Type Chart'!$B$4:$P$4,0))*IF($D110="",1,INDEX('Type Chart'!$B$5:$P$19,MATCH(M$4,'Type Chart'!$A$5:$A$19,0),MATCH($D110,'Type Chart'!$B$4:$P$4,0)))</f>
        <v>1</v>
      </c>
      <c r="N110" s="21" t="n">
        <f aca="false">INDEX('Type Chart'!$B$5:$P$19,MATCH(N$4,'Type Chart'!$A$5:$A$19,0),MATCH($C110,'Type Chart'!$B$4:$P$4,0))*IF($D110="",1,INDEX('Type Chart'!$B$5:$P$19,MATCH(N$4,'Type Chart'!$A$5:$A$19,0),MATCH($D110,'Type Chart'!$B$4:$P$4,0)))</f>
        <v>2</v>
      </c>
      <c r="O110" s="21" t="n">
        <f aca="false">INDEX('Type Chart'!$B$5:$P$19,MATCH(O$4,'Type Chart'!$A$5:$A$19,0),MATCH($C110,'Type Chart'!$B$4:$P$4,0))*IF($D110="",1,INDEX('Type Chart'!$B$5:$P$19,MATCH(O$4,'Type Chart'!$A$5:$A$19,0),MATCH($D110,'Type Chart'!$B$4:$P$4,0)))</f>
        <v>2</v>
      </c>
      <c r="P110" s="21" t="n">
        <f aca="false">INDEX('Type Chart'!$B$5:$P$19,MATCH(P$4,'Type Chart'!$A$5:$A$19,0),MATCH($C110,'Type Chart'!$B$4:$P$4,0))*IF($D110="",1,INDEX('Type Chart'!$B$5:$P$19,MATCH(P$4,'Type Chart'!$A$5:$A$19,0),MATCH($D110,'Type Chart'!$B$4:$P$4,0)))</f>
        <v>0.5</v>
      </c>
      <c r="Q110" s="21" t="n">
        <f aca="false">INDEX('Type Chart'!$B$5:$P$19,MATCH(Q$4,'Type Chart'!$A$5:$A$19,0),MATCH($C110,'Type Chart'!$B$4:$P$4,0))*IF($D110="",1,INDEX('Type Chart'!$B$5:$P$19,MATCH(Q$4,'Type Chart'!$A$5:$A$19,0),MATCH($D110,'Type Chart'!$B$4:$P$4,0)))</f>
        <v>0.5</v>
      </c>
      <c r="R110" s="21" t="n">
        <f aca="false">INDEX('Type Chart'!$B$5:$P$19,MATCH(R$4,'Type Chart'!$A$5:$A$19,0),MATCH($C110,'Type Chart'!$B$4:$P$4,0))*IF($D110="",1,INDEX('Type Chart'!$B$5:$P$19,MATCH(R$4,'Type Chart'!$A$5:$A$19,0),MATCH($D110,'Type Chart'!$B$4:$P$4,0)))</f>
        <v>1</v>
      </c>
      <c r="S110" s="21" t="n">
        <f aca="false">INDEX('Type Chart'!$B$5:$P$19,MATCH(S$4,'Type Chart'!$A$5:$A$19,0),MATCH($C110,'Type Chart'!$B$4:$P$4,0))*IF($D110="",1,INDEX('Type Chart'!$B$5:$P$19,MATCH(S$4,'Type Chart'!$A$5:$A$19,0),MATCH($D110,'Type Chart'!$B$4:$P$4,0)))</f>
        <v>1</v>
      </c>
    </row>
    <row r="111" customFormat="false" ht="15" hidden="false" customHeight="false" outlineLevel="0" collapsed="false">
      <c r="A111" s="19" t="n">
        <v>107</v>
      </c>
      <c r="B111" s="19" t="s">
        <v>198</v>
      </c>
      <c r="C111" s="20" t="str">
        <f aca="false">Pokedex!C111</f>
        <v>Fighting</v>
      </c>
      <c r="D111" s="20" t="n">
        <f aca="false">Pokedex!D111</f>
        <v>0</v>
      </c>
      <c r="E111" s="21" t="n">
        <f aca="false">INDEX('Type Chart'!$B$5:$P$19,MATCH(E$4,'Type Chart'!$A$5:$A$19,0),MATCH($C111,'Type Chart'!$B$4:$P$4,0))*IF($D111="",1,INDEX('Type Chart'!$B$5:$P$19,MATCH(E$4,'Type Chart'!$A$5:$A$19,0),MATCH($D111,'Type Chart'!$B$4:$P$4,0)))</f>
        <v>1</v>
      </c>
      <c r="F111" s="21" t="n">
        <f aca="false">INDEX('Type Chart'!$B$5:$P$19,MATCH(F$4,'Type Chart'!$A$5:$A$19,0),MATCH($C111,'Type Chart'!$B$4:$P$4,0))*IF($D111="",1,INDEX('Type Chart'!$B$5:$P$19,MATCH(F$4,'Type Chart'!$A$5:$A$19,0),MATCH($D111,'Type Chart'!$B$4:$P$4,0)))</f>
        <v>1</v>
      </c>
      <c r="G111" s="21" t="n">
        <f aca="false">INDEX('Type Chart'!$B$5:$P$19,MATCH(G$4,'Type Chart'!$A$5:$A$19,0),MATCH($C111,'Type Chart'!$B$4:$P$4,0))*IF($D111="",1,INDEX('Type Chart'!$B$5:$P$19,MATCH(G$4,'Type Chart'!$A$5:$A$19,0),MATCH($D111,'Type Chart'!$B$4:$P$4,0)))</f>
        <v>1</v>
      </c>
      <c r="H111" s="21" t="n">
        <f aca="false">INDEX('Type Chart'!$B$5:$P$19,MATCH(H$4,'Type Chart'!$A$5:$A$19,0),MATCH($C111,'Type Chart'!$B$4:$P$4,0))*IF($D111="",1,INDEX('Type Chart'!$B$5:$P$19,MATCH(H$4,'Type Chart'!$A$5:$A$19,0),MATCH($D111,'Type Chart'!$B$4:$P$4,0)))</f>
        <v>1</v>
      </c>
      <c r="I111" s="21" t="n">
        <f aca="false">INDEX('Type Chart'!$B$5:$P$19,MATCH(I$4,'Type Chart'!$A$5:$A$19,0),MATCH($C111,'Type Chart'!$B$4:$P$4,0))*IF($D111="",1,INDEX('Type Chart'!$B$5:$P$19,MATCH(I$4,'Type Chart'!$A$5:$A$19,0),MATCH($D111,'Type Chart'!$B$4:$P$4,0)))</f>
        <v>1</v>
      </c>
      <c r="J111" s="21" t="n">
        <f aca="false">INDEX('Type Chart'!$B$5:$P$19,MATCH(J$4,'Type Chart'!$A$5:$A$19,0),MATCH($C111,'Type Chart'!$B$4:$P$4,0))*IF($D111="",1,INDEX('Type Chart'!$B$5:$P$19,MATCH(J$4,'Type Chart'!$A$5:$A$19,0),MATCH($D111,'Type Chart'!$B$4:$P$4,0)))</f>
        <v>1</v>
      </c>
      <c r="K111" s="21" t="n">
        <f aca="false">INDEX('Type Chart'!$B$5:$P$19,MATCH(K$4,'Type Chart'!$A$5:$A$19,0),MATCH($C111,'Type Chart'!$B$4:$P$4,0))*IF($D111="",1,INDEX('Type Chart'!$B$5:$P$19,MATCH(K$4,'Type Chart'!$A$5:$A$19,0),MATCH($D111,'Type Chart'!$B$4:$P$4,0)))</f>
        <v>1</v>
      </c>
      <c r="L111" s="21" t="n">
        <f aca="false">INDEX('Type Chart'!$B$5:$P$19,MATCH(L$4,'Type Chart'!$A$5:$A$19,0),MATCH($C111,'Type Chart'!$B$4:$P$4,0))*IF($D111="",1,INDEX('Type Chart'!$B$5:$P$19,MATCH(L$4,'Type Chart'!$A$5:$A$19,0),MATCH($D111,'Type Chart'!$B$4:$P$4,0)))</f>
        <v>1</v>
      </c>
      <c r="M111" s="21" t="n">
        <f aca="false">INDEX('Type Chart'!$B$5:$P$19,MATCH(M$4,'Type Chart'!$A$5:$A$19,0),MATCH($C111,'Type Chart'!$B$4:$P$4,0))*IF($D111="",1,INDEX('Type Chart'!$B$5:$P$19,MATCH(M$4,'Type Chart'!$A$5:$A$19,0),MATCH($D111,'Type Chart'!$B$4:$P$4,0)))</f>
        <v>1</v>
      </c>
      <c r="N111" s="21" t="n">
        <f aca="false">INDEX('Type Chart'!$B$5:$P$19,MATCH(N$4,'Type Chart'!$A$5:$A$19,0),MATCH($C111,'Type Chart'!$B$4:$P$4,0))*IF($D111="",1,INDEX('Type Chart'!$B$5:$P$19,MATCH(N$4,'Type Chart'!$A$5:$A$19,0),MATCH($D111,'Type Chart'!$B$4:$P$4,0)))</f>
        <v>2</v>
      </c>
      <c r="O111" s="21" t="n">
        <f aca="false">INDEX('Type Chart'!$B$5:$P$19,MATCH(O$4,'Type Chart'!$A$5:$A$19,0),MATCH($C111,'Type Chart'!$B$4:$P$4,0))*IF($D111="",1,INDEX('Type Chart'!$B$5:$P$19,MATCH(O$4,'Type Chart'!$A$5:$A$19,0),MATCH($D111,'Type Chart'!$B$4:$P$4,0)))</f>
        <v>2</v>
      </c>
      <c r="P111" s="21" t="n">
        <f aca="false">INDEX('Type Chart'!$B$5:$P$19,MATCH(P$4,'Type Chart'!$A$5:$A$19,0),MATCH($C111,'Type Chart'!$B$4:$P$4,0))*IF($D111="",1,INDEX('Type Chart'!$B$5:$P$19,MATCH(P$4,'Type Chart'!$A$5:$A$19,0),MATCH($D111,'Type Chart'!$B$4:$P$4,0)))</f>
        <v>0.5</v>
      </c>
      <c r="Q111" s="21" t="n">
        <f aca="false">INDEX('Type Chart'!$B$5:$P$19,MATCH(Q$4,'Type Chart'!$A$5:$A$19,0),MATCH($C111,'Type Chart'!$B$4:$P$4,0))*IF($D111="",1,INDEX('Type Chart'!$B$5:$P$19,MATCH(Q$4,'Type Chart'!$A$5:$A$19,0),MATCH($D111,'Type Chart'!$B$4:$P$4,0)))</f>
        <v>0.5</v>
      </c>
      <c r="R111" s="21" t="n">
        <f aca="false">INDEX('Type Chart'!$B$5:$P$19,MATCH(R$4,'Type Chart'!$A$5:$A$19,0),MATCH($C111,'Type Chart'!$B$4:$P$4,0))*IF($D111="",1,INDEX('Type Chart'!$B$5:$P$19,MATCH(R$4,'Type Chart'!$A$5:$A$19,0),MATCH($D111,'Type Chart'!$B$4:$P$4,0)))</f>
        <v>1</v>
      </c>
      <c r="S111" s="21" t="n">
        <f aca="false">INDEX('Type Chart'!$B$5:$P$19,MATCH(S$4,'Type Chart'!$A$5:$A$19,0),MATCH($C111,'Type Chart'!$B$4:$P$4,0))*IF($D111="",1,INDEX('Type Chart'!$B$5:$P$19,MATCH(S$4,'Type Chart'!$A$5:$A$19,0),MATCH($D111,'Type Chart'!$B$4:$P$4,0)))</f>
        <v>1</v>
      </c>
    </row>
    <row r="112" customFormat="false" ht="15" hidden="false" customHeight="false" outlineLevel="0" collapsed="false">
      <c r="A112" s="19" t="n">
        <v>108</v>
      </c>
      <c r="B112" s="19" t="s">
        <v>199</v>
      </c>
      <c r="C112" s="20" t="str">
        <f aca="false">Pokedex!C112</f>
        <v>Normal</v>
      </c>
      <c r="D112" s="20" t="n">
        <f aca="false">Pokedex!D112</f>
        <v>0</v>
      </c>
      <c r="E112" s="21" t="n">
        <f aca="false">INDEX('Type Chart'!$B$5:$P$19,MATCH(E$4,'Type Chart'!$A$5:$A$19,0),MATCH($C112,'Type Chart'!$B$4:$P$4,0))*IF($D112="",1,INDEX('Type Chart'!$B$5:$P$19,MATCH(E$4,'Type Chart'!$A$5:$A$19,0),MATCH($D112,'Type Chart'!$B$4:$P$4,0)))</f>
        <v>1</v>
      </c>
      <c r="F112" s="21" t="n">
        <f aca="false">INDEX('Type Chart'!$B$5:$P$19,MATCH(F$4,'Type Chart'!$A$5:$A$19,0),MATCH($C112,'Type Chart'!$B$4:$P$4,0))*IF($D112="",1,INDEX('Type Chart'!$B$5:$P$19,MATCH(F$4,'Type Chart'!$A$5:$A$19,0),MATCH($D112,'Type Chart'!$B$4:$P$4,0)))</f>
        <v>1</v>
      </c>
      <c r="G112" s="21" t="n">
        <f aca="false">INDEX('Type Chart'!$B$5:$P$19,MATCH(G$4,'Type Chart'!$A$5:$A$19,0),MATCH($C112,'Type Chart'!$B$4:$P$4,0))*IF($D112="",1,INDEX('Type Chart'!$B$5:$P$19,MATCH(G$4,'Type Chart'!$A$5:$A$19,0),MATCH($D112,'Type Chart'!$B$4:$P$4,0)))</f>
        <v>1</v>
      </c>
      <c r="H112" s="21" t="n">
        <f aca="false">INDEX('Type Chart'!$B$5:$P$19,MATCH(H$4,'Type Chart'!$A$5:$A$19,0),MATCH($C112,'Type Chart'!$B$4:$P$4,0))*IF($D112="",1,INDEX('Type Chart'!$B$5:$P$19,MATCH(H$4,'Type Chart'!$A$5:$A$19,0),MATCH($D112,'Type Chart'!$B$4:$P$4,0)))</f>
        <v>1</v>
      </c>
      <c r="I112" s="21" t="n">
        <f aca="false">INDEX('Type Chart'!$B$5:$P$19,MATCH(I$4,'Type Chart'!$A$5:$A$19,0),MATCH($C112,'Type Chart'!$B$4:$P$4,0))*IF($D112="",1,INDEX('Type Chart'!$B$5:$P$19,MATCH(I$4,'Type Chart'!$A$5:$A$19,0),MATCH($D112,'Type Chart'!$B$4:$P$4,0)))</f>
        <v>1</v>
      </c>
      <c r="J112" s="21" t="n">
        <f aca="false">INDEX('Type Chart'!$B$5:$P$19,MATCH(J$4,'Type Chart'!$A$5:$A$19,0),MATCH($C112,'Type Chart'!$B$4:$P$4,0))*IF($D112="",1,INDEX('Type Chart'!$B$5:$P$19,MATCH(J$4,'Type Chart'!$A$5:$A$19,0),MATCH($D112,'Type Chart'!$B$4:$P$4,0)))</f>
        <v>1</v>
      </c>
      <c r="K112" s="21" t="n">
        <f aca="false">INDEX('Type Chart'!$B$5:$P$19,MATCH(K$4,'Type Chart'!$A$5:$A$19,0),MATCH($C112,'Type Chart'!$B$4:$P$4,0))*IF($D112="",1,INDEX('Type Chart'!$B$5:$P$19,MATCH(K$4,'Type Chart'!$A$5:$A$19,0),MATCH($D112,'Type Chart'!$B$4:$P$4,0)))</f>
        <v>2</v>
      </c>
      <c r="L112" s="21" t="n">
        <f aca="false">INDEX('Type Chart'!$B$5:$P$19,MATCH(L$4,'Type Chart'!$A$5:$A$19,0),MATCH($C112,'Type Chart'!$B$4:$P$4,0))*IF($D112="",1,INDEX('Type Chart'!$B$5:$P$19,MATCH(L$4,'Type Chart'!$A$5:$A$19,0),MATCH($D112,'Type Chart'!$B$4:$P$4,0)))</f>
        <v>1</v>
      </c>
      <c r="M112" s="21" t="n">
        <f aca="false">INDEX('Type Chart'!$B$5:$P$19,MATCH(M$4,'Type Chart'!$A$5:$A$19,0),MATCH($C112,'Type Chart'!$B$4:$P$4,0))*IF($D112="",1,INDEX('Type Chart'!$B$5:$P$19,MATCH(M$4,'Type Chart'!$A$5:$A$19,0),MATCH($D112,'Type Chart'!$B$4:$P$4,0)))</f>
        <v>1</v>
      </c>
      <c r="N112" s="21" t="n">
        <f aca="false">INDEX('Type Chart'!$B$5:$P$19,MATCH(N$4,'Type Chart'!$A$5:$A$19,0),MATCH($C112,'Type Chart'!$B$4:$P$4,0))*IF($D112="",1,INDEX('Type Chart'!$B$5:$P$19,MATCH(N$4,'Type Chart'!$A$5:$A$19,0),MATCH($D112,'Type Chart'!$B$4:$P$4,0)))</f>
        <v>1</v>
      </c>
      <c r="O112" s="21" t="n">
        <f aca="false">INDEX('Type Chart'!$B$5:$P$19,MATCH(O$4,'Type Chart'!$A$5:$A$19,0),MATCH($C112,'Type Chart'!$B$4:$P$4,0))*IF($D112="",1,INDEX('Type Chart'!$B$5:$P$19,MATCH(O$4,'Type Chart'!$A$5:$A$19,0),MATCH($D112,'Type Chart'!$B$4:$P$4,0)))</f>
        <v>1</v>
      </c>
      <c r="P112" s="21" t="n">
        <f aca="false">INDEX('Type Chart'!$B$5:$P$19,MATCH(P$4,'Type Chart'!$A$5:$A$19,0),MATCH($C112,'Type Chart'!$B$4:$P$4,0))*IF($D112="",1,INDEX('Type Chart'!$B$5:$P$19,MATCH(P$4,'Type Chart'!$A$5:$A$19,0),MATCH($D112,'Type Chart'!$B$4:$P$4,0)))</f>
        <v>1</v>
      </c>
      <c r="Q112" s="21" t="n">
        <f aca="false">INDEX('Type Chart'!$B$5:$P$19,MATCH(Q$4,'Type Chart'!$A$5:$A$19,0),MATCH($C112,'Type Chart'!$B$4:$P$4,0))*IF($D112="",1,INDEX('Type Chart'!$B$5:$P$19,MATCH(Q$4,'Type Chart'!$A$5:$A$19,0),MATCH($D112,'Type Chart'!$B$4:$P$4,0)))</f>
        <v>1</v>
      </c>
      <c r="R112" s="21" t="n">
        <f aca="false">INDEX('Type Chart'!$B$5:$P$19,MATCH(R$4,'Type Chart'!$A$5:$A$19,0),MATCH($C112,'Type Chart'!$B$4:$P$4,0))*IF($D112="",1,INDEX('Type Chart'!$B$5:$P$19,MATCH(R$4,'Type Chart'!$A$5:$A$19,0),MATCH($D112,'Type Chart'!$B$4:$P$4,0)))</f>
        <v>0</v>
      </c>
      <c r="S112" s="21" t="n">
        <f aca="false">INDEX('Type Chart'!$B$5:$P$19,MATCH(S$4,'Type Chart'!$A$5:$A$19,0),MATCH($C112,'Type Chart'!$B$4:$P$4,0))*IF($D112="",1,INDEX('Type Chart'!$B$5:$P$19,MATCH(S$4,'Type Chart'!$A$5:$A$19,0),MATCH($D112,'Type Chart'!$B$4:$P$4,0)))</f>
        <v>1</v>
      </c>
    </row>
    <row r="113" customFormat="false" ht="15" hidden="false" customHeight="false" outlineLevel="0" collapsed="false">
      <c r="A113" s="19" t="n">
        <v>109</v>
      </c>
      <c r="B113" s="19" t="s">
        <v>200</v>
      </c>
      <c r="C113" s="20" t="str">
        <f aca="false">Pokedex!C113</f>
        <v>Poison</v>
      </c>
      <c r="D113" s="20" t="n">
        <f aca="false">Pokedex!D113</f>
        <v>0</v>
      </c>
      <c r="E113" s="21" t="n">
        <f aca="false">INDEX('Type Chart'!$B$5:$P$19,MATCH(E$4,'Type Chart'!$A$5:$A$19,0),MATCH($C113,'Type Chart'!$B$4:$P$4,0))*IF($D113="",1,INDEX('Type Chart'!$B$5:$P$19,MATCH(E$4,'Type Chart'!$A$5:$A$19,0),MATCH($D113,'Type Chart'!$B$4:$P$4,0)))</f>
        <v>1</v>
      </c>
      <c r="F113" s="21" t="n">
        <f aca="false">INDEX('Type Chart'!$B$5:$P$19,MATCH(F$4,'Type Chart'!$A$5:$A$19,0),MATCH($C113,'Type Chart'!$B$4:$P$4,0))*IF($D113="",1,INDEX('Type Chart'!$B$5:$P$19,MATCH(F$4,'Type Chart'!$A$5:$A$19,0),MATCH($D113,'Type Chart'!$B$4:$P$4,0)))</f>
        <v>1</v>
      </c>
      <c r="G113" s="21" t="n">
        <f aca="false">INDEX('Type Chart'!$B$5:$P$19,MATCH(G$4,'Type Chart'!$A$5:$A$19,0),MATCH($C113,'Type Chart'!$B$4:$P$4,0))*IF($D113="",1,INDEX('Type Chart'!$B$5:$P$19,MATCH(G$4,'Type Chart'!$A$5:$A$19,0),MATCH($D113,'Type Chart'!$B$4:$P$4,0)))</f>
        <v>1</v>
      </c>
      <c r="H113" s="21" t="n">
        <f aca="false">INDEX('Type Chart'!$B$5:$P$19,MATCH(H$4,'Type Chart'!$A$5:$A$19,0),MATCH($C113,'Type Chart'!$B$4:$P$4,0))*IF($D113="",1,INDEX('Type Chart'!$B$5:$P$19,MATCH(H$4,'Type Chart'!$A$5:$A$19,0),MATCH($D113,'Type Chart'!$B$4:$P$4,0)))</f>
        <v>1</v>
      </c>
      <c r="I113" s="21" t="n">
        <f aca="false">INDEX('Type Chart'!$B$5:$P$19,MATCH(I$4,'Type Chart'!$A$5:$A$19,0),MATCH($C113,'Type Chart'!$B$4:$P$4,0))*IF($D113="",1,INDEX('Type Chart'!$B$5:$P$19,MATCH(I$4,'Type Chart'!$A$5:$A$19,0),MATCH($D113,'Type Chart'!$B$4:$P$4,0)))</f>
        <v>0.5</v>
      </c>
      <c r="J113" s="21" t="n">
        <f aca="false">INDEX('Type Chart'!$B$5:$P$19,MATCH(J$4,'Type Chart'!$A$5:$A$19,0),MATCH($C113,'Type Chart'!$B$4:$P$4,0))*IF($D113="",1,INDEX('Type Chart'!$B$5:$P$19,MATCH(J$4,'Type Chart'!$A$5:$A$19,0),MATCH($D113,'Type Chart'!$B$4:$P$4,0)))</f>
        <v>1</v>
      </c>
      <c r="K113" s="21" t="n">
        <f aca="false">INDEX('Type Chart'!$B$5:$P$19,MATCH(K$4,'Type Chart'!$A$5:$A$19,0),MATCH($C113,'Type Chart'!$B$4:$P$4,0))*IF($D113="",1,INDEX('Type Chart'!$B$5:$P$19,MATCH(K$4,'Type Chart'!$A$5:$A$19,0),MATCH($D113,'Type Chart'!$B$4:$P$4,0)))</f>
        <v>0.5</v>
      </c>
      <c r="L113" s="21" t="n">
        <f aca="false">INDEX('Type Chart'!$B$5:$P$19,MATCH(L$4,'Type Chart'!$A$5:$A$19,0),MATCH($C113,'Type Chart'!$B$4:$P$4,0))*IF($D113="",1,INDEX('Type Chart'!$B$5:$P$19,MATCH(L$4,'Type Chart'!$A$5:$A$19,0),MATCH($D113,'Type Chart'!$B$4:$P$4,0)))</f>
        <v>0.5</v>
      </c>
      <c r="M113" s="21" t="n">
        <f aca="false">INDEX('Type Chart'!$B$5:$P$19,MATCH(M$4,'Type Chart'!$A$5:$A$19,0),MATCH($C113,'Type Chart'!$B$4:$P$4,0))*IF($D113="",1,INDEX('Type Chart'!$B$5:$P$19,MATCH(M$4,'Type Chart'!$A$5:$A$19,0),MATCH($D113,'Type Chart'!$B$4:$P$4,0)))</f>
        <v>2</v>
      </c>
      <c r="N113" s="21" t="n">
        <f aca="false">INDEX('Type Chart'!$B$5:$P$19,MATCH(N$4,'Type Chart'!$A$5:$A$19,0),MATCH($C113,'Type Chart'!$B$4:$P$4,0))*IF($D113="",1,INDEX('Type Chart'!$B$5:$P$19,MATCH(N$4,'Type Chart'!$A$5:$A$19,0),MATCH($D113,'Type Chart'!$B$4:$P$4,0)))</f>
        <v>1</v>
      </c>
      <c r="O113" s="21" t="n">
        <f aca="false">INDEX('Type Chart'!$B$5:$P$19,MATCH(O$4,'Type Chart'!$A$5:$A$19,0),MATCH($C113,'Type Chart'!$B$4:$P$4,0))*IF($D113="",1,INDEX('Type Chart'!$B$5:$P$19,MATCH(O$4,'Type Chart'!$A$5:$A$19,0),MATCH($D113,'Type Chart'!$B$4:$P$4,0)))</f>
        <v>2</v>
      </c>
      <c r="P113" s="21" t="n">
        <f aca="false">INDEX('Type Chart'!$B$5:$P$19,MATCH(P$4,'Type Chart'!$A$5:$A$19,0),MATCH($C113,'Type Chart'!$B$4:$P$4,0))*IF($D113="",1,INDEX('Type Chart'!$B$5:$P$19,MATCH(P$4,'Type Chart'!$A$5:$A$19,0),MATCH($D113,'Type Chart'!$B$4:$P$4,0)))</f>
        <v>2</v>
      </c>
      <c r="Q113" s="21" t="n">
        <f aca="false">INDEX('Type Chart'!$B$5:$P$19,MATCH(Q$4,'Type Chart'!$A$5:$A$19,0),MATCH($C113,'Type Chart'!$B$4:$P$4,0))*IF($D113="",1,INDEX('Type Chart'!$B$5:$P$19,MATCH(Q$4,'Type Chart'!$A$5:$A$19,0),MATCH($D113,'Type Chart'!$B$4:$P$4,0)))</f>
        <v>1</v>
      </c>
      <c r="R113" s="21" t="n">
        <f aca="false">INDEX('Type Chart'!$B$5:$P$19,MATCH(R$4,'Type Chart'!$A$5:$A$19,0),MATCH($C113,'Type Chart'!$B$4:$P$4,0))*IF($D113="",1,INDEX('Type Chart'!$B$5:$P$19,MATCH(R$4,'Type Chart'!$A$5:$A$19,0),MATCH($D113,'Type Chart'!$B$4:$P$4,0)))</f>
        <v>1</v>
      </c>
      <c r="S113" s="21" t="n">
        <f aca="false">INDEX('Type Chart'!$B$5:$P$19,MATCH(S$4,'Type Chart'!$A$5:$A$19,0),MATCH($C113,'Type Chart'!$B$4:$P$4,0))*IF($D113="",1,INDEX('Type Chart'!$B$5:$P$19,MATCH(S$4,'Type Chart'!$A$5:$A$19,0),MATCH($D113,'Type Chart'!$B$4:$P$4,0)))</f>
        <v>1</v>
      </c>
    </row>
    <row r="114" customFormat="false" ht="15" hidden="false" customHeight="false" outlineLevel="0" collapsed="false">
      <c r="A114" s="19" t="n">
        <v>110</v>
      </c>
      <c r="B114" s="19" t="s">
        <v>201</v>
      </c>
      <c r="C114" s="20" t="str">
        <f aca="false">Pokedex!C114</f>
        <v>Poison</v>
      </c>
      <c r="D114" s="20" t="n">
        <f aca="false">Pokedex!D114</f>
        <v>0</v>
      </c>
      <c r="E114" s="21" t="n">
        <f aca="false">INDEX('Type Chart'!$B$5:$P$19,MATCH(E$4,'Type Chart'!$A$5:$A$19,0),MATCH($C114,'Type Chart'!$B$4:$P$4,0))*IF($D114="",1,INDEX('Type Chart'!$B$5:$P$19,MATCH(E$4,'Type Chart'!$A$5:$A$19,0),MATCH($D114,'Type Chart'!$B$4:$P$4,0)))</f>
        <v>1</v>
      </c>
      <c r="F114" s="21" t="n">
        <f aca="false">INDEX('Type Chart'!$B$5:$P$19,MATCH(F$4,'Type Chart'!$A$5:$A$19,0),MATCH($C114,'Type Chart'!$B$4:$P$4,0))*IF($D114="",1,INDEX('Type Chart'!$B$5:$P$19,MATCH(F$4,'Type Chart'!$A$5:$A$19,0),MATCH($D114,'Type Chart'!$B$4:$P$4,0)))</f>
        <v>1</v>
      </c>
      <c r="G114" s="21" t="n">
        <f aca="false">INDEX('Type Chart'!$B$5:$P$19,MATCH(G$4,'Type Chart'!$A$5:$A$19,0),MATCH($C114,'Type Chart'!$B$4:$P$4,0))*IF($D114="",1,INDEX('Type Chart'!$B$5:$P$19,MATCH(G$4,'Type Chart'!$A$5:$A$19,0),MATCH($D114,'Type Chart'!$B$4:$P$4,0)))</f>
        <v>1</v>
      </c>
      <c r="H114" s="21" t="n">
        <f aca="false">INDEX('Type Chart'!$B$5:$P$19,MATCH(H$4,'Type Chart'!$A$5:$A$19,0),MATCH($C114,'Type Chart'!$B$4:$P$4,0))*IF($D114="",1,INDEX('Type Chart'!$B$5:$P$19,MATCH(H$4,'Type Chart'!$A$5:$A$19,0),MATCH($D114,'Type Chart'!$B$4:$P$4,0)))</f>
        <v>1</v>
      </c>
      <c r="I114" s="21" t="n">
        <f aca="false">INDEX('Type Chart'!$B$5:$P$19,MATCH(I$4,'Type Chart'!$A$5:$A$19,0),MATCH($C114,'Type Chart'!$B$4:$P$4,0))*IF($D114="",1,INDEX('Type Chart'!$B$5:$P$19,MATCH(I$4,'Type Chart'!$A$5:$A$19,0),MATCH($D114,'Type Chart'!$B$4:$P$4,0)))</f>
        <v>0.5</v>
      </c>
      <c r="J114" s="21" t="n">
        <f aca="false">INDEX('Type Chart'!$B$5:$P$19,MATCH(J$4,'Type Chart'!$A$5:$A$19,0),MATCH($C114,'Type Chart'!$B$4:$P$4,0))*IF($D114="",1,INDEX('Type Chart'!$B$5:$P$19,MATCH(J$4,'Type Chart'!$A$5:$A$19,0),MATCH($D114,'Type Chart'!$B$4:$P$4,0)))</f>
        <v>1</v>
      </c>
      <c r="K114" s="21" t="n">
        <f aca="false">INDEX('Type Chart'!$B$5:$P$19,MATCH(K$4,'Type Chart'!$A$5:$A$19,0),MATCH($C114,'Type Chart'!$B$4:$P$4,0))*IF($D114="",1,INDEX('Type Chart'!$B$5:$P$19,MATCH(K$4,'Type Chart'!$A$5:$A$19,0),MATCH($D114,'Type Chart'!$B$4:$P$4,0)))</f>
        <v>0.5</v>
      </c>
      <c r="L114" s="21" t="n">
        <f aca="false">INDEX('Type Chart'!$B$5:$P$19,MATCH(L$4,'Type Chart'!$A$5:$A$19,0),MATCH($C114,'Type Chart'!$B$4:$P$4,0))*IF($D114="",1,INDEX('Type Chart'!$B$5:$P$19,MATCH(L$4,'Type Chart'!$A$5:$A$19,0),MATCH($D114,'Type Chart'!$B$4:$P$4,0)))</f>
        <v>0.5</v>
      </c>
      <c r="M114" s="21" t="n">
        <f aca="false">INDEX('Type Chart'!$B$5:$P$19,MATCH(M$4,'Type Chart'!$A$5:$A$19,0),MATCH($C114,'Type Chart'!$B$4:$P$4,0))*IF($D114="",1,INDEX('Type Chart'!$B$5:$P$19,MATCH(M$4,'Type Chart'!$A$5:$A$19,0),MATCH($D114,'Type Chart'!$B$4:$P$4,0)))</f>
        <v>2</v>
      </c>
      <c r="N114" s="21" t="n">
        <f aca="false">INDEX('Type Chart'!$B$5:$P$19,MATCH(N$4,'Type Chart'!$A$5:$A$19,0),MATCH($C114,'Type Chart'!$B$4:$P$4,0))*IF($D114="",1,INDEX('Type Chart'!$B$5:$P$19,MATCH(N$4,'Type Chart'!$A$5:$A$19,0),MATCH($D114,'Type Chart'!$B$4:$P$4,0)))</f>
        <v>1</v>
      </c>
      <c r="O114" s="21" t="n">
        <f aca="false">INDEX('Type Chart'!$B$5:$P$19,MATCH(O$4,'Type Chart'!$A$5:$A$19,0),MATCH($C114,'Type Chart'!$B$4:$P$4,0))*IF($D114="",1,INDEX('Type Chart'!$B$5:$P$19,MATCH(O$4,'Type Chart'!$A$5:$A$19,0),MATCH($D114,'Type Chart'!$B$4:$P$4,0)))</f>
        <v>2</v>
      </c>
      <c r="P114" s="21" t="n">
        <f aca="false">INDEX('Type Chart'!$B$5:$P$19,MATCH(P$4,'Type Chart'!$A$5:$A$19,0),MATCH($C114,'Type Chart'!$B$4:$P$4,0))*IF($D114="",1,INDEX('Type Chart'!$B$5:$P$19,MATCH(P$4,'Type Chart'!$A$5:$A$19,0),MATCH($D114,'Type Chart'!$B$4:$P$4,0)))</f>
        <v>2</v>
      </c>
      <c r="Q114" s="21" t="n">
        <f aca="false">INDEX('Type Chart'!$B$5:$P$19,MATCH(Q$4,'Type Chart'!$A$5:$A$19,0),MATCH($C114,'Type Chart'!$B$4:$P$4,0))*IF($D114="",1,INDEX('Type Chart'!$B$5:$P$19,MATCH(Q$4,'Type Chart'!$A$5:$A$19,0),MATCH($D114,'Type Chart'!$B$4:$P$4,0)))</f>
        <v>1</v>
      </c>
      <c r="R114" s="21" t="n">
        <f aca="false">INDEX('Type Chart'!$B$5:$P$19,MATCH(R$4,'Type Chart'!$A$5:$A$19,0),MATCH($C114,'Type Chart'!$B$4:$P$4,0))*IF($D114="",1,INDEX('Type Chart'!$B$5:$P$19,MATCH(R$4,'Type Chart'!$A$5:$A$19,0),MATCH($D114,'Type Chart'!$B$4:$P$4,0)))</f>
        <v>1</v>
      </c>
      <c r="S114" s="21" t="n">
        <f aca="false">INDEX('Type Chart'!$B$5:$P$19,MATCH(S$4,'Type Chart'!$A$5:$A$19,0),MATCH($C114,'Type Chart'!$B$4:$P$4,0))*IF($D114="",1,INDEX('Type Chart'!$B$5:$P$19,MATCH(S$4,'Type Chart'!$A$5:$A$19,0),MATCH($D114,'Type Chart'!$B$4:$P$4,0)))</f>
        <v>1</v>
      </c>
    </row>
    <row r="115" customFormat="false" ht="15" hidden="false" customHeight="false" outlineLevel="0" collapsed="false">
      <c r="A115" s="19" t="n">
        <v>111</v>
      </c>
      <c r="B115" s="19" t="s">
        <v>202</v>
      </c>
      <c r="C115" s="20" t="str">
        <f aca="false">Pokedex!C115</f>
        <v>Ground</v>
      </c>
      <c r="D115" s="20" t="str">
        <f aca="false">Pokedex!D115</f>
        <v>Rock</v>
      </c>
      <c r="E115" s="21" t="n">
        <f aca="false">INDEX('Type Chart'!$B$5:$P$19,MATCH(E$4,'Type Chart'!$A$5:$A$19,0),MATCH($C115,'Type Chart'!$B$4:$P$4,0))*IF($D115="",1,INDEX('Type Chart'!$B$5:$P$19,MATCH(E$4,'Type Chart'!$A$5:$A$19,0),MATCH($D115,'Type Chart'!$B$4:$P$4,0)))</f>
        <v>0.5</v>
      </c>
      <c r="F115" s="21" t="n">
        <f aca="false">INDEX('Type Chart'!$B$5:$P$19,MATCH(F$4,'Type Chart'!$A$5:$A$19,0),MATCH($C115,'Type Chart'!$B$4:$P$4,0))*IF($D115="",1,INDEX('Type Chart'!$B$5:$P$19,MATCH(F$4,'Type Chart'!$A$5:$A$19,0),MATCH($D115,'Type Chart'!$B$4:$P$4,0)))</f>
        <v>0.5</v>
      </c>
      <c r="G115" s="21" t="n">
        <f aca="false">INDEX('Type Chart'!$B$5:$P$19,MATCH(G$4,'Type Chart'!$A$5:$A$19,0),MATCH($C115,'Type Chart'!$B$4:$P$4,0))*IF($D115="",1,INDEX('Type Chart'!$B$5:$P$19,MATCH(G$4,'Type Chart'!$A$5:$A$19,0),MATCH($D115,'Type Chart'!$B$4:$P$4,0)))</f>
        <v>4</v>
      </c>
      <c r="H115" s="21" t="n">
        <f aca="false">INDEX('Type Chart'!$B$5:$P$19,MATCH(H$4,'Type Chart'!$A$5:$A$19,0),MATCH($C115,'Type Chart'!$B$4:$P$4,0))*IF($D115="",1,INDEX('Type Chart'!$B$5:$P$19,MATCH(H$4,'Type Chart'!$A$5:$A$19,0),MATCH($D115,'Type Chart'!$B$4:$P$4,0)))</f>
        <v>0</v>
      </c>
      <c r="I115" s="21" t="n">
        <f aca="false">INDEX('Type Chart'!$B$5:$P$19,MATCH(I$4,'Type Chart'!$A$5:$A$19,0),MATCH($C115,'Type Chart'!$B$4:$P$4,0))*IF($D115="",1,INDEX('Type Chart'!$B$5:$P$19,MATCH(I$4,'Type Chart'!$A$5:$A$19,0),MATCH($D115,'Type Chart'!$B$4:$P$4,0)))</f>
        <v>4</v>
      </c>
      <c r="J115" s="21" t="n">
        <f aca="false">INDEX('Type Chart'!$B$5:$P$19,MATCH(J$4,'Type Chart'!$A$5:$A$19,0),MATCH($C115,'Type Chart'!$B$4:$P$4,0))*IF($D115="",1,INDEX('Type Chart'!$B$5:$P$19,MATCH(J$4,'Type Chart'!$A$5:$A$19,0),MATCH($D115,'Type Chart'!$B$4:$P$4,0)))</f>
        <v>2</v>
      </c>
      <c r="K115" s="21" t="n">
        <f aca="false">INDEX('Type Chart'!$B$5:$P$19,MATCH(K$4,'Type Chart'!$A$5:$A$19,0),MATCH($C115,'Type Chart'!$B$4:$P$4,0))*IF($D115="",1,INDEX('Type Chart'!$B$5:$P$19,MATCH(K$4,'Type Chart'!$A$5:$A$19,0),MATCH($D115,'Type Chart'!$B$4:$P$4,0)))</f>
        <v>2</v>
      </c>
      <c r="L115" s="21" t="n">
        <f aca="false">INDEX('Type Chart'!$B$5:$P$19,MATCH(L$4,'Type Chart'!$A$5:$A$19,0),MATCH($C115,'Type Chart'!$B$4:$P$4,0))*IF($D115="",1,INDEX('Type Chart'!$B$5:$P$19,MATCH(L$4,'Type Chart'!$A$5:$A$19,0),MATCH($D115,'Type Chart'!$B$4:$P$4,0)))</f>
        <v>0.25</v>
      </c>
      <c r="M115" s="21" t="n">
        <f aca="false">INDEX('Type Chart'!$B$5:$P$19,MATCH(M$4,'Type Chart'!$A$5:$A$19,0),MATCH($C115,'Type Chart'!$B$4:$P$4,0))*IF($D115="",1,INDEX('Type Chart'!$B$5:$P$19,MATCH(M$4,'Type Chart'!$A$5:$A$19,0),MATCH($D115,'Type Chart'!$B$4:$P$4,0)))</f>
        <v>2</v>
      </c>
      <c r="N115" s="21" t="n">
        <f aca="false">INDEX('Type Chart'!$B$5:$P$19,MATCH(N$4,'Type Chart'!$A$5:$A$19,0),MATCH($C115,'Type Chart'!$B$4:$P$4,0))*IF($D115="",1,INDEX('Type Chart'!$B$5:$P$19,MATCH(N$4,'Type Chart'!$A$5:$A$19,0),MATCH($D115,'Type Chart'!$B$4:$P$4,0)))</f>
        <v>0.5</v>
      </c>
      <c r="O115" s="21" t="n">
        <f aca="false">INDEX('Type Chart'!$B$5:$P$19,MATCH(O$4,'Type Chart'!$A$5:$A$19,0),MATCH($C115,'Type Chart'!$B$4:$P$4,0))*IF($D115="",1,INDEX('Type Chart'!$B$5:$P$19,MATCH(O$4,'Type Chart'!$A$5:$A$19,0),MATCH($D115,'Type Chart'!$B$4:$P$4,0)))</f>
        <v>1</v>
      </c>
      <c r="P115" s="21" t="n">
        <f aca="false">INDEX('Type Chart'!$B$5:$P$19,MATCH(P$4,'Type Chart'!$A$5:$A$19,0),MATCH($C115,'Type Chart'!$B$4:$P$4,0))*IF($D115="",1,INDEX('Type Chart'!$B$5:$P$19,MATCH(P$4,'Type Chart'!$A$5:$A$19,0),MATCH($D115,'Type Chart'!$B$4:$P$4,0)))</f>
        <v>1</v>
      </c>
      <c r="Q115" s="21" t="n">
        <f aca="false">INDEX('Type Chart'!$B$5:$P$19,MATCH(Q$4,'Type Chart'!$A$5:$A$19,0),MATCH($C115,'Type Chart'!$B$4:$P$4,0))*IF($D115="",1,INDEX('Type Chart'!$B$5:$P$19,MATCH(Q$4,'Type Chart'!$A$5:$A$19,0),MATCH($D115,'Type Chart'!$B$4:$P$4,0)))</f>
        <v>0.5</v>
      </c>
      <c r="R115" s="21" t="n">
        <f aca="false">INDEX('Type Chart'!$B$5:$P$19,MATCH(R$4,'Type Chart'!$A$5:$A$19,0),MATCH($C115,'Type Chart'!$B$4:$P$4,0))*IF($D115="",1,INDEX('Type Chart'!$B$5:$P$19,MATCH(R$4,'Type Chart'!$A$5:$A$19,0),MATCH($D115,'Type Chart'!$B$4:$P$4,0)))</f>
        <v>1</v>
      </c>
      <c r="S115" s="21" t="n">
        <f aca="false">INDEX('Type Chart'!$B$5:$P$19,MATCH(S$4,'Type Chart'!$A$5:$A$19,0),MATCH($C115,'Type Chart'!$B$4:$P$4,0))*IF($D115="",1,INDEX('Type Chart'!$B$5:$P$19,MATCH(S$4,'Type Chart'!$A$5:$A$19,0),MATCH($D115,'Type Chart'!$B$4:$P$4,0)))</f>
        <v>1</v>
      </c>
    </row>
    <row r="116" customFormat="false" ht="15" hidden="false" customHeight="false" outlineLevel="0" collapsed="false">
      <c r="A116" s="19" t="n">
        <v>112</v>
      </c>
      <c r="B116" s="19" t="s">
        <v>203</v>
      </c>
      <c r="C116" s="20" t="str">
        <f aca="false">Pokedex!C116</f>
        <v>Ground</v>
      </c>
      <c r="D116" s="20" t="str">
        <f aca="false">Pokedex!D116</f>
        <v>Rock</v>
      </c>
      <c r="E116" s="21" t="n">
        <f aca="false">INDEX('Type Chart'!$B$5:$P$19,MATCH(E$4,'Type Chart'!$A$5:$A$19,0),MATCH($C116,'Type Chart'!$B$4:$P$4,0))*IF($D116="",1,INDEX('Type Chart'!$B$5:$P$19,MATCH(E$4,'Type Chart'!$A$5:$A$19,0),MATCH($D116,'Type Chart'!$B$4:$P$4,0)))</f>
        <v>0.5</v>
      </c>
      <c r="F116" s="21" t="n">
        <f aca="false">INDEX('Type Chart'!$B$5:$P$19,MATCH(F$4,'Type Chart'!$A$5:$A$19,0),MATCH($C116,'Type Chart'!$B$4:$P$4,0))*IF($D116="",1,INDEX('Type Chart'!$B$5:$P$19,MATCH(F$4,'Type Chart'!$A$5:$A$19,0),MATCH($D116,'Type Chart'!$B$4:$P$4,0)))</f>
        <v>0.5</v>
      </c>
      <c r="G116" s="21" t="n">
        <f aca="false">INDEX('Type Chart'!$B$5:$P$19,MATCH(G$4,'Type Chart'!$A$5:$A$19,0),MATCH($C116,'Type Chart'!$B$4:$P$4,0))*IF($D116="",1,INDEX('Type Chart'!$B$5:$P$19,MATCH(G$4,'Type Chart'!$A$5:$A$19,0),MATCH($D116,'Type Chart'!$B$4:$P$4,0)))</f>
        <v>4</v>
      </c>
      <c r="H116" s="21" t="n">
        <f aca="false">INDEX('Type Chart'!$B$5:$P$19,MATCH(H$4,'Type Chart'!$A$5:$A$19,0),MATCH($C116,'Type Chart'!$B$4:$P$4,0))*IF($D116="",1,INDEX('Type Chart'!$B$5:$P$19,MATCH(H$4,'Type Chart'!$A$5:$A$19,0),MATCH($D116,'Type Chart'!$B$4:$P$4,0)))</f>
        <v>0</v>
      </c>
      <c r="I116" s="21" t="n">
        <f aca="false">INDEX('Type Chart'!$B$5:$P$19,MATCH(I$4,'Type Chart'!$A$5:$A$19,0),MATCH($C116,'Type Chart'!$B$4:$P$4,0))*IF($D116="",1,INDEX('Type Chart'!$B$5:$P$19,MATCH(I$4,'Type Chart'!$A$5:$A$19,0),MATCH($D116,'Type Chart'!$B$4:$P$4,0)))</f>
        <v>4</v>
      </c>
      <c r="J116" s="21" t="n">
        <f aca="false">INDEX('Type Chart'!$B$5:$P$19,MATCH(J$4,'Type Chart'!$A$5:$A$19,0),MATCH($C116,'Type Chart'!$B$4:$P$4,0))*IF($D116="",1,INDEX('Type Chart'!$B$5:$P$19,MATCH(J$4,'Type Chart'!$A$5:$A$19,0),MATCH($D116,'Type Chart'!$B$4:$P$4,0)))</f>
        <v>2</v>
      </c>
      <c r="K116" s="21" t="n">
        <f aca="false">INDEX('Type Chart'!$B$5:$P$19,MATCH(K$4,'Type Chart'!$A$5:$A$19,0),MATCH($C116,'Type Chart'!$B$4:$P$4,0))*IF($D116="",1,INDEX('Type Chart'!$B$5:$P$19,MATCH(K$4,'Type Chart'!$A$5:$A$19,0),MATCH($D116,'Type Chart'!$B$4:$P$4,0)))</f>
        <v>2</v>
      </c>
      <c r="L116" s="21" t="n">
        <f aca="false">INDEX('Type Chart'!$B$5:$P$19,MATCH(L$4,'Type Chart'!$A$5:$A$19,0),MATCH($C116,'Type Chart'!$B$4:$P$4,0))*IF($D116="",1,INDEX('Type Chart'!$B$5:$P$19,MATCH(L$4,'Type Chart'!$A$5:$A$19,0),MATCH($D116,'Type Chart'!$B$4:$P$4,0)))</f>
        <v>0.25</v>
      </c>
      <c r="M116" s="21" t="n">
        <f aca="false">INDEX('Type Chart'!$B$5:$P$19,MATCH(M$4,'Type Chart'!$A$5:$A$19,0),MATCH($C116,'Type Chart'!$B$4:$P$4,0))*IF($D116="",1,INDEX('Type Chart'!$B$5:$P$19,MATCH(M$4,'Type Chart'!$A$5:$A$19,0),MATCH($D116,'Type Chart'!$B$4:$P$4,0)))</f>
        <v>2</v>
      </c>
      <c r="N116" s="21" t="n">
        <f aca="false">INDEX('Type Chart'!$B$5:$P$19,MATCH(N$4,'Type Chart'!$A$5:$A$19,0),MATCH($C116,'Type Chart'!$B$4:$P$4,0))*IF($D116="",1,INDEX('Type Chart'!$B$5:$P$19,MATCH(N$4,'Type Chart'!$A$5:$A$19,0),MATCH($D116,'Type Chart'!$B$4:$P$4,0)))</f>
        <v>0.5</v>
      </c>
      <c r="O116" s="21" t="n">
        <f aca="false">INDEX('Type Chart'!$B$5:$P$19,MATCH(O$4,'Type Chart'!$A$5:$A$19,0),MATCH($C116,'Type Chart'!$B$4:$P$4,0))*IF($D116="",1,INDEX('Type Chart'!$B$5:$P$19,MATCH(O$4,'Type Chart'!$A$5:$A$19,0),MATCH($D116,'Type Chart'!$B$4:$P$4,0)))</f>
        <v>1</v>
      </c>
      <c r="P116" s="21" t="n">
        <f aca="false">INDEX('Type Chart'!$B$5:$P$19,MATCH(P$4,'Type Chart'!$A$5:$A$19,0),MATCH($C116,'Type Chart'!$B$4:$P$4,0))*IF($D116="",1,INDEX('Type Chart'!$B$5:$P$19,MATCH(P$4,'Type Chart'!$A$5:$A$19,0),MATCH($D116,'Type Chart'!$B$4:$P$4,0)))</f>
        <v>1</v>
      </c>
      <c r="Q116" s="21" t="n">
        <f aca="false">INDEX('Type Chart'!$B$5:$P$19,MATCH(Q$4,'Type Chart'!$A$5:$A$19,0),MATCH($C116,'Type Chart'!$B$4:$P$4,0))*IF($D116="",1,INDEX('Type Chart'!$B$5:$P$19,MATCH(Q$4,'Type Chart'!$A$5:$A$19,0),MATCH($D116,'Type Chart'!$B$4:$P$4,0)))</f>
        <v>0.5</v>
      </c>
      <c r="R116" s="21" t="n">
        <f aca="false">INDEX('Type Chart'!$B$5:$P$19,MATCH(R$4,'Type Chart'!$A$5:$A$19,0),MATCH($C116,'Type Chart'!$B$4:$P$4,0))*IF($D116="",1,INDEX('Type Chart'!$B$5:$P$19,MATCH(R$4,'Type Chart'!$A$5:$A$19,0),MATCH($D116,'Type Chart'!$B$4:$P$4,0)))</f>
        <v>1</v>
      </c>
      <c r="S116" s="21" t="n">
        <f aca="false">INDEX('Type Chart'!$B$5:$P$19,MATCH(S$4,'Type Chart'!$A$5:$A$19,0),MATCH($C116,'Type Chart'!$B$4:$P$4,0))*IF($D116="",1,INDEX('Type Chart'!$B$5:$P$19,MATCH(S$4,'Type Chart'!$A$5:$A$19,0),MATCH($D116,'Type Chart'!$B$4:$P$4,0)))</f>
        <v>1</v>
      </c>
    </row>
    <row r="117" customFormat="false" ht="15" hidden="false" customHeight="false" outlineLevel="0" collapsed="false">
      <c r="A117" s="19" t="n">
        <v>113</v>
      </c>
      <c r="B117" s="19" t="s">
        <v>204</v>
      </c>
      <c r="C117" s="20" t="str">
        <f aca="false">Pokedex!C117</f>
        <v>Normal</v>
      </c>
      <c r="D117" s="20" t="n">
        <f aca="false">Pokedex!D117</f>
        <v>0</v>
      </c>
      <c r="E117" s="21" t="n">
        <f aca="false">INDEX('Type Chart'!$B$5:$P$19,MATCH(E$4,'Type Chart'!$A$5:$A$19,0),MATCH($C117,'Type Chart'!$B$4:$P$4,0))*IF($D117="",1,INDEX('Type Chart'!$B$5:$P$19,MATCH(E$4,'Type Chart'!$A$5:$A$19,0),MATCH($D117,'Type Chart'!$B$4:$P$4,0)))</f>
        <v>1</v>
      </c>
      <c r="F117" s="21" t="n">
        <f aca="false">INDEX('Type Chart'!$B$5:$P$19,MATCH(F$4,'Type Chart'!$A$5:$A$19,0),MATCH($C117,'Type Chart'!$B$4:$P$4,0))*IF($D117="",1,INDEX('Type Chart'!$B$5:$P$19,MATCH(F$4,'Type Chart'!$A$5:$A$19,0),MATCH($D117,'Type Chart'!$B$4:$P$4,0)))</f>
        <v>1</v>
      </c>
      <c r="G117" s="21" t="n">
        <f aca="false">INDEX('Type Chart'!$B$5:$P$19,MATCH(G$4,'Type Chart'!$A$5:$A$19,0),MATCH($C117,'Type Chart'!$B$4:$P$4,0))*IF($D117="",1,INDEX('Type Chart'!$B$5:$P$19,MATCH(G$4,'Type Chart'!$A$5:$A$19,0),MATCH($D117,'Type Chart'!$B$4:$P$4,0)))</f>
        <v>1</v>
      </c>
      <c r="H117" s="21" t="n">
        <f aca="false">INDEX('Type Chart'!$B$5:$P$19,MATCH(H$4,'Type Chart'!$A$5:$A$19,0),MATCH($C117,'Type Chart'!$B$4:$P$4,0))*IF($D117="",1,INDEX('Type Chart'!$B$5:$P$19,MATCH(H$4,'Type Chart'!$A$5:$A$19,0),MATCH($D117,'Type Chart'!$B$4:$P$4,0)))</f>
        <v>1</v>
      </c>
      <c r="I117" s="21" t="n">
        <f aca="false">INDEX('Type Chart'!$B$5:$P$19,MATCH(I$4,'Type Chart'!$A$5:$A$19,0),MATCH($C117,'Type Chart'!$B$4:$P$4,0))*IF($D117="",1,INDEX('Type Chart'!$B$5:$P$19,MATCH(I$4,'Type Chart'!$A$5:$A$19,0),MATCH($D117,'Type Chart'!$B$4:$P$4,0)))</f>
        <v>1</v>
      </c>
      <c r="J117" s="21" t="n">
        <f aca="false">INDEX('Type Chart'!$B$5:$P$19,MATCH(J$4,'Type Chart'!$A$5:$A$19,0),MATCH($C117,'Type Chart'!$B$4:$P$4,0))*IF($D117="",1,INDEX('Type Chart'!$B$5:$P$19,MATCH(J$4,'Type Chart'!$A$5:$A$19,0),MATCH($D117,'Type Chart'!$B$4:$P$4,0)))</f>
        <v>1</v>
      </c>
      <c r="K117" s="21" t="n">
        <f aca="false">INDEX('Type Chart'!$B$5:$P$19,MATCH(K$4,'Type Chart'!$A$5:$A$19,0),MATCH($C117,'Type Chart'!$B$4:$P$4,0))*IF($D117="",1,INDEX('Type Chart'!$B$5:$P$19,MATCH(K$4,'Type Chart'!$A$5:$A$19,0),MATCH($D117,'Type Chart'!$B$4:$P$4,0)))</f>
        <v>2</v>
      </c>
      <c r="L117" s="21" t="n">
        <f aca="false">INDEX('Type Chart'!$B$5:$P$19,MATCH(L$4,'Type Chart'!$A$5:$A$19,0),MATCH($C117,'Type Chart'!$B$4:$P$4,0))*IF($D117="",1,INDEX('Type Chart'!$B$5:$P$19,MATCH(L$4,'Type Chart'!$A$5:$A$19,0),MATCH($D117,'Type Chart'!$B$4:$P$4,0)))</f>
        <v>1</v>
      </c>
      <c r="M117" s="21" t="n">
        <f aca="false">INDEX('Type Chart'!$B$5:$P$19,MATCH(M$4,'Type Chart'!$A$5:$A$19,0),MATCH($C117,'Type Chart'!$B$4:$P$4,0))*IF($D117="",1,INDEX('Type Chart'!$B$5:$P$19,MATCH(M$4,'Type Chart'!$A$5:$A$19,0),MATCH($D117,'Type Chart'!$B$4:$P$4,0)))</f>
        <v>1</v>
      </c>
      <c r="N117" s="21" t="n">
        <f aca="false">INDEX('Type Chart'!$B$5:$P$19,MATCH(N$4,'Type Chart'!$A$5:$A$19,0),MATCH($C117,'Type Chart'!$B$4:$P$4,0))*IF($D117="",1,INDEX('Type Chart'!$B$5:$P$19,MATCH(N$4,'Type Chart'!$A$5:$A$19,0),MATCH($D117,'Type Chart'!$B$4:$P$4,0)))</f>
        <v>1</v>
      </c>
      <c r="O117" s="21" t="n">
        <f aca="false">INDEX('Type Chart'!$B$5:$P$19,MATCH(O$4,'Type Chart'!$A$5:$A$19,0),MATCH($C117,'Type Chart'!$B$4:$P$4,0))*IF($D117="",1,INDEX('Type Chart'!$B$5:$P$19,MATCH(O$4,'Type Chart'!$A$5:$A$19,0),MATCH($D117,'Type Chart'!$B$4:$P$4,0)))</f>
        <v>1</v>
      </c>
      <c r="P117" s="21" t="n">
        <f aca="false">INDEX('Type Chart'!$B$5:$P$19,MATCH(P$4,'Type Chart'!$A$5:$A$19,0),MATCH($C117,'Type Chart'!$B$4:$P$4,0))*IF($D117="",1,INDEX('Type Chart'!$B$5:$P$19,MATCH(P$4,'Type Chart'!$A$5:$A$19,0),MATCH($D117,'Type Chart'!$B$4:$P$4,0)))</f>
        <v>1</v>
      </c>
      <c r="Q117" s="21" t="n">
        <f aca="false">INDEX('Type Chart'!$B$5:$P$19,MATCH(Q$4,'Type Chart'!$A$5:$A$19,0),MATCH($C117,'Type Chart'!$B$4:$P$4,0))*IF($D117="",1,INDEX('Type Chart'!$B$5:$P$19,MATCH(Q$4,'Type Chart'!$A$5:$A$19,0),MATCH($D117,'Type Chart'!$B$4:$P$4,0)))</f>
        <v>1</v>
      </c>
      <c r="R117" s="21" t="n">
        <f aca="false">INDEX('Type Chart'!$B$5:$P$19,MATCH(R$4,'Type Chart'!$A$5:$A$19,0),MATCH($C117,'Type Chart'!$B$4:$P$4,0))*IF($D117="",1,INDEX('Type Chart'!$B$5:$P$19,MATCH(R$4,'Type Chart'!$A$5:$A$19,0),MATCH($D117,'Type Chart'!$B$4:$P$4,0)))</f>
        <v>0</v>
      </c>
      <c r="S117" s="21" t="n">
        <f aca="false">INDEX('Type Chart'!$B$5:$P$19,MATCH(S$4,'Type Chart'!$A$5:$A$19,0),MATCH($C117,'Type Chart'!$B$4:$P$4,0))*IF($D117="",1,INDEX('Type Chart'!$B$5:$P$19,MATCH(S$4,'Type Chart'!$A$5:$A$19,0),MATCH($D117,'Type Chart'!$B$4:$P$4,0)))</f>
        <v>1</v>
      </c>
    </row>
    <row r="118" customFormat="false" ht="15" hidden="false" customHeight="false" outlineLevel="0" collapsed="false">
      <c r="A118" s="19" t="n">
        <v>114</v>
      </c>
      <c r="B118" s="19" t="s">
        <v>205</v>
      </c>
      <c r="C118" s="20" t="str">
        <f aca="false">Pokedex!C118</f>
        <v>Grass</v>
      </c>
      <c r="D118" s="20" t="n">
        <f aca="false">Pokedex!D118</f>
        <v>0</v>
      </c>
      <c r="E118" s="21" t="n">
        <f aca="false">INDEX('Type Chart'!$B$5:$P$19,MATCH(E$4,'Type Chart'!$A$5:$A$19,0),MATCH($C118,'Type Chart'!$B$4:$P$4,0))*IF($D118="",1,INDEX('Type Chart'!$B$5:$P$19,MATCH(E$4,'Type Chart'!$A$5:$A$19,0),MATCH($D118,'Type Chart'!$B$4:$P$4,0)))</f>
        <v>1</v>
      </c>
      <c r="F118" s="21" t="n">
        <f aca="false">INDEX('Type Chart'!$B$5:$P$19,MATCH(F$4,'Type Chart'!$A$5:$A$19,0),MATCH($C118,'Type Chart'!$B$4:$P$4,0))*IF($D118="",1,INDEX('Type Chart'!$B$5:$P$19,MATCH(F$4,'Type Chart'!$A$5:$A$19,0),MATCH($D118,'Type Chart'!$B$4:$P$4,0)))</f>
        <v>2</v>
      </c>
      <c r="G118" s="21" t="n">
        <f aca="false">INDEX('Type Chart'!$B$5:$P$19,MATCH(G$4,'Type Chart'!$A$5:$A$19,0),MATCH($C118,'Type Chart'!$B$4:$P$4,0))*IF($D118="",1,INDEX('Type Chart'!$B$5:$P$19,MATCH(G$4,'Type Chart'!$A$5:$A$19,0),MATCH($D118,'Type Chart'!$B$4:$P$4,0)))</f>
        <v>0.5</v>
      </c>
      <c r="H118" s="21" t="n">
        <f aca="false">INDEX('Type Chart'!$B$5:$P$19,MATCH(H$4,'Type Chart'!$A$5:$A$19,0),MATCH($C118,'Type Chart'!$B$4:$P$4,0))*IF($D118="",1,INDEX('Type Chart'!$B$5:$P$19,MATCH(H$4,'Type Chart'!$A$5:$A$19,0),MATCH($D118,'Type Chart'!$B$4:$P$4,0)))</f>
        <v>0.5</v>
      </c>
      <c r="I118" s="21" t="n">
        <f aca="false">INDEX('Type Chart'!$B$5:$P$19,MATCH(I$4,'Type Chart'!$A$5:$A$19,0),MATCH($C118,'Type Chart'!$B$4:$P$4,0))*IF($D118="",1,INDEX('Type Chart'!$B$5:$P$19,MATCH(I$4,'Type Chart'!$A$5:$A$19,0),MATCH($D118,'Type Chart'!$B$4:$P$4,0)))</f>
        <v>0.5</v>
      </c>
      <c r="J118" s="21" t="n">
        <f aca="false">INDEX('Type Chart'!$B$5:$P$19,MATCH(J$4,'Type Chart'!$A$5:$A$19,0),MATCH($C118,'Type Chart'!$B$4:$P$4,0))*IF($D118="",1,INDEX('Type Chart'!$B$5:$P$19,MATCH(J$4,'Type Chart'!$A$5:$A$19,0),MATCH($D118,'Type Chart'!$B$4:$P$4,0)))</f>
        <v>2</v>
      </c>
      <c r="K118" s="21" t="n">
        <f aca="false">INDEX('Type Chart'!$B$5:$P$19,MATCH(K$4,'Type Chart'!$A$5:$A$19,0),MATCH($C118,'Type Chart'!$B$4:$P$4,0))*IF($D118="",1,INDEX('Type Chart'!$B$5:$P$19,MATCH(K$4,'Type Chart'!$A$5:$A$19,0),MATCH($D118,'Type Chart'!$B$4:$P$4,0)))</f>
        <v>1</v>
      </c>
      <c r="L118" s="21" t="n">
        <f aca="false">INDEX('Type Chart'!$B$5:$P$19,MATCH(L$4,'Type Chart'!$A$5:$A$19,0),MATCH($C118,'Type Chart'!$B$4:$P$4,0))*IF($D118="",1,INDEX('Type Chart'!$B$5:$P$19,MATCH(L$4,'Type Chart'!$A$5:$A$19,0),MATCH($D118,'Type Chart'!$B$4:$P$4,0)))</f>
        <v>2</v>
      </c>
      <c r="M118" s="21" t="n">
        <f aca="false">INDEX('Type Chart'!$B$5:$P$19,MATCH(M$4,'Type Chart'!$A$5:$A$19,0),MATCH($C118,'Type Chart'!$B$4:$P$4,0))*IF($D118="",1,INDEX('Type Chart'!$B$5:$P$19,MATCH(M$4,'Type Chart'!$A$5:$A$19,0),MATCH($D118,'Type Chart'!$B$4:$P$4,0)))</f>
        <v>0.5</v>
      </c>
      <c r="N118" s="21" t="n">
        <f aca="false">INDEX('Type Chart'!$B$5:$P$19,MATCH(N$4,'Type Chart'!$A$5:$A$19,0),MATCH($C118,'Type Chart'!$B$4:$P$4,0))*IF($D118="",1,INDEX('Type Chart'!$B$5:$P$19,MATCH(N$4,'Type Chart'!$A$5:$A$19,0),MATCH($D118,'Type Chart'!$B$4:$P$4,0)))</f>
        <v>2</v>
      </c>
      <c r="O118" s="21" t="n">
        <f aca="false">INDEX('Type Chart'!$B$5:$P$19,MATCH(O$4,'Type Chart'!$A$5:$A$19,0),MATCH($C118,'Type Chart'!$B$4:$P$4,0))*IF($D118="",1,INDEX('Type Chart'!$B$5:$P$19,MATCH(O$4,'Type Chart'!$A$5:$A$19,0),MATCH($D118,'Type Chart'!$B$4:$P$4,0)))</f>
        <v>1</v>
      </c>
      <c r="P118" s="21" t="n">
        <f aca="false">INDEX('Type Chart'!$B$5:$P$19,MATCH(P$4,'Type Chart'!$A$5:$A$19,0),MATCH($C118,'Type Chart'!$B$4:$P$4,0))*IF($D118="",1,INDEX('Type Chart'!$B$5:$P$19,MATCH(P$4,'Type Chart'!$A$5:$A$19,0),MATCH($D118,'Type Chart'!$B$4:$P$4,0)))</f>
        <v>2</v>
      </c>
      <c r="Q118" s="21" t="n">
        <f aca="false">INDEX('Type Chart'!$B$5:$P$19,MATCH(Q$4,'Type Chart'!$A$5:$A$19,0),MATCH($C118,'Type Chart'!$B$4:$P$4,0))*IF($D118="",1,INDEX('Type Chart'!$B$5:$P$19,MATCH(Q$4,'Type Chart'!$A$5:$A$19,0),MATCH($D118,'Type Chart'!$B$4:$P$4,0)))</f>
        <v>1</v>
      </c>
      <c r="R118" s="21" t="n">
        <f aca="false">INDEX('Type Chart'!$B$5:$P$19,MATCH(R$4,'Type Chart'!$A$5:$A$19,0),MATCH($C118,'Type Chart'!$B$4:$P$4,0))*IF($D118="",1,INDEX('Type Chart'!$B$5:$P$19,MATCH(R$4,'Type Chart'!$A$5:$A$19,0),MATCH($D118,'Type Chart'!$B$4:$P$4,0)))</f>
        <v>1</v>
      </c>
      <c r="S118" s="21" t="n">
        <f aca="false">INDEX('Type Chart'!$B$5:$P$19,MATCH(S$4,'Type Chart'!$A$5:$A$19,0),MATCH($C118,'Type Chart'!$B$4:$P$4,0))*IF($D118="",1,INDEX('Type Chart'!$B$5:$P$19,MATCH(S$4,'Type Chart'!$A$5:$A$19,0),MATCH($D118,'Type Chart'!$B$4:$P$4,0)))</f>
        <v>1</v>
      </c>
    </row>
    <row r="119" customFormat="false" ht="15" hidden="false" customHeight="false" outlineLevel="0" collapsed="false">
      <c r="A119" s="19" t="n">
        <v>115</v>
      </c>
      <c r="B119" s="19" t="s">
        <v>206</v>
      </c>
      <c r="C119" s="20" t="str">
        <f aca="false">Pokedex!C119</f>
        <v>Normal</v>
      </c>
      <c r="D119" s="20" t="n">
        <f aca="false">Pokedex!D119</f>
        <v>0</v>
      </c>
      <c r="E119" s="21" t="n">
        <f aca="false">INDEX('Type Chart'!$B$5:$P$19,MATCH(E$4,'Type Chart'!$A$5:$A$19,0),MATCH($C119,'Type Chart'!$B$4:$P$4,0))*IF($D119="",1,INDEX('Type Chart'!$B$5:$P$19,MATCH(E$4,'Type Chart'!$A$5:$A$19,0),MATCH($D119,'Type Chart'!$B$4:$P$4,0)))</f>
        <v>1</v>
      </c>
      <c r="F119" s="21" t="n">
        <f aca="false">INDEX('Type Chart'!$B$5:$P$19,MATCH(F$4,'Type Chart'!$A$5:$A$19,0),MATCH($C119,'Type Chart'!$B$4:$P$4,0))*IF($D119="",1,INDEX('Type Chart'!$B$5:$P$19,MATCH(F$4,'Type Chart'!$A$5:$A$19,0),MATCH($D119,'Type Chart'!$B$4:$P$4,0)))</f>
        <v>1</v>
      </c>
      <c r="G119" s="21" t="n">
        <f aca="false">INDEX('Type Chart'!$B$5:$P$19,MATCH(G$4,'Type Chart'!$A$5:$A$19,0),MATCH($C119,'Type Chart'!$B$4:$P$4,0))*IF($D119="",1,INDEX('Type Chart'!$B$5:$P$19,MATCH(G$4,'Type Chart'!$A$5:$A$19,0),MATCH($D119,'Type Chart'!$B$4:$P$4,0)))</f>
        <v>1</v>
      </c>
      <c r="H119" s="21" t="n">
        <f aca="false">INDEX('Type Chart'!$B$5:$P$19,MATCH(H$4,'Type Chart'!$A$5:$A$19,0),MATCH($C119,'Type Chart'!$B$4:$P$4,0))*IF($D119="",1,INDEX('Type Chart'!$B$5:$P$19,MATCH(H$4,'Type Chart'!$A$5:$A$19,0),MATCH($D119,'Type Chart'!$B$4:$P$4,0)))</f>
        <v>1</v>
      </c>
      <c r="I119" s="21" t="n">
        <f aca="false">INDEX('Type Chart'!$B$5:$P$19,MATCH(I$4,'Type Chart'!$A$5:$A$19,0),MATCH($C119,'Type Chart'!$B$4:$P$4,0))*IF($D119="",1,INDEX('Type Chart'!$B$5:$P$19,MATCH(I$4,'Type Chart'!$A$5:$A$19,0),MATCH($D119,'Type Chart'!$B$4:$P$4,0)))</f>
        <v>1</v>
      </c>
      <c r="J119" s="21" t="n">
        <f aca="false">INDEX('Type Chart'!$B$5:$P$19,MATCH(J$4,'Type Chart'!$A$5:$A$19,0),MATCH($C119,'Type Chart'!$B$4:$P$4,0))*IF($D119="",1,INDEX('Type Chart'!$B$5:$P$19,MATCH(J$4,'Type Chart'!$A$5:$A$19,0),MATCH($D119,'Type Chart'!$B$4:$P$4,0)))</f>
        <v>1</v>
      </c>
      <c r="K119" s="21" t="n">
        <f aca="false">INDEX('Type Chart'!$B$5:$P$19,MATCH(K$4,'Type Chart'!$A$5:$A$19,0),MATCH($C119,'Type Chart'!$B$4:$P$4,0))*IF($D119="",1,INDEX('Type Chart'!$B$5:$P$19,MATCH(K$4,'Type Chart'!$A$5:$A$19,0),MATCH($D119,'Type Chart'!$B$4:$P$4,0)))</f>
        <v>2</v>
      </c>
      <c r="L119" s="21" t="n">
        <f aca="false">INDEX('Type Chart'!$B$5:$P$19,MATCH(L$4,'Type Chart'!$A$5:$A$19,0),MATCH($C119,'Type Chart'!$B$4:$P$4,0))*IF($D119="",1,INDEX('Type Chart'!$B$5:$P$19,MATCH(L$4,'Type Chart'!$A$5:$A$19,0),MATCH($D119,'Type Chart'!$B$4:$P$4,0)))</f>
        <v>1</v>
      </c>
      <c r="M119" s="21" t="n">
        <f aca="false">INDEX('Type Chart'!$B$5:$P$19,MATCH(M$4,'Type Chart'!$A$5:$A$19,0),MATCH($C119,'Type Chart'!$B$4:$P$4,0))*IF($D119="",1,INDEX('Type Chart'!$B$5:$P$19,MATCH(M$4,'Type Chart'!$A$5:$A$19,0),MATCH($D119,'Type Chart'!$B$4:$P$4,0)))</f>
        <v>1</v>
      </c>
      <c r="N119" s="21" t="n">
        <f aca="false">INDEX('Type Chart'!$B$5:$P$19,MATCH(N$4,'Type Chart'!$A$5:$A$19,0),MATCH($C119,'Type Chart'!$B$4:$P$4,0))*IF($D119="",1,INDEX('Type Chart'!$B$5:$P$19,MATCH(N$4,'Type Chart'!$A$5:$A$19,0),MATCH($D119,'Type Chart'!$B$4:$P$4,0)))</f>
        <v>1</v>
      </c>
      <c r="O119" s="21" t="n">
        <f aca="false">INDEX('Type Chart'!$B$5:$P$19,MATCH(O$4,'Type Chart'!$A$5:$A$19,0),MATCH($C119,'Type Chart'!$B$4:$P$4,0))*IF($D119="",1,INDEX('Type Chart'!$B$5:$P$19,MATCH(O$4,'Type Chart'!$A$5:$A$19,0),MATCH($D119,'Type Chart'!$B$4:$P$4,0)))</f>
        <v>1</v>
      </c>
      <c r="P119" s="21" t="n">
        <f aca="false">INDEX('Type Chart'!$B$5:$P$19,MATCH(P$4,'Type Chart'!$A$5:$A$19,0),MATCH($C119,'Type Chart'!$B$4:$P$4,0))*IF($D119="",1,INDEX('Type Chart'!$B$5:$P$19,MATCH(P$4,'Type Chart'!$A$5:$A$19,0),MATCH($D119,'Type Chart'!$B$4:$P$4,0)))</f>
        <v>1</v>
      </c>
      <c r="Q119" s="21" t="n">
        <f aca="false">INDEX('Type Chart'!$B$5:$P$19,MATCH(Q$4,'Type Chart'!$A$5:$A$19,0),MATCH($C119,'Type Chart'!$B$4:$P$4,0))*IF($D119="",1,INDEX('Type Chart'!$B$5:$P$19,MATCH(Q$4,'Type Chart'!$A$5:$A$19,0),MATCH($D119,'Type Chart'!$B$4:$P$4,0)))</f>
        <v>1</v>
      </c>
      <c r="R119" s="21" t="n">
        <f aca="false">INDEX('Type Chart'!$B$5:$P$19,MATCH(R$4,'Type Chart'!$A$5:$A$19,0),MATCH($C119,'Type Chart'!$B$4:$P$4,0))*IF($D119="",1,INDEX('Type Chart'!$B$5:$P$19,MATCH(R$4,'Type Chart'!$A$5:$A$19,0),MATCH($D119,'Type Chart'!$B$4:$P$4,0)))</f>
        <v>0</v>
      </c>
      <c r="S119" s="21" t="n">
        <f aca="false">INDEX('Type Chart'!$B$5:$P$19,MATCH(S$4,'Type Chart'!$A$5:$A$19,0),MATCH($C119,'Type Chart'!$B$4:$P$4,0))*IF($D119="",1,INDEX('Type Chart'!$B$5:$P$19,MATCH(S$4,'Type Chart'!$A$5:$A$19,0),MATCH($D119,'Type Chart'!$B$4:$P$4,0)))</f>
        <v>1</v>
      </c>
    </row>
    <row r="120" customFormat="false" ht="15" hidden="false" customHeight="false" outlineLevel="0" collapsed="false">
      <c r="A120" s="19" t="n">
        <v>116</v>
      </c>
      <c r="B120" s="19" t="s">
        <v>207</v>
      </c>
      <c r="C120" s="20" t="str">
        <f aca="false">Pokedex!C120</f>
        <v>Water</v>
      </c>
      <c r="D120" s="20" t="n">
        <f aca="false">Pokedex!D120</f>
        <v>0</v>
      </c>
      <c r="E120" s="21" t="n">
        <f aca="false">INDEX('Type Chart'!$B$5:$P$19,MATCH(E$4,'Type Chart'!$A$5:$A$19,0),MATCH($C120,'Type Chart'!$B$4:$P$4,0))*IF($D120="",1,INDEX('Type Chart'!$B$5:$P$19,MATCH(E$4,'Type Chart'!$A$5:$A$19,0),MATCH($D120,'Type Chart'!$B$4:$P$4,0)))</f>
        <v>1</v>
      </c>
      <c r="F120" s="21" t="n">
        <f aca="false">INDEX('Type Chart'!$B$5:$P$19,MATCH(F$4,'Type Chart'!$A$5:$A$19,0),MATCH($C120,'Type Chart'!$B$4:$P$4,0))*IF($D120="",1,INDEX('Type Chart'!$B$5:$P$19,MATCH(F$4,'Type Chart'!$A$5:$A$19,0),MATCH($D120,'Type Chart'!$B$4:$P$4,0)))</f>
        <v>0.5</v>
      </c>
      <c r="G120" s="21" t="n">
        <f aca="false">INDEX('Type Chart'!$B$5:$P$19,MATCH(G$4,'Type Chart'!$A$5:$A$19,0),MATCH($C120,'Type Chart'!$B$4:$P$4,0))*IF($D120="",1,INDEX('Type Chart'!$B$5:$P$19,MATCH(G$4,'Type Chart'!$A$5:$A$19,0),MATCH($D120,'Type Chart'!$B$4:$P$4,0)))</f>
        <v>0.5</v>
      </c>
      <c r="H120" s="21" t="n">
        <f aca="false">INDEX('Type Chart'!$B$5:$P$19,MATCH(H$4,'Type Chart'!$A$5:$A$19,0),MATCH($C120,'Type Chart'!$B$4:$P$4,0))*IF($D120="",1,INDEX('Type Chart'!$B$5:$P$19,MATCH(H$4,'Type Chart'!$A$5:$A$19,0),MATCH($D120,'Type Chart'!$B$4:$P$4,0)))</f>
        <v>2</v>
      </c>
      <c r="I120" s="21" t="n">
        <f aca="false">INDEX('Type Chart'!$B$5:$P$19,MATCH(I$4,'Type Chart'!$A$5:$A$19,0),MATCH($C120,'Type Chart'!$B$4:$P$4,0))*IF($D120="",1,INDEX('Type Chart'!$B$5:$P$19,MATCH(I$4,'Type Chart'!$A$5:$A$19,0),MATCH($D120,'Type Chart'!$B$4:$P$4,0)))</f>
        <v>2</v>
      </c>
      <c r="J120" s="21" t="n">
        <f aca="false">INDEX('Type Chart'!$B$5:$P$19,MATCH(J$4,'Type Chart'!$A$5:$A$19,0),MATCH($C120,'Type Chart'!$B$4:$P$4,0))*IF($D120="",1,INDEX('Type Chart'!$B$5:$P$19,MATCH(J$4,'Type Chart'!$A$5:$A$19,0),MATCH($D120,'Type Chart'!$B$4:$P$4,0)))</f>
        <v>0.5</v>
      </c>
      <c r="K120" s="21" t="n">
        <f aca="false">INDEX('Type Chart'!$B$5:$P$19,MATCH(K$4,'Type Chart'!$A$5:$A$19,0),MATCH($C120,'Type Chart'!$B$4:$P$4,0))*IF($D120="",1,INDEX('Type Chart'!$B$5:$P$19,MATCH(K$4,'Type Chart'!$A$5:$A$19,0),MATCH($D120,'Type Chart'!$B$4:$P$4,0)))</f>
        <v>1</v>
      </c>
      <c r="L120" s="21" t="n">
        <f aca="false">INDEX('Type Chart'!$B$5:$P$19,MATCH(L$4,'Type Chart'!$A$5:$A$19,0),MATCH($C120,'Type Chart'!$B$4:$P$4,0))*IF($D120="",1,INDEX('Type Chart'!$B$5:$P$19,MATCH(L$4,'Type Chart'!$A$5:$A$19,0),MATCH($D120,'Type Chart'!$B$4:$P$4,0)))</f>
        <v>1</v>
      </c>
      <c r="M120" s="21" t="n">
        <f aca="false">INDEX('Type Chart'!$B$5:$P$19,MATCH(M$4,'Type Chart'!$A$5:$A$19,0),MATCH($C120,'Type Chart'!$B$4:$P$4,0))*IF($D120="",1,INDEX('Type Chart'!$B$5:$P$19,MATCH(M$4,'Type Chart'!$A$5:$A$19,0),MATCH($D120,'Type Chart'!$B$4:$P$4,0)))</f>
        <v>1</v>
      </c>
      <c r="N120" s="21" t="n">
        <f aca="false">INDEX('Type Chart'!$B$5:$P$19,MATCH(N$4,'Type Chart'!$A$5:$A$19,0),MATCH($C120,'Type Chart'!$B$4:$P$4,0))*IF($D120="",1,INDEX('Type Chart'!$B$5:$P$19,MATCH(N$4,'Type Chart'!$A$5:$A$19,0),MATCH($D120,'Type Chart'!$B$4:$P$4,0)))</f>
        <v>1</v>
      </c>
      <c r="O120" s="21" t="n">
        <f aca="false">INDEX('Type Chart'!$B$5:$P$19,MATCH(O$4,'Type Chart'!$A$5:$A$19,0),MATCH($C120,'Type Chart'!$B$4:$P$4,0))*IF($D120="",1,INDEX('Type Chart'!$B$5:$P$19,MATCH(O$4,'Type Chart'!$A$5:$A$19,0),MATCH($D120,'Type Chart'!$B$4:$P$4,0)))</f>
        <v>1</v>
      </c>
      <c r="P120" s="21" t="n">
        <f aca="false">INDEX('Type Chart'!$B$5:$P$19,MATCH(P$4,'Type Chart'!$A$5:$A$19,0),MATCH($C120,'Type Chart'!$B$4:$P$4,0))*IF($D120="",1,INDEX('Type Chart'!$B$5:$P$19,MATCH(P$4,'Type Chart'!$A$5:$A$19,0),MATCH($D120,'Type Chart'!$B$4:$P$4,0)))</f>
        <v>1</v>
      </c>
      <c r="Q120" s="21" t="n">
        <f aca="false">INDEX('Type Chart'!$B$5:$P$19,MATCH(Q$4,'Type Chart'!$A$5:$A$19,0),MATCH($C120,'Type Chart'!$B$4:$P$4,0))*IF($D120="",1,INDEX('Type Chart'!$B$5:$P$19,MATCH(Q$4,'Type Chart'!$A$5:$A$19,0),MATCH($D120,'Type Chart'!$B$4:$P$4,0)))</f>
        <v>1</v>
      </c>
      <c r="R120" s="21" t="n">
        <f aca="false">INDEX('Type Chart'!$B$5:$P$19,MATCH(R$4,'Type Chart'!$A$5:$A$19,0),MATCH($C120,'Type Chart'!$B$4:$P$4,0))*IF($D120="",1,INDEX('Type Chart'!$B$5:$P$19,MATCH(R$4,'Type Chart'!$A$5:$A$19,0),MATCH($D120,'Type Chart'!$B$4:$P$4,0)))</f>
        <v>1</v>
      </c>
      <c r="S120" s="21" t="n">
        <f aca="false">INDEX('Type Chart'!$B$5:$P$19,MATCH(S$4,'Type Chart'!$A$5:$A$19,0),MATCH($C120,'Type Chart'!$B$4:$P$4,0))*IF($D120="",1,INDEX('Type Chart'!$B$5:$P$19,MATCH(S$4,'Type Chart'!$A$5:$A$19,0),MATCH($D120,'Type Chart'!$B$4:$P$4,0)))</f>
        <v>1</v>
      </c>
    </row>
    <row r="121" customFormat="false" ht="15" hidden="false" customHeight="false" outlineLevel="0" collapsed="false">
      <c r="A121" s="19" t="n">
        <v>117</v>
      </c>
      <c r="B121" s="19" t="s">
        <v>208</v>
      </c>
      <c r="C121" s="20" t="str">
        <f aca="false">Pokedex!C121</f>
        <v>Water</v>
      </c>
      <c r="D121" s="20" t="n">
        <f aca="false">Pokedex!D121</f>
        <v>0</v>
      </c>
      <c r="E121" s="21" t="n">
        <f aca="false">INDEX('Type Chart'!$B$5:$P$19,MATCH(E$4,'Type Chart'!$A$5:$A$19,0),MATCH($C121,'Type Chart'!$B$4:$P$4,0))*IF($D121="",1,INDEX('Type Chart'!$B$5:$P$19,MATCH(E$4,'Type Chart'!$A$5:$A$19,0),MATCH($D121,'Type Chart'!$B$4:$P$4,0)))</f>
        <v>1</v>
      </c>
      <c r="F121" s="21" t="n">
        <f aca="false">INDEX('Type Chart'!$B$5:$P$19,MATCH(F$4,'Type Chart'!$A$5:$A$19,0),MATCH($C121,'Type Chart'!$B$4:$P$4,0))*IF($D121="",1,INDEX('Type Chart'!$B$5:$P$19,MATCH(F$4,'Type Chart'!$A$5:$A$19,0),MATCH($D121,'Type Chart'!$B$4:$P$4,0)))</f>
        <v>0.5</v>
      </c>
      <c r="G121" s="21" t="n">
        <f aca="false">INDEX('Type Chart'!$B$5:$P$19,MATCH(G$4,'Type Chart'!$A$5:$A$19,0),MATCH($C121,'Type Chart'!$B$4:$P$4,0))*IF($D121="",1,INDEX('Type Chart'!$B$5:$P$19,MATCH(G$4,'Type Chart'!$A$5:$A$19,0),MATCH($D121,'Type Chart'!$B$4:$P$4,0)))</f>
        <v>0.5</v>
      </c>
      <c r="H121" s="21" t="n">
        <f aca="false">INDEX('Type Chart'!$B$5:$P$19,MATCH(H$4,'Type Chart'!$A$5:$A$19,0),MATCH($C121,'Type Chart'!$B$4:$P$4,0))*IF($D121="",1,INDEX('Type Chart'!$B$5:$P$19,MATCH(H$4,'Type Chart'!$A$5:$A$19,0),MATCH($D121,'Type Chart'!$B$4:$P$4,0)))</f>
        <v>2</v>
      </c>
      <c r="I121" s="21" t="n">
        <f aca="false">INDEX('Type Chart'!$B$5:$P$19,MATCH(I$4,'Type Chart'!$A$5:$A$19,0),MATCH($C121,'Type Chart'!$B$4:$P$4,0))*IF($D121="",1,INDEX('Type Chart'!$B$5:$P$19,MATCH(I$4,'Type Chart'!$A$5:$A$19,0),MATCH($D121,'Type Chart'!$B$4:$P$4,0)))</f>
        <v>2</v>
      </c>
      <c r="J121" s="21" t="n">
        <f aca="false">INDEX('Type Chart'!$B$5:$P$19,MATCH(J$4,'Type Chart'!$A$5:$A$19,0),MATCH($C121,'Type Chart'!$B$4:$P$4,0))*IF($D121="",1,INDEX('Type Chart'!$B$5:$P$19,MATCH(J$4,'Type Chart'!$A$5:$A$19,0),MATCH($D121,'Type Chart'!$B$4:$P$4,0)))</f>
        <v>0.5</v>
      </c>
      <c r="K121" s="21" t="n">
        <f aca="false">INDEX('Type Chart'!$B$5:$P$19,MATCH(K$4,'Type Chart'!$A$5:$A$19,0),MATCH($C121,'Type Chart'!$B$4:$P$4,0))*IF($D121="",1,INDEX('Type Chart'!$B$5:$P$19,MATCH(K$4,'Type Chart'!$A$5:$A$19,0),MATCH($D121,'Type Chart'!$B$4:$P$4,0)))</f>
        <v>1</v>
      </c>
      <c r="L121" s="21" t="n">
        <f aca="false">INDEX('Type Chart'!$B$5:$P$19,MATCH(L$4,'Type Chart'!$A$5:$A$19,0),MATCH($C121,'Type Chart'!$B$4:$P$4,0))*IF($D121="",1,INDEX('Type Chart'!$B$5:$P$19,MATCH(L$4,'Type Chart'!$A$5:$A$19,0),MATCH($D121,'Type Chart'!$B$4:$P$4,0)))</f>
        <v>1</v>
      </c>
      <c r="M121" s="21" t="n">
        <f aca="false">INDEX('Type Chart'!$B$5:$P$19,MATCH(M$4,'Type Chart'!$A$5:$A$19,0),MATCH($C121,'Type Chart'!$B$4:$P$4,0))*IF($D121="",1,INDEX('Type Chart'!$B$5:$P$19,MATCH(M$4,'Type Chart'!$A$5:$A$19,0),MATCH($D121,'Type Chart'!$B$4:$P$4,0)))</f>
        <v>1</v>
      </c>
      <c r="N121" s="21" t="n">
        <f aca="false">INDEX('Type Chart'!$B$5:$P$19,MATCH(N$4,'Type Chart'!$A$5:$A$19,0),MATCH($C121,'Type Chart'!$B$4:$P$4,0))*IF($D121="",1,INDEX('Type Chart'!$B$5:$P$19,MATCH(N$4,'Type Chart'!$A$5:$A$19,0),MATCH($D121,'Type Chart'!$B$4:$P$4,0)))</f>
        <v>1</v>
      </c>
      <c r="O121" s="21" t="n">
        <f aca="false">INDEX('Type Chart'!$B$5:$P$19,MATCH(O$4,'Type Chart'!$A$5:$A$19,0),MATCH($C121,'Type Chart'!$B$4:$P$4,0))*IF($D121="",1,INDEX('Type Chart'!$B$5:$P$19,MATCH(O$4,'Type Chart'!$A$5:$A$19,0),MATCH($D121,'Type Chart'!$B$4:$P$4,0)))</f>
        <v>1</v>
      </c>
      <c r="P121" s="21" t="n">
        <f aca="false">INDEX('Type Chart'!$B$5:$P$19,MATCH(P$4,'Type Chart'!$A$5:$A$19,0),MATCH($C121,'Type Chart'!$B$4:$P$4,0))*IF($D121="",1,INDEX('Type Chart'!$B$5:$P$19,MATCH(P$4,'Type Chart'!$A$5:$A$19,0),MATCH($D121,'Type Chart'!$B$4:$P$4,0)))</f>
        <v>1</v>
      </c>
      <c r="Q121" s="21" t="n">
        <f aca="false">INDEX('Type Chart'!$B$5:$P$19,MATCH(Q$4,'Type Chart'!$A$5:$A$19,0),MATCH($C121,'Type Chart'!$B$4:$P$4,0))*IF($D121="",1,INDEX('Type Chart'!$B$5:$P$19,MATCH(Q$4,'Type Chart'!$A$5:$A$19,0),MATCH($D121,'Type Chart'!$B$4:$P$4,0)))</f>
        <v>1</v>
      </c>
      <c r="R121" s="21" t="n">
        <f aca="false">INDEX('Type Chart'!$B$5:$P$19,MATCH(R$4,'Type Chart'!$A$5:$A$19,0),MATCH($C121,'Type Chart'!$B$4:$P$4,0))*IF($D121="",1,INDEX('Type Chart'!$B$5:$P$19,MATCH(R$4,'Type Chart'!$A$5:$A$19,0),MATCH($D121,'Type Chart'!$B$4:$P$4,0)))</f>
        <v>1</v>
      </c>
      <c r="S121" s="21" t="n">
        <f aca="false">INDEX('Type Chart'!$B$5:$P$19,MATCH(S$4,'Type Chart'!$A$5:$A$19,0),MATCH($C121,'Type Chart'!$B$4:$P$4,0))*IF($D121="",1,INDEX('Type Chart'!$B$5:$P$19,MATCH(S$4,'Type Chart'!$A$5:$A$19,0),MATCH($D121,'Type Chart'!$B$4:$P$4,0)))</f>
        <v>1</v>
      </c>
    </row>
    <row r="122" customFormat="false" ht="15" hidden="false" customHeight="false" outlineLevel="0" collapsed="false">
      <c r="A122" s="19" t="n">
        <v>118</v>
      </c>
      <c r="B122" s="19" t="s">
        <v>209</v>
      </c>
      <c r="C122" s="20" t="str">
        <f aca="false">Pokedex!C122</f>
        <v>Water</v>
      </c>
      <c r="D122" s="20" t="n">
        <f aca="false">Pokedex!D122</f>
        <v>0</v>
      </c>
      <c r="E122" s="21" t="n">
        <f aca="false">INDEX('Type Chart'!$B$5:$P$19,MATCH(E$4,'Type Chart'!$A$5:$A$19,0),MATCH($C122,'Type Chart'!$B$4:$P$4,0))*IF($D122="",1,INDEX('Type Chart'!$B$5:$P$19,MATCH(E$4,'Type Chart'!$A$5:$A$19,0),MATCH($D122,'Type Chart'!$B$4:$P$4,0)))</f>
        <v>1</v>
      </c>
      <c r="F122" s="21" t="n">
        <f aca="false">INDEX('Type Chart'!$B$5:$P$19,MATCH(F$4,'Type Chart'!$A$5:$A$19,0),MATCH($C122,'Type Chart'!$B$4:$P$4,0))*IF($D122="",1,INDEX('Type Chart'!$B$5:$P$19,MATCH(F$4,'Type Chart'!$A$5:$A$19,0),MATCH($D122,'Type Chart'!$B$4:$P$4,0)))</f>
        <v>0.5</v>
      </c>
      <c r="G122" s="21" t="n">
        <f aca="false">INDEX('Type Chart'!$B$5:$P$19,MATCH(G$4,'Type Chart'!$A$5:$A$19,0),MATCH($C122,'Type Chart'!$B$4:$P$4,0))*IF($D122="",1,INDEX('Type Chart'!$B$5:$P$19,MATCH(G$4,'Type Chart'!$A$5:$A$19,0),MATCH($D122,'Type Chart'!$B$4:$P$4,0)))</f>
        <v>0.5</v>
      </c>
      <c r="H122" s="21" t="n">
        <f aca="false">INDEX('Type Chart'!$B$5:$P$19,MATCH(H$4,'Type Chart'!$A$5:$A$19,0),MATCH($C122,'Type Chart'!$B$4:$P$4,0))*IF($D122="",1,INDEX('Type Chart'!$B$5:$P$19,MATCH(H$4,'Type Chart'!$A$5:$A$19,0),MATCH($D122,'Type Chart'!$B$4:$P$4,0)))</f>
        <v>2</v>
      </c>
      <c r="I122" s="21" t="n">
        <f aca="false">INDEX('Type Chart'!$B$5:$P$19,MATCH(I$4,'Type Chart'!$A$5:$A$19,0),MATCH($C122,'Type Chart'!$B$4:$P$4,0))*IF($D122="",1,INDEX('Type Chart'!$B$5:$P$19,MATCH(I$4,'Type Chart'!$A$5:$A$19,0),MATCH($D122,'Type Chart'!$B$4:$P$4,0)))</f>
        <v>2</v>
      </c>
      <c r="J122" s="21" t="n">
        <f aca="false">INDEX('Type Chart'!$B$5:$P$19,MATCH(J$4,'Type Chart'!$A$5:$A$19,0),MATCH($C122,'Type Chart'!$B$4:$P$4,0))*IF($D122="",1,INDEX('Type Chart'!$B$5:$P$19,MATCH(J$4,'Type Chart'!$A$5:$A$19,0),MATCH($D122,'Type Chart'!$B$4:$P$4,0)))</f>
        <v>0.5</v>
      </c>
      <c r="K122" s="21" t="n">
        <f aca="false">INDEX('Type Chart'!$B$5:$P$19,MATCH(K$4,'Type Chart'!$A$5:$A$19,0),MATCH($C122,'Type Chart'!$B$4:$P$4,0))*IF($D122="",1,INDEX('Type Chart'!$B$5:$P$19,MATCH(K$4,'Type Chart'!$A$5:$A$19,0),MATCH($D122,'Type Chart'!$B$4:$P$4,0)))</f>
        <v>1</v>
      </c>
      <c r="L122" s="21" t="n">
        <f aca="false">INDEX('Type Chart'!$B$5:$P$19,MATCH(L$4,'Type Chart'!$A$5:$A$19,0),MATCH($C122,'Type Chart'!$B$4:$P$4,0))*IF($D122="",1,INDEX('Type Chart'!$B$5:$P$19,MATCH(L$4,'Type Chart'!$A$5:$A$19,0),MATCH($D122,'Type Chart'!$B$4:$P$4,0)))</f>
        <v>1</v>
      </c>
      <c r="M122" s="21" t="n">
        <f aca="false">INDEX('Type Chart'!$B$5:$P$19,MATCH(M$4,'Type Chart'!$A$5:$A$19,0),MATCH($C122,'Type Chart'!$B$4:$P$4,0))*IF($D122="",1,INDEX('Type Chart'!$B$5:$P$19,MATCH(M$4,'Type Chart'!$A$5:$A$19,0),MATCH($D122,'Type Chart'!$B$4:$P$4,0)))</f>
        <v>1</v>
      </c>
      <c r="N122" s="21" t="n">
        <f aca="false">INDEX('Type Chart'!$B$5:$P$19,MATCH(N$4,'Type Chart'!$A$5:$A$19,0),MATCH($C122,'Type Chart'!$B$4:$P$4,0))*IF($D122="",1,INDEX('Type Chart'!$B$5:$P$19,MATCH(N$4,'Type Chart'!$A$5:$A$19,0),MATCH($D122,'Type Chart'!$B$4:$P$4,0)))</f>
        <v>1</v>
      </c>
      <c r="O122" s="21" t="n">
        <f aca="false">INDEX('Type Chart'!$B$5:$P$19,MATCH(O$4,'Type Chart'!$A$5:$A$19,0),MATCH($C122,'Type Chart'!$B$4:$P$4,0))*IF($D122="",1,INDEX('Type Chart'!$B$5:$P$19,MATCH(O$4,'Type Chart'!$A$5:$A$19,0),MATCH($D122,'Type Chart'!$B$4:$P$4,0)))</f>
        <v>1</v>
      </c>
      <c r="P122" s="21" t="n">
        <f aca="false">INDEX('Type Chart'!$B$5:$P$19,MATCH(P$4,'Type Chart'!$A$5:$A$19,0),MATCH($C122,'Type Chart'!$B$4:$P$4,0))*IF($D122="",1,INDEX('Type Chart'!$B$5:$P$19,MATCH(P$4,'Type Chart'!$A$5:$A$19,0),MATCH($D122,'Type Chart'!$B$4:$P$4,0)))</f>
        <v>1</v>
      </c>
      <c r="Q122" s="21" t="n">
        <f aca="false">INDEX('Type Chart'!$B$5:$P$19,MATCH(Q$4,'Type Chart'!$A$5:$A$19,0),MATCH($C122,'Type Chart'!$B$4:$P$4,0))*IF($D122="",1,INDEX('Type Chart'!$B$5:$P$19,MATCH(Q$4,'Type Chart'!$A$5:$A$19,0),MATCH($D122,'Type Chart'!$B$4:$P$4,0)))</f>
        <v>1</v>
      </c>
      <c r="R122" s="21" t="n">
        <f aca="false">INDEX('Type Chart'!$B$5:$P$19,MATCH(R$4,'Type Chart'!$A$5:$A$19,0),MATCH($C122,'Type Chart'!$B$4:$P$4,0))*IF($D122="",1,INDEX('Type Chart'!$B$5:$P$19,MATCH(R$4,'Type Chart'!$A$5:$A$19,0),MATCH($D122,'Type Chart'!$B$4:$P$4,0)))</f>
        <v>1</v>
      </c>
      <c r="S122" s="21" t="n">
        <f aca="false">INDEX('Type Chart'!$B$5:$P$19,MATCH(S$4,'Type Chart'!$A$5:$A$19,0),MATCH($C122,'Type Chart'!$B$4:$P$4,0))*IF($D122="",1,INDEX('Type Chart'!$B$5:$P$19,MATCH(S$4,'Type Chart'!$A$5:$A$19,0),MATCH($D122,'Type Chart'!$B$4:$P$4,0)))</f>
        <v>1</v>
      </c>
    </row>
    <row r="123" customFormat="false" ht="15" hidden="false" customHeight="false" outlineLevel="0" collapsed="false">
      <c r="A123" s="19" t="n">
        <v>119</v>
      </c>
      <c r="B123" s="19" t="s">
        <v>210</v>
      </c>
      <c r="C123" s="20" t="str">
        <f aca="false">Pokedex!C123</f>
        <v>Water</v>
      </c>
      <c r="D123" s="20" t="n">
        <f aca="false">Pokedex!D123</f>
        <v>0</v>
      </c>
      <c r="E123" s="21" t="n">
        <f aca="false">INDEX('Type Chart'!$B$5:$P$19,MATCH(E$4,'Type Chart'!$A$5:$A$19,0),MATCH($C123,'Type Chart'!$B$4:$P$4,0))*IF($D123="",1,INDEX('Type Chart'!$B$5:$P$19,MATCH(E$4,'Type Chart'!$A$5:$A$19,0),MATCH($D123,'Type Chart'!$B$4:$P$4,0)))</f>
        <v>1</v>
      </c>
      <c r="F123" s="21" t="n">
        <f aca="false">INDEX('Type Chart'!$B$5:$P$19,MATCH(F$4,'Type Chart'!$A$5:$A$19,0),MATCH($C123,'Type Chart'!$B$4:$P$4,0))*IF($D123="",1,INDEX('Type Chart'!$B$5:$P$19,MATCH(F$4,'Type Chart'!$A$5:$A$19,0),MATCH($D123,'Type Chart'!$B$4:$P$4,0)))</f>
        <v>0.5</v>
      </c>
      <c r="G123" s="21" t="n">
        <f aca="false">INDEX('Type Chart'!$B$5:$P$19,MATCH(G$4,'Type Chart'!$A$5:$A$19,0),MATCH($C123,'Type Chart'!$B$4:$P$4,0))*IF($D123="",1,INDEX('Type Chart'!$B$5:$P$19,MATCH(G$4,'Type Chart'!$A$5:$A$19,0),MATCH($D123,'Type Chart'!$B$4:$P$4,0)))</f>
        <v>0.5</v>
      </c>
      <c r="H123" s="21" t="n">
        <f aca="false">INDEX('Type Chart'!$B$5:$P$19,MATCH(H$4,'Type Chart'!$A$5:$A$19,0),MATCH($C123,'Type Chart'!$B$4:$P$4,0))*IF($D123="",1,INDEX('Type Chart'!$B$5:$P$19,MATCH(H$4,'Type Chart'!$A$5:$A$19,0),MATCH($D123,'Type Chart'!$B$4:$P$4,0)))</f>
        <v>2</v>
      </c>
      <c r="I123" s="21" t="n">
        <f aca="false">INDEX('Type Chart'!$B$5:$P$19,MATCH(I$4,'Type Chart'!$A$5:$A$19,0),MATCH($C123,'Type Chart'!$B$4:$P$4,0))*IF($D123="",1,INDEX('Type Chart'!$B$5:$P$19,MATCH(I$4,'Type Chart'!$A$5:$A$19,0),MATCH($D123,'Type Chart'!$B$4:$P$4,0)))</f>
        <v>2</v>
      </c>
      <c r="J123" s="21" t="n">
        <f aca="false">INDEX('Type Chart'!$B$5:$P$19,MATCH(J$4,'Type Chart'!$A$5:$A$19,0),MATCH($C123,'Type Chart'!$B$4:$P$4,0))*IF($D123="",1,INDEX('Type Chart'!$B$5:$P$19,MATCH(J$4,'Type Chart'!$A$5:$A$19,0),MATCH($D123,'Type Chart'!$B$4:$P$4,0)))</f>
        <v>0.5</v>
      </c>
      <c r="K123" s="21" t="n">
        <f aca="false">INDEX('Type Chart'!$B$5:$P$19,MATCH(K$4,'Type Chart'!$A$5:$A$19,0),MATCH($C123,'Type Chart'!$B$4:$P$4,0))*IF($D123="",1,INDEX('Type Chart'!$B$5:$P$19,MATCH(K$4,'Type Chart'!$A$5:$A$19,0),MATCH($D123,'Type Chart'!$B$4:$P$4,0)))</f>
        <v>1</v>
      </c>
      <c r="L123" s="21" t="n">
        <f aca="false">INDEX('Type Chart'!$B$5:$P$19,MATCH(L$4,'Type Chart'!$A$5:$A$19,0),MATCH($C123,'Type Chart'!$B$4:$P$4,0))*IF($D123="",1,INDEX('Type Chart'!$B$5:$P$19,MATCH(L$4,'Type Chart'!$A$5:$A$19,0),MATCH($D123,'Type Chart'!$B$4:$P$4,0)))</f>
        <v>1</v>
      </c>
      <c r="M123" s="21" t="n">
        <f aca="false">INDEX('Type Chart'!$B$5:$P$19,MATCH(M$4,'Type Chart'!$A$5:$A$19,0),MATCH($C123,'Type Chart'!$B$4:$P$4,0))*IF($D123="",1,INDEX('Type Chart'!$B$5:$P$19,MATCH(M$4,'Type Chart'!$A$5:$A$19,0),MATCH($D123,'Type Chart'!$B$4:$P$4,0)))</f>
        <v>1</v>
      </c>
      <c r="N123" s="21" t="n">
        <f aca="false">INDEX('Type Chart'!$B$5:$P$19,MATCH(N$4,'Type Chart'!$A$5:$A$19,0),MATCH($C123,'Type Chart'!$B$4:$P$4,0))*IF($D123="",1,INDEX('Type Chart'!$B$5:$P$19,MATCH(N$4,'Type Chart'!$A$5:$A$19,0),MATCH($D123,'Type Chart'!$B$4:$P$4,0)))</f>
        <v>1</v>
      </c>
      <c r="O123" s="21" t="n">
        <f aca="false">INDEX('Type Chart'!$B$5:$P$19,MATCH(O$4,'Type Chart'!$A$5:$A$19,0),MATCH($C123,'Type Chart'!$B$4:$P$4,0))*IF($D123="",1,INDEX('Type Chart'!$B$5:$P$19,MATCH(O$4,'Type Chart'!$A$5:$A$19,0),MATCH($D123,'Type Chart'!$B$4:$P$4,0)))</f>
        <v>1</v>
      </c>
      <c r="P123" s="21" t="n">
        <f aca="false">INDEX('Type Chart'!$B$5:$P$19,MATCH(P$4,'Type Chart'!$A$5:$A$19,0),MATCH($C123,'Type Chart'!$B$4:$P$4,0))*IF($D123="",1,INDEX('Type Chart'!$B$5:$P$19,MATCH(P$4,'Type Chart'!$A$5:$A$19,0),MATCH($D123,'Type Chart'!$B$4:$P$4,0)))</f>
        <v>1</v>
      </c>
      <c r="Q123" s="21" t="n">
        <f aca="false">INDEX('Type Chart'!$B$5:$P$19,MATCH(Q$4,'Type Chart'!$A$5:$A$19,0),MATCH($C123,'Type Chart'!$B$4:$P$4,0))*IF($D123="",1,INDEX('Type Chart'!$B$5:$P$19,MATCH(Q$4,'Type Chart'!$A$5:$A$19,0),MATCH($D123,'Type Chart'!$B$4:$P$4,0)))</f>
        <v>1</v>
      </c>
      <c r="R123" s="21" t="n">
        <f aca="false">INDEX('Type Chart'!$B$5:$P$19,MATCH(R$4,'Type Chart'!$A$5:$A$19,0),MATCH($C123,'Type Chart'!$B$4:$P$4,0))*IF($D123="",1,INDEX('Type Chart'!$B$5:$P$19,MATCH(R$4,'Type Chart'!$A$5:$A$19,0),MATCH($D123,'Type Chart'!$B$4:$P$4,0)))</f>
        <v>1</v>
      </c>
      <c r="S123" s="21" t="n">
        <f aca="false">INDEX('Type Chart'!$B$5:$P$19,MATCH(S$4,'Type Chart'!$A$5:$A$19,0),MATCH($C123,'Type Chart'!$B$4:$P$4,0))*IF($D123="",1,INDEX('Type Chart'!$B$5:$P$19,MATCH(S$4,'Type Chart'!$A$5:$A$19,0),MATCH($D123,'Type Chart'!$B$4:$P$4,0)))</f>
        <v>1</v>
      </c>
    </row>
    <row r="124" customFormat="false" ht="15" hidden="false" customHeight="false" outlineLevel="0" collapsed="false">
      <c r="A124" s="19" t="n">
        <v>120</v>
      </c>
      <c r="B124" s="19" t="s">
        <v>211</v>
      </c>
      <c r="C124" s="20" t="str">
        <f aca="false">Pokedex!C124</f>
        <v>Water</v>
      </c>
      <c r="D124" s="20" t="n">
        <f aca="false">Pokedex!D124</f>
        <v>0</v>
      </c>
      <c r="E124" s="21" t="n">
        <f aca="false">INDEX('Type Chart'!$B$5:$P$19,MATCH(E$4,'Type Chart'!$A$5:$A$19,0),MATCH($C124,'Type Chart'!$B$4:$P$4,0))*IF($D124="",1,INDEX('Type Chart'!$B$5:$P$19,MATCH(E$4,'Type Chart'!$A$5:$A$19,0),MATCH($D124,'Type Chart'!$B$4:$P$4,0)))</f>
        <v>1</v>
      </c>
      <c r="F124" s="21" t="n">
        <f aca="false">INDEX('Type Chart'!$B$5:$P$19,MATCH(F$4,'Type Chart'!$A$5:$A$19,0),MATCH($C124,'Type Chart'!$B$4:$P$4,0))*IF($D124="",1,INDEX('Type Chart'!$B$5:$P$19,MATCH(F$4,'Type Chart'!$A$5:$A$19,0),MATCH($D124,'Type Chart'!$B$4:$P$4,0)))</f>
        <v>0.5</v>
      </c>
      <c r="G124" s="21" t="n">
        <f aca="false">INDEX('Type Chart'!$B$5:$P$19,MATCH(G$4,'Type Chart'!$A$5:$A$19,0),MATCH($C124,'Type Chart'!$B$4:$P$4,0))*IF($D124="",1,INDEX('Type Chart'!$B$5:$P$19,MATCH(G$4,'Type Chart'!$A$5:$A$19,0),MATCH($D124,'Type Chart'!$B$4:$P$4,0)))</f>
        <v>0.5</v>
      </c>
      <c r="H124" s="21" t="n">
        <f aca="false">INDEX('Type Chart'!$B$5:$P$19,MATCH(H$4,'Type Chart'!$A$5:$A$19,0),MATCH($C124,'Type Chart'!$B$4:$P$4,0))*IF($D124="",1,INDEX('Type Chart'!$B$5:$P$19,MATCH(H$4,'Type Chart'!$A$5:$A$19,0),MATCH($D124,'Type Chart'!$B$4:$P$4,0)))</f>
        <v>2</v>
      </c>
      <c r="I124" s="21" t="n">
        <f aca="false">INDEX('Type Chart'!$B$5:$P$19,MATCH(I$4,'Type Chart'!$A$5:$A$19,0),MATCH($C124,'Type Chart'!$B$4:$P$4,0))*IF($D124="",1,INDEX('Type Chart'!$B$5:$P$19,MATCH(I$4,'Type Chart'!$A$5:$A$19,0),MATCH($D124,'Type Chart'!$B$4:$P$4,0)))</f>
        <v>2</v>
      </c>
      <c r="J124" s="21" t="n">
        <f aca="false">INDEX('Type Chart'!$B$5:$P$19,MATCH(J$4,'Type Chart'!$A$5:$A$19,0),MATCH($C124,'Type Chart'!$B$4:$P$4,0))*IF($D124="",1,INDEX('Type Chart'!$B$5:$P$19,MATCH(J$4,'Type Chart'!$A$5:$A$19,0),MATCH($D124,'Type Chart'!$B$4:$P$4,0)))</f>
        <v>0.5</v>
      </c>
      <c r="K124" s="21" t="n">
        <f aca="false">INDEX('Type Chart'!$B$5:$P$19,MATCH(K$4,'Type Chart'!$A$5:$A$19,0),MATCH($C124,'Type Chart'!$B$4:$P$4,0))*IF($D124="",1,INDEX('Type Chart'!$B$5:$P$19,MATCH(K$4,'Type Chart'!$A$5:$A$19,0),MATCH($D124,'Type Chart'!$B$4:$P$4,0)))</f>
        <v>1</v>
      </c>
      <c r="L124" s="21" t="n">
        <f aca="false">INDEX('Type Chart'!$B$5:$P$19,MATCH(L$4,'Type Chart'!$A$5:$A$19,0),MATCH($C124,'Type Chart'!$B$4:$P$4,0))*IF($D124="",1,INDEX('Type Chart'!$B$5:$P$19,MATCH(L$4,'Type Chart'!$A$5:$A$19,0),MATCH($D124,'Type Chart'!$B$4:$P$4,0)))</f>
        <v>1</v>
      </c>
      <c r="M124" s="21" t="n">
        <f aca="false">INDEX('Type Chart'!$B$5:$P$19,MATCH(M$4,'Type Chart'!$A$5:$A$19,0),MATCH($C124,'Type Chart'!$B$4:$P$4,0))*IF($D124="",1,INDEX('Type Chart'!$B$5:$P$19,MATCH(M$4,'Type Chart'!$A$5:$A$19,0),MATCH($D124,'Type Chart'!$B$4:$P$4,0)))</f>
        <v>1</v>
      </c>
      <c r="N124" s="21" t="n">
        <f aca="false">INDEX('Type Chart'!$B$5:$P$19,MATCH(N$4,'Type Chart'!$A$5:$A$19,0),MATCH($C124,'Type Chart'!$B$4:$P$4,0))*IF($D124="",1,INDEX('Type Chart'!$B$5:$P$19,MATCH(N$4,'Type Chart'!$A$5:$A$19,0),MATCH($D124,'Type Chart'!$B$4:$P$4,0)))</f>
        <v>1</v>
      </c>
      <c r="O124" s="21" t="n">
        <f aca="false">INDEX('Type Chart'!$B$5:$P$19,MATCH(O$4,'Type Chart'!$A$5:$A$19,0),MATCH($C124,'Type Chart'!$B$4:$P$4,0))*IF($D124="",1,INDEX('Type Chart'!$B$5:$P$19,MATCH(O$4,'Type Chart'!$A$5:$A$19,0),MATCH($D124,'Type Chart'!$B$4:$P$4,0)))</f>
        <v>1</v>
      </c>
      <c r="P124" s="21" t="n">
        <f aca="false">INDEX('Type Chart'!$B$5:$P$19,MATCH(P$4,'Type Chart'!$A$5:$A$19,0),MATCH($C124,'Type Chart'!$B$4:$P$4,0))*IF($D124="",1,INDEX('Type Chart'!$B$5:$P$19,MATCH(P$4,'Type Chart'!$A$5:$A$19,0),MATCH($D124,'Type Chart'!$B$4:$P$4,0)))</f>
        <v>1</v>
      </c>
      <c r="Q124" s="21" t="n">
        <f aca="false">INDEX('Type Chart'!$B$5:$P$19,MATCH(Q$4,'Type Chart'!$A$5:$A$19,0),MATCH($C124,'Type Chart'!$B$4:$P$4,0))*IF($D124="",1,INDEX('Type Chart'!$B$5:$P$19,MATCH(Q$4,'Type Chart'!$A$5:$A$19,0),MATCH($D124,'Type Chart'!$B$4:$P$4,0)))</f>
        <v>1</v>
      </c>
      <c r="R124" s="21" t="n">
        <f aca="false">INDEX('Type Chart'!$B$5:$P$19,MATCH(R$4,'Type Chart'!$A$5:$A$19,0),MATCH($C124,'Type Chart'!$B$4:$P$4,0))*IF($D124="",1,INDEX('Type Chart'!$B$5:$P$19,MATCH(R$4,'Type Chart'!$A$5:$A$19,0),MATCH($D124,'Type Chart'!$B$4:$P$4,0)))</f>
        <v>1</v>
      </c>
      <c r="S124" s="21" t="n">
        <f aca="false">INDEX('Type Chart'!$B$5:$P$19,MATCH(S$4,'Type Chart'!$A$5:$A$19,0),MATCH($C124,'Type Chart'!$B$4:$P$4,0))*IF($D124="",1,INDEX('Type Chart'!$B$5:$P$19,MATCH(S$4,'Type Chart'!$A$5:$A$19,0),MATCH($D124,'Type Chart'!$B$4:$P$4,0)))</f>
        <v>1</v>
      </c>
    </row>
    <row r="125" customFormat="false" ht="15" hidden="false" customHeight="false" outlineLevel="0" collapsed="false">
      <c r="A125" s="19" t="n">
        <v>121</v>
      </c>
      <c r="B125" s="19" t="s">
        <v>212</v>
      </c>
      <c r="C125" s="20" t="str">
        <f aca="false">Pokedex!C125</f>
        <v>Water</v>
      </c>
      <c r="D125" s="20" t="str">
        <f aca="false">Pokedex!D125</f>
        <v>Psychic</v>
      </c>
      <c r="E125" s="21" t="n">
        <f aca="false">INDEX('Type Chart'!$B$5:$P$19,MATCH(E$4,'Type Chart'!$A$5:$A$19,0),MATCH($C125,'Type Chart'!$B$4:$P$4,0))*IF($D125="",1,INDEX('Type Chart'!$B$5:$P$19,MATCH(E$4,'Type Chart'!$A$5:$A$19,0),MATCH($D125,'Type Chart'!$B$4:$P$4,0)))</f>
        <v>1</v>
      </c>
      <c r="F125" s="21" t="n">
        <f aca="false">INDEX('Type Chart'!$B$5:$P$19,MATCH(F$4,'Type Chart'!$A$5:$A$19,0),MATCH($C125,'Type Chart'!$B$4:$P$4,0))*IF($D125="",1,INDEX('Type Chart'!$B$5:$P$19,MATCH(F$4,'Type Chart'!$A$5:$A$19,0),MATCH($D125,'Type Chart'!$B$4:$P$4,0)))</f>
        <v>0.5</v>
      </c>
      <c r="G125" s="21" t="n">
        <f aca="false">INDEX('Type Chart'!$B$5:$P$19,MATCH(G$4,'Type Chart'!$A$5:$A$19,0),MATCH($C125,'Type Chart'!$B$4:$P$4,0))*IF($D125="",1,INDEX('Type Chart'!$B$5:$P$19,MATCH(G$4,'Type Chart'!$A$5:$A$19,0),MATCH($D125,'Type Chart'!$B$4:$P$4,0)))</f>
        <v>0.5</v>
      </c>
      <c r="H125" s="21" t="n">
        <f aca="false">INDEX('Type Chart'!$B$5:$P$19,MATCH(H$4,'Type Chart'!$A$5:$A$19,0),MATCH($C125,'Type Chart'!$B$4:$P$4,0))*IF($D125="",1,INDEX('Type Chart'!$B$5:$P$19,MATCH(H$4,'Type Chart'!$A$5:$A$19,0),MATCH($D125,'Type Chart'!$B$4:$P$4,0)))</f>
        <v>2</v>
      </c>
      <c r="I125" s="21" t="n">
        <f aca="false">INDEX('Type Chart'!$B$5:$P$19,MATCH(I$4,'Type Chart'!$A$5:$A$19,0),MATCH($C125,'Type Chart'!$B$4:$P$4,0))*IF($D125="",1,INDEX('Type Chart'!$B$5:$P$19,MATCH(I$4,'Type Chart'!$A$5:$A$19,0),MATCH($D125,'Type Chart'!$B$4:$P$4,0)))</f>
        <v>2</v>
      </c>
      <c r="J125" s="21" t="n">
        <f aca="false">INDEX('Type Chart'!$B$5:$P$19,MATCH(J$4,'Type Chart'!$A$5:$A$19,0),MATCH($C125,'Type Chart'!$B$4:$P$4,0))*IF($D125="",1,INDEX('Type Chart'!$B$5:$P$19,MATCH(J$4,'Type Chart'!$A$5:$A$19,0),MATCH($D125,'Type Chart'!$B$4:$P$4,0)))</f>
        <v>0.5</v>
      </c>
      <c r="K125" s="21" t="n">
        <f aca="false">INDEX('Type Chart'!$B$5:$P$19,MATCH(K$4,'Type Chart'!$A$5:$A$19,0),MATCH($C125,'Type Chart'!$B$4:$P$4,0))*IF($D125="",1,INDEX('Type Chart'!$B$5:$P$19,MATCH(K$4,'Type Chart'!$A$5:$A$19,0),MATCH($D125,'Type Chart'!$B$4:$P$4,0)))</f>
        <v>0.5</v>
      </c>
      <c r="L125" s="21" t="n">
        <f aca="false">INDEX('Type Chart'!$B$5:$P$19,MATCH(L$4,'Type Chart'!$A$5:$A$19,0),MATCH($C125,'Type Chart'!$B$4:$P$4,0))*IF($D125="",1,INDEX('Type Chart'!$B$5:$P$19,MATCH(L$4,'Type Chart'!$A$5:$A$19,0),MATCH($D125,'Type Chart'!$B$4:$P$4,0)))</f>
        <v>1</v>
      </c>
      <c r="M125" s="21" t="n">
        <f aca="false">INDEX('Type Chart'!$B$5:$P$19,MATCH(M$4,'Type Chart'!$A$5:$A$19,0),MATCH($C125,'Type Chart'!$B$4:$P$4,0))*IF($D125="",1,INDEX('Type Chart'!$B$5:$P$19,MATCH(M$4,'Type Chart'!$A$5:$A$19,0),MATCH($D125,'Type Chart'!$B$4:$P$4,0)))</f>
        <v>1</v>
      </c>
      <c r="N125" s="21" t="n">
        <f aca="false">INDEX('Type Chart'!$B$5:$P$19,MATCH(N$4,'Type Chart'!$A$5:$A$19,0),MATCH($C125,'Type Chart'!$B$4:$P$4,0))*IF($D125="",1,INDEX('Type Chart'!$B$5:$P$19,MATCH(N$4,'Type Chart'!$A$5:$A$19,0),MATCH($D125,'Type Chart'!$B$4:$P$4,0)))</f>
        <v>1</v>
      </c>
      <c r="O125" s="21" t="n">
        <f aca="false">INDEX('Type Chart'!$B$5:$P$19,MATCH(O$4,'Type Chart'!$A$5:$A$19,0),MATCH($C125,'Type Chart'!$B$4:$P$4,0))*IF($D125="",1,INDEX('Type Chart'!$B$5:$P$19,MATCH(O$4,'Type Chart'!$A$5:$A$19,0),MATCH($D125,'Type Chart'!$B$4:$P$4,0)))</f>
        <v>0.5</v>
      </c>
      <c r="P125" s="21" t="n">
        <f aca="false">INDEX('Type Chart'!$B$5:$P$19,MATCH(P$4,'Type Chart'!$A$5:$A$19,0),MATCH($C125,'Type Chart'!$B$4:$P$4,0))*IF($D125="",1,INDEX('Type Chart'!$B$5:$P$19,MATCH(P$4,'Type Chart'!$A$5:$A$19,0),MATCH($D125,'Type Chart'!$B$4:$P$4,0)))</f>
        <v>2</v>
      </c>
      <c r="Q125" s="21" t="n">
        <f aca="false">INDEX('Type Chart'!$B$5:$P$19,MATCH(Q$4,'Type Chart'!$A$5:$A$19,0),MATCH($C125,'Type Chart'!$B$4:$P$4,0))*IF($D125="",1,INDEX('Type Chart'!$B$5:$P$19,MATCH(Q$4,'Type Chart'!$A$5:$A$19,0),MATCH($D125,'Type Chart'!$B$4:$P$4,0)))</f>
        <v>1</v>
      </c>
      <c r="R125" s="21" t="n">
        <f aca="false">INDEX('Type Chart'!$B$5:$P$19,MATCH(R$4,'Type Chart'!$A$5:$A$19,0),MATCH($C125,'Type Chart'!$B$4:$P$4,0))*IF($D125="",1,INDEX('Type Chart'!$B$5:$P$19,MATCH(R$4,'Type Chart'!$A$5:$A$19,0),MATCH($D125,'Type Chart'!$B$4:$P$4,0)))</f>
        <v>0</v>
      </c>
      <c r="S125" s="21" t="n">
        <f aca="false">INDEX('Type Chart'!$B$5:$P$19,MATCH(S$4,'Type Chart'!$A$5:$A$19,0),MATCH($C125,'Type Chart'!$B$4:$P$4,0))*IF($D125="",1,INDEX('Type Chart'!$B$5:$P$19,MATCH(S$4,'Type Chart'!$A$5:$A$19,0),MATCH($D125,'Type Chart'!$B$4:$P$4,0)))</f>
        <v>1</v>
      </c>
    </row>
    <row r="126" customFormat="false" ht="15" hidden="false" customHeight="false" outlineLevel="0" collapsed="false">
      <c r="A126" s="19" t="n">
        <v>122</v>
      </c>
      <c r="B126" s="19" t="s">
        <v>213</v>
      </c>
      <c r="C126" s="20" t="str">
        <f aca="false">Pokedex!C126</f>
        <v>Psychic</v>
      </c>
      <c r="D126" s="20" t="n">
        <f aca="false">Pokedex!D126</f>
        <v>0</v>
      </c>
      <c r="E126" s="21" t="n">
        <f aca="false">INDEX('Type Chart'!$B$5:$P$19,MATCH(E$4,'Type Chart'!$A$5:$A$19,0),MATCH($C126,'Type Chart'!$B$4:$P$4,0))*IF($D126="",1,INDEX('Type Chart'!$B$5:$P$19,MATCH(E$4,'Type Chart'!$A$5:$A$19,0),MATCH($D126,'Type Chart'!$B$4:$P$4,0)))</f>
        <v>1</v>
      </c>
      <c r="F126" s="21" t="n">
        <f aca="false">INDEX('Type Chart'!$B$5:$P$19,MATCH(F$4,'Type Chart'!$A$5:$A$19,0),MATCH($C126,'Type Chart'!$B$4:$P$4,0))*IF($D126="",1,INDEX('Type Chart'!$B$5:$P$19,MATCH(F$4,'Type Chart'!$A$5:$A$19,0),MATCH($D126,'Type Chart'!$B$4:$P$4,0)))</f>
        <v>1</v>
      </c>
      <c r="G126" s="21" t="n">
        <f aca="false">INDEX('Type Chart'!$B$5:$P$19,MATCH(G$4,'Type Chart'!$A$5:$A$19,0),MATCH($C126,'Type Chart'!$B$4:$P$4,0))*IF($D126="",1,INDEX('Type Chart'!$B$5:$P$19,MATCH(G$4,'Type Chart'!$A$5:$A$19,0),MATCH($D126,'Type Chart'!$B$4:$P$4,0)))</f>
        <v>1</v>
      </c>
      <c r="H126" s="21" t="n">
        <f aca="false">INDEX('Type Chart'!$B$5:$P$19,MATCH(H$4,'Type Chart'!$A$5:$A$19,0),MATCH($C126,'Type Chart'!$B$4:$P$4,0))*IF($D126="",1,INDEX('Type Chart'!$B$5:$P$19,MATCH(H$4,'Type Chart'!$A$5:$A$19,0),MATCH($D126,'Type Chart'!$B$4:$P$4,0)))</f>
        <v>1</v>
      </c>
      <c r="I126" s="21" t="n">
        <f aca="false">INDEX('Type Chart'!$B$5:$P$19,MATCH(I$4,'Type Chart'!$A$5:$A$19,0),MATCH($C126,'Type Chart'!$B$4:$P$4,0))*IF($D126="",1,INDEX('Type Chart'!$B$5:$P$19,MATCH(I$4,'Type Chart'!$A$5:$A$19,0),MATCH($D126,'Type Chart'!$B$4:$P$4,0)))</f>
        <v>1</v>
      </c>
      <c r="J126" s="21" t="n">
        <f aca="false">INDEX('Type Chart'!$B$5:$P$19,MATCH(J$4,'Type Chart'!$A$5:$A$19,0),MATCH($C126,'Type Chart'!$B$4:$P$4,0))*IF($D126="",1,INDEX('Type Chart'!$B$5:$P$19,MATCH(J$4,'Type Chart'!$A$5:$A$19,0),MATCH($D126,'Type Chart'!$B$4:$P$4,0)))</f>
        <v>1</v>
      </c>
      <c r="K126" s="21" t="n">
        <f aca="false">INDEX('Type Chart'!$B$5:$P$19,MATCH(K$4,'Type Chart'!$A$5:$A$19,0),MATCH($C126,'Type Chart'!$B$4:$P$4,0))*IF($D126="",1,INDEX('Type Chart'!$B$5:$P$19,MATCH(K$4,'Type Chart'!$A$5:$A$19,0),MATCH($D126,'Type Chart'!$B$4:$P$4,0)))</f>
        <v>0.5</v>
      </c>
      <c r="L126" s="21" t="n">
        <f aca="false">INDEX('Type Chart'!$B$5:$P$19,MATCH(L$4,'Type Chart'!$A$5:$A$19,0),MATCH($C126,'Type Chart'!$B$4:$P$4,0))*IF($D126="",1,INDEX('Type Chart'!$B$5:$P$19,MATCH(L$4,'Type Chart'!$A$5:$A$19,0),MATCH($D126,'Type Chart'!$B$4:$P$4,0)))</f>
        <v>1</v>
      </c>
      <c r="M126" s="21" t="n">
        <f aca="false">INDEX('Type Chart'!$B$5:$P$19,MATCH(M$4,'Type Chart'!$A$5:$A$19,0),MATCH($C126,'Type Chart'!$B$4:$P$4,0))*IF($D126="",1,INDEX('Type Chart'!$B$5:$P$19,MATCH(M$4,'Type Chart'!$A$5:$A$19,0),MATCH($D126,'Type Chart'!$B$4:$P$4,0)))</f>
        <v>1</v>
      </c>
      <c r="N126" s="21" t="n">
        <f aca="false">INDEX('Type Chart'!$B$5:$P$19,MATCH(N$4,'Type Chart'!$A$5:$A$19,0),MATCH($C126,'Type Chart'!$B$4:$P$4,0))*IF($D126="",1,INDEX('Type Chart'!$B$5:$P$19,MATCH(N$4,'Type Chart'!$A$5:$A$19,0),MATCH($D126,'Type Chart'!$B$4:$P$4,0)))</f>
        <v>1</v>
      </c>
      <c r="O126" s="21" t="n">
        <f aca="false">INDEX('Type Chart'!$B$5:$P$19,MATCH(O$4,'Type Chart'!$A$5:$A$19,0),MATCH($C126,'Type Chart'!$B$4:$P$4,0))*IF($D126="",1,INDEX('Type Chart'!$B$5:$P$19,MATCH(O$4,'Type Chart'!$A$5:$A$19,0),MATCH($D126,'Type Chart'!$B$4:$P$4,0)))</f>
        <v>0.5</v>
      </c>
      <c r="P126" s="21" t="n">
        <f aca="false">INDEX('Type Chart'!$B$5:$P$19,MATCH(P$4,'Type Chart'!$A$5:$A$19,0),MATCH($C126,'Type Chart'!$B$4:$P$4,0))*IF($D126="",1,INDEX('Type Chart'!$B$5:$P$19,MATCH(P$4,'Type Chart'!$A$5:$A$19,0),MATCH($D126,'Type Chart'!$B$4:$P$4,0)))</f>
        <v>2</v>
      </c>
      <c r="Q126" s="21" t="n">
        <f aca="false">INDEX('Type Chart'!$B$5:$P$19,MATCH(Q$4,'Type Chart'!$A$5:$A$19,0),MATCH($C126,'Type Chart'!$B$4:$P$4,0))*IF($D126="",1,INDEX('Type Chart'!$B$5:$P$19,MATCH(Q$4,'Type Chart'!$A$5:$A$19,0),MATCH($D126,'Type Chart'!$B$4:$P$4,0)))</f>
        <v>1</v>
      </c>
      <c r="R126" s="21" t="n">
        <f aca="false">INDEX('Type Chart'!$B$5:$P$19,MATCH(R$4,'Type Chart'!$A$5:$A$19,0),MATCH($C126,'Type Chart'!$B$4:$P$4,0))*IF($D126="",1,INDEX('Type Chart'!$B$5:$P$19,MATCH(R$4,'Type Chart'!$A$5:$A$19,0),MATCH($D126,'Type Chart'!$B$4:$P$4,0)))</f>
        <v>0</v>
      </c>
      <c r="S126" s="21" t="n">
        <f aca="false">INDEX('Type Chart'!$B$5:$P$19,MATCH(S$4,'Type Chart'!$A$5:$A$19,0),MATCH($C126,'Type Chart'!$B$4:$P$4,0))*IF($D126="",1,INDEX('Type Chart'!$B$5:$P$19,MATCH(S$4,'Type Chart'!$A$5:$A$19,0),MATCH($D126,'Type Chart'!$B$4:$P$4,0)))</f>
        <v>1</v>
      </c>
    </row>
    <row r="127" customFormat="false" ht="15" hidden="false" customHeight="false" outlineLevel="0" collapsed="false">
      <c r="A127" s="19" t="n">
        <v>123</v>
      </c>
      <c r="B127" s="19" t="s">
        <v>214</v>
      </c>
      <c r="C127" s="20" t="str">
        <f aca="false">Pokedex!C127</f>
        <v>Bug</v>
      </c>
      <c r="D127" s="20" t="str">
        <f aca="false">Pokedex!D127</f>
        <v>Flying</v>
      </c>
      <c r="E127" s="21" t="n">
        <f aca="false">INDEX('Type Chart'!$B$5:$P$19,MATCH(E$4,'Type Chart'!$A$5:$A$19,0),MATCH($C127,'Type Chart'!$B$4:$P$4,0))*IF($D127="",1,INDEX('Type Chart'!$B$5:$P$19,MATCH(E$4,'Type Chart'!$A$5:$A$19,0),MATCH($D127,'Type Chart'!$B$4:$P$4,0)))</f>
        <v>1</v>
      </c>
      <c r="F127" s="21" t="n">
        <f aca="false">INDEX('Type Chart'!$B$5:$P$19,MATCH(F$4,'Type Chart'!$A$5:$A$19,0),MATCH($C127,'Type Chart'!$B$4:$P$4,0))*IF($D127="",1,INDEX('Type Chart'!$B$5:$P$19,MATCH(F$4,'Type Chart'!$A$5:$A$19,0),MATCH($D127,'Type Chart'!$B$4:$P$4,0)))</f>
        <v>2</v>
      </c>
      <c r="G127" s="21" t="n">
        <f aca="false">INDEX('Type Chart'!$B$5:$P$19,MATCH(G$4,'Type Chart'!$A$5:$A$19,0),MATCH($C127,'Type Chart'!$B$4:$P$4,0))*IF($D127="",1,INDEX('Type Chart'!$B$5:$P$19,MATCH(G$4,'Type Chart'!$A$5:$A$19,0),MATCH($D127,'Type Chart'!$B$4:$P$4,0)))</f>
        <v>1</v>
      </c>
      <c r="H127" s="21" t="n">
        <f aca="false">INDEX('Type Chart'!$B$5:$P$19,MATCH(H$4,'Type Chart'!$A$5:$A$19,0),MATCH($C127,'Type Chart'!$B$4:$P$4,0))*IF($D127="",1,INDEX('Type Chart'!$B$5:$P$19,MATCH(H$4,'Type Chart'!$A$5:$A$19,0),MATCH($D127,'Type Chart'!$B$4:$P$4,0)))</f>
        <v>2</v>
      </c>
      <c r="I127" s="21" t="n">
        <f aca="false">INDEX('Type Chart'!$B$5:$P$19,MATCH(I$4,'Type Chart'!$A$5:$A$19,0),MATCH($C127,'Type Chart'!$B$4:$P$4,0))*IF($D127="",1,INDEX('Type Chart'!$B$5:$P$19,MATCH(I$4,'Type Chart'!$A$5:$A$19,0),MATCH($D127,'Type Chart'!$B$4:$P$4,0)))</f>
        <v>0.25</v>
      </c>
      <c r="J127" s="21" t="n">
        <f aca="false">INDEX('Type Chart'!$B$5:$P$19,MATCH(J$4,'Type Chart'!$A$5:$A$19,0),MATCH($C127,'Type Chart'!$B$4:$P$4,0))*IF($D127="",1,INDEX('Type Chart'!$B$5:$P$19,MATCH(J$4,'Type Chart'!$A$5:$A$19,0),MATCH($D127,'Type Chart'!$B$4:$P$4,0)))</f>
        <v>2</v>
      </c>
      <c r="K127" s="21" t="n">
        <f aca="false">INDEX('Type Chart'!$B$5:$P$19,MATCH(K$4,'Type Chart'!$A$5:$A$19,0),MATCH($C127,'Type Chart'!$B$4:$P$4,0))*IF($D127="",1,INDEX('Type Chart'!$B$5:$P$19,MATCH(K$4,'Type Chart'!$A$5:$A$19,0),MATCH($D127,'Type Chart'!$B$4:$P$4,0)))</f>
        <v>0.25</v>
      </c>
      <c r="L127" s="21" t="n">
        <f aca="false">INDEX('Type Chart'!$B$5:$P$19,MATCH(L$4,'Type Chart'!$A$5:$A$19,0),MATCH($C127,'Type Chart'!$B$4:$P$4,0))*IF($D127="",1,INDEX('Type Chart'!$B$5:$P$19,MATCH(L$4,'Type Chart'!$A$5:$A$19,0),MATCH($D127,'Type Chart'!$B$4:$P$4,0)))</f>
        <v>2</v>
      </c>
      <c r="M127" s="21" t="n">
        <f aca="false">INDEX('Type Chart'!$B$5:$P$19,MATCH(M$4,'Type Chart'!$A$5:$A$19,0),MATCH($C127,'Type Chart'!$B$4:$P$4,0))*IF($D127="",1,INDEX('Type Chart'!$B$5:$P$19,MATCH(M$4,'Type Chart'!$A$5:$A$19,0),MATCH($D127,'Type Chart'!$B$4:$P$4,0)))</f>
        <v>0</v>
      </c>
      <c r="N127" s="21" t="n">
        <f aca="false">INDEX('Type Chart'!$B$5:$P$19,MATCH(N$4,'Type Chart'!$A$5:$A$19,0),MATCH($C127,'Type Chart'!$B$4:$P$4,0))*IF($D127="",1,INDEX('Type Chart'!$B$5:$P$19,MATCH(N$4,'Type Chart'!$A$5:$A$19,0),MATCH($D127,'Type Chart'!$B$4:$P$4,0)))</f>
        <v>2</v>
      </c>
      <c r="O127" s="21" t="n">
        <f aca="false">INDEX('Type Chart'!$B$5:$P$19,MATCH(O$4,'Type Chart'!$A$5:$A$19,0),MATCH($C127,'Type Chart'!$B$4:$P$4,0))*IF($D127="",1,INDEX('Type Chart'!$B$5:$P$19,MATCH(O$4,'Type Chart'!$A$5:$A$19,0),MATCH($D127,'Type Chart'!$B$4:$P$4,0)))</f>
        <v>1</v>
      </c>
      <c r="P127" s="21" t="n">
        <f aca="false">INDEX('Type Chart'!$B$5:$P$19,MATCH(P$4,'Type Chart'!$A$5:$A$19,0),MATCH($C127,'Type Chart'!$B$4:$P$4,0))*IF($D127="",1,INDEX('Type Chart'!$B$5:$P$19,MATCH(P$4,'Type Chart'!$A$5:$A$19,0),MATCH($D127,'Type Chart'!$B$4:$P$4,0)))</f>
        <v>0.5</v>
      </c>
      <c r="Q127" s="21" t="n">
        <f aca="false">INDEX('Type Chart'!$B$5:$P$19,MATCH(Q$4,'Type Chart'!$A$5:$A$19,0),MATCH($C127,'Type Chart'!$B$4:$P$4,0))*IF($D127="",1,INDEX('Type Chart'!$B$5:$P$19,MATCH(Q$4,'Type Chart'!$A$5:$A$19,0),MATCH($D127,'Type Chart'!$B$4:$P$4,0)))</f>
        <v>4</v>
      </c>
      <c r="R127" s="21" t="n">
        <f aca="false">INDEX('Type Chart'!$B$5:$P$19,MATCH(R$4,'Type Chart'!$A$5:$A$19,0),MATCH($C127,'Type Chart'!$B$4:$P$4,0))*IF($D127="",1,INDEX('Type Chart'!$B$5:$P$19,MATCH(R$4,'Type Chart'!$A$5:$A$19,0),MATCH($D127,'Type Chart'!$B$4:$P$4,0)))</f>
        <v>1</v>
      </c>
      <c r="S127" s="21" t="n">
        <f aca="false">INDEX('Type Chart'!$B$5:$P$19,MATCH(S$4,'Type Chart'!$A$5:$A$19,0),MATCH($C127,'Type Chart'!$B$4:$P$4,0))*IF($D127="",1,INDEX('Type Chart'!$B$5:$P$19,MATCH(S$4,'Type Chart'!$A$5:$A$19,0),MATCH($D127,'Type Chart'!$B$4:$P$4,0)))</f>
        <v>1</v>
      </c>
    </row>
    <row r="128" customFormat="false" ht="15" hidden="false" customHeight="false" outlineLevel="0" collapsed="false">
      <c r="A128" s="19" t="n">
        <v>124</v>
      </c>
      <c r="B128" s="19" t="s">
        <v>215</v>
      </c>
      <c r="C128" s="20" t="str">
        <f aca="false">Pokedex!C128</f>
        <v>Ice</v>
      </c>
      <c r="D128" s="20" t="str">
        <f aca="false">Pokedex!D128</f>
        <v>Psychic</v>
      </c>
      <c r="E128" s="21" t="n">
        <f aca="false">INDEX('Type Chart'!$B$5:$P$19,MATCH(E$4,'Type Chart'!$A$5:$A$19,0),MATCH($C128,'Type Chart'!$B$4:$P$4,0))*IF($D128="",1,INDEX('Type Chart'!$B$5:$P$19,MATCH(E$4,'Type Chart'!$A$5:$A$19,0),MATCH($D128,'Type Chart'!$B$4:$P$4,0)))</f>
        <v>1</v>
      </c>
      <c r="F128" s="21" t="n">
        <f aca="false">INDEX('Type Chart'!$B$5:$P$19,MATCH(F$4,'Type Chart'!$A$5:$A$19,0),MATCH($C128,'Type Chart'!$B$4:$P$4,0))*IF($D128="",1,INDEX('Type Chart'!$B$5:$P$19,MATCH(F$4,'Type Chart'!$A$5:$A$19,0),MATCH($D128,'Type Chart'!$B$4:$P$4,0)))</f>
        <v>2</v>
      </c>
      <c r="G128" s="21" t="n">
        <f aca="false">INDEX('Type Chart'!$B$5:$P$19,MATCH(G$4,'Type Chart'!$A$5:$A$19,0),MATCH($C128,'Type Chart'!$B$4:$P$4,0))*IF($D128="",1,INDEX('Type Chart'!$B$5:$P$19,MATCH(G$4,'Type Chart'!$A$5:$A$19,0),MATCH($D128,'Type Chart'!$B$4:$P$4,0)))</f>
        <v>1</v>
      </c>
      <c r="H128" s="21" t="n">
        <f aca="false">INDEX('Type Chart'!$B$5:$P$19,MATCH(H$4,'Type Chart'!$A$5:$A$19,0),MATCH($C128,'Type Chart'!$B$4:$P$4,0))*IF($D128="",1,INDEX('Type Chart'!$B$5:$P$19,MATCH(H$4,'Type Chart'!$A$5:$A$19,0),MATCH($D128,'Type Chart'!$B$4:$P$4,0)))</f>
        <v>1</v>
      </c>
      <c r="I128" s="21" t="n">
        <f aca="false">INDEX('Type Chart'!$B$5:$P$19,MATCH(I$4,'Type Chart'!$A$5:$A$19,0),MATCH($C128,'Type Chart'!$B$4:$P$4,0))*IF($D128="",1,INDEX('Type Chart'!$B$5:$P$19,MATCH(I$4,'Type Chart'!$A$5:$A$19,0),MATCH($D128,'Type Chart'!$B$4:$P$4,0)))</f>
        <v>1</v>
      </c>
      <c r="J128" s="21" t="n">
        <f aca="false">INDEX('Type Chart'!$B$5:$P$19,MATCH(J$4,'Type Chart'!$A$5:$A$19,0),MATCH($C128,'Type Chart'!$B$4:$P$4,0))*IF($D128="",1,INDEX('Type Chart'!$B$5:$P$19,MATCH(J$4,'Type Chart'!$A$5:$A$19,0),MATCH($D128,'Type Chart'!$B$4:$P$4,0)))</f>
        <v>0.5</v>
      </c>
      <c r="K128" s="21" t="n">
        <f aca="false">INDEX('Type Chart'!$B$5:$P$19,MATCH(K$4,'Type Chart'!$A$5:$A$19,0),MATCH($C128,'Type Chart'!$B$4:$P$4,0))*IF($D128="",1,INDEX('Type Chart'!$B$5:$P$19,MATCH(K$4,'Type Chart'!$A$5:$A$19,0),MATCH($D128,'Type Chart'!$B$4:$P$4,0)))</f>
        <v>1</v>
      </c>
      <c r="L128" s="21" t="n">
        <f aca="false">INDEX('Type Chart'!$B$5:$P$19,MATCH(L$4,'Type Chart'!$A$5:$A$19,0),MATCH($C128,'Type Chart'!$B$4:$P$4,0))*IF($D128="",1,INDEX('Type Chart'!$B$5:$P$19,MATCH(L$4,'Type Chart'!$A$5:$A$19,0),MATCH($D128,'Type Chart'!$B$4:$P$4,0)))</f>
        <v>1</v>
      </c>
      <c r="M128" s="21" t="n">
        <f aca="false">INDEX('Type Chart'!$B$5:$P$19,MATCH(M$4,'Type Chart'!$A$5:$A$19,0),MATCH($C128,'Type Chart'!$B$4:$P$4,0))*IF($D128="",1,INDEX('Type Chart'!$B$5:$P$19,MATCH(M$4,'Type Chart'!$A$5:$A$19,0),MATCH($D128,'Type Chart'!$B$4:$P$4,0)))</f>
        <v>1</v>
      </c>
      <c r="N128" s="21" t="n">
        <f aca="false">INDEX('Type Chart'!$B$5:$P$19,MATCH(N$4,'Type Chart'!$A$5:$A$19,0),MATCH($C128,'Type Chart'!$B$4:$P$4,0))*IF($D128="",1,INDEX('Type Chart'!$B$5:$P$19,MATCH(N$4,'Type Chart'!$A$5:$A$19,0),MATCH($D128,'Type Chart'!$B$4:$P$4,0)))</f>
        <v>1</v>
      </c>
      <c r="O128" s="21" t="n">
        <f aca="false">INDEX('Type Chart'!$B$5:$P$19,MATCH(O$4,'Type Chart'!$A$5:$A$19,0),MATCH($C128,'Type Chart'!$B$4:$P$4,0))*IF($D128="",1,INDEX('Type Chart'!$B$5:$P$19,MATCH(O$4,'Type Chart'!$A$5:$A$19,0),MATCH($D128,'Type Chart'!$B$4:$P$4,0)))</f>
        <v>0.5</v>
      </c>
      <c r="P128" s="21" t="n">
        <f aca="false">INDEX('Type Chart'!$B$5:$P$19,MATCH(P$4,'Type Chart'!$A$5:$A$19,0),MATCH($C128,'Type Chart'!$B$4:$P$4,0))*IF($D128="",1,INDEX('Type Chart'!$B$5:$P$19,MATCH(P$4,'Type Chart'!$A$5:$A$19,0),MATCH($D128,'Type Chart'!$B$4:$P$4,0)))</f>
        <v>2</v>
      </c>
      <c r="Q128" s="21" t="n">
        <f aca="false">INDEX('Type Chart'!$B$5:$P$19,MATCH(Q$4,'Type Chart'!$A$5:$A$19,0),MATCH($C128,'Type Chart'!$B$4:$P$4,0))*IF($D128="",1,INDEX('Type Chart'!$B$5:$P$19,MATCH(Q$4,'Type Chart'!$A$5:$A$19,0),MATCH($D128,'Type Chart'!$B$4:$P$4,0)))</f>
        <v>2</v>
      </c>
      <c r="R128" s="21" t="n">
        <f aca="false">INDEX('Type Chart'!$B$5:$P$19,MATCH(R$4,'Type Chart'!$A$5:$A$19,0),MATCH($C128,'Type Chart'!$B$4:$P$4,0))*IF($D128="",1,INDEX('Type Chart'!$B$5:$P$19,MATCH(R$4,'Type Chart'!$A$5:$A$19,0),MATCH($D128,'Type Chart'!$B$4:$P$4,0)))</f>
        <v>0</v>
      </c>
      <c r="S128" s="21" t="n">
        <f aca="false">INDEX('Type Chart'!$B$5:$P$19,MATCH(S$4,'Type Chart'!$A$5:$A$19,0),MATCH($C128,'Type Chart'!$B$4:$P$4,0))*IF($D128="",1,INDEX('Type Chart'!$B$5:$P$19,MATCH(S$4,'Type Chart'!$A$5:$A$19,0),MATCH($D128,'Type Chart'!$B$4:$P$4,0)))</f>
        <v>1</v>
      </c>
    </row>
    <row r="129" customFormat="false" ht="15" hidden="false" customHeight="false" outlineLevel="0" collapsed="false">
      <c r="A129" s="19" t="n">
        <v>125</v>
      </c>
      <c r="B129" s="19" t="s">
        <v>216</v>
      </c>
      <c r="C129" s="20" t="str">
        <f aca="false">Pokedex!C129</f>
        <v>Electric</v>
      </c>
      <c r="D129" s="20" t="n">
        <f aca="false">Pokedex!D129</f>
        <v>0</v>
      </c>
      <c r="E129" s="21" t="n">
        <f aca="false">INDEX('Type Chart'!$B$5:$P$19,MATCH(E$4,'Type Chart'!$A$5:$A$19,0),MATCH($C129,'Type Chart'!$B$4:$P$4,0))*IF($D129="",1,INDEX('Type Chart'!$B$5:$P$19,MATCH(E$4,'Type Chart'!$A$5:$A$19,0),MATCH($D129,'Type Chart'!$B$4:$P$4,0)))</f>
        <v>1</v>
      </c>
      <c r="F129" s="21" t="n">
        <f aca="false">INDEX('Type Chart'!$B$5:$P$19,MATCH(F$4,'Type Chart'!$A$5:$A$19,0),MATCH($C129,'Type Chart'!$B$4:$P$4,0))*IF($D129="",1,INDEX('Type Chart'!$B$5:$P$19,MATCH(F$4,'Type Chart'!$A$5:$A$19,0),MATCH($D129,'Type Chart'!$B$4:$P$4,0)))</f>
        <v>1</v>
      </c>
      <c r="G129" s="21" t="n">
        <f aca="false">INDEX('Type Chart'!$B$5:$P$19,MATCH(G$4,'Type Chart'!$A$5:$A$19,0),MATCH($C129,'Type Chart'!$B$4:$P$4,0))*IF($D129="",1,INDEX('Type Chart'!$B$5:$P$19,MATCH(G$4,'Type Chart'!$A$5:$A$19,0),MATCH($D129,'Type Chart'!$B$4:$P$4,0)))</f>
        <v>1</v>
      </c>
      <c r="H129" s="21" t="n">
        <f aca="false">INDEX('Type Chart'!$B$5:$P$19,MATCH(H$4,'Type Chart'!$A$5:$A$19,0),MATCH($C129,'Type Chart'!$B$4:$P$4,0))*IF($D129="",1,INDEX('Type Chart'!$B$5:$P$19,MATCH(H$4,'Type Chart'!$A$5:$A$19,0),MATCH($D129,'Type Chart'!$B$4:$P$4,0)))</f>
        <v>0.5</v>
      </c>
      <c r="I129" s="21" t="n">
        <f aca="false">INDEX('Type Chart'!$B$5:$P$19,MATCH(I$4,'Type Chart'!$A$5:$A$19,0),MATCH($C129,'Type Chart'!$B$4:$P$4,0))*IF($D129="",1,INDEX('Type Chart'!$B$5:$P$19,MATCH(I$4,'Type Chart'!$A$5:$A$19,0),MATCH($D129,'Type Chart'!$B$4:$P$4,0)))</f>
        <v>1</v>
      </c>
      <c r="J129" s="21" t="n">
        <f aca="false">INDEX('Type Chart'!$B$5:$P$19,MATCH(J$4,'Type Chart'!$A$5:$A$19,0),MATCH($C129,'Type Chart'!$B$4:$P$4,0))*IF($D129="",1,INDEX('Type Chart'!$B$5:$P$19,MATCH(J$4,'Type Chart'!$A$5:$A$19,0),MATCH($D129,'Type Chart'!$B$4:$P$4,0)))</f>
        <v>1</v>
      </c>
      <c r="K129" s="21" t="n">
        <f aca="false">INDEX('Type Chart'!$B$5:$P$19,MATCH(K$4,'Type Chart'!$A$5:$A$19,0),MATCH($C129,'Type Chart'!$B$4:$P$4,0))*IF($D129="",1,INDEX('Type Chart'!$B$5:$P$19,MATCH(K$4,'Type Chart'!$A$5:$A$19,0),MATCH($D129,'Type Chart'!$B$4:$P$4,0)))</f>
        <v>1</v>
      </c>
      <c r="L129" s="21" t="n">
        <f aca="false">INDEX('Type Chart'!$B$5:$P$19,MATCH(L$4,'Type Chart'!$A$5:$A$19,0),MATCH($C129,'Type Chart'!$B$4:$P$4,0))*IF($D129="",1,INDEX('Type Chart'!$B$5:$P$19,MATCH(L$4,'Type Chart'!$A$5:$A$19,0),MATCH($D129,'Type Chart'!$B$4:$P$4,0)))</f>
        <v>1</v>
      </c>
      <c r="M129" s="21" t="n">
        <f aca="false">INDEX('Type Chart'!$B$5:$P$19,MATCH(M$4,'Type Chart'!$A$5:$A$19,0),MATCH($C129,'Type Chart'!$B$4:$P$4,0))*IF($D129="",1,INDEX('Type Chart'!$B$5:$P$19,MATCH(M$4,'Type Chart'!$A$5:$A$19,0),MATCH($D129,'Type Chart'!$B$4:$P$4,0)))</f>
        <v>2</v>
      </c>
      <c r="N129" s="21" t="n">
        <f aca="false">INDEX('Type Chart'!$B$5:$P$19,MATCH(N$4,'Type Chart'!$A$5:$A$19,0),MATCH($C129,'Type Chart'!$B$4:$P$4,0))*IF($D129="",1,INDEX('Type Chart'!$B$5:$P$19,MATCH(N$4,'Type Chart'!$A$5:$A$19,0),MATCH($D129,'Type Chart'!$B$4:$P$4,0)))</f>
        <v>0.5</v>
      </c>
      <c r="O129" s="21" t="n">
        <f aca="false">INDEX('Type Chart'!$B$5:$P$19,MATCH(O$4,'Type Chart'!$A$5:$A$19,0),MATCH($C129,'Type Chart'!$B$4:$P$4,0))*IF($D129="",1,INDEX('Type Chart'!$B$5:$P$19,MATCH(O$4,'Type Chart'!$A$5:$A$19,0),MATCH($D129,'Type Chart'!$B$4:$P$4,0)))</f>
        <v>1</v>
      </c>
      <c r="P129" s="21" t="n">
        <f aca="false">INDEX('Type Chart'!$B$5:$P$19,MATCH(P$4,'Type Chart'!$A$5:$A$19,0),MATCH($C129,'Type Chart'!$B$4:$P$4,0))*IF($D129="",1,INDEX('Type Chart'!$B$5:$P$19,MATCH(P$4,'Type Chart'!$A$5:$A$19,0),MATCH($D129,'Type Chart'!$B$4:$P$4,0)))</f>
        <v>1</v>
      </c>
      <c r="Q129" s="21" t="n">
        <f aca="false">INDEX('Type Chart'!$B$5:$P$19,MATCH(Q$4,'Type Chart'!$A$5:$A$19,0),MATCH($C129,'Type Chart'!$B$4:$P$4,0))*IF($D129="",1,INDEX('Type Chart'!$B$5:$P$19,MATCH(Q$4,'Type Chart'!$A$5:$A$19,0),MATCH($D129,'Type Chart'!$B$4:$P$4,0)))</f>
        <v>1</v>
      </c>
      <c r="R129" s="21" t="n">
        <f aca="false">INDEX('Type Chart'!$B$5:$P$19,MATCH(R$4,'Type Chart'!$A$5:$A$19,0),MATCH($C129,'Type Chart'!$B$4:$P$4,0))*IF($D129="",1,INDEX('Type Chart'!$B$5:$P$19,MATCH(R$4,'Type Chart'!$A$5:$A$19,0),MATCH($D129,'Type Chart'!$B$4:$P$4,0)))</f>
        <v>1</v>
      </c>
      <c r="S129" s="21" t="n">
        <f aca="false">INDEX('Type Chart'!$B$5:$P$19,MATCH(S$4,'Type Chart'!$A$5:$A$19,0),MATCH($C129,'Type Chart'!$B$4:$P$4,0))*IF($D129="",1,INDEX('Type Chart'!$B$5:$P$19,MATCH(S$4,'Type Chart'!$A$5:$A$19,0),MATCH($D129,'Type Chart'!$B$4:$P$4,0)))</f>
        <v>1</v>
      </c>
    </row>
    <row r="130" customFormat="false" ht="15" hidden="false" customHeight="false" outlineLevel="0" collapsed="false">
      <c r="A130" s="19" t="n">
        <v>126</v>
      </c>
      <c r="B130" s="19" t="s">
        <v>217</v>
      </c>
      <c r="C130" s="20" t="str">
        <f aca="false">Pokedex!C130</f>
        <v>Fire</v>
      </c>
      <c r="D130" s="20" t="n">
        <f aca="false">Pokedex!D130</f>
        <v>0</v>
      </c>
      <c r="E130" s="21" t="n">
        <f aca="false">INDEX('Type Chart'!$B$5:$P$19,MATCH(E$4,'Type Chart'!$A$5:$A$19,0),MATCH($C130,'Type Chart'!$B$4:$P$4,0))*IF($D130="",1,INDEX('Type Chart'!$B$5:$P$19,MATCH(E$4,'Type Chart'!$A$5:$A$19,0),MATCH($D130,'Type Chart'!$B$4:$P$4,0)))</f>
        <v>1</v>
      </c>
      <c r="F130" s="21" t="n">
        <f aca="false">INDEX('Type Chart'!$B$5:$P$19,MATCH(F$4,'Type Chart'!$A$5:$A$19,0),MATCH($C130,'Type Chart'!$B$4:$P$4,0))*IF($D130="",1,INDEX('Type Chart'!$B$5:$P$19,MATCH(F$4,'Type Chart'!$A$5:$A$19,0),MATCH($D130,'Type Chart'!$B$4:$P$4,0)))</f>
        <v>0.5</v>
      </c>
      <c r="G130" s="21" t="n">
        <f aca="false">INDEX('Type Chart'!$B$5:$P$19,MATCH(G$4,'Type Chart'!$A$5:$A$19,0),MATCH($C130,'Type Chart'!$B$4:$P$4,0))*IF($D130="",1,INDEX('Type Chart'!$B$5:$P$19,MATCH(G$4,'Type Chart'!$A$5:$A$19,0),MATCH($D130,'Type Chart'!$B$4:$P$4,0)))</f>
        <v>2</v>
      </c>
      <c r="H130" s="21" t="n">
        <f aca="false">INDEX('Type Chart'!$B$5:$P$19,MATCH(H$4,'Type Chart'!$A$5:$A$19,0),MATCH($C130,'Type Chart'!$B$4:$P$4,0))*IF($D130="",1,INDEX('Type Chart'!$B$5:$P$19,MATCH(H$4,'Type Chart'!$A$5:$A$19,0),MATCH($D130,'Type Chart'!$B$4:$P$4,0)))</f>
        <v>1</v>
      </c>
      <c r="I130" s="21" t="n">
        <f aca="false">INDEX('Type Chart'!$B$5:$P$19,MATCH(I$4,'Type Chart'!$A$5:$A$19,0),MATCH($C130,'Type Chart'!$B$4:$P$4,0))*IF($D130="",1,INDEX('Type Chart'!$B$5:$P$19,MATCH(I$4,'Type Chart'!$A$5:$A$19,0),MATCH($D130,'Type Chart'!$B$4:$P$4,0)))</f>
        <v>0.5</v>
      </c>
      <c r="J130" s="21" t="n">
        <f aca="false">INDEX('Type Chart'!$B$5:$P$19,MATCH(J$4,'Type Chart'!$A$5:$A$19,0),MATCH($C130,'Type Chart'!$B$4:$P$4,0))*IF($D130="",1,INDEX('Type Chart'!$B$5:$P$19,MATCH(J$4,'Type Chart'!$A$5:$A$19,0),MATCH($D130,'Type Chart'!$B$4:$P$4,0)))</f>
        <v>1</v>
      </c>
      <c r="K130" s="21" t="n">
        <f aca="false">INDEX('Type Chart'!$B$5:$P$19,MATCH(K$4,'Type Chart'!$A$5:$A$19,0),MATCH($C130,'Type Chart'!$B$4:$P$4,0))*IF($D130="",1,INDEX('Type Chart'!$B$5:$P$19,MATCH(K$4,'Type Chart'!$A$5:$A$19,0),MATCH($D130,'Type Chart'!$B$4:$P$4,0)))</f>
        <v>1</v>
      </c>
      <c r="L130" s="21" t="n">
        <f aca="false">INDEX('Type Chart'!$B$5:$P$19,MATCH(L$4,'Type Chart'!$A$5:$A$19,0),MATCH($C130,'Type Chart'!$B$4:$P$4,0))*IF($D130="",1,INDEX('Type Chart'!$B$5:$P$19,MATCH(L$4,'Type Chart'!$A$5:$A$19,0),MATCH($D130,'Type Chart'!$B$4:$P$4,0)))</f>
        <v>1</v>
      </c>
      <c r="M130" s="21" t="n">
        <f aca="false">INDEX('Type Chart'!$B$5:$P$19,MATCH(M$4,'Type Chart'!$A$5:$A$19,0),MATCH($C130,'Type Chart'!$B$4:$P$4,0))*IF($D130="",1,INDEX('Type Chart'!$B$5:$P$19,MATCH(M$4,'Type Chart'!$A$5:$A$19,0),MATCH($D130,'Type Chart'!$B$4:$P$4,0)))</f>
        <v>2</v>
      </c>
      <c r="N130" s="21" t="n">
        <f aca="false">INDEX('Type Chart'!$B$5:$P$19,MATCH(N$4,'Type Chart'!$A$5:$A$19,0),MATCH($C130,'Type Chart'!$B$4:$P$4,0))*IF($D130="",1,INDEX('Type Chart'!$B$5:$P$19,MATCH(N$4,'Type Chart'!$A$5:$A$19,0),MATCH($D130,'Type Chart'!$B$4:$P$4,0)))</f>
        <v>1</v>
      </c>
      <c r="O130" s="21" t="n">
        <f aca="false">INDEX('Type Chart'!$B$5:$P$19,MATCH(O$4,'Type Chart'!$A$5:$A$19,0),MATCH($C130,'Type Chart'!$B$4:$P$4,0))*IF($D130="",1,INDEX('Type Chart'!$B$5:$P$19,MATCH(O$4,'Type Chart'!$A$5:$A$19,0),MATCH($D130,'Type Chart'!$B$4:$P$4,0)))</f>
        <v>1</v>
      </c>
      <c r="P130" s="21" t="n">
        <f aca="false">INDEX('Type Chart'!$B$5:$P$19,MATCH(P$4,'Type Chart'!$A$5:$A$19,0),MATCH($C130,'Type Chart'!$B$4:$P$4,0))*IF($D130="",1,INDEX('Type Chart'!$B$5:$P$19,MATCH(P$4,'Type Chart'!$A$5:$A$19,0),MATCH($D130,'Type Chart'!$B$4:$P$4,0)))</f>
        <v>0.5</v>
      </c>
      <c r="Q130" s="21" t="n">
        <f aca="false">INDEX('Type Chart'!$B$5:$P$19,MATCH(Q$4,'Type Chart'!$A$5:$A$19,0),MATCH($C130,'Type Chart'!$B$4:$P$4,0))*IF($D130="",1,INDEX('Type Chart'!$B$5:$P$19,MATCH(Q$4,'Type Chart'!$A$5:$A$19,0),MATCH($D130,'Type Chart'!$B$4:$P$4,0)))</f>
        <v>2</v>
      </c>
      <c r="R130" s="21" t="n">
        <f aca="false">INDEX('Type Chart'!$B$5:$P$19,MATCH(R$4,'Type Chart'!$A$5:$A$19,0),MATCH($C130,'Type Chart'!$B$4:$P$4,0))*IF($D130="",1,INDEX('Type Chart'!$B$5:$P$19,MATCH(R$4,'Type Chart'!$A$5:$A$19,0),MATCH($D130,'Type Chart'!$B$4:$P$4,0)))</f>
        <v>1</v>
      </c>
      <c r="S130" s="21" t="n">
        <f aca="false">INDEX('Type Chart'!$B$5:$P$19,MATCH(S$4,'Type Chart'!$A$5:$A$19,0),MATCH($C130,'Type Chart'!$B$4:$P$4,0))*IF($D130="",1,INDEX('Type Chart'!$B$5:$P$19,MATCH(S$4,'Type Chart'!$A$5:$A$19,0),MATCH($D130,'Type Chart'!$B$4:$P$4,0)))</f>
        <v>1</v>
      </c>
    </row>
    <row r="131" customFormat="false" ht="15" hidden="false" customHeight="false" outlineLevel="0" collapsed="false">
      <c r="A131" s="19" t="n">
        <v>127</v>
      </c>
      <c r="B131" s="19" t="s">
        <v>218</v>
      </c>
      <c r="C131" s="20" t="str">
        <f aca="false">Pokedex!C131</f>
        <v>Bug</v>
      </c>
      <c r="D131" s="20" t="n">
        <f aca="false">Pokedex!D131</f>
        <v>0</v>
      </c>
      <c r="E131" s="21" t="n">
        <f aca="false">INDEX('Type Chart'!$B$5:$P$19,MATCH(E$4,'Type Chart'!$A$5:$A$19,0),MATCH($C131,'Type Chart'!$B$4:$P$4,0))*IF($D131="",1,INDEX('Type Chart'!$B$5:$P$19,MATCH(E$4,'Type Chart'!$A$5:$A$19,0),MATCH($D131,'Type Chart'!$B$4:$P$4,0)))</f>
        <v>1</v>
      </c>
      <c r="F131" s="21" t="n">
        <f aca="false">INDEX('Type Chart'!$B$5:$P$19,MATCH(F$4,'Type Chart'!$A$5:$A$19,0),MATCH($C131,'Type Chart'!$B$4:$P$4,0))*IF($D131="",1,INDEX('Type Chart'!$B$5:$P$19,MATCH(F$4,'Type Chart'!$A$5:$A$19,0),MATCH($D131,'Type Chart'!$B$4:$P$4,0)))</f>
        <v>2</v>
      </c>
      <c r="G131" s="21" t="n">
        <f aca="false">INDEX('Type Chart'!$B$5:$P$19,MATCH(G$4,'Type Chart'!$A$5:$A$19,0),MATCH($C131,'Type Chart'!$B$4:$P$4,0))*IF($D131="",1,INDEX('Type Chart'!$B$5:$P$19,MATCH(G$4,'Type Chart'!$A$5:$A$19,0),MATCH($D131,'Type Chart'!$B$4:$P$4,0)))</f>
        <v>1</v>
      </c>
      <c r="H131" s="21" t="n">
        <f aca="false">INDEX('Type Chart'!$B$5:$P$19,MATCH(H$4,'Type Chart'!$A$5:$A$19,0),MATCH($C131,'Type Chart'!$B$4:$P$4,0))*IF($D131="",1,INDEX('Type Chart'!$B$5:$P$19,MATCH(H$4,'Type Chart'!$A$5:$A$19,0),MATCH($D131,'Type Chart'!$B$4:$P$4,0)))</f>
        <v>1</v>
      </c>
      <c r="I131" s="21" t="n">
        <f aca="false">INDEX('Type Chart'!$B$5:$P$19,MATCH(I$4,'Type Chart'!$A$5:$A$19,0),MATCH($C131,'Type Chart'!$B$4:$P$4,0))*IF($D131="",1,INDEX('Type Chart'!$B$5:$P$19,MATCH(I$4,'Type Chart'!$A$5:$A$19,0),MATCH($D131,'Type Chart'!$B$4:$P$4,0)))</f>
        <v>0.5</v>
      </c>
      <c r="J131" s="21" t="n">
        <f aca="false">INDEX('Type Chart'!$B$5:$P$19,MATCH(J$4,'Type Chart'!$A$5:$A$19,0),MATCH($C131,'Type Chart'!$B$4:$P$4,0))*IF($D131="",1,INDEX('Type Chart'!$B$5:$P$19,MATCH(J$4,'Type Chart'!$A$5:$A$19,0),MATCH($D131,'Type Chart'!$B$4:$P$4,0)))</f>
        <v>1</v>
      </c>
      <c r="K131" s="21" t="n">
        <f aca="false">INDEX('Type Chart'!$B$5:$P$19,MATCH(K$4,'Type Chart'!$A$5:$A$19,0),MATCH($C131,'Type Chart'!$B$4:$P$4,0))*IF($D131="",1,INDEX('Type Chart'!$B$5:$P$19,MATCH(K$4,'Type Chart'!$A$5:$A$19,0),MATCH($D131,'Type Chart'!$B$4:$P$4,0)))</f>
        <v>0.5</v>
      </c>
      <c r="L131" s="21" t="n">
        <f aca="false">INDEX('Type Chart'!$B$5:$P$19,MATCH(L$4,'Type Chart'!$A$5:$A$19,0),MATCH($C131,'Type Chart'!$B$4:$P$4,0))*IF($D131="",1,INDEX('Type Chart'!$B$5:$P$19,MATCH(L$4,'Type Chart'!$A$5:$A$19,0),MATCH($D131,'Type Chart'!$B$4:$P$4,0)))</f>
        <v>2</v>
      </c>
      <c r="M131" s="21" t="n">
        <f aca="false">INDEX('Type Chart'!$B$5:$P$19,MATCH(M$4,'Type Chart'!$A$5:$A$19,0),MATCH($C131,'Type Chart'!$B$4:$P$4,0))*IF($D131="",1,INDEX('Type Chart'!$B$5:$P$19,MATCH(M$4,'Type Chart'!$A$5:$A$19,0),MATCH($D131,'Type Chart'!$B$4:$P$4,0)))</f>
        <v>0.5</v>
      </c>
      <c r="N131" s="21" t="n">
        <f aca="false">INDEX('Type Chart'!$B$5:$P$19,MATCH(N$4,'Type Chart'!$A$5:$A$19,0),MATCH($C131,'Type Chart'!$B$4:$P$4,0))*IF($D131="",1,INDEX('Type Chart'!$B$5:$P$19,MATCH(N$4,'Type Chart'!$A$5:$A$19,0),MATCH($D131,'Type Chart'!$B$4:$P$4,0)))</f>
        <v>2</v>
      </c>
      <c r="O131" s="21" t="n">
        <f aca="false">INDEX('Type Chart'!$B$5:$P$19,MATCH(O$4,'Type Chart'!$A$5:$A$19,0),MATCH($C131,'Type Chart'!$B$4:$P$4,0))*IF($D131="",1,INDEX('Type Chart'!$B$5:$P$19,MATCH(O$4,'Type Chart'!$A$5:$A$19,0),MATCH($D131,'Type Chart'!$B$4:$P$4,0)))</f>
        <v>1</v>
      </c>
      <c r="P131" s="21" t="n">
        <f aca="false">INDEX('Type Chart'!$B$5:$P$19,MATCH(P$4,'Type Chart'!$A$5:$A$19,0),MATCH($C131,'Type Chart'!$B$4:$P$4,0))*IF($D131="",1,INDEX('Type Chart'!$B$5:$P$19,MATCH(P$4,'Type Chart'!$A$5:$A$19,0),MATCH($D131,'Type Chart'!$B$4:$P$4,0)))</f>
        <v>1</v>
      </c>
      <c r="Q131" s="21" t="n">
        <f aca="false">INDEX('Type Chart'!$B$5:$P$19,MATCH(Q$4,'Type Chart'!$A$5:$A$19,0),MATCH($C131,'Type Chart'!$B$4:$P$4,0))*IF($D131="",1,INDEX('Type Chart'!$B$5:$P$19,MATCH(Q$4,'Type Chart'!$A$5:$A$19,0),MATCH($D131,'Type Chart'!$B$4:$P$4,0)))</f>
        <v>2</v>
      </c>
      <c r="R131" s="21" t="n">
        <f aca="false">INDEX('Type Chart'!$B$5:$P$19,MATCH(R$4,'Type Chart'!$A$5:$A$19,0),MATCH($C131,'Type Chart'!$B$4:$P$4,0))*IF($D131="",1,INDEX('Type Chart'!$B$5:$P$19,MATCH(R$4,'Type Chart'!$A$5:$A$19,0),MATCH($D131,'Type Chart'!$B$4:$P$4,0)))</f>
        <v>1</v>
      </c>
      <c r="S131" s="21" t="n">
        <f aca="false">INDEX('Type Chart'!$B$5:$P$19,MATCH(S$4,'Type Chart'!$A$5:$A$19,0),MATCH($C131,'Type Chart'!$B$4:$P$4,0))*IF($D131="",1,INDEX('Type Chart'!$B$5:$P$19,MATCH(S$4,'Type Chart'!$A$5:$A$19,0),MATCH($D131,'Type Chart'!$B$4:$P$4,0)))</f>
        <v>1</v>
      </c>
    </row>
    <row r="132" customFormat="false" ht="15" hidden="false" customHeight="false" outlineLevel="0" collapsed="false">
      <c r="A132" s="19" t="n">
        <v>128</v>
      </c>
      <c r="B132" s="19" t="s">
        <v>219</v>
      </c>
      <c r="C132" s="20" t="str">
        <f aca="false">Pokedex!C132</f>
        <v>Normal</v>
      </c>
      <c r="D132" s="20" t="n">
        <f aca="false">Pokedex!D132</f>
        <v>0</v>
      </c>
      <c r="E132" s="21" t="n">
        <f aca="false">INDEX('Type Chart'!$B$5:$P$19,MATCH(E$4,'Type Chart'!$A$5:$A$19,0),MATCH($C132,'Type Chart'!$B$4:$P$4,0))*IF($D132="",1,INDEX('Type Chart'!$B$5:$P$19,MATCH(E$4,'Type Chart'!$A$5:$A$19,0),MATCH($D132,'Type Chart'!$B$4:$P$4,0)))</f>
        <v>1</v>
      </c>
      <c r="F132" s="21" t="n">
        <f aca="false">INDEX('Type Chart'!$B$5:$P$19,MATCH(F$4,'Type Chart'!$A$5:$A$19,0),MATCH($C132,'Type Chart'!$B$4:$P$4,0))*IF($D132="",1,INDEX('Type Chart'!$B$5:$P$19,MATCH(F$4,'Type Chart'!$A$5:$A$19,0),MATCH($D132,'Type Chart'!$B$4:$P$4,0)))</f>
        <v>1</v>
      </c>
      <c r="G132" s="21" t="n">
        <f aca="false">INDEX('Type Chart'!$B$5:$P$19,MATCH(G$4,'Type Chart'!$A$5:$A$19,0),MATCH($C132,'Type Chart'!$B$4:$P$4,0))*IF($D132="",1,INDEX('Type Chart'!$B$5:$P$19,MATCH(G$4,'Type Chart'!$A$5:$A$19,0),MATCH($D132,'Type Chart'!$B$4:$P$4,0)))</f>
        <v>1</v>
      </c>
      <c r="H132" s="21" t="n">
        <f aca="false">INDEX('Type Chart'!$B$5:$P$19,MATCH(H$4,'Type Chart'!$A$5:$A$19,0),MATCH($C132,'Type Chart'!$B$4:$P$4,0))*IF($D132="",1,INDEX('Type Chart'!$B$5:$P$19,MATCH(H$4,'Type Chart'!$A$5:$A$19,0),MATCH($D132,'Type Chart'!$B$4:$P$4,0)))</f>
        <v>1</v>
      </c>
      <c r="I132" s="21" t="n">
        <f aca="false">INDEX('Type Chart'!$B$5:$P$19,MATCH(I$4,'Type Chart'!$A$5:$A$19,0),MATCH($C132,'Type Chart'!$B$4:$P$4,0))*IF($D132="",1,INDEX('Type Chart'!$B$5:$P$19,MATCH(I$4,'Type Chart'!$A$5:$A$19,0),MATCH($D132,'Type Chart'!$B$4:$P$4,0)))</f>
        <v>1</v>
      </c>
      <c r="J132" s="21" t="n">
        <f aca="false">INDEX('Type Chart'!$B$5:$P$19,MATCH(J$4,'Type Chart'!$A$5:$A$19,0),MATCH($C132,'Type Chart'!$B$4:$P$4,0))*IF($D132="",1,INDEX('Type Chart'!$B$5:$P$19,MATCH(J$4,'Type Chart'!$A$5:$A$19,0),MATCH($D132,'Type Chart'!$B$4:$P$4,0)))</f>
        <v>1</v>
      </c>
      <c r="K132" s="21" t="n">
        <f aca="false">INDEX('Type Chart'!$B$5:$P$19,MATCH(K$4,'Type Chart'!$A$5:$A$19,0),MATCH($C132,'Type Chart'!$B$4:$P$4,0))*IF($D132="",1,INDEX('Type Chart'!$B$5:$P$19,MATCH(K$4,'Type Chart'!$A$5:$A$19,0),MATCH($D132,'Type Chart'!$B$4:$P$4,0)))</f>
        <v>2</v>
      </c>
      <c r="L132" s="21" t="n">
        <f aca="false">INDEX('Type Chart'!$B$5:$P$19,MATCH(L$4,'Type Chart'!$A$5:$A$19,0),MATCH($C132,'Type Chart'!$B$4:$P$4,0))*IF($D132="",1,INDEX('Type Chart'!$B$5:$P$19,MATCH(L$4,'Type Chart'!$A$5:$A$19,0),MATCH($D132,'Type Chart'!$B$4:$P$4,0)))</f>
        <v>1</v>
      </c>
      <c r="M132" s="21" t="n">
        <f aca="false">INDEX('Type Chart'!$B$5:$P$19,MATCH(M$4,'Type Chart'!$A$5:$A$19,0),MATCH($C132,'Type Chart'!$B$4:$P$4,0))*IF($D132="",1,INDEX('Type Chart'!$B$5:$P$19,MATCH(M$4,'Type Chart'!$A$5:$A$19,0),MATCH($D132,'Type Chart'!$B$4:$P$4,0)))</f>
        <v>1</v>
      </c>
      <c r="N132" s="21" t="n">
        <f aca="false">INDEX('Type Chart'!$B$5:$P$19,MATCH(N$4,'Type Chart'!$A$5:$A$19,0),MATCH($C132,'Type Chart'!$B$4:$P$4,0))*IF($D132="",1,INDEX('Type Chart'!$B$5:$P$19,MATCH(N$4,'Type Chart'!$A$5:$A$19,0),MATCH($D132,'Type Chart'!$B$4:$P$4,0)))</f>
        <v>1</v>
      </c>
      <c r="O132" s="21" t="n">
        <f aca="false">INDEX('Type Chart'!$B$5:$P$19,MATCH(O$4,'Type Chart'!$A$5:$A$19,0),MATCH($C132,'Type Chart'!$B$4:$P$4,0))*IF($D132="",1,INDEX('Type Chart'!$B$5:$P$19,MATCH(O$4,'Type Chart'!$A$5:$A$19,0),MATCH($D132,'Type Chart'!$B$4:$P$4,0)))</f>
        <v>1</v>
      </c>
      <c r="P132" s="21" t="n">
        <f aca="false">INDEX('Type Chart'!$B$5:$P$19,MATCH(P$4,'Type Chart'!$A$5:$A$19,0),MATCH($C132,'Type Chart'!$B$4:$P$4,0))*IF($D132="",1,INDEX('Type Chart'!$B$5:$P$19,MATCH(P$4,'Type Chart'!$A$5:$A$19,0),MATCH($D132,'Type Chart'!$B$4:$P$4,0)))</f>
        <v>1</v>
      </c>
      <c r="Q132" s="21" t="n">
        <f aca="false">INDEX('Type Chart'!$B$5:$P$19,MATCH(Q$4,'Type Chart'!$A$5:$A$19,0),MATCH($C132,'Type Chart'!$B$4:$P$4,0))*IF($D132="",1,INDEX('Type Chart'!$B$5:$P$19,MATCH(Q$4,'Type Chart'!$A$5:$A$19,0),MATCH($D132,'Type Chart'!$B$4:$P$4,0)))</f>
        <v>1</v>
      </c>
      <c r="R132" s="21" t="n">
        <f aca="false">INDEX('Type Chart'!$B$5:$P$19,MATCH(R$4,'Type Chart'!$A$5:$A$19,0),MATCH($C132,'Type Chart'!$B$4:$P$4,0))*IF($D132="",1,INDEX('Type Chart'!$B$5:$P$19,MATCH(R$4,'Type Chart'!$A$5:$A$19,0),MATCH($D132,'Type Chart'!$B$4:$P$4,0)))</f>
        <v>0</v>
      </c>
      <c r="S132" s="21" t="n">
        <f aca="false">INDEX('Type Chart'!$B$5:$P$19,MATCH(S$4,'Type Chart'!$A$5:$A$19,0),MATCH($C132,'Type Chart'!$B$4:$P$4,0))*IF($D132="",1,INDEX('Type Chart'!$B$5:$P$19,MATCH(S$4,'Type Chart'!$A$5:$A$19,0),MATCH($D132,'Type Chart'!$B$4:$P$4,0)))</f>
        <v>1</v>
      </c>
    </row>
    <row r="133" customFormat="false" ht="15" hidden="false" customHeight="false" outlineLevel="0" collapsed="false">
      <c r="A133" s="19" t="n">
        <v>129</v>
      </c>
      <c r="B133" s="19" t="s">
        <v>220</v>
      </c>
      <c r="C133" s="20" t="str">
        <f aca="false">Pokedex!C133</f>
        <v>Water</v>
      </c>
      <c r="D133" s="20" t="n">
        <f aca="false">Pokedex!D133</f>
        <v>0</v>
      </c>
      <c r="E133" s="21" t="n">
        <f aca="false">INDEX('Type Chart'!$B$5:$P$19,MATCH(E$4,'Type Chart'!$A$5:$A$19,0),MATCH($C133,'Type Chart'!$B$4:$P$4,0))*IF($D133="",1,INDEX('Type Chart'!$B$5:$P$19,MATCH(E$4,'Type Chart'!$A$5:$A$19,0),MATCH($D133,'Type Chart'!$B$4:$P$4,0)))</f>
        <v>1</v>
      </c>
      <c r="F133" s="21" t="n">
        <f aca="false">INDEX('Type Chart'!$B$5:$P$19,MATCH(F$4,'Type Chart'!$A$5:$A$19,0),MATCH($C133,'Type Chart'!$B$4:$P$4,0))*IF($D133="",1,INDEX('Type Chart'!$B$5:$P$19,MATCH(F$4,'Type Chart'!$A$5:$A$19,0),MATCH($D133,'Type Chart'!$B$4:$P$4,0)))</f>
        <v>0.5</v>
      </c>
      <c r="G133" s="21" t="n">
        <f aca="false">INDEX('Type Chart'!$B$5:$P$19,MATCH(G$4,'Type Chart'!$A$5:$A$19,0),MATCH($C133,'Type Chart'!$B$4:$P$4,0))*IF($D133="",1,INDEX('Type Chart'!$B$5:$P$19,MATCH(G$4,'Type Chart'!$A$5:$A$19,0),MATCH($D133,'Type Chart'!$B$4:$P$4,0)))</f>
        <v>0.5</v>
      </c>
      <c r="H133" s="21" t="n">
        <f aca="false">INDEX('Type Chart'!$B$5:$P$19,MATCH(H$4,'Type Chart'!$A$5:$A$19,0),MATCH($C133,'Type Chart'!$B$4:$P$4,0))*IF($D133="",1,INDEX('Type Chart'!$B$5:$P$19,MATCH(H$4,'Type Chart'!$A$5:$A$19,0),MATCH($D133,'Type Chart'!$B$4:$P$4,0)))</f>
        <v>2</v>
      </c>
      <c r="I133" s="21" t="n">
        <f aca="false">INDEX('Type Chart'!$B$5:$P$19,MATCH(I$4,'Type Chart'!$A$5:$A$19,0),MATCH($C133,'Type Chart'!$B$4:$P$4,0))*IF($D133="",1,INDEX('Type Chart'!$B$5:$P$19,MATCH(I$4,'Type Chart'!$A$5:$A$19,0),MATCH($D133,'Type Chart'!$B$4:$P$4,0)))</f>
        <v>2</v>
      </c>
      <c r="J133" s="21" t="n">
        <f aca="false">INDEX('Type Chart'!$B$5:$P$19,MATCH(J$4,'Type Chart'!$A$5:$A$19,0),MATCH($C133,'Type Chart'!$B$4:$P$4,0))*IF($D133="",1,INDEX('Type Chart'!$B$5:$P$19,MATCH(J$4,'Type Chart'!$A$5:$A$19,0),MATCH($D133,'Type Chart'!$B$4:$P$4,0)))</f>
        <v>0.5</v>
      </c>
      <c r="K133" s="21" t="n">
        <f aca="false">INDEX('Type Chart'!$B$5:$P$19,MATCH(K$4,'Type Chart'!$A$5:$A$19,0),MATCH($C133,'Type Chart'!$B$4:$P$4,0))*IF($D133="",1,INDEX('Type Chart'!$B$5:$P$19,MATCH(K$4,'Type Chart'!$A$5:$A$19,0),MATCH($D133,'Type Chart'!$B$4:$P$4,0)))</f>
        <v>1</v>
      </c>
      <c r="L133" s="21" t="n">
        <f aca="false">INDEX('Type Chart'!$B$5:$P$19,MATCH(L$4,'Type Chart'!$A$5:$A$19,0),MATCH($C133,'Type Chart'!$B$4:$P$4,0))*IF($D133="",1,INDEX('Type Chart'!$B$5:$P$19,MATCH(L$4,'Type Chart'!$A$5:$A$19,0),MATCH($D133,'Type Chart'!$B$4:$P$4,0)))</f>
        <v>1</v>
      </c>
      <c r="M133" s="21" t="n">
        <f aca="false">INDEX('Type Chart'!$B$5:$P$19,MATCH(M$4,'Type Chart'!$A$5:$A$19,0),MATCH($C133,'Type Chart'!$B$4:$P$4,0))*IF($D133="",1,INDEX('Type Chart'!$B$5:$P$19,MATCH(M$4,'Type Chart'!$A$5:$A$19,0),MATCH($D133,'Type Chart'!$B$4:$P$4,0)))</f>
        <v>1</v>
      </c>
      <c r="N133" s="21" t="n">
        <f aca="false">INDEX('Type Chart'!$B$5:$P$19,MATCH(N$4,'Type Chart'!$A$5:$A$19,0),MATCH($C133,'Type Chart'!$B$4:$P$4,0))*IF($D133="",1,INDEX('Type Chart'!$B$5:$P$19,MATCH(N$4,'Type Chart'!$A$5:$A$19,0),MATCH($D133,'Type Chart'!$B$4:$P$4,0)))</f>
        <v>1</v>
      </c>
      <c r="O133" s="21" t="n">
        <f aca="false">INDEX('Type Chart'!$B$5:$P$19,MATCH(O$4,'Type Chart'!$A$5:$A$19,0),MATCH($C133,'Type Chart'!$B$4:$P$4,0))*IF($D133="",1,INDEX('Type Chart'!$B$5:$P$19,MATCH(O$4,'Type Chart'!$A$5:$A$19,0),MATCH($D133,'Type Chart'!$B$4:$P$4,0)))</f>
        <v>1</v>
      </c>
      <c r="P133" s="21" t="n">
        <f aca="false">INDEX('Type Chart'!$B$5:$P$19,MATCH(P$4,'Type Chart'!$A$5:$A$19,0),MATCH($C133,'Type Chart'!$B$4:$P$4,0))*IF($D133="",1,INDEX('Type Chart'!$B$5:$P$19,MATCH(P$4,'Type Chart'!$A$5:$A$19,0),MATCH($D133,'Type Chart'!$B$4:$P$4,0)))</f>
        <v>1</v>
      </c>
      <c r="Q133" s="21" t="n">
        <f aca="false">INDEX('Type Chart'!$B$5:$P$19,MATCH(Q$4,'Type Chart'!$A$5:$A$19,0),MATCH($C133,'Type Chart'!$B$4:$P$4,0))*IF($D133="",1,INDEX('Type Chart'!$B$5:$P$19,MATCH(Q$4,'Type Chart'!$A$5:$A$19,0),MATCH($D133,'Type Chart'!$B$4:$P$4,0)))</f>
        <v>1</v>
      </c>
      <c r="R133" s="21" t="n">
        <f aca="false">INDEX('Type Chart'!$B$5:$P$19,MATCH(R$4,'Type Chart'!$A$5:$A$19,0),MATCH($C133,'Type Chart'!$B$4:$P$4,0))*IF($D133="",1,INDEX('Type Chart'!$B$5:$P$19,MATCH(R$4,'Type Chart'!$A$5:$A$19,0),MATCH($D133,'Type Chart'!$B$4:$P$4,0)))</f>
        <v>1</v>
      </c>
      <c r="S133" s="21" t="n">
        <f aca="false">INDEX('Type Chart'!$B$5:$P$19,MATCH(S$4,'Type Chart'!$A$5:$A$19,0),MATCH($C133,'Type Chart'!$B$4:$P$4,0))*IF($D133="",1,INDEX('Type Chart'!$B$5:$P$19,MATCH(S$4,'Type Chart'!$A$5:$A$19,0),MATCH($D133,'Type Chart'!$B$4:$P$4,0)))</f>
        <v>1</v>
      </c>
    </row>
    <row r="134" customFormat="false" ht="15" hidden="false" customHeight="false" outlineLevel="0" collapsed="false">
      <c r="A134" s="19" t="n">
        <v>130</v>
      </c>
      <c r="B134" s="19" t="s">
        <v>221</v>
      </c>
      <c r="C134" s="20" t="str">
        <f aca="false">Pokedex!C134</f>
        <v>Water</v>
      </c>
      <c r="D134" s="20" t="str">
        <f aca="false">Pokedex!D134</f>
        <v>Flying</v>
      </c>
      <c r="E134" s="21" t="n">
        <f aca="false">INDEX('Type Chart'!$B$5:$P$19,MATCH(E$4,'Type Chart'!$A$5:$A$19,0),MATCH($C134,'Type Chart'!$B$4:$P$4,0))*IF($D134="",1,INDEX('Type Chart'!$B$5:$P$19,MATCH(E$4,'Type Chart'!$A$5:$A$19,0),MATCH($D134,'Type Chart'!$B$4:$P$4,0)))</f>
        <v>1</v>
      </c>
      <c r="F134" s="21" t="n">
        <f aca="false">INDEX('Type Chart'!$B$5:$P$19,MATCH(F$4,'Type Chart'!$A$5:$A$19,0),MATCH($C134,'Type Chart'!$B$4:$P$4,0))*IF($D134="",1,INDEX('Type Chart'!$B$5:$P$19,MATCH(F$4,'Type Chart'!$A$5:$A$19,0),MATCH($D134,'Type Chart'!$B$4:$P$4,0)))</f>
        <v>0.5</v>
      </c>
      <c r="G134" s="21" t="n">
        <f aca="false">INDEX('Type Chart'!$B$5:$P$19,MATCH(G$4,'Type Chart'!$A$5:$A$19,0),MATCH($C134,'Type Chart'!$B$4:$P$4,0))*IF($D134="",1,INDEX('Type Chart'!$B$5:$P$19,MATCH(G$4,'Type Chart'!$A$5:$A$19,0),MATCH($D134,'Type Chart'!$B$4:$P$4,0)))</f>
        <v>0.5</v>
      </c>
      <c r="H134" s="21" t="n">
        <f aca="false">INDEX('Type Chart'!$B$5:$P$19,MATCH(H$4,'Type Chart'!$A$5:$A$19,0),MATCH($C134,'Type Chart'!$B$4:$P$4,0))*IF($D134="",1,INDEX('Type Chart'!$B$5:$P$19,MATCH(H$4,'Type Chart'!$A$5:$A$19,0),MATCH($D134,'Type Chart'!$B$4:$P$4,0)))</f>
        <v>4</v>
      </c>
      <c r="I134" s="21" t="n">
        <f aca="false">INDEX('Type Chart'!$B$5:$P$19,MATCH(I$4,'Type Chart'!$A$5:$A$19,0),MATCH($C134,'Type Chart'!$B$4:$P$4,0))*IF($D134="",1,INDEX('Type Chart'!$B$5:$P$19,MATCH(I$4,'Type Chart'!$A$5:$A$19,0),MATCH($D134,'Type Chart'!$B$4:$P$4,0)))</f>
        <v>1</v>
      </c>
      <c r="J134" s="21" t="n">
        <f aca="false">INDEX('Type Chart'!$B$5:$P$19,MATCH(J$4,'Type Chart'!$A$5:$A$19,0),MATCH($C134,'Type Chart'!$B$4:$P$4,0))*IF($D134="",1,INDEX('Type Chart'!$B$5:$P$19,MATCH(J$4,'Type Chart'!$A$5:$A$19,0),MATCH($D134,'Type Chart'!$B$4:$P$4,0)))</f>
        <v>1</v>
      </c>
      <c r="K134" s="21" t="n">
        <f aca="false">INDEX('Type Chart'!$B$5:$P$19,MATCH(K$4,'Type Chart'!$A$5:$A$19,0),MATCH($C134,'Type Chart'!$B$4:$P$4,0))*IF($D134="",1,INDEX('Type Chart'!$B$5:$P$19,MATCH(K$4,'Type Chart'!$A$5:$A$19,0),MATCH($D134,'Type Chart'!$B$4:$P$4,0)))</f>
        <v>0.5</v>
      </c>
      <c r="L134" s="21" t="n">
        <f aca="false">INDEX('Type Chart'!$B$5:$P$19,MATCH(L$4,'Type Chart'!$A$5:$A$19,0),MATCH($C134,'Type Chart'!$B$4:$P$4,0))*IF($D134="",1,INDEX('Type Chart'!$B$5:$P$19,MATCH(L$4,'Type Chart'!$A$5:$A$19,0),MATCH($D134,'Type Chart'!$B$4:$P$4,0)))</f>
        <v>1</v>
      </c>
      <c r="M134" s="21" t="n">
        <f aca="false">INDEX('Type Chart'!$B$5:$P$19,MATCH(M$4,'Type Chart'!$A$5:$A$19,0),MATCH($C134,'Type Chart'!$B$4:$P$4,0))*IF($D134="",1,INDEX('Type Chart'!$B$5:$P$19,MATCH(M$4,'Type Chart'!$A$5:$A$19,0),MATCH($D134,'Type Chart'!$B$4:$P$4,0)))</f>
        <v>0</v>
      </c>
      <c r="N134" s="21" t="n">
        <f aca="false">INDEX('Type Chart'!$B$5:$P$19,MATCH(N$4,'Type Chart'!$A$5:$A$19,0),MATCH($C134,'Type Chart'!$B$4:$P$4,0))*IF($D134="",1,INDEX('Type Chart'!$B$5:$P$19,MATCH(N$4,'Type Chart'!$A$5:$A$19,0),MATCH($D134,'Type Chart'!$B$4:$P$4,0)))</f>
        <v>1</v>
      </c>
      <c r="O134" s="21" t="n">
        <f aca="false">INDEX('Type Chart'!$B$5:$P$19,MATCH(O$4,'Type Chart'!$A$5:$A$19,0),MATCH($C134,'Type Chart'!$B$4:$P$4,0))*IF($D134="",1,INDEX('Type Chart'!$B$5:$P$19,MATCH(O$4,'Type Chart'!$A$5:$A$19,0),MATCH($D134,'Type Chart'!$B$4:$P$4,0)))</f>
        <v>1</v>
      </c>
      <c r="P134" s="21" t="n">
        <f aca="false">INDEX('Type Chart'!$B$5:$P$19,MATCH(P$4,'Type Chart'!$A$5:$A$19,0),MATCH($C134,'Type Chart'!$B$4:$P$4,0))*IF($D134="",1,INDEX('Type Chart'!$B$5:$P$19,MATCH(P$4,'Type Chart'!$A$5:$A$19,0),MATCH($D134,'Type Chart'!$B$4:$P$4,0)))</f>
        <v>0.5</v>
      </c>
      <c r="Q134" s="21" t="n">
        <f aca="false">INDEX('Type Chart'!$B$5:$P$19,MATCH(Q$4,'Type Chart'!$A$5:$A$19,0),MATCH($C134,'Type Chart'!$B$4:$P$4,0))*IF($D134="",1,INDEX('Type Chart'!$B$5:$P$19,MATCH(Q$4,'Type Chart'!$A$5:$A$19,0),MATCH($D134,'Type Chart'!$B$4:$P$4,0)))</f>
        <v>2</v>
      </c>
      <c r="R134" s="21" t="n">
        <f aca="false">INDEX('Type Chart'!$B$5:$P$19,MATCH(R$4,'Type Chart'!$A$5:$A$19,0),MATCH($C134,'Type Chart'!$B$4:$P$4,0))*IF($D134="",1,INDEX('Type Chart'!$B$5:$P$19,MATCH(R$4,'Type Chart'!$A$5:$A$19,0),MATCH($D134,'Type Chart'!$B$4:$P$4,0)))</f>
        <v>1</v>
      </c>
      <c r="S134" s="21" t="n">
        <f aca="false">INDEX('Type Chart'!$B$5:$P$19,MATCH(S$4,'Type Chart'!$A$5:$A$19,0),MATCH($C134,'Type Chart'!$B$4:$P$4,0))*IF($D134="",1,INDEX('Type Chart'!$B$5:$P$19,MATCH(S$4,'Type Chart'!$A$5:$A$19,0),MATCH($D134,'Type Chart'!$B$4:$P$4,0)))</f>
        <v>1</v>
      </c>
    </row>
    <row r="135" customFormat="false" ht="15" hidden="false" customHeight="false" outlineLevel="0" collapsed="false">
      <c r="A135" s="19" t="n">
        <v>131</v>
      </c>
      <c r="B135" s="19" t="s">
        <v>222</v>
      </c>
      <c r="C135" s="20" t="str">
        <f aca="false">Pokedex!C135</f>
        <v>Water</v>
      </c>
      <c r="D135" s="20" t="str">
        <f aca="false">Pokedex!D135</f>
        <v>Ice</v>
      </c>
      <c r="E135" s="21" t="n">
        <f aca="false">INDEX('Type Chart'!$B$5:$P$19,MATCH(E$4,'Type Chart'!$A$5:$A$19,0),MATCH($C135,'Type Chart'!$B$4:$P$4,0))*IF($D135="",1,INDEX('Type Chart'!$B$5:$P$19,MATCH(E$4,'Type Chart'!$A$5:$A$19,0),MATCH($D135,'Type Chart'!$B$4:$P$4,0)))</f>
        <v>1</v>
      </c>
      <c r="F135" s="21" t="n">
        <f aca="false">INDEX('Type Chart'!$B$5:$P$19,MATCH(F$4,'Type Chart'!$A$5:$A$19,0),MATCH($C135,'Type Chart'!$B$4:$P$4,0))*IF($D135="",1,INDEX('Type Chart'!$B$5:$P$19,MATCH(F$4,'Type Chart'!$A$5:$A$19,0),MATCH($D135,'Type Chart'!$B$4:$P$4,0)))</f>
        <v>1</v>
      </c>
      <c r="G135" s="21" t="n">
        <f aca="false">INDEX('Type Chart'!$B$5:$P$19,MATCH(G$4,'Type Chart'!$A$5:$A$19,0),MATCH($C135,'Type Chart'!$B$4:$P$4,0))*IF($D135="",1,INDEX('Type Chart'!$B$5:$P$19,MATCH(G$4,'Type Chart'!$A$5:$A$19,0),MATCH($D135,'Type Chart'!$B$4:$P$4,0)))</f>
        <v>0.5</v>
      </c>
      <c r="H135" s="21" t="n">
        <f aca="false">INDEX('Type Chart'!$B$5:$P$19,MATCH(H$4,'Type Chart'!$A$5:$A$19,0),MATCH($C135,'Type Chart'!$B$4:$P$4,0))*IF($D135="",1,INDEX('Type Chart'!$B$5:$P$19,MATCH(H$4,'Type Chart'!$A$5:$A$19,0),MATCH($D135,'Type Chart'!$B$4:$P$4,0)))</f>
        <v>2</v>
      </c>
      <c r="I135" s="21" t="n">
        <f aca="false">INDEX('Type Chart'!$B$5:$P$19,MATCH(I$4,'Type Chart'!$A$5:$A$19,0),MATCH($C135,'Type Chart'!$B$4:$P$4,0))*IF($D135="",1,INDEX('Type Chart'!$B$5:$P$19,MATCH(I$4,'Type Chart'!$A$5:$A$19,0),MATCH($D135,'Type Chart'!$B$4:$P$4,0)))</f>
        <v>2</v>
      </c>
      <c r="J135" s="21" t="n">
        <f aca="false">INDEX('Type Chart'!$B$5:$P$19,MATCH(J$4,'Type Chart'!$A$5:$A$19,0),MATCH($C135,'Type Chart'!$B$4:$P$4,0))*IF($D135="",1,INDEX('Type Chart'!$B$5:$P$19,MATCH(J$4,'Type Chart'!$A$5:$A$19,0),MATCH($D135,'Type Chart'!$B$4:$P$4,0)))</f>
        <v>0.25</v>
      </c>
      <c r="K135" s="21" t="n">
        <f aca="false">INDEX('Type Chart'!$B$5:$P$19,MATCH(K$4,'Type Chart'!$A$5:$A$19,0),MATCH($C135,'Type Chart'!$B$4:$P$4,0))*IF($D135="",1,INDEX('Type Chart'!$B$5:$P$19,MATCH(K$4,'Type Chart'!$A$5:$A$19,0),MATCH($D135,'Type Chart'!$B$4:$P$4,0)))</f>
        <v>2</v>
      </c>
      <c r="L135" s="21" t="n">
        <f aca="false">INDEX('Type Chart'!$B$5:$P$19,MATCH(L$4,'Type Chart'!$A$5:$A$19,0),MATCH($C135,'Type Chart'!$B$4:$P$4,0))*IF($D135="",1,INDEX('Type Chart'!$B$5:$P$19,MATCH(L$4,'Type Chart'!$A$5:$A$19,0),MATCH($D135,'Type Chart'!$B$4:$P$4,0)))</f>
        <v>1</v>
      </c>
      <c r="M135" s="21" t="n">
        <f aca="false">INDEX('Type Chart'!$B$5:$P$19,MATCH(M$4,'Type Chart'!$A$5:$A$19,0),MATCH($C135,'Type Chart'!$B$4:$P$4,0))*IF($D135="",1,INDEX('Type Chart'!$B$5:$P$19,MATCH(M$4,'Type Chart'!$A$5:$A$19,0),MATCH($D135,'Type Chart'!$B$4:$P$4,0)))</f>
        <v>1</v>
      </c>
      <c r="N135" s="21" t="n">
        <f aca="false">INDEX('Type Chart'!$B$5:$P$19,MATCH(N$4,'Type Chart'!$A$5:$A$19,0),MATCH($C135,'Type Chart'!$B$4:$P$4,0))*IF($D135="",1,INDEX('Type Chart'!$B$5:$P$19,MATCH(N$4,'Type Chart'!$A$5:$A$19,0),MATCH($D135,'Type Chart'!$B$4:$P$4,0)))</f>
        <v>1</v>
      </c>
      <c r="O135" s="21" t="n">
        <f aca="false">INDEX('Type Chart'!$B$5:$P$19,MATCH(O$4,'Type Chart'!$A$5:$A$19,0),MATCH($C135,'Type Chart'!$B$4:$P$4,0))*IF($D135="",1,INDEX('Type Chart'!$B$5:$P$19,MATCH(O$4,'Type Chart'!$A$5:$A$19,0),MATCH($D135,'Type Chart'!$B$4:$P$4,0)))</f>
        <v>1</v>
      </c>
      <c r="P135" s="21" t="n">
        <f aca="false">INDEX('Type Chart'!$B$5:$P$19,MATCH(P$4,'Type Chart'!$A$5:$A$19,0),MATCH($C135,'Type Chart'!$B$4:$P$4,0))*IF($D135="",1,INDEX('Type Chart'!$B$5:$P$19,MATCH(P$4,'Type Chart'!$A$5:$A$19,0),MATCH($D135,'Type Chart'!$B$4:$P$4,0)))</f>
        <v>1</v>
      </c>
      <c r="Q135" s="21" t="n">
        <f aca="false">INDEX('Type Chart'!$B$5:$P$19,MATCH(Q$4,'Type Chart'!$A$5:$A$19,0),MATCH($C135,'Type Chart'!$B$4:$P$4,0))*IF($D135="",1,INDEX('Type Chart'!$B$5:$P$19,MATCH(Q$4,'Type Chart'!$A$5:$A$19,0),MATCH($D135,'Type Chart'!$B$4:$P$4,0)))</f>
        <v>2</v>
      </c>
      <c r="R135" s="21" t="n">
        <f aca="false">INDEX('Type Chart'!$B$5:$P$19,MATCH(R$4,'Type Chart'!$A$5:$A$19,0),MATCH($C135,'Type Chart'!$B$4:$P$4,0))*IF($D135="",1,INDEX('Type Chart'!$B$5:$P$19,MATCH(R$4,'Type Chart'!$A$5:$A$19,0),MATCH($D135,'Type Chart'!$B$4:$P$4,0)))</f>
        <v>1</v>
      </c>
      <c r="S135" s="21" t="n">
        <f aca="false">INDEX('Type Chart'!$B$5:$P$19,MATCH(S$4,'Type Chart'!$A$5:$A$19,0),MATCH($C135,'Type Chart'!$B$4:$P$4,0))*IF($D135="",1,INDEX('Type Chart'!$B$5:$P$19,MATCH(S$4,'Type Chart'!$A$5:$A$19,0),MATCH($D135,'Type Chart'!$B$4:$P$4,0)))</f>
        <v>1</v>
      </c>
    </row>
    <row r="136" customFormat="false" ht="15" hidden="false" customHeight="false" outlineLevel="0" collapsed="false">
      <c r="A136" s="19" t="n">
        <v>132</v>
      </c>
      <c r="B136" s="19" t="s">
        <v>223</v>
      </c>
      <c r="C136" s="20" t="str">
        <f aca="false">Pokedex!C136</f>
        <v>Normal</v>
      </c>
      <c r="D136" s="20" t="n">
        <f aca="false">Pokedex!D136</f>
        <v>0</v>
      </c>
      <c r="E136" s="21" t="n">
        <f aca="false">INDEX('Type Chart'!$B$5:$P$19,MATCH(E$4,'Type Chart'!$A$5:$A$19,0),MATCH($C136,'Type Chart'!$B$4:$P$4,0))*IF($D136="",1,INDEX('Type Chart'!$B$5:$P$19,MATCH(E$4,'Type Chart'!$A$5:$A$19,0),MATCH($D136,'Type Chart'!$B$4:$P$4,0)))</f>
        <v>1</v>
      </c>
      <c r="F136" s="21" t="n">
        <f aca="false">INDEX('Type Chart'!$B$5:$P$19,MATCH(F$4,'Type Chart'!$A$5:$A$19,0),MATCH($C136,'Type Chart'!$B$4:$P$4,0))*IF($D136="",1,INDEX('Type Chart'!$B$5:$P$19,MATCH(F$4,'Type Chart'!$A$5:$A$19,0),MATCH($D136,'Type Chart'!$B$4:$P$4,0)))</f>
        <v>1</v>
      </c>
      <c r="G136" s="21" t="n">
        <f aca="false">INDEX('Type Chart'!$B$5:$P$19,MATCH(G$4,'Type Chart'!$A$5:$A$19,0),MATCH($C136,'Type Chart'!$B$4:$P$4,0))*IF($D136="",1,INDEX('Type Chart'!$B$5:$P$19,MATCH(G$4,'Type Chart'!$A$5:$A$19,0),MATCH($D136,'Type Chart'!$B$4:$P$4,0)))</f>
        <v>1</v>
      </c>
      <c r="H136" s="21" t="n">
        <f aca="false">INDEX('Type Chart'!$B$5:$P$19,MATCH(H$4,'Type Chart'!$A$5:$A$19,0),MATCH($C136,'Type Chart'!$B$4:$P$4,0))*IF($D136="",1,INDEX('Type Chart'!$B$5:$P$19,MATCH(H$4,'Type Chart'!$A$5:$A$19,0),MATCH($D136,'Type Chart'!$B$4:$P$4,0)))</f>
        <v>1</v>
      </c>
      <c r="I136" s="21" t="n">
        <f aca="false">INDEX('Type Chart'!$B$5:$P$19,MATCH(I$4,'Type Chart'!$A$5:$A$19,0),MATCH($C136,'Type Chart'!$B$4:$P$4,0))*IF($D136="",1,INDEX('Type Chart'!$B$5:$P$19,MATCH(I$4,'Type Chart'!$A$5:$A$19,0),MATCH($D136,'Type Chart'!$B$4:$P$4,0)))</f>
        <v>1</v>
      </c>
      <c r="J136" s="21" t="n">
        <f aca="false">INDEX('Type Chart'!$B$5:$P$19,MATCH(J$4,'Type Chart'!$A$5:$A$19,0),MATCH($C136,'Type Chart'!$B$4:$P$4,0))*IF($D136="",1,INDEX('Type Chart'!$B$5:$P$19,MATCH(J$4,'Type Chart'!$A$5:$A$19,0),MATCH($D136,'Type Chart'!$B$4:$P$4,0)))</f>
        <v>1</v>
      </c>
      <c r="K136" s="21" t="n">
        <f aca="false">INDEX('Type Chart'!$B$5:$P$19,MATCH(K$4,'Type Chart'!$A$5:$A$19,0),MATCH($C136,'Type Chart'!$B$4:$P$4,0))*IF($D136="",1,INDEX('Type Chart'!$B$5:$P$19,MATCH(K$4,'Type Chart'!$A$5:$A$19,0),MATCH($D136,'Type Chart'!$B$4:$P$4,0)))</f>
        <v>2</v>
      </c>
      <c r="L136" s="21" t="n">
        <f aca="false">INDEX('Type Chart'!$B$5:$P$19,MATCH(L$4,'Type Chart'!$A$5:$A$19,0),MATCH($C136,'Type Chart'!$B$4:$P$4,0))*IF($D136="",1,INDEX('Type Chart'!$B$5:$P$19,MATCH(L$4,'Type Chart'!$A$5:$A$19,0),MATCH($D136,'Type Chart'!$B$4:$P$4,0)))</f>
        <v>1</v>
      </c>
      <c r="M136" s="21" t="n">
        <f aca="false">INDEX('Type Chart'!$B$5:$P$19,MATCH(M$4,'Type Chart'!$A$5:$A$19,0),MATCH($C136,'Type Chart'!$B$4:$P$4,0))*IF($D136="",1,INDEX('Type Chart'!$B$5:$P$19,MATCH(M$4,'Type Chart'!$A$5:$A$19,0),MATCH($D136,'Type Chart'!$B$4:$P$4,0)))</f>
        <v>1</v>
      </c>
      <c r="N136" s="21" t="n">
        <f aca="false">INDEX('Type Chart'!$B$5:$P$19,MATCH(N$4,'Type Chart'!$A$5:$A$19,0),MATCH($C136,'Type Chart'!$B$4:$P$4,0))*IF($D136="",1,INDEX('Type Chart'!$B$5:$P$19,MATCH(N$4,'Type Chart'!$A$5:$A$19,0),MATCH($D136,'Type Chart'!$B$4:$P$4,0)))</f>
        <v>1</v>
      </c>
      <c r="O136" s="21" t="n">
        <f aca="false">INDEX('Type Chart'!$B$5:$P$19,MATCH(O$4,'Type Chart'!$A$5:$A$19,0),MATCH($C136,'Type Chart'!$B$4:$P$4,0))*IF($D136="",1,INDEX('Type Chart'!$B$5:$P$19,MATCH(O$4,'Type Chart'!$A$5:$A$19,0),MATCH($D136,'Type Chart'!$B$4:$P$4,0)))</f>
        <v>1</v>
      </c>
      <c r="P136" s="21" t="n">
        <f aca="false">INDEX('Type Chart'!$B$5:$P$19,MATCH(P$4,'Type Chart'!$A$5:$A$19,0),MATCH($C136,'Type Chart'!$B$4:$P$4,0))*IF($D136="",1,INDEX('Type Chart'!$B$5:$P$19,MATCH(P$4,'Type Chart'!$A$5:$A$19,0),MATCH($D136,'Type Chart'!$B$4:$P$4,0)))</f>
        <v>1</v>
      </c>
      <c r="Q136" s="21" t="n">
        <f aca="false">INDEX('Type Chart'!$B$5:$P$19,MATCH(Q$4,'Type Chart'!$A$5:$A$19,0),MATCH($C136,'Type Chart'!$B$4:$P$4,0))*IF($D136="",1,INDEX('Type Chart'!$B$5:$P$19,MATCH(Q$4,'Type Chart'!$A$5:$A$19,0),MATCH($D136,'Type Chart'!$B$4:$P$4,0)))</f>
        <v>1</v>
      </c>
      <c r="R136" s="21" t="n">
        <f aca="false">INDEX('Type Chart'!$B$5:$P$19,MATCH(R$4,'Type Chart'!$A$5:$A$19,0),MATCH($C136,'Type Chart'!$B$4:$P$4,0))*IF($D136="",1,INDEX('Type Chart'!$B$5:$P$19,MATCH(R$4,'Type Chart'!$A$5:$A$19,0),MATCH($D136,'Type Chart'!$B$4:$P$4,0)))</f>
        <v>0</v>
      </c>
      <c r="S136" s="21" t="n">
        <f aca="false">INDEX('Type Chart'!$B$5:$P$19,MATCH(S$4,'Type Chart'!$A$5:$A$19,0),MATCH($C136,'Type Chart'!$B$4:$P$4,0))*IF($D136="",1,INDEX('Type Chart'!$B$5:$P$19,MATCH(S$4,'Type Chart'!$A$5:$A$19,0),MATCH($D136,'Type Chart'!$B$4:$P$4,0)))</f>
        <v>1</v>
      </c>
    </row>
    <row r="137" customFormat="false" ht="15" hidden="false" customHeight="false" outlineLevel="0" collapsed="false">
      <c r="A137" s="19" t="n">
        <v>133</v>
      </c>
      <c r="B137" s="19" t="s">
        <v>224</v>
      </c>
      <c r="C137" s="20" t="str">
        <f aca="false">Pokedex!C137</f>
        <v>Normal</v>
      </c>
      <c r="D137" s="20" t="n">
        <f aca="false">Pokedex!D137</f>
        <v>0</v>
      </c>
      <c r="E137" s="21" t="n">
        <f aca="false">INDEX('Type Chart'!$B$5:$P$19,MATCH(E$4,'Type Chart'!$A$5:$A$19,0),MATCH($C137,'Type Chart'!$B$4:$P$4,0))*IF($D137="",1,INDEX('Type Chart'!$B$5:$P$19,MATCH(E$4,'Type Chart'!$A$5:$A$19,0),MATCH($D137,'Type Chart'!$B$4:$P$4,0)))</f>
        <v>1</v>
      </c>
      <c r="F137" s="21" t="n">
        <f aca="false">INDEX('Type Chart'!$B$5:$P$19,MATCH(F$4,'Type Chart'!$A$5:$A$19,0),MATCH($C137,'Type Chart'!$B$4:$P$4,0))*IF($D137="",1,INDEX('Type Chart'!$B$5:$P$19,MATCH(F$4,'Type Chart'!$A$5:$A$19,0),MATCH($D137,'Type Chart'!$B$4:$P$4,0)))</f>
        <v>1</v>
      </c>
      <c r="G137" s="21" t="n">
        <f aca="false">INDEX('Type Chart'!$B$5:$P$19,MATCH(G$4,'Type Chart'!$A$5:$A$19,0),MATCH($C137,'Type Chart'!$B$4:$P$4,0))*IF($D137="",1,INDEX('Type Chart'!$B$5:$P$19,MATCH(G$4,'Type Chart'!$A$5:$A$19,0),MATCH($D137,'Type Chart'!$B$4:$P$4,0)))</f>
        <v>1</v>
      </c>
      <c r="H137" s="21" t="n">
        <f aca="false">INDEX('Type Chart'!$B$5:$P$19,MATCH(H$4,'Type Chart'!$A$5:$A$19,0),MATCH($C137,'Type Chart'!$B$4:$P$4,0))*IF($D137="",1,INDEX('Type Chart'!$B$5:$P$19,MATCH(H$4,'Type Chart'!$A$5:$A$19,0),MATCH($D137,'Type Chart'!$B$4:$P$4,0)))</f>
        <v>1</v>
      </c>
      <c r="I137" s="21" t="n">
        <f aca="false">INDEX('Type Chart'!$B$5:$P$19,MATCH(I$4,'Type Chart'!$A$5:$A$19,0),MATCH($C137,'Type Chart'!$B$4:$P$4,0))*IF($D137="",1,INDEX('Type Chart'!$B$5:$P$19,MATCH(I$4,'Type Chart'!$A$5:$A$19,0),MATCH($D137,'Type Chart'!$B$4:$P$4,0)))</f>
        <v>1</v>
      </c>
      <c r="J137" s="21" t="n">
        <f aca="false">INDEX('Type Chart'!$B$5:$P$19,MATCH(J$4,'Type Chart'!$A$5:$A$19,0),MATCH($C137,'Type Chart'!$B$4:$P$4,0))*IF($D137="",1,INDEX('Type Chart'!$B$5:$P$19,MATCH(J$4,'Type Chart'!$A$5:$A$19,0),MATCH($D137,'Type Chart'!$B$4:$P$4,0)))</f>
        <v>1</v>
      </c>
      <c r="K137" s="21" t="n">
        <f aca="false">INDEX('Type Chart'!$B$5:$P$19,MATCH(K$4,'Type Chart'!$A$5:$A$19,0),MATCH($C137,'Type Chart'!$B$4:$P$4,0))*IF($D137="",1,INDEX('Type Chart'!$B$5:$P$19,MATCH(K$4,'Type Chart'!$A$5:$A$19,0),MATCH($D137,'Type Chart'!$B$4:$P$4,0)))</f>
        <v>2</v>
      </c>
      <c r="L137" s="21" t="n">
        <f aca="false">INDEX('Type Chart'!$B$5:$P$19,MATCH(L$4,'Type Chart'!$A$5:$A$19,0),MATCH($C137,'Type Chart'!$B$4:$P$4,0))*IF($D137="",1,INDEX('Type Chart'!$B$5:$P$19,MATCH(L$4,'Type Chart'!$A$5:$A$19,0),MATCH($D137,'Type Chart'!$B$4:$P$4,0)))</f>
        <v>1</v>
      </c>
      <c r="M137" s="21" t="n">
        <f aca="false">INDEX('Type Chart'!$B$5:$P$19,MATCH(M$4,'Type Chart'!$A$5:$A$19,0),MATCH($C137,'Type Chart'!$B$4:$P$4,0))*IF($D137="",1,INDEX('Type Chart'!$B$5:$P$19,MATCH(M$4,'Type Chart'!$A$5:$A$19,0),MATCH($D137,'Type Chart'!$B$4:$P$4,0)))</f>
        <v>1</v>
      </c>
      <c r="N137" s="21" t="n">
        <f aca="false">INDEX('Type Chart'!$B$5:$P$19,MATCH(N$4,'Type Chart'!$A$5:$A$19,0),MATCH($C137,'Type Chart'!$B$4:$P$4,0))*IF($D137="",1,INDEX('Type Chart'!$B$5:$P$19,MATCH(N$4,'Type Chart'!$A$5:$A$19,0),MATCH($D137,'Type Chart'!$B$4:$P$4,0)))</f>
        <v>1</v>
      </c>
      <c r="O137" s="21" t="n">
        <f aca="false">INDEX('Type Chart'!$B$5:$P$19,MATCH(O$4,'Type Chart'!$A$5:$A$19,0),MATCH($C137,'Type Chart'!$B$4:$P$4,0))*IF($D137="",1,INDEX('Type Chart'!$B$5:$P$19,MATCH(O$4,'Type Chart'!$A$5:$A$19,0),MATCH($D137,'Type Chart'!$B$4:$P$4,0)))</f>
        <v>1</v>
      </c>
      <c r="P137" s="21" t="n">
        <f aca="false">INDEX('Type Chart'!$B$5:$P$19,MATCH(P$4,'Type Chart'!$A$5:$A$19,0),MATCH($C137,'Type Chart'!$B$4:$P$4,0))*IF($D137="",1,INDEX('Type Chart'!$B$5:$P$19,MATCH(P$4,'Type Chart'!$A$5:$A$19,0),MATCH($D137,'Type Chart'!$B$4:$P$4,0)))</f>
        <v>1</v>
      </c>
      <c r="Q137" s="21" t="n">
        <f aca="false">INDEX('Type Chart'!$B$5:$P$19,MATCH(Q$4,'Type Chart'!$A$5:$A$19,0),MATCH($C137,'Type Chart'!$B$4:$P$4,0))*IF($D137="",1,INDEX('Type Chart'!$B$5:$P$19,MATCH(Q$4,'Type Chart'!$A$5:$A$19,0),MATCH($D137,'Type Chart'!$B$4:$P$4,0)))</f>
        <v>1</v>
      </c>
      <c r="R137" s="21" t="n">
        <f aca="false">INDEX('Type Chart'!$B$5:$P$19,MATCH(R$4,'Type Chart'!$A$5:$A$19,0),MATCH($C137,'Type Chart'!$B$4:$P$4,0))*IF($D137="",1,INDEX('Type Chart'!$B$5:$P$19,MATCH(R$4,'Type Chart'!$A$5:$A$19,0),MATCH($D137,'Type Chart'!$B$4:$P$4,0)))</f>
        <v>0</v>
      </c>
      <c r="S137" s="21" t="n">
        <f aca="false">INDEX('Type Chart'!$B$5:$P$19,MATCH(S$4,'Type Chart'!$A$5:$A$19,0),MATCH($C137,'Type Chart'!$B$4:$P$4,0))*IF($D137="",1,INDEX('Type Chart'!$B$5:$P$19,MATCH(S$4,'Type Chart'!$A$5:$A$19,0),MATCH($D137,'Type Chart'!$B$4:$P$4,0)))</f>
        <v>1</v>
      </c>
    </row>
    <row r="138" customFormat="false" ht="15" hidden="false" customHeight="false" outlineLevel="0" collapsed="false">
      <c r="A138" s="19" t="n">
        <v>134</v>
      </c>
      <c r="B138" s="19" t="s">
        <v>225</v>
      </c>
      <c r="C138" s="20" t="str">
        <f aca="false">Pokedex!C138</f>
        <v>Water</v>
      </c>
      <c r="D138" s="20" t="n">
        <f aca="false">Pokedex!D138</f>
        <v>0</v>
      </c>
      <c r="E138" s="21" t="n">
        <f aca="false">INDEX('Type Chart'!$B$5:$P$19,MATCH(E$4,'Type Chart'!$A$5:$A$19,0),MATCH($C138,'Type Chart'!$B$4:$P$4,0))*IF($D138="",1,INDEX('Type Chart'!$B$5:$P$19,MATCH(E$4,'Type Chart'!$A$5:$A$19,0),MATCH($D138,'Type Chart'!$B$4:$P$4,0)))</f>
        <v>1</v>
      </c>
      <c r="F138" s="21" t="n">
        <f aca="false">INDEX('Type Chart'!$B$5:$P$19,MATCH(F$4,'Type Chart'!$A$5:$A$19,0),MATCH($C138,'Type Chart'!$B$4:$P$4,0))*IF($D138="",1,INDEX('Type Chart'!$B$5:$P$19,MATCH(F$4,'Type Chart'!$A$5:$A$19,0),MATCH($D138,'Type Chart'!$B$4:$P$4,0)))</f>
        <v>0.5</v>
      </c>
      <c r="G138" s="21" t="n">
        <f aca="false">INDEX('Type Chart'!$B$5:$P$19,MATCH(G$4,'Type Chart'!$A$5:$A$19,0),MATCH($C138,'Type Chart'!$B$4:$P$4,0))*IF($D138="",1,INDEX('Type Chart'!$B$5:$P$19,MATCH(G$4,'Type Chart'!$A$5:$A$19,0),MATCH($D138,'Type Chart'!$B$4:$P$4,0)))</f>
        <v>0.5</v>
      </c>
      <c r="H138" s="21" t="n">
        <f aca="false">INDEX('Type Chart'!$B$5:$P$19,MATCH(H$4,'Type Chart'!$A$5:$A$19,0),MATCH($C138,'Type Chart'!$B$4:$P$4,0))*IF($D138="",1,INDEX('Type Chart'!$B$5:$P$19,MATCH(H$4,'Type Chart'!$A$5:$A$19,0),MATCH($D138,'Type Chart'!$B$4:$P$4,0)))</f>
        <v>2</v>
      </c>
      <c r="I138" s="21" t="n">
        <f aca="false">INDEX('Type Chart'!$B$5:$P$19,MATCH(I$4,'Type Chart'!$A$5:$A$19,0),MATCH($C138,'Type Chart'!$B$4:$P$4,0))*IF($D138="",1,INDEX('Type Chart'!$B$5:$P$19,MATCH(I$4,'Type Chart'!$A$5:$A$19,0),MATCH($D138,'Type Chart'!$B$4:$P$4,0)))</f>
        <v>2</v>
      </c>
      <c r="J138" s="21" t="n">
        <f aca="false">INDEX('Type Chart'!$B$5:$P$19,MATCH(J$4,'Type Chart'!$A$5:$A$19,0),MATCH($C138,'Type Chart'!$B$4:$P$4,0))*IF($D138="",1,INDEX('Type Chart'!$B$5:$P$19,MATCH(J$4,'Type Chart'!$A$5:$A$19,0),MATCH($D138,'Type Chart'!$B$4:$P$4,0)))</f>
        <v>0.5</v>
      </c>
      <c r="K138" s="21" t="n">
        <f aca="false">INDEX('Type Chart'!$B$5:$P$19,MATCH(K$4,'Type Chart'!$A$5:$A$19,0),MATCH($C138,'Type Chart'!$B$4:$P$4,0))*IF($D138="",1,INDEX('Type Chart'!$B$5:$P$19,MATCH(K$4,'Type Chart'!$A$5:$A$19,0),MATCH($D138,'Type Chart'!$B$4:$P$4,0)))</f>
        <v>1</v>
      </c>
      <c r="L138" s="21" t="n">
        <f aca="false">INDEX('Type Chart'!$B$5:$P$19,MATCH(L$4,'Type Chart'!$A$5:$A$19,0),MATCH($C138,'Type Chart'!$B$4:$P$4,0))*IF($D138="",1,INDEX('Type Chart'!$B$5:$P$19,MATCH(L$4,'Type Chart'!$A$5:$A$19,0),MATCH($D138,'Type Chart'!$B$4:$P$4,0)))</f>
        <v>1</v>
      </c>
      <c r="M138" s="21" t="n">
        <f aca="false">INDEX('Type Chart'!$B$5:$P$19,MATCH(M$4,'Type Chart'!$A$5:$A$19,0),MATCH($C138,'Type Chart'!$B$4:$P$4,0))*IF($D138="",1,INDEX('Type Chart'!$B$5:$P$19,MATCH(M$4,'Type Chart'!$A$5:$A$19,0),MATCH($D138,'Type Chart'!$B$4:$P$4,0)))</f>
        <v>1</v>
      </c>
      <c r="N138" s="21" t="n">
        <f aca="false">INDEX('Type Chart'!$B$5:$P$19,MATCH(N$4,'Type Chart'!$A$5:$A$19,0),MATCH($C138,'Type Chart'!$B$4:$P$4,0))*IF($D138="",1,INDEX('Type Chart'!$B$5:$P$19,MATCH(N$4,'Type Chart'!$A$5:$A$19,0),MATCH($D138,'Type Chart'!$B$4:$P$4,0)))</f>
        <v>1</v>
      </c>
      <c r="O138" s="21" t="n">
        <f aca="false">INDEX('Type Chart'!$B$5:$P$19,MATCH(O$4,'Type Chart'!$A$5:$A$19,0),MATCH($C138,'Type Chart'!$B$4:$P$4,0))*IF($D138="",1,INDEX('Type Chart'!$B$5:$P$19,MATCH(O$4,'Type Chart'!$A$5:$A$19,0),MATCH($D138,'Type Chart'!$B$4:$P$4,0)))</f>
        <v>1</v>
      </c>
      <c r="P138" s="21" t="n">
        <f aca="false">INDEX('Type Chart'!$B$5:$P$19,MATCH(P$4,'Type Chart'!$A$5:$A$19,0),MATCH($C138,'Type Chart'!$B$4:$P$4,0))*IF($D138="",1,INDEX('Type Chart'!$B$5:$P$19,MATCH(P$4,'Type Chart'!$A$5:$A$19,0),MATCH($D138,'Type Chart'!$B$4:$P$4,0)))</f>
        <v>1</v>
      </c>
      <c r="Q138" s="21" t="n">
        <f aca="false">INDEX('Type Chart'!$B$5:$P$19,MATCH(Q$4,'Type Chart'!$A$5:$A$19,0),MATCH($C138,'Type Chart'!$B$4:$P$4,0))*IF($D138="",1,INDEX('Type Chart'!$B$5:$P$19,MATCH(Q$4,'Type Chart'!$A$5:$A$19,0),MATCH($D138,'Type Chart'!$B$4:$P$4,0)))</f>
        <v>1</v>
      </c>
      <c r="R138" s="21" t="n">
        <f aca="false">INDEX('Type Chart'!$B$5:$P$19,MATCH(R$4,'Type Chart'!$A$5:$A$19,0),MATCH($C138,'Type Chart'!$B$4:$P$4,0))*IF($D138="",1,INDEX('Type Chart'!$B$5:$P$19,MATCH(R$4,'Type Chart'!$A$5:$A$19,0),MATCH($D138,'Type Chart'!$B$4:$P$4,0)))</f>
        <v>1</v>
      </c>
      <c r="S138" s="21" t="n">
        <f aca="false">INDEX('Type Chart'!$B$5:$P$19,MATCH(S$4,'Type Chart'!$A$5:$A$19,0),MATCH($C138,'Type Chart'!$B$4:$P$4,0))*IF($D138="",1,INDEX('Type Chart'!$B$5:$P$19,MATCH(S$4,'Type Chart'!$A$5:$A$19,0),MATCH($D138,'Type Chart'!$B$4:$P$4,0)))</f>
        <v>1</v>
      </c>
    </row>
    <row r="139" customFormat="false" ht="15" hidden="false" customHeight="false" outlineLevel="0" collapsed="false">
      <c r="A139" s="19" t="n">
        <v>135</v>
      </c>
      <c r="B139" s="19" t="s">
        <v>226</v>
      </c>
      <c r="C139" s="20" t="str">
        <f aca="false">Pokedex!C139</f>
        <v>Electric</v>
      </c>
      <c r="D139" s="20" t="n">
        <f aca="false">Pokedex!D139</f>
        <v>0</v>
      </c>
      <c r="E139" s="21" t="n">
        <f aca="false">INDEX('Type Chart'!$B$5:$P$19,MATCH(E$4,'Type Chart'!$A$5:$A$19,0),MATCH($C139,'Type Chart'!$B$4:$P$4,0))*IF($D139="",1,INDEX('Type Chart'!$B$5:$P$19,MATCH(E$4,'Type Chart'!$A$5:$A$19,0),MATCH($D139,'Type Chart'!$B$4:$P$4,0)))</f>
        <v>1</v>
      </c>
      <c r="F139" s="21" t="n">
        <f aca="false">INDEX('Type Chart'!$B$5:$P$19,MATCH(F$4,'Type Chart'!$A$5:$A$19,0),MATCH($C139,'Type Chart'!$B$4:$P$4,0))*IF($D139="",1,INDEX('Type Chart'!$B$5:$P$19,MATCH(F$4,'Type Chart'!$A$5:$A$19,0),MATCH($D139,'Type Chart'!$B$4:$P$4,0)))</f>
        <v>1</v>
      </c>
      <c r="G139" s="21" t="n">
        <f aca="false">INDEX('Type Chart'!$B$5:$P$19,MATCH(G$4,'Type Chart'!$A$5:$A$19,0),MATCH($C139,'Type Chart'!$B$4:$P$4,0))*IF($D139="",1,INDEX('Type Chart'!$B$5:$P$19,MATCH(G$4,'Type Chart'!$A$5:$A$19,0),MATCH($D139,'Type Chart'!$B$4:$P$4,0)))</f>
        <v>1</v>
      </c>
      <c r="H139" s="21" t="n">
        <f aca="false">INDEX('Type Chart'!$B$5:$P$19,MATCH(H$4,'Type Chart'!$A$5:$A$19,0),MATCH($C139,'Type Chart'!$B$4:$P$4,0))*IF($D139="",1,INDEX('Type Chart'!$B$5:$P$19,MATCH(H$4,'Type Chart'!$A$5:$A$19,0),MATCH($D139,'Type Chart'!$B$4:$P$4,0)))</f>
        <v>0.5</v>
      </c>
      <c r="I139" s="21" t="n">
        <f aca="false">INDEX('Type Chart'!$B$5:$P$19,MATCH(I$4,'Type Chart'!$A$5:$A$19,0),MATCH($C139,'Type Chart'!$B$4:$P$4,0))*IF($D139="",1,INDEX('Type Chart'!$B$5:$P$19,MATCH(I$4,'Type Chart'!$A$5:$A$19,0),MATCH($D139,'Type Chart'!$B$4:$P$4,0)))</f>
        <v>1</v>
      </c>
      <c r="J139" s="21" t="n">
        <f aca="false">INDEX('Type Chart'!$B$5:$P$19,MATCH(J$4,'Type Chart'!$A$5:$A$19,0),MATCH($C139,'Type Chart'!$B$4:$P$4,0))*IF($D139="",1,INDEX('Type Chart'!$B$5:$P$19,MATCH(J$4,'Type Chart'!$A$5:$A$19,0),MATCH($D139,'Type Chart'!$B$4:$P$4,0)))</f>
        <v>1</v>
      </c>
      <c r="K139" s="21" t="n">
        <f aca="false">INDEX('Type Chart'!$B$5:$P$19,MATCH(K$4,'Type Chart'!$A$5:$A$19,0),MATCH($C139,'Type Chart'!$B$4:$P$4,0))*IF($D139="",1,INDEX('Type Chart'!$B$5:$P$19,MATCH(K$4,'Type Chart'!$A$5:$A$19,0),MATCH($D139,'Type Chart'!$B$4:$P$4,0)))</f>
        <v>1</v>
      </c>
      <c r="L139" s="21" t="n">
        <f aca="false">INDEX('Type Chart'!$B$5:$P$19,MATCH(L$4,'Type Chart'!$A$5:$A$19,0),MATCH($C139,'Type Chart'!$B$4:$P$4,0))*IF($D139="",1,INDEX('Type Chart'!$B$5:$P$19,MATCH(L$4,'Type Chart'!$A$5:$A$19,0),MATCH($D139,'Type Chart'!$B$4:$P$4,0)))</f>
        <v>1</v>
      </c>
      <c r="M139" s="21" t="n">
        <f aca="false">INDEX('Type Chart'!$B$5:$P$19,MATCH(M$4,'Type Chart'!$A$5:$A$19,0),MATCH($C139,'Type Chart'!$B$4:$P$4,0))*IF($D139="",1,INDEX('Type Chart'!$B$5:$P$19,MATCH(M$4,'Type Chart'!$A$5:$A$19,0),MATCH($D139,'Type Chart'!$B$4:$P$4,0)))</f>
        <v>2</v>
      </c>
      <c r="N139" s="21" t="n">
        <f aca="false">INDEX('Type Chart'!$B$5:$P$19,MATCH(N$4,'Type Chart'!$A$5:$A$19,0),MATCH($C139,'Type Chart'!$B$4:$P$4,0))*IF($D139="",1,INDEX('Type Chart'!$B$5:$P$19,MATCH(N$4,'Type Chart'!$A$5:$A$19,0),MATCH($D139,'Type Chart'!$B$4:$P$4,0)))</f>
        <v>0.5</v>
      </c>
      <c r="O139" s="21" t="n">
        <f aca="false">INDEX('Type Chart'!$B$5:$P$19,MATCH(O$4,'Type Chart'!$A$5:$A$19,0),MATCH($C139,'Type Chart'!$B$4:$P$4,0))*IF($D139="",1,INDEX('Type Chart'!$B$5:$P$19,MATCH(O$4,'Type Chart'!$A$5:$A$19,0),MATCH($D139,'Type Chart'!$B$4:$P$4,0)))</f>
        <v>1</v>
      </c>
      <c r="P139" s="21" t="n">
        <f aca="false">INDEX('Type Chart'!$B$5:$P$19,MATCH(P$4,'Type Chart'!$A$5:$A$19,0),MATCH($C139,'Type Chart'!$B$4:$P$4,0))*IF($D139="",1,INDEX('Type Chart'!$B$5:$P$19,MATCH(P$4,'Type Chart'!$A$5:$A$19,0),MATCH($D139,'Type Chart'!$B$4:$P$4,0)))</f>
        <v>1</v>
      </c>
      <c r="Q139" s="21" t="n">
        <f aca="false">INDEX('Type Chart'!$B$5:$P$19,MATCH(Q$4,'Type Chart'!$A$5:$A$19,0),MATCH($C139,'Type Chart'!$B$4:$P$4,0))*IF($D139="",1,INDEX('Type Chart'!$B$5:$P$19,MATCH(Q$4,'Type Chart'!$A$5:$A$19,0),MATCH($D139,'Type Chart'!$B$4:$P$4,0)))</f>
        <v>1</v>
      </c>
      <c r="R139" s="21" t="n">
        <f aca="false">INDEX('Type Chart'!$B$5:$P$19,MATCH(R$4,'Type Chart'!$A$5:$A$19,0),MATCH($C139,'Type Chart'!$B$4:$P$4,0))*IF($D139="",1,INDEX('Type Chart'!$B$5:$P$19,MATCH(R$4,'Type Chart'!$A$5:$A$19,0),MATCH($D139,'Type Chart'!$B$4:$P$4,0)))</f>
        <v>1</v>
      </c>
      <c r="S139" s="21" t="n">
        <f aca="false">INDEX('Type Chart'!$B$5:$P$19,MATCH(S$4,'Type Chart'!$A$5:$A$19,0),MATCH($C139,'Type Chart'!$B$4:$P$4,0))*IF($D139="",1,INDEX('Type Chart'!$B$5:$P$19,MATCH(S$4,'Type Chart'!$A$5:$A$19,0),MATCH($D139,'Type Chart'!$B$4:$P$4,0)))</f>
        <v>1</v>
      </c>
    </row>
    <row r="140" customFormat="false" ht="15" hidden="false" customHeight="false" outlineLevel="0" collapsed="false">
      <c r="A140" s="19" t="n">
        <v>136</v>
      </c>
      <c r="B140" s="19" t="s">
        <v>227</v>
      </c>
      <c r="C140" s="20" t="str">
        <f aca="false">Pokedex!C140</f>
        <v>Fire</v>
      </c>
      <c r="D140" s="20" t="n">
        <f aca="false">Pokedex!D140</f>
        <v>0</v>
      </c>
      <c r="E140" s="21" t="n">
        <f aca="false">INDEX('Type Chart'!$B$5:$P$19,MATCH(E$4,'Type Chart'!$A$5:$A$19,0),MATCH($C140,'Type Chart'!$B$4:$P$4,0))*IF($D140="",1,INDEX('Type Chart'!$B$5:$P$19,MATCH(E$4,'Type Chart'!$A$5:$A$19,0),MATCH($D140,'Type Chart'!$B$4:$P$4,0)))</f>
        <v>1</v>
      </c>
      <c r="F140" s="21" t="n">
        <f aca="false">INDEX('Type Chart'!$B$5:$P$19,MATCH(F$4,'Type Chart'!$A$5:$A$19,0),MATCH($C140,'Type Chart'!$B$4:$P$4,0))*IF($D140="",1,INDEX('Type Chart'!$B$5:$P$19,MATCH(F$4,'Type Chart'!$A$5:$A$19,0),MATCH($D140,'Type Chart'!$B$4:$P$4,0)))</f>
        <v>0.5</v>
      </c>
      <c r="G140" s="21" t="n">
        <f aca="false">INDEX('Type Chart'!$B$5:$P$19,MATCH(G$4,'Type Chart'!$A$5:$A$19,0),MATCH($C140,'Type Chart'!$B$4:$P$4,0))*IF($D140="",1,INDEX('Type Chart'!$B$5:$P$19,MATCH(G$4,'Type Chart'!$A$5:$A$19,0),MATCH($D140,'Type Chart'!$B$4:$P$4,0)))</f>
        <v>2</v>
      </c>
      <c r="H140" s="21" t="n">
        <f aca="false">INDEX('Type Chart'!$B$5:$P$19,MATCH(H$4,'Type Chart'!$A$5:$A$19,0),MATCH($C140,'Type Chart'!$B$4:$P$4,0))*IF($D140="",1,INDEX('Type Chart'!$B$5:$P$19,MATCH(H$4,'Type Chart'!$A$5:$A$19,0),MATCH($D140,'Type Chart'!$B$4:$P$4,0)))</f>
        <v>1</v>
      </c>
      <c r="I140" s="21" t="n">
        <f aca="false">INDEX('Type Chart'!$B$5:$P$19,MATCH(I$4,'Type Chart'!$A$5:$A$19,0),MATCH($C140,'Type Chart'!$B$4:$P$4,0))*IF($D140="",1,INDEX('Type Chart'!$B$5:$P$19,MATCH(I$4,'Type Chart'!$A$5:$A$19,0),MATCH($D140,'Type Chart'!$B$4:$P$4,0)))</f>
        <v>0.5</v>
      </c>
      <c r="J140" s="21" t="n">
        <f aca="false">INDEX('Type Chart'!$B$5:$P$19,MATCH(J$4,'Type Chart'!$A$5:$A$19,0),MATCH($C140,'Type Chart'!$B$4:$P$4,0))*IF($D140="",1,INDEX('Type Chart'!$B$5:$P$19,MATCH(J$4,'Type Chart'!$A$5:$A$19,0),MATCH($D140,'Type Chart'!$B$4:$P$4,0)))</f>
        <v>1</v>
      </c>
      <c r="K140" s="21" t="n">
        <f aca="false">INDEX('Type Chart'!$B$5:$P$19,MATCH(K$4,'Type Chart'!$A$5:$A$19,0),MATCH($C140,'Type Chart'!$B$4:$P$4,0))*IF($D140="",1,INDEX('Type Chart'!$B$5:$P$19,MATCH(K$4,'Type Chart'!$A$5:$A$19,0),MATCH($D140,'Type Chart'!$B$4:$P$4,0)))</f>
        <v>1</v>
      </c>
      <c r="L140" s="21" t="n">
        <f aca="false">INDEX('Type Chart'!$B$5:$P$19,MATCH(L$4,'Type Chart'!$A$5:$A$19,0),MATCH($C140,'Type Chart'!$B$4:$P$4,0))*IF($D140="",1,INDEX('Type Chart'!$B$5:$P$19,MATCH(L$4,'Type Chart'!$A$5:$A$19,0),MATCH($D140,'Type Chart'!$B$4:$P$4,0)))</f>
        <v>1</v>
      </c>
      <c r="M140" s="21" t="n">
        <f aca="false">INDEX('Type Chart'!$B$5:$P$19,MATCH(M$4,'Type Chart'!$A$5:$A$19,0),MATCH($C140,'Type Chart'!$B$4:$P$4,0))*IF($D140="",1,INDEX('Type Chart'!$B$5:$P$19,MATCH(M$4,'Type Chart'!$A$5:$A$19,0),MATCH($D140,'Type Chart'!$B$4:$P$4,0)))</f>
        <v>2</v>
      </c>
      <c r="N140" s="21" t="n">
        <f aca="false">INDEX('Type Chart'!$B$5:$P$19,MATCH(N$4,'Type Chart'!$A$5:$A$19,0),MATCH($C140,'Type Chart'!$B$4:$P$4,0))*IF($D140="",1,INDEX('Type Chart'!$B$5:$P$19,MATCH(N$4,'Type Chart'!$A$5:$A$19,0),MATCH($D140,'Type Chart'!$B$4:$P$4,0)))</f>
        <v>1</v>
      </c>
      <c r="O140" s="21" t="n">
        <f aca="false">INDEX('Type Chart'!$B$5:$P$19,MATCH(O$4,'Type Chart'!$A$5:$A$19,0),MATCH($C140,'Type Chart'!$B$4:$P$4,0))*IF($D140="",1,INDEX('Type Chart'!$B$5:$P$19,MATCH(O$4,'Type Chart'!$A$5:$A$19,0),MATCH($D140,'Type Chart'!$B$4:$P$4,0)))</f>
        <v>1</v>
      </c>
      <c r="P140" s="21" t="n">
        <f aca="false">INDEX('Type Chart'!$B$5:$P$19,MATCH(P$4,'Type Chart'!$A$5:$A$19,0),MATCH($C140,'Type Chart'!$B$4:$P$4,0))*IF($D140="",1,INDEX('Type Chart'!$B$5:$P$19,MATCH(P$4,'Type Chart'!$A$5:$A$19,0),MATCH($D140,'Type Chart'!$B$4:$P$4,0)))</f>
        <v>0.5</v>
      </c>
      <c r="Q140" s="21" t="n">
        <f aca="false">INDEX('Type Chart'!$B$5:$P$19,MATCH(Q$4,'Type Chart'!$A$5:$A$19,0),MATCH($C140,'Type Chart'!$B$4:$P$4,0))*IF($D140="",1,INDEX('Type Chart'!$B$5:$P$19,MATCH(Q$4,'Type Chart'!$A$5:$A$19,0),MATCH($D140,'Type Chart'!$B$4:$P$4,0)))</f>
        <v>2</v>
      </c>
      <c r="R140" s="21" t="n">
        <f aca="false">INDEX('Type Chart'!$B$5:$P$19,MATCH(R$4,'Type Chart'!$A$5:$A$19,0),MATCH($C140,'Type Chart'!$B$4:$P$4,0))*IF($D140="",1,INDEX('Type Chart'!$B$5:$P$19,MATCH(R$4,'Type Chart'!$A$5:$A$19,0),MATCH($D140,'Type Chart'!$B$4:$P$4,0)))</f>
        <v>1</v>
      </c>
      <c r="S140" s="21" t="n">
        <f aca="false">INDEX('Type Chart'!$B$5:$P$19,MATCH(S$4,'Type Chart'!$A$5:$A$19,0),MATCH($C140,'Type Chart'!$B$4:$P$4,0))*IF($D140="",1,INDEX('Type Chart'!$B$5:$P$19,MATCH(S$4,'Type Chart'!$A$5:$A$19,0),MATCH($D140,'Type Chart'!$B$4:$P$4,0)))</f>
        <v>1</v>
      </c>
    </row>
    <row r="141" customFormat="false" ht="15" hidden="false" customHeight="false" outlineLevel="0" collapsed="false">
      <c r="A141" s="19" t="n">
        <v>137</v>
      </c>
      <c r="B141" s="19" t="s">
        <v>228</v>
      </c>
      <c r="C141" s="20" t="str">
        <f aca="false">Pokedex!C141</f>
        <v>Normal</v>
      </c>
      <c r="D141" s="20" t="n">
        <f aca="false">Pokedex!D141</f>
        <v>0</v>
      </c>
      <c r="E141" s="21" t="n">
        <f aca="false">INDEX('Type Chart'!$B$5:$P$19,MATCH(E$4,'Type Chart'!$A$5:$A$19,0),MATCH($C141,'Type Chart'!$B$4:$P$4,0))*IF($D141="",1,INDEX('Type Chart'!$B$5:$P$19,MATCH(E$4,'Type Chart'!$A$5:$A$19,0),MATCH($D141,'Type Chart'!$B$4:$P$4,0)))</f>
        <v>1</v>
      </c>
      <c r="F141" s="21" t="n">
        <f aca="false">INDEX('Type Chart'!$B$5:$P$19,MATCH(F$4,'Type Chart'!$A$5:$A$19,0),MATCH($C141,'Type Chart'!$B$4:$P$4,0))*IF($D141="",1,INDEX('Type Chart'!$B$5:$P$19,MATCH(F$4,'Type Chart'!$A$5:$A$19,0),MATCH($D141,'Type Chart'!$B$4:$P$4,0)))</f>
        <v>1</v>
      </c>
      <c r="G141" s="21" t="n">
        <f aca="false">INDEX('Type Chart'!$B$5:$P$19,MATCH(G$4,'Type Chart'!$A$5:$A$19,0),MATCH($C141,'Type Chart'!$B$4:$P$4,0))*IF($D141="",1,INDEX('Type Chart'!$B$5:$P$19,MATCH(G$4,'Type Chart'!$A$5:$A$19,0),MATCH($D141,'Type Chart'!$B$4:$P$4,0)))</f>
        <v>1</v>
      </c>
      <c r="H141" s="21" t="n">
        <f aca="false">INDEX('Type Chart'!$B$5:$P$19,MATCH(H$4,'Type Chart'!$A$5:$A$19,0),MATCH($C141,'Type Chart'!$B$4:$P$4,0))*IF($D141="",1,INDEX('Type Chart'!$B$5:$P$19,MATCH(H$4,'Type Chart'!$A$5:$A$19,0),MATCH($D141,'Type Chart'!$B$4:$P$4,0)))</f>
        <v>1</v>
      </c>
      <c r="I141" s="21" t="n">
        <f aca="false">INDEX('Type Chart'!$B$5:$P$19,MATCH(I$4,'Type Chart'!$A$5:$A$19,0),MATCH($C141,'Type Chart'!$B$4:$P$4,0))*IF($D141="",1,INDEX('Type Chart'!$B$5:$P$19,MATCH(I$4,'Type Chart'!$A$5:$A$19,0),MATCH($D141,'Type Chart'!$B$4:$P$4,0)))</f>
        <v>1</v>
      </c>
      <c r="J141" s="21" t="n">
        <f aca="false">INDEX('Type Chart'!$B$5:$P$19,MATCH(J$4,'Type Chart'!$A$5:$A$19,0),MATCH($C141,'Type Chart'!$B$4:$P$4,0))*IF($D141="",1,INDEX('Type Chart'!$B$5:$P$19,MATCH(J$4,'Type Chart'!$A$5:$A$19,0),MATCH($D141,'Type Chart'!$B$4:$P$4,0)))</f>
        <v>1</v>
      </c>
      <c r="K141" s="21" t="n">
        <f aca="false">INDEX('Type Chart'!$B$5:$P$19,MATCH(K$4,'Type Chart'!$A$5:$A$19,0),MATCH($C141,'Type Chart'!$B$4:$P$4,0))*IF($D141="",1,INDEX('Type Chart'!$B$5:$P$19,MATCH(K$4,'Type Chart'!$A$5:$A$19,0),MATCH($D141,'Type Chart'!$B$4:$P$4,0)))</f>
        <v>2</v>
      </c>
      <c r="L141" s="21" t="n">
        <f aca="false">INDEX('Type Chart'!$B$5:$P$19,MATCH(L$4,'Type Chart'!$A$5:$A$19,0),MATCH($C141,'Type Chart'!$B$4:$P$4,0))*IF($D141="",1,INDEX('Type Chart'!$B$5:$P$19,MATCH(L$4,'Type Chart'!$A$5:$A$19,0),MATCH($D141,'Type Chart'!$B$4:$P$4,0)))</f>
        <v>1</v>
      </c>
      <c r="M141" s="21" t="n">
        <f aca="false">INDEX('Type Chart'!$B$5:$P$19,MATCH(M$4,'Type Chart'!$A$5:$A$19,0),MATCH($C141,'Type Chart'!$B$4:$P$4,0))*IF($D141="",1,INDEX('Type Chart'!$B$5:$P$19,MATCH(M$4,'Type Chart'!$A$5:$A$19,0),MATCH($D141,'Type Chart'!$B$4:$P$4,0)))</f>
        <v>1</v>
      </c>
      <c r="N141" s="21" t="n">
        <f aca="false">INDEX('Type Chart'!$B$5:$P$19,MATCH(N$4,'Type Chart'!$A$5:$A$19,0),MATCH($C141,'Type Chart'!$B$4:$P$4,0))*IF($D141="",1,INDEX('Type Chart'!$B$5:$P$19,MATCH(N$4,'Type Chart'!$A$5:$A$19,0),MATCH($D141,'Type Chart'!$B$4:$P$4,0)))</f>
        <v>1</v>
      </c>
      <c r="O141" s="21" t="n">
        <f aca="false">INDEX('Type Chart'!$B$5:$P$19,MATCH(O$4,'Type Chart'!$A$5:$A$19,0),MATCH($C141,'Type Chart'!$B$4:$P$4,0))*IF($D141="",1,INDEX('Type Chart'!$B$5:$P$19,MATCH(O$4,'Type Chart'!$A$5:$A$19,0),MATCH($D141,'Type Chart'!$B$4:$P$4,0)))</f>
        <v>1</v>
      </c>
      <c r="P141" s="21" t="n">
        <f aca="false">INDEX('Type Chart'!$B$5:$P$19,MATCH(P$4,'Type Chart'!$A$5:$A$19,0),MATCH($C141,'Type Chart'!$B$4:$P$4,0))*IF($D141="",1,INDEX('Type Chart'!$B$5:$P$19,MATCH(P$4,'Type Chart'!$A$5:$A$19,0),MATCH($D141,'Type Chart'!$B$4:$P$4,0)))</f>
        <v>1</v>
      </c>
      <c r="Q141" s="21" t="n">
        <f aca="false">INDEX('Type Chart'!$B$5:$P$19,MATCH(Q$4,'Type Chart'!$A$5:$A$19,0),MATCH($C141,'Type Chart'!$B$4:$P$4,0))*IF($D141="",1,INDEX('Type Chart'!$B$5:$P$19,MATCH(Q$4,'Type Chart'!$A$5:$A$19,0),MATCH($D141,'Type Chart'!$B$4:$P$4,0)))</f>
        <v>1</v>
      </c>
      <c r="R141" s="21" t="n">
        <f aca="false">INDEX('Type Chart'!$B$5:$P$19,MATCH(R$4,'Type Chart'!$A$5:$A$19,0),MATCH($C141,'Type Chart'!$B$4:$P$4,0))*IF($D141="",1,INDEX('Type Chart'!$B$5:$P$19,MATCH(R$4,'Type Chart'!$A$5:$A$19,0),MATCH($D141,'Type Chart'!$B$4:$P$4,0)))</f>
        <v>0</v>
      </c>
      <c r="S141" s="21" t="n">
        <f aca="false">INDEX('Type Chart'!$B$5:$P$19,MATCH(S$4,'Type Chart'!$A$5:$A$19,0),MATCH($C141,'Type Chart'!$B$4:$P$4,0))*IF($D141="",1,INDEX('Type Chart'!$B$5:$P$19,MATCH(S$4,'Type Chart'!$A$5:$A$19,0),MATCH($D141,'Type Chart'!$B$4:$P$4,0)))</f>
        <v>1</v>
      </c>
    </row>
    <row r="142" customFormat="false" ht="15" hidden="false" customHeight="false" outlineLevel="0" collapsed="false">
      <c r="A142" s="19" t="n">
        <v>138</v>
      </c>
      <c r="B142" s="19" t="s">
        <v>229</v>
      </c>
      <c r="C142" s="20" t="str">
        <f aca="false">Pokedex!C142</f>
        <v>Rock</v>
      </c>
      <c r="D142" s="20" t="str">
        <f aca="false">Pokedex!D142</f>
        <v>Water</v>
      </c>
      <c r="E142" s="21" t="n">
        <f aca="false">INDEX('Type Chart'!$B$5:$P$19,MATCH(E$4,'Type Chart'!$A$5:$A$19,0),MATCH($C142,'Type Chart'!$B$4:$P$4,0))*IF($D142="",1,INDEX('Type Chart'!$B$5:$P$19,MATCH(E$4,'Type Chart'!$A$5:$A$19,0),MATCH($D142,'Type Chart'!$B$4:$P$4,0)))</f>
        <v>0.5</v>
      </c>
      <c r="F142" s="21" t="n">
        <f aca="false">INDEX('Type Chart'!$B$5:$P$19,MATCH(F$4,'Type Chart'!$A$5:$A$19,0),MATCH($C142,'Type Chart'!$B$4:$P$4,0))*IF($D142="",1,INDEX('Type Chart'!$B$5:$P$19,MATCH(F$4,'Type Chart'!$A$5:$A$19,0),MATCH($D142,'Type Chart'!$B$4:$P$4,0)))</f>
        <v>0.25</v>
      </c>
      <c r="G142" s="21" t="n">
        <f aca="false">INDEX('Type Chart'!$B$5:$P$19,MATCH(G$4,'Type Chart'!$A$5:$A$19,0),MATCH($C142,'Type Chart'!$B$4:$P$4,0))*IF($D142="",1,INDEX('Type Chart'!$B$5:$P$19,MATCH(G$4,'Type Chart'!$A$5:$A$19,0),MATCH($D142,'Type Chart'!$B$4:$P$4,0)))</f>
        <v>1</v>
      </c>
      <c r="H142" s="21" t="n">
        <f aca="false">INDEX('Type Chart'!$B$5:$P$19,MATCH(H$4,'Type Chart'!$A$5:$A$19,0),MATCH($C142,'Type Chart'!$B$4:$P$4,0))*IF($D142="",1,INDEX('Type Chart'!$B$5:$P$19,MATCH(H$4,'Type Chart'!$A$5:$A$19,0),MATCH($D142,'Type Chart'!$B$4:$P$4,0)))</f>
        <v>2</v>
      </c>
      <c r="I142" s="21" t="n">
        <f aca="false">INDEX('Type Chart'!$B$5:$P$19,MATCH(I$4,'Type Chart'!$A$5:$A$19,0),MATCH($C142,'Type Chart'!$B$4:$P$4,0))*IF($D142="",1,INDEX('Type Chart'!$B$5:$P$19,MATCH(I$4,'Type Chart'!$A$5:$A$19,0),MATCH($D142,'Type Chart'!$B$4:$P$4,0)))</f>
        <v>4</v>
      </c>
      <c r="J142" s="21" t="n">
        <f aca="false">INDEX('Type Chart'!$B$5:$P$19,MATCH(J$4,'Type Chart'!$A$5:$A$19,0),MATCH($C142,'Type Chart'!$B$4:$P$4,0))*IF($D142="",1,INDEX('Type Chart'!$B$5:$P$19,MATCH(J$4,'Type Chart'!$A$5:$A$19,0),MATCH($D142,'Type Chart'!$B$4:$P$4,0)))</f>
        <v>0.5</v>
      </c>
      <c r="K142" s="21" t="n">
        <f aca="false">INDEX('Type Chart'!$B$5:$P$19,MATCH(K$4,'Type Chart'!$A$5:$A$19,0),MATCH($C142,'Type Chart'!$B$4:$P$4,0))*IF($D142="",1,INDEX('Type Chart'!$B$5:$P$19,MATCH(K$4,'Type Chart'!$A$5:$A$19,0),MATCH($D142,'Type Chart'!$B$4:$P$4,0)))</f>
        <v>2</v>
      </c>
      <c r="L142" s="21" t="n">
        <f aca="false">INDEX('Type Chart'!$B$5:$P$19,MATCH(L$4,'Type Chart'!$A$5:$A$19,0),MATCH($C142,'Type Chart'!$B$4:$P$4,0))*IF($D142="",1,INDEX('Type Chart'!$B$5:$P$19,MATCH(L$4,'Type Chart'!$A$5:$A$19,0),MATCH($D142,'Type Chart'!$B$4:$P$4,0)))</f>
        <v>0.5</v>
      </c>
      <c r="M142" s="21" t="n">
        <f aca="false">INDEX('Type Chart'!$B$5:$P$19,MATCH(M$4,'Type Chart'!$A$5:$A$19,0),MATCH($C142,'Type Chart'!$B$4:$P$4,0))*IF($D142="",1,INDEX('Type Chart'!$B$5:$P$19,MATCH(M$4,'Type Chart'!$A$5:$A$19,0),MATCH($D142,'Type Chart'!$B$4:$P$4,0)))</f>
        <v>2</v>
      </c>
      <c r="N142" s="21" t="n">
        <f aca="false">INDEX('Type Chart'!$B$5:$P$19,MATCH(N$4,'Type Chart'!$A$5:$A$19,0),MATCH($C142,'Type Chart'!$B$4:$P$4,0))*IF($D142="",1,INDEX('Type Chart'!$B$5:$P$19,MATCH(N$4,'Type Chart'!$A$5:$A$19,0),MATCH($D142,'Type Chart'!$B$4:$P$4,0)))</f>
        <v>0.5</v>
      </c>
      <c r="O142" s="21" t="n">
        <f aca="false">INDEX('Type Chart'!$B$5:$P$19,MATCH(O$4,'Type Chart'!$A$5:$A$19,0),MATCH($C142,'Type Chart'!$B$4:$P$4,0))*IF($D142="",1,INDEX('Type Chart'!$B$5:$P$19,MATCH(O$4,'Type Chart'!$A$5:$A$19,0),MATCH($D142,'Type Chart'!$B$4:$P$4,0)))</f>
        <v>1</v>
      </c>
      <c r="P142" s="21" t="n">
        <f aca="false">INDEX('Type Chart'!$B$5:$P$19,MATCH(P$4,'Type Chart'!$A$5:$A$19,0),MATCH($C142,'Type Chart'!$B$4:$P$4,0))*IF($D142="",1,INDEX('Type Chart'!$B$5:$P$19,MATCH(P$4,'Type Chart'!$A$5:$A$19,0),MATCH($D142,'Type Chart'!$B$4:$P$4,0)))</f>
        <v>1</v>
      </c>
      <c r="Q142" s="21" t="n">
        <f aca="false">INDEX('Type Chart'!$B$5:$P$19,MATCH(Q$4,'Type Chart'!$A$5:$A$19,0),MATCH($C142,'Type Chart'!$B$4:$P$4,0))*IF($D142="",1,INDEX('Type Chart'!$B$5:$P$19,MATCH(Q$4,'Type Chart'!$A$5:$A$19,0),MATCH($D142,'Type Chart'!$B$4:$P$4,0)))</f>
        <v>1</v>
      </c>
      <c r="R142" s="21" t="n">
        <f aca="false">INDEX('Type Chart'!$B$5:$P$19,MATCH(R$4,'Type Chart'!$A$5:$A$19,0),MATCH($C142,'Type Chart'!$B$4:$P$4,0))*IF($D142="",1,INDEX('Type Chart'!$B$5:$P$19,MATCH(R$4,'Type Chart'!$A$5:$A$19,0),MATCH($D142,'Type Chart'!$B$4:$P$4,0)))</f>
        <v>1</v>
      </c>
      <c r="S142" s="21" t="n">
        <f aca="false">INDEX('Type Chart'!$B$5:$P$19,MATCH(S$4,'Type Chart'!$A$5:$A$19,0),MATCH($C142,'Type Chart'!$B$4:$P$4,0))*IF($D142="",1,INDEX('Type Chart'!$B$5:$P$19,MATCH(S$4,'Type Chart'!$A$5:$A$19,0),MATCH($D142,'Type Chart'!$B$4:$P$4,0)))</f>
        <v>1</v>
      </c>
    </row>
    <row r="143" customFormat="false" ht="15" hidden="false" customHeight="false" outlineLevel="0" collapsed="false">
      <c r="A143" s="19" t="n">
        <v>139</v>
      </c>
      <c r="B143" s="19" t="s">
        <v>230</v>
      </c>
      <c r="C143" s="20" t="str">
        <f aca="false">Pokedex!C143</f>
        <v>Rock</v>
      </c>
      <c r="D143" s="20" t="str">
        <f aca="false">Pokedex!D143</f>
        <v>Water</v>
      </c>
      <c r="E143" s="21" t="n">
        <f aca="false">INDEX('Type Chart'!$B$5:$P$19,MATCH(E$4,'Type Chart'!$A$5:$A$19,0),MATCH($C143,'Type Chart'!$B$4:$P$4,0))*IF($D143="",1,INDEX('Type Chart'!$B$5:$P$19,MATCH(E$4,'Type Chart'!$A$5:$A$19,0),MATCH($D143,'Type Chart'!$B$4:$P$4,0)))</f>
        <v>0.5</v>
      </c>
      <c r="F143" s="21" t="n">
        <f aca="false">INDEX('Type Chart'!$B$5:$P$19,MATCH(F$4,'Type Chart'!$A$5:$A$19,0),MATCH($C143,'Type Chart'!$B$4:$P$4,0))*IF($D143="",1,INDEX('Type Chart'!$B$5:$P$19,MATCH(F$4,'Type Chart'!$A$5:$A$19,0),MATCH($D143,'Type Chart'!$B$4:$P$4,0)))</f>
        <v>0.25</v>
      </c>
      <c r="G143" s="21" t="n">
        <f aca="false">INDEX('Type Chart'!$B$5:$P$19,MATCH(G$4,'Type Chart'!$A$5:$A$19,0),MATCH($C143,'Type Chart'!$B$4:$P$4,0))*IF($D143="",1,INDEX('Type Chart'!$B$5:$P$19,MATCH(G$4,'Type Chart'!$A$5:$A$19,0),MATCH($D143,'Type Chart'!$B$4:$P$4,0)))</f>
        <v>1</v>
      </c>
      <c r="H143" s="21" t="n">
        <f aca="false">INDEX('Type Chart'!$B$5:$P$19,MATCH(H$4,'Type Chart'!$A$5:$A$19,0),MATCH($C143,'Type Chart'!$B$4:$P$4,0))*IF($D143="",1,INDEX('Type Chart'!$B$5:$P$19,MATCH(H$4,'Type Chart'!$A$5:$A$19,0),MATCH($D143,'Type Chart'!$B$4:$P$4,0)))</f>
        <v>2</v>
      </c>
      <c r="I143" s="21" t="n">
        <f aca="false">INDEX('Type Chart'!$B$5:$P$19,MATCH(I$4,'Type Chart'!$A$5:$A$19,0),MATCH($C143,'Type Chart'!$B$4:$P$4,0))*IF($D143="",1,INDEX('Type Chart'!$B$5:$P$19,MATCH(I$4,'Type Chart'!$A$5:$A$19,0),MATCH($D143,'Type Chart'!$B$4:$P$4,0)))</f>
        <v>4</v>
      </c>
      <c r="J143" s="21" t="n">
        <f aca="false">INDEX('Type Chart'!$B$5:$P$19,MATCH(J$4,'Type Chart'!$A$5:$A$19,0),MATCH($C143,'Type Chart'!$B$4:$P$4,0))*IF($D143="",1,INDEX('Type Chart'!$B$5:$P$19,MATCH(J$4,'Type Chart'!$A$5:$A$19,0),MATCH($D143,'Type Chart'!$B$4:$P$4,0)))</f>
        <v>0.5</v>
      </c>
      <c r="K143" s="21" t="n">
        <f aca="false">INDEX('Type Chart'!$B$5:$P$19,MATCH(K$4,'Type Chart'!$A$5:$A$19,0),MATCH($C143,'Type Chart'!$B$4:$P$4,0))*IF($D143="",1,INDEX('Type Chart'!$B$5:$P$19,MATCH(K$4,'Type Chart'!$A$5:$A$19,0),MATCH($D143,'Type Chart'!$B$4:$P$4,0)))</f>
        <v>2</v>
      </c>
      <c r="L143" s="21" t="n">
        <f aca="false">INDEX('Type Chart'!$B$5:$P$19,MATCH(L$4,'Type Chart'!$A$5:$A$19,0),MATCH($C143,'Type Chart'!$B$4:$P$4,0))*IF($D143="",1,INDEX('Type Chart'!$B$5:$P$19,MATCH(L$4,'Type Chart'!$A$5:$A$19,0),MATCH($D143,'Type Chart'!$B$4:$P$4,0)))</f>
        <v>0.5</v>
      </c>
      <c r="M143" s="21" t="n">
        <f aca="false">INDEX('Type Chart'!$B$5:$P$19,MATCH(M$4,'Type Chart'!$A$5:$A$19,0),MATCH($C143,'Type Chart'!$B$4:$P$4,0))*IF($D143="",1,INDEX('Type Chart'!$B$5:$P$19,MATCH(M$4,'Type Chart'!$A$5:$A$19,0),MATCH($D143,'Type Chart'!$B$4:$P$4,0)))</f>
        <v>2</v>
      </c>
      <c r="N143" s="21" t="n">
        <f aca="false">INDEX('Type Chart'!$B$5:$P$19,MATCH(N$4,'Type Chart'!$A$5:$A$19,0),MATCH($C143,'Type Chart'!$B$4:$P$4,0))*IF($D143="",1,INDEX('Type Chart'!$B$5:$P$19,MATCH(N$4,'Type Chart'!$A$5:$A$19,0),MATCH($D143,'Type Chart'!$B$4:$P$4,0)))</f>
        <v>0.5</v>
      </c>
      <c r="O143" s="21" t="n">
        <f aca="false">INDEX('Type Chart'!$B$5:$P$19,MATCH(O$4,'Type Chart'!$A$5:$A$19,0),MATCH($C143,'Type Chart'!$B$4:$P$4,0))*IF($D143="",1,INDEX('Type Chart'!$B$5:$P$19,MATCH(O$4,'Type Chart'!$A$5:$A$19,0),MATCH($D143,'Type Chart'!$B$4:$P$4,0)))</f>
        <v>1</v>
      </c>
      <c r="P143" s="21" t="n">
        <f aca="false">INDEX('Type Chart'!$B$5:$P$19,MATCH(P$4,'Type Chart'!$A$5:$A$19,0),MATCH($C143,'Type Chart'!$B$4:$P$4,0))*IF($D143="",1,INDEX('Type Chart'!$B$5:$P$19,MATCH(P$4,'Type Chart'!$A$5:$A$19,0),MATCH($D143,'Type Chart'!$B$4:$P$4,0)))</f>
        <v>1</v>
      </c>
      <c r="Q143" s="21" t="n">
        <f aca="false">INDEX('Type Chart'!$B$5:$P$19,MATCH(Q$4,'Type Chart'!$A$5:$A$19,0),MATCH($C143,'Type Chart'!$B$4:$P$4,0))*IF($D143="",1,INDEX('Type Chart'!$B$5:$P$19,MATCH(Q$4,'Type Chart'!$A$5:$A$19,0),MATCH($D143,'Type Chart'!$B$4:$P$4,0)))</f>
        <v>1</v>
      </c>
      <c r="R143" s="21" t="n">
        <f aca="false">INDEX('Type Chart'!$B$5:$P$19,MATCH(R$4,'Type Chart'!$A$5:$A$19,0),MATCH($C143,'Type Chart'!$B$4:$P$4,0))*IF($D143="",1,INDEX('Type Chart'!$B$5:$P$19,MATCH(R$4,'Type Chart'!$A$5:$A$19,0),MATCH($D143,'Type Chart'!$B$4:$P$4,0)))</f>
        <v>1</v>
      </c>
      <c r="S143" s="21" t="n">
        <f aca="false">INDEX('Type Chart'!$B$5:$P$19,MATCH(S$4,'Type Chart'!$A$5:$A$19,0),MATCH($C143,'Type Chart'!$B$4:$P$4,0))*IF($D143="",1,INDEX('Type Chart'!$B$5:$P$19,MATCH(S$4,'Type Chart'!$A$5:$A$19,0),MATCH($D143,'Type Chart'!$B$4:$P$4,0)))</f>
        <v>1</v>
      </c>
    </row>
    <row r="144" customFormat="false" ht="15" hidden="false" customHeight="false" outlineLevel="0" collapsed="false">
      <c r="A144" s="19" t="n">
        <v>140</v>
      </c>
      <c r="B144" s="19" t="s">
        <v>231</v>
      </c>
      <c r="C144" s="20" t="str">
        <f aca="false">Pokedex!C144</f>
        <v>Rock</v>
      </c>
      <c r="D144" s="20" t="str">
        <f aca="false">Pokedex!D144</f>
        <v>Water</v>
      </c>
      <c r="E144" s="21" t="n">
        <f aca="false">INDEX('Type Chart'!$B$5:$P$19,MATCH(E$4,'Type Chart'!$A$5:$A$19,0),MATCH($C144,'Type Chart'!$B$4:$P$4,0))*IF($D144="",1,INDEX('Type Chart'!$B$5:$P$19,MATCH(E$4,'Type Chart'!$A$5:$A$19,0),MATCH($D144,'Type Chart'!$B$4:$P$4,0)))</f>
        <v>0.5</v>
      </c>
      <c r="F144" s="21" t="n">
        <f aca="false">INDEX('Type Chart'!$B$5:$P$19,MATCH(F$4,'Type Chart'!$A$5:$A$19,0),MATCH($C144,'Type Chart'!$B$4:$P$4,0))*IF($D144="",1,INDEX('Type Chart'!$B$5:$P$19,MATCH(F$4,'Type Chart'!$A$5:$A$19,0),MATCH($D144,'Type Chart'!$B$4:$P$4,0)))</f>
        <v>0.25</v>
      </c>
      <c r="G144" s="21" t="n">
        <f aca="false">INDEX('Type Chart'!$B$5:$P$19,MATCH(G$4,'Type Chart'!$A$5:$A$19,0),MATCH($C144,'Type Chart'!$B$4:$P$4,0))*IF($D144="",1,INDEX('Type Chart'!$B$5:$P$19,MATCH(G$4,'Type Chart'!$A$5:$A$19,0),MATCH($D144,'Type Chart'!$B$4:$P$4,0)))</f>
        <v>1</v>
      </c>
      <c r="H144" s="21" t="n">
        <f aca="false">INDEX('Type Chart'!$B$5:$P$19,MATCH(H$4,'Type Chart'!$A$5:$A$19,0),MATCH($C144,'Type Chart'!$B$4:$P$4,0))*IF($D144="",1,INDEX('Type Chart'!$B$5:$P$19,MATCH(H$4,'Type Chart'!$A$5:$A$19,0),MATCH($D144,'Type Chart'!$B$4:$P$4,0)))</f>
        <v>2</v>
      </c>
      <c r="I144" s="21" t="n">
        <f aca="false">INDEX('Type Chart'!$B$5:$P$19,MATCH(I$4,'Type Chart'!$A$5:$A$19,0),MATCH($C144,'Type Chart'!$B$4:$P$4,0))*IF($D144="",1,INDEX('Type Chart'!$B$5:$P$19,MATCH(I$4,'Type Chart'!$A$5:$A$19,0),MATCH($D144,'Type Chart'!$B$4:$P$4,0)))</f>
        <v>4</v>
      </c>
      <c r="J144" s="21" t="n">
        <f aca="false">INDEX('Type Chart'!$B$5:$P$19,MATCH(J$4,'Type Chart'!$A$5:$A$19,0),MATCH($C144,'Type Chart'!$B$4:$P$4,0))*IF($D144="",1,INDEX('Type Chart'!$B$5:$P$19,MATCH(J$4,'Type Chart'!$A$5:$A$19,0),MATCH($D144,'Type Chart'!$B$4:$P$4,0)))</f>
        <v>0.5</v>
      </c>
      <c r="K144" s="21" t="n">
        <f aca="false">INDEX('Type Chart'!$B$5:$P$19,MATCH(K$4,'Type Chart'!$A$5:$A$19,0),MATCH($C144,'Type Chart'!$B$4:$P$4,0))*IF($D144="",1,INDEX('Type Chart'!$B$5:$P$19,MATCH(K$4,'Type Chart'!$A$5:$A$19,0),MATCH($D144,'Type Chart'!$B$4:$P$4,0)))</f>
        <v>2</v>
      </c>
      <c r="L144" s="21" t="n">
        <f aca="false">INDEX('Type Chart'!$B$5:$P$19,MATCH(L$4,'Type Chart'!$A$5:$A$19,0),MATCH($C144,'Type Chart'!$B$4:$P$4,0))*IF($D144="",1,INDEX('Type Chart'!$B$5:$P$19,MATCH(L$4,'Type Chart'!$A$5:$A$19,0),MATCH($D144,'Type Chart'!$B$4:$P$4,0)))</f>
        <v>0.5</v>
      </c>
      <c r="M144" s="21" t="n">
        <f aca="false">INDEX('Type Chart'!$B$5:$P$19,MATCH(M$4,'Type Chart'!$A$5:$A$19,0),MATCH($C144,'Type Chart'!$B$4:$P$4,0))*IF($D144="",1,INDEX('Type Chart'!$B$5:$P$19,MATCH(M$4,'Type Chart'!$A$5:$A$19,0),MATCH($D144,'Type Chart'!$B$4:$P$4,0)))</f>
        <v>2</v>
      </c>
      <c r="N144" s="21" t="n">
        <f aca="false">INDEX('Type Chart'!$B$5:$P$19,MATCH(N$4,'Type Chart'!$A$5:$A$19,0),MATCH($C144,'Type Chart'!$B$4:$P$4,0))*IF($D144="",1,INDEX('Type Chart'!$B$5:$P$19,MATCH(N$4,'Type Chart'!$A$5:$A$19,0),MATCH($D144,'Type Chart'!$B$4:$P$4,0)))</f>
        <v>0.5</v>
      </c>
      <c r="O144" s="21" t="n">
        <f aca="false">INDEX('Type Chart'!$B$5:$P$19,MATCH(O$4,'Type Chart'!$A$5:$A$19,0),MATCH($C144,'Type Chart'!$B$4:$P$4,0))*IF($D144="",1,INDEX('Type Chart'!$B$5:$P$19,MATCH(O$4,'Type Chart'!$A$5:$A$19,0),MATCH($D144,'Type Chart'!$B$4:$P$4,0)))</f>
        <v>1</v>
      </c>
      <c r="P144" s="21" t="n">
        <f aca="false">INDEX('Type Chart'!$B$5:$P$19,MATCH(P$4,'Type Chart'!$A$5:$A$19,0),MATCH($C144,'Type Chart'!$B$4:$P$4,0))*IF($D144="",1,INDEX('Type Chart'!$B$5:$P$19,MATCH(P$4,'Type Chart'!$A$5:$A$19,0),MATCH($D144,'Type Chart'!$B$4:$P$4,0)))</f>
        <v>1</v>
      </c>
      <c r="Q144" s="21" t="n">
        <f aca="false">INDEX('Type Chart'!$B$5:$P$19,MATCH(Q$4,'Type Chart'!$A$5:$A$19,0),MATCH($C144,'Type Chart'!$B$4:$P$4,0))*IF($D144="",1,INDEX('Type Chart'!$B$5:$P$19,MATCH(Q$4,'Type Chart'!$A$5:$A$19,0),MATCH($D144,'Type Chart'!$B$4:$P$4,0)))</f>
        <v>1</v>
      </c>
      <c r="R144" s="21" t="n">
        <f aca="false">INDEX('Type Chart'!$B$5:$P$19,MATCH(R$4,'Type Chart'!$A$5:$A$19,0),MATCH($C144,'Type Chart'!$B$4:$P$4,0))*IF($D144="",1,INDEX('Type Chart'!$B$5:$P$19,MATCH(R$4,'Type Chart'!$A$5:$A$19,0),MATCH($D144,'Type Chart'!$B$4:$P$4,0)))</f>
        <v>1</v>
      </c>
      <c r="S144" s="21" t="n">
        <f aca="false">INDEX('Type Chart'!$B$5:$P$19,MATCH(S$4,'Type Chart'!$A$5:$A$19,0),MATCH($C144,'Type Chart'!$B$4:$P$4,0))*IF($D144="",1,INDEX('Type Chart'!$B$5:$P$19,MATCH(S$4,'Type Chart'!$A$5:$A$19,0),MATCH($D144,'Type Chart'!$B$4:$P$4,0)))</f>
        <v>1</v>
      </c>
    </row>
    <row r="145" customFormat="false" ht="15" hidden="false" customHeight="false" outlineLevel="0" collapsed="false">
      <c r="A145" s="19" t="n">
        <v>141</v>
      </c>
      <c r="B145" s="19" t="s">
        <v>232</v>
      </c>
      <c r="C145" s="20" t="str">
        <f aca="false">Pokedex!C145</f>
        <v>Rock</v>
      </c>
      <c r="D145" s="20" t="str">
        <f aca="false">Pokedex!D145</f>
        <v>Water</v>
      </c>
      <c r="E145" s="21" t="n">
        <f aca="false">INDEX('Type Chart'!$B$5:$P$19,MATCH(E$4,'Type Chart'!$A$5:$A$19,0),MATCH($C145,'Type Chart'!$B$4:$P$4,0))*IF($D145="",1,INDEX('Type Chart'!$B$5:$P$19,MATCH(E$4,'Type Chart'!$A$5:$A$19,0),MATCH($D145,'Type Chart'!$B$4:$P$4,0)))</f>
        <v>0.5</v>
      </c>
      <c r="F145" s="21" t="n">
        <f aca="false">INDEX('Type Chart'!$B$5:$P$19,MATCH(F$4,'Type Chart'!$A$5:$A$19,0),MATCH($C145,'Type Chart'!$B$4:$P$4,0))*IF($D145="",1,INDEX('Type Chart'!$B$5:$P$19,MATCH(F$4,'Type Chart'!$A$5:$A$19,0),MATCH($D145,'Type Chart'!$B$4:$P$4,0)))</f>
        <v>0.25</v>
      </c>
      <c r="G145" s="21" t="n">
        <f aca="false">INDEX('Type Chart'!$B$5:$P$19,MATCH(G$4,'Type Chart'!$A$5:$A$19,0),MATCH($C145,'Type Chart'!$B$4:$P$4,0))*IF($D145="",1,INDEX('Type Chart'!$B$5:$P$19,MATCH(G$4,'Type Chart'!$A$5:$A$19,0),MATCH($D145,'Type Chart'!$B$4:$P$4,0)))</f>
        <v>1</v>
      </c>
      <c r="H145" s="21" t="n">
        <f aca="false">INDEX('Type Chart'!$B$5:$P$19,MATCH(H$4,'Type Chart'!$A$5:$A$19,0),MATCH($C145,'Type Chart'!$B$4:$P$4,0))*IF($D145="",1,INDEX('Type Chart'!$B$5:$P$19,MATCH(H$4,'Type Chart'!$A$5:$A$19,0),MATCH($D145,'Type Chart'!$B$4:$P$4,0)))</f>
        <v>2</v>
      </c>
      <c r="I145" s="21" t="n">
        <f aca="false">INDEX('Type Chart'!$B$5:$P$19,MATCH(I$4,'Type Chart'!$A$5:$A$19,0),MATCH($C145,'Type Chart'!$B$4:$P$4,0))*IF($D145="",1,INDEX('Type Chart'!$B$5:$P$19,MATCH(I$4,'Type Chart'!$A$5:$A$19,0),MATCH($D145,'Type Chart'!$B$4:$P$4,0)))</f>
        <v>4</v>
      </c>
      <c r="J145" s="21" t="n">
        <f aca="false">INDEX('Type Chart'!$B$5:$P$19,MATCH(J$4,'Type Chart'!$A$5:$A$19,0),MATCH($C145,'Type Chart'!$B$4:$P$4,0))*IF($D145="",1,INDEX('Type Chart'!$B$5:$P$19,MATCH(J$4,'Type Chart'!$A$5:$A$19,0),MATCH($D145,'Type Chart'!$B$4:$P$4,0)))</f>
        <v>0.5</v>
      </c>
      <c r="K145" s="21" t="n">
        <f aca="false">INDEX('Type Chart'!$B$5:$P$19,MATCH(K$4,'Type Chart'!$A$5:$A$19,0),MATCH($C145,'Type Chart'!$B$4:$P$4,0))*IF($D145="",1,INDEX('Type Chart'!$B$5:$P$19,MATCH(K$4,'Type Chart'!$A$5:$A$19,0),MATCH($D145,'Type Chart'!$B$4:$P$4,0)))</f>
        <v>2</v>
      </c>
      <c r="L145" s="21" t="n">
        <f aca="false">INDEX('Type Chart'!$B$5:$P$19,MATCH(L$4,'Type Chart'!$A$5:$A$19,0),MATCH($C145,'Type Chart'!$B$4:$P$4,0))*IF($D145="",1,INDEX('Type Chart'!$B$5:$P$19,MATCH(L$4,'Type Chart'!$A$5:$A$19,0),MATCH($D145,'Type Chart'!$B$4:$P$4,0)))</f>
        <v>0.5</v>
      </c>
      <c r="M145" s="21" t="n">
        <f aca="false">INDEX('Type Chart'!$B$5:$P$19,MATCH(M$4,'Type Chart'!$A$5:$A$19,0),MATCH($C145,'Type Chart'!$B$4:$P$4,0))*IF($D145="",1,INDEX('Type Chart'!$B$5:$P$19,MATCH(M$4,'Type Chart'!$A$5:$A$19,0),MATCH($D145,'Type Chart'!$B$4:$P$4,0)))</f>
        <v>2</v>
      </c>
      <c r="N145" s="21" t="n">
        <f aca="false">INDEX('Type Chart'!$B$5:$P$19,MATCH(N$4,'Type Chart'!$A$5:$A$19,0),MATCH($C145,'Type Chart'!$B$4:$P$4,0))*IF($D145="",1,INDEX('Type Chart'!$B$5:$P$19,MATCH(N$4,'Type Chart'!$A$5:$A$19,0),MATCH($D145,'Type Chart'!$B$4:$P$4,0)))</f>
        <v>0.5</v>
      </c>
      <c r="O145" s="21" t="n">
        <f aca="false">INDEX('Type Chart'!$B$5:$P$19,MATCH(O$4,'Type Chart'!$A$5:$A$19,0),MATCH($C145,'Type Chart'!$B$4:$P$4,0))*IF($D145="",1,INDEX('Type Chart'!$B$5:$P$19,MATCH(O$4,'Type Chart'!$A$5:$A$19,0),MATCH($D145,'Type Chart'!$B$4:$P$4,0)))</f>
        <v>1</v>
      </c>
      <c r="P145" s="21" t="n">
        <f aca="false">INDEX('Type Chart'!$B$5:$P$19,MATCH(P$4,'Type Chart'!$A$5:$A$19,0),MATCH($C145,'Type Chart'!$B$4:$P$4,0))*IF($D145="",1,INDEX('Type Chart'!$B$5:$P$19,MATCH(P$4,'Type Chart'!$A$5:$A$19,0),MATCH($D145,'Type Chart'!$B$4:$P$4,0)))</f>
        <v>1</v>
      </c>
      <c r="Q145" s="21" t="n">
        <f aca="false">INDEX('Type Chart'!$B$5:$P$19,MATCH(Q$4,'Type Chart'!$A$5:$A$19,0),MATCH($C145,'Type Chart'!$B$4:$P$4,0))*IF($D145="",1,INDEX('Type Chart'!$B$5:$P$19,MATCH(Q$4,'Type Chart'!$A$5:$A$19,0),MATCH($D145,'Type Chart'!$B$4:$P$4,0)))</f>
        <v>1</v>
      </c>
      <c r="R145" s="21" t="n">
        <f aca="false">INDEX('Type Chart'!$B$5:$P$19,MATCH(R$4,'Type Chart'!$A$5:$A$19,0),MATCH($C145,'Type Chart'!$B$4:$P$4,0))*IF($D145="",1,INDEX('Type Chart'!$B$5:$P$19,MATCH(R$4,'Type Chart'!$A$5:$A$19,0),MATCH($D145,'Type Chart'!$B$4:$P$4,0)))</f>
        <v>1</v>
      </c>
      <c r="S145" s="21" t="n">
        <f aca="false">INDEX('Type Chart'!$B$5:$P$19,MATCH(S$4,'Type Chart'!$A$5:$A$19,0),MATCH($C145,'Type Chart'!$B$4:$P$4,0))*IF($D145="",1,INDEX('Type Chart'!$B$5:$P$19,MATCH(S$4,'Type Chart'!$A$5:$A$19,0),MATCH($D145,'Type Chart'!$B$4:$P$4,0)))</f>
        <v>1</v>
      </c>
    </row>
    <row r="146" customFormat="false" ht="15" hidden="false" customHeight="false" outlineLevel="0" collapsed="false">
      <c r="A146" s="19" t="n">
        <v>142</v>
      </c>
      <c r="B146" s="19" t="s">
        <v>233</v>
      </c>
      <c r="C146" s="20" t="str">
        <f aca="false">Pokedex!C146</f>
        <v>Rock</v>
      </c>
      <c r="D146" s="20" t="str">
        <f aca="false">Pokedex!D146</f>
        <v>Flying</v>
      </c>
      <c r="E146" s="21" t="n">
        <f aca="false">INDEX('Type Chart'!$B$5:$P$19,MATCH(E$4,'Type Chart'!$A$5:$A$19,0),MATCH($C146,'Type Chart'!$B$4:$P$4,0))*IF($D146="",1,INDEX('Type Chart'!$B$5:$P$19,MATCH(E$4,'Type Chart'!$A$5:$A$19,0),MATCH($D146,'Type Chart'!$B$4:$P$4,0)))</f>
        <v>0.5</v>
      </c>
      <c r="F146" s="21" t="n">
        <f aca="false">INDEX('Type Chart'!$B$5:$P$19,MATCH(F$4,'Type Chart'!$A$5:$A$19,0),MATCH($C146,'Type Chart'!$B$4:$P$4,0))*IF($D146="",1,INDEX('Type Chart'!$B$5:$P$19,MATCH(F$4,'Type Chart'!$A$5:$A$19,0),MATCH($D146,'Type Chart'!$B$4:$P$4,0)))</f>
        <v>0.5</v>
      </c>
      <c r="G146" s="21" t="n">
        <f aca="false">INDEX('Type Chart'!$B$5:$P$19,MATCH(G$4,'Type Chart'!$A$5:$A$19,0),MATCH($C146,'Type Chart'!$B$4:$P$4,0))*IF($D146="",1,INDEX('Type Chart'!$B$5:$P$19,MATCH(G$4,'Type Chart'!$A$5:$A$19,0),MATCH($D146,'Type Chart'!$B$4:$P$4,0)))</f>
        <v>2</v>
      </c>
      <c r="H146" s="21" t="n">
        <f aca="false">INDEX('Type Chart'!$B$5:$P$19,MATCH(H$4,'Type Chart'!$A$5:$A$19,0),MATCH($C146,'Type Chart'!$B$4:$P$4,0))*IF($D146="",1,INDEX('Type Chart'!$B$5:$P$19,MATCH(H$4,'Type Chart'!$A$5:$A$19,0),MATCH($D146,'Type Chart'!$B$4:$P$4,0)))</f>
        <v>2</v>
      </c>
      <c r="I146" s="21" t="n">
        <f aca="false">INDEX('Type Chart'!$B$5:$P$19,MATCH(I$4,'Type Chart'!$A$5:$A$19,0),MATCH($C146,'Type Chart'!$B$4:$P$4,0))*IF($D146="",1,INDEX('Type Chart'!$B$5:$P$19,MATCH(I$4,'Type Chart'!$A$5:$A$19,0),MATCH($D146,'Type Chart'!$B$4:$P$4,0)))</f>
        <v>1</v>
      </c>
      <c r="J146" s="21" t="n">
        <f aca="false">INDEX('Type Chart'!$B$5:$P$19,MATCH(J$4,'Type Chart'!$A$5:$A$19,0),MATCH($C146,'Type Chart'!$B$4:$P$4,0))*IF($D146="",1,INDEX('Type Chart'!$B$5:$P$19,MATCH(J$4,'Type Chart'!$A$5:$A$19,0),MATCH($D146,'Type Chart'!$B$4:$P$4,0)))</f>
        <v>2</v>
      </c>
      <c r="K146" s="21" t="n">
        <f aca="false">INDEX('Type Chart'!$B$5:$P$19,MATCH(K$4,'Type Chart'!$A$5:$A$19,0),MATCH($C146,'Type Chart'!$B$4:$P$4,0))*IF($D146="",1,INDEX('Type Chart'!$B$5:$P$19,MATCH(K$4,'Type Chart'!$A$5:$A$19,0),MATCH($D146,'Type Chart'!$B$4:$P$4,0)))</f>
        <v>1</v>
      </c>
      <c r="L146" s="21" t="n">
        <f aca="false">INDEX('Type Chart'!$B$5:$P$19,MATCH(L$4,'Type Chart'!$A$5:$A$19,0),MATCH($C146,'Type Chart'!$B$4:$P$4,0))*IF($D146="",1,INDEX('Type Chart'!$B$5:$P$19,MATCH(L$4,'Type Chart'!$A$5:$A$19,0),MATCH($D146,'Type Chart'!$B$4:$P$4,0)))</f>
        <v>0.5</v>
      </c>
      <c r="M146" s="21" t="n">
        <f aca="false">INDEX('Type Chart'!$B$5:$P$19,MATCH(M$4,'Type Chart'!$A$5:$A$19,0),MATCH($C146,'Type Chart'!$B$4:$P$4,0))*IF($D146="",1,INDEX('Type Chart'!$B$5:$P$19,MATCH(M$4,'Type Chart'!$A$5:$A$19,0),MATCH($D146,'Type Chart'!$B$4:$P$4,0)))</f>
        <v>0</v>
      </c>
      <c r="N146" s="21" t="n">
        <f aca="false">INDEX('Type Chart'!$B$5:$P$19,MATCH(N$4,'Type Chart'!$A$5:$A$19,0),MATCH($C146,'Type Chart'!$B$4:$P$4,0))*IF($D146="",1,INDEX('Type Chart'!$B$5:$P$19,MATCH(N$4,'Type Chart'!$A$5:$A$19,0),MATCH($D146,'Type Chart'!$B$4:$P$4,0)))</f>
        <v>0.5</v>
      </c>
      <c r="O146" s="21" t="n">
        <f aca="false">INDEX('Type Chart'!$B$5:$P$19,MATCH(O$4,'Type Chart'!$A$5:$A$19,0),MATCH($C146,'Type Chart'!$B$4:$P$4,0))*IF($D146="",1,INDEX('Type Chart'!$B$5:$P$19,MATCH(O$4,'Type Chart'!$A$5:$A$19,0),MATCH($D146,'Type Chart'!$B$4:$P$4,0)))</f>
        <v>1</v>
      </c>
      <c r="P146" s="21" t="n">
        <f aca="false">INDEX('Type Chart'!$B$5:$P$19,MATCH(P$4,'Type Chart'!$A$5:$A$19,0),MATCH($C146,'Type Chart'!$B$4:$P$4,0))*IF($D146="",1,INDEX('Type Chart'!$B$5:$P$19,MATCH(P$4,'Type Chart'!$A$5:$A$19,0),MATCH($D146,'Type Chart'!$B$4:$P$4,0)))</f>
        <v>0.5</v>
      </c>
      <c r="Q146" s="21" t="n">
        <f aca="false">INDEX('Type Chart'!$B$5:$P$19,MATCH(Q$4,'Type Chart'!$A$5:$A$19,0),MATCH($C146,'Type Chart'!$B$4:$P$4,0))*IF($D146="",1,INDEX('Type Chart'!$B$5:$P$19,MATCH(Q$4,'Type Chart'!$A$5:$A$19,0),MATCH($D146,'Type Chart'!$B$4:$P$4,0)))</f>
        <v>2</v>
      </c>
      <c r="R146" s="21" t="n">
        <f aca="false">INDEX('Type Chart'!$B$5:$P$19,MATCH(R$4,'Type Chart'!$A$5:$A$19,0),MATCH($C146,'Type Chart'!$B$4:$P$4,0))*IF($D146="",1,INDEX('Type Chart'!$B$5:$P$19,MATCH(R$4,'Type Chart'!$A$5:$A$19,0),MATCH($D146,'Type Chart'!$B$4:$P$4,0)))</f>
        <v>1</v>
      </c>
      <c r="S146" s="21" t="n">
        <f aca="false">INDEX('Type Chart'!$B$5:$P$19,MATCH(S$4,'Type Chart'!$A$5:$A$19,0),MATCH($C146,'Type Chart'!$B$4:$P$4,0))*IF($D146="",1,INDEX('Type Chart'!$B$5:$P$19,MATCH(S$4,'Type Chart'!$A$5:$A$19,0),MATCH($D146,'Type Chart'!$B$4:$P$4,0)))</f>
        <v>1</v>
      </c>
    </row>
    <row r="147" customFormat="false" ht="15" hidden="false" customHeight="false" outlineLevel="0" collapsed="false">
      <c r="A147" s="19" t="n">
        <v>143</v>
      </c>
      <c r="B147" s="19" t="s">
        <v>234</v>
      </c>
      <c r="C147" s="20" t="str">
        <f aca="false">Pokedex!C147</f>
        <v>Normal</v>
      </c>
      <c r="D147" s="20" t="n">
        <f aca="false">Pokedex!D147</f>
        <v>0</v>
      </c>
      <c r="E147" s="21" t="n">
        <f aca="false">INDEX('Type Chart'!$B$5:$P$19,MATCH(E$4,'Type Chart'!$A$5:$A$19,0),MATCH($C147,'Type Chart'!$B$4:$P$4,0))*IF($D147="",1,INDEX('Type Chart'!$B$5:$P$19,MATCH(E$4,'Type Chart'!$A$5:$A$19,0),MATCH($D147,'Type Chart'!$B$4:$P$4,0)))</f>
        <v>1</v>
      </c>
      <c r="F147" s="21" t="n">
        <f aca="false">INDEX('Type Chart'!$B$5:$P$19,MATCH(F$4,'Type Chart'!$A$5:$A$19,0),MATCH($C147,'Type Chart'!$B$4:$P$4,0))*IF($D147="",1,INDEX('Type Chart'!$B$5:$P$19,MATCH(F$4,'Type Chart'!$A$5:$A$19,0),MATCH($D147,'Type Chart'!$B$4:$P$4,0)))</f>
        <v>1</v>
      </c>
      <c r="G147" s="21" t="n">
        <f aca="false">INDEX('Type Chart'!$B$5:$P$19,MATCH(G$4,'Type Chart'!$A$5:$A$19,0),MATCH($C147,'Type Chart'!$B$4:$P$4,0))*IF($D147="",1,INDEX('Type Chart'!$B$5:$P$19,MATCH(G$4,'Type Chart'!$A$5:$A$19,0),MATCH($D147,'Type Chart'!$B$4:$P$4,0)))</f>
        <v>1</v>
      </c>
      <c r="H147" s="21" t="n">
        <f aca="false">INDEX('Type Chart'!$B$5:$P$19,MATCH(H$4,'Type Chart'!$A$5:$A$19,0),MATCH($C147,'Type Chart'!$B$4:$P$4,0))*IF($D147="",1,INDEX('Type Chart'!$B$5:$P$19,MATCH(H$4,'Type Chart'!$A$5:$A$19,0),MATCH($D147,'Type Chart'!$B$4:$P$4,0)))</f>
        <v>1</v>
      </c>
      <c r="I147" s="21" t="n">
        <f aca="false">INDEX('Type Chart'!$B$5:$P$19,MATCH(I$4,'Type Chart'!$A$5:$A$19,0),MATCH($C147,'Type Chart'!$B$4:$P$4,0))*IF($D147="",1,INDEX('Type Chart'!$B$5:$P$19,MATCH(I$4,'Type Chart'!$A$5:$A$19,0),MATCH($D147,'Type Chart'!$B$4:$P$4,0)))</f>
        <v>1</v>
      </c>
      <c r="J147" s="21" t="n">
        <f aca="false">INDEX('Type Chart'!$B$5:$P$19,MATCH(J$4,'Type Chart'!$A$5:$A$19,0),MATCH($C147,'Type Chart'!$B$4:$P$4,0))*IF($D147="",1,INDEX('Type Chart'!$B$5:$P$19,MATCH(J$4,'Type Chart'!$A$5:$A$19,0),MATCH($D147,'Type Chart'!$B$4:$P$4,0)))</f>
        <v>1</v>
      </c>
      <c r="K147" s="21" t="n">
        <f aca="false">INDEX('Type Chart'!$B$5:$P$19,MATCH(K$4,'Type Chart'!$A$5:$A$19,0),MATCH($C147,'Type Chart'!$B$4:$P$4,0))*IF($D147="",1,INDEX('Type Chart'!$B$5:$P$19,MATCH(K$4,'Type Chart'!$A$5:$A$19,0),MATCH($D147,'Type Chart'!$B$4:$P$4,0)))</f>
        <v>2</v>
      </c>
      <c r="L147" s="21" t="n">
        <f aca="false">INDEX('Type Chart'!$B$5:$P$19,MATCH(L$4,'Type Chart'!$A$5:$A$19,0),MATCH($C147,'Type Chart'!$B$4:$P$4,0))*IF($D147="",1,INDEX('Type Chart'!$B$5:$P$19,MATCH(L$4,'Type Chart'!$A$5:$A$19,0),MATCH($D147,'Type Chart'!$B$4:$P$4,0)))</f>
        <v>1</v>
      </c>
      <c r="M147" s="21" t="n">
        <f aca="false">INDEX('Type Chart'!$B$5:$P$19,MATCH(M$4,'Type Chart'!$A$5:$A$19,0),MATCH($C147,'Type Chart'!$B$4:$P$4,0))*IF($D147="",1,INDEX('Type Chart'!$B$5:$P$19,MATCH(M$4,'Type Chart'!$A$5:$A$19,0),MATCH($D147,'Type Chart'!$B$4:$P$4,0)))</f>
        <v>1</v>
      </c>
      <c r="N147" s="21" t="n">
        <f aca="false">INDEX('Type Chart'!$B$5:$P$19,MATCH(N$4,'Type Chart'!$A$5:$A$19,0),MATCH($C147,'Type Chart'!$B$4:$P$4,0))*IF($D147="",1,INDEX('Type Chart'!$B$5:$P$19,MATCH(N$4,'Type Chart'!$A$5:$A$19,0),MATCH($D147,'Type Chart'!$B$4:$P$4,0)))</f>
        <v>1</v>
      </c>
      <c r="O147" s="21" t="n">
        <f aca="false">INDEX('Type Chart'!$B$5:$P$19,MATCH(O$4,'Type Chart'!$A$5:$A$19,0),MATCH($C147,'Type Chart'!$B$4:$P$4,0))*IF($D147="",1,INDEX('Type Chart'!$B$5:$P$19,MATCH(O$4,'Type Chart'!$A$5:$A$19,0),MATCH($D147,'Type Chart'!$B$4:$P$4,0)))</f>
        <v>1</v>
      </c>
      <c r="P147" s="21" t="n">
        <f aca="false">INDEX('Type Chart'!$B$5:$P$19,MATCH(P$4,'Type Chart'!$A$5:$A$19,0),MATCH($C147,'Type Chart'!$B$4:$P$4,0))*IF($D147="",1,INDEX('Type Chart'!$B$5:$P$19,MATCH(P$4,'Type Chart'!$A$5:$A$19,0),MATCH($D147,'Type Chart'!$B$4:$P$4,0)))</f>
        <v>1</v>
      </c>
      <c r="Q147" s="21" t="n">
        <f aca="false">INDEX('Type Chart'!$B$5:$P$19,MATCH(Q$4,'Type Chart'!$A$5:$A$19,0),MATCH($C147,'Type Chart'!$B$4:$P$4,0))*IF($D147="",1,INDEX('Type Chart'!$B$5:$P$19,MATCH(Q$4,'Type Chart'!$A$5:$A$19,0),MATCH($D147,'Type Chart'!$B$4:$P$4,0)))</f>
        <v>1</v>
      </c>
      <c r="R147" s="21" t="n">
        <f aca="false">INDEX('Type Chart'!$B$5:$P$19,MATCH(R$4,'Type Chart'!$A$5:$A$19,0),MATCH($C147,'Type Chart'!$B$4:$P$4,0))*IF($D147="",1,INDEX('Type Chart'!$B$5:$P$19,MATCH(R$4,'Type Chart'!$A$5:$A$19,0),MATCH($D147,'Type Chart'!$B$4:$P$4,0)))</f>
        <v>0</v>
      </c>
      <c r="S147" s="21" t="n">
        <f aca="false">INDEX('Type Chart'!$B$5:$P$19,MATCH(S$4,'Type Chart'!$A$5:$A$19,0),MATCH($C147,'Type Chart'!$B$4:$P$4,0))*IF($D147="",1,INDEX('Type Chart'!$B$5:$P$19,MATCH(S$4,'Type Chart'!$A$5:$A$19,0),MATCH($D147,'Type Chart'!$B$4:$P$4,0)))</f>
        <v>1</v>
      </c>
    </row>
    <row r="148" customFormat="false" ht="15" hidden="false" customHeight="false" outlineLevel="0" collapsed="false">
      <c r="A148" s="19" t="n">
        <v>144</v>
      </c>
      <c r="B148" s="19" t="s">
        <v>235</v>
      </c>
      <c r="C148" s="20" t="str">
        <f aca="false">Pokedex!C148</f>
        <v>Ice</v>
      </c>
      <c r="D148" s="20" t="str">
        <f aca="false">Pokedex!D148</f>
        <v>Flying</v>
      </c>
      <c r="E148" s="21" t="n">
        <f aca="false">INDEX('Type Chart'!$B$5:$P$19,MATCH(E$4,'Type Chart'!$A$5:$A$19,0),MATCH($C148,'Type Chart'!$B$4:$P$4,0))*IF($D148="",1,INDEX('Type Chart'!$B$5:$P$19,MATCH(E$4,'Type Chart'!$A$5:$A$19,0),MATCH($D148,'Type Chart'!$B$4:$P$4,0)))</f>
        <v>1</v>
      </c>
      <c r="F148" s="21" t="n">
        <f aca="false">INDEX('Type Chart'!$B$5:$P$19,MATCH(F$4,'Type Chart'!$A$5:$A$19,0),MATCH($C148,'Type Chart'!$B$4:$P$4,0))*IF($D148="",1,INDEX('Type Chart'!$B$5:$P$19,MATCH(F$4,'Type Chart'!$A$5:$A$19,0),MATCH($D148,'Type Chart'!$B$4:$P$4,0)))</f>
        <v>2</v>
      </c>
      <c r="G148" s="21" t="n">
        <f aca="false">INDEX('Type Chart'!$B$5:$P$19,MATCH(G$4,'Type Chart'!$A$5:$A$19,0),MATCH($C148,'Type Chart'!$B$4:$P$4,0))*IF($D148="",1,INDEX('Type Chart'!$B$5:$P$19,MATCH(G$4,'Type Chart'!$A$5:$A$19,0),MATCH($D148,'Type Chart'!$B$4:$P$4,0)))</f>
        <v>1</v>
      </c>
      <c r="H148" s="21" t="n">
        <f aca="false">INDEX('Type Chart'!$B$5:$P$19,MATCH(H$4,'Type Chart'!$A$5:$A$19,0),MATCH($C148,'Type Chart'!$B$4:$P$4,0))*IF($D148="",1,INDEX('Type Chart'!$B$5:$P$19,MATCH(H$4,'Type Chart'!$A$5:$A$19,0),MATCH($D148,'Type Chart'!$B$4:$P$4,0)))</f>
        <v>2</v>
      </c>
      <c r="I148" s="21" t="n">
        <f aca="false">INDEX('Type Chart'!$B$5:$P$19,MATCH(I$4,'Type Chart'!$A$5:$A$19,0),MATCH($C148,'Type Chart'!$B$4:$P$4,0))*IF($D148="",1,INDEX('Type Chart'!$B$5:$P$19,MATCH(I$4,'Type Chart'!$A$5:$A$19,0),MATCH($D148,'Type Chart'!$B$4:$P$4,0)))</f>
        <v>0.5</v>
      </c>
      <c r="J148" s="21" t="n">
        <f aca="false">INDEX('Type Chart'!$B$5:$P$19,MATCH(J$4,'Type Chart'!$A$5:$A$19,0),MATCH($C148,'Type Chart'!$B$4:$P$4,0))*IF($D148="",1,INDEX('Type Chart'!$B$5:$P$19,MATCH(J$4,'Type Chart'!$A$5:$A$19,0),MATCH($D148,'Type Chart'!$B$4:$P$4,0)))</f>
        <v>1</v>
      </c>
      <c r="K148" s="21" t="n">
        <f aca="false">INDEX('Type Chart'!$B$5:$P$19,MATCH(K$4,'Type Chart'!$A$5:$A$19,0),MATCH($C148,'Type Chart'!$B$4:$P$4,0))*IF($D148="",1,INDEX('Type Chart'!$B$5:$P$19,MATCH(K$4,'Type Chart'!$A$5:$A$19,0),MATCH($D148,'Type Chart'!$B$4:$P$4,0)))</f>
        <v>1</v>
      </c>
      <c r="L148" s="21" t="n">
        <f aca="false">INDEX('Type Chart'!$B$5:$P$19,MATCH(L$4,'Type Chart'!$A$5:$A$19,0),MATCH($C148,'Type Chart'!$B$4:$P$4,0))*IF($D148="",1,INDEX('Type Chart'!$B$5:$P$19,MATCH(L$4,'Type Chart'!$A$5:$A$19,0),MATCH($D148,'Type Chart'!$B$4:$P$4,0)))</f>
        <v>1</v>
      </c>
      <c r="M148" s="21" t="n">
        <f aca="false">INDEX('Type Chart'!$B$5:$P$19,MATCH(M$4,'Type Chart'!$A$5:$A$19,0),MATCH($C148,'Type Chart'!$B$4:$P$4,0))*IF($D148="",1,INDEX('Type Chart'!$B$5:$P$19,MATCH(M$4,'Type Chart'!$A$5:$A$19,0),MATCH($D148,'Type Chart'!$B$4:$P$4,0)))</f>
        <v>0</v>
      </c>
      <c r="N148" s="21" t="n">
        <f aca="false">INDEX('Type Chart'!$B$5:$P$19,MATCH(N$4,'Type Chart'!$A$5:$A$19,0),MATCH($C148,'Type Chart'!$B$4:$P$4,0))*IF($D148="",1,INDEX('Type Chart'!$B$5:$P$19,MATCH(N$4,'Type Chart'!$A$5:$A$19,0),MATCH($D148,'Type Chart'!$B$4:$P$4,0)))</f>
        <v>1</v>
      </c>
      <c r="O148" s="21" t="n">
        <f aca="false">INDEX('Type Chart'!$B$5:$P$19,MATCH(O$4,'Type Chart'!$A$5:$A$19,0),MATCH($C148,'Type Chart'!$B$4:$P$4,0))*IF($D148="",1,INDEX('Type Chart'!$B$5:$P$19,MATCH(O$4,'Type Chart'!$A$5:$A$19,0),MATCH($D148,'Type Chart'!$B$4:$P$4,0)))</f>
        <v>1</v>
      </c>
      <c r="P148" s="21" t="n">
        <f aca="false">INDEX('Type Chart'!$B$5:$P$19,MATCH(P$4,'Type Chart'!$A$5:$A$19,0),MATCH($C148,'Type Chart'!$B$4:$P$4,0))*IF($D148="",1,INDEX('Type Chart'!$B$5:$P$19,MATCH(P$4,'Type Chart'!$A$5:$A$19,0),MATCH($D148,'Type Chart'!$B$4:$P$4,0)))</f>
        <v>0.5</v>
      </c>
      <c r="Q148" s="21" t="n">
        <f aca="false">INDEX('Type Chart'!$B$5:$P$19,MATCH(Q$4,'Type Chart'!$A$5:$A$19,0),MATCH($C148,'Type Chart'!$B$4:$P$4,0))*IF($D148="",1,INDEX('Type Chart'!$B$5:$P$19,MATCH(Q$4,'Type Chart'!$A$5:$A$19,0),MATCH($D148,'Type Chart'!$B$4:$P$4,0)))</f>
        <v>4</v>
      </c>
      <c r="R148" s="21" t="n">
        <f aca="false">INDEX('Type Chart'!$B$5:$P$19,MATCH(R$4,'Type Chart'!$A$5:$A$19,0),MATCH($C148,'Type Chart'!$B$4:$P$4,0))*IF($D148="",1,INDEX('Type Chart'!$B$5:$P$19,MATCH(R$4,'Type Chart'!$A$5:$A$19,0),MATCH($D148,'Type Chart'!$B$4:$P$4,0)))</f>
        <v>1</v>
      </c>
      <c r="S148" s="21" t="n">
        <f aca="false">INDEX('Type Chart'!$B$5:$P$19,MATCH(S$4,'Type Chart'!$A$5:$A$19,0),MATCH($C148,'Type Chart'!$B$4:$P$4,0))*IF($D148="",1,INDEX('Type Chart'!$B$5:$P$19,MATCH(S$4,'Type Chart'!$A$5:$A$19,0),MATCH($D148,'Type Chart'!$B$4:$P$4,0)))</f>
        <v>1</v>
      </c>
    </row>
    <row r="149" customFormat="false" ht="15" hidden="false" customHeight="false" outlineLevel="0" collapsed="false">
      <c r="A149" s="19" t="n">
        <v>145</v>
      </c>
      <c r="B149" s="19" t="s">
        <v>236</v>
      </c>
      <c r="C149" s="20" t="str">
        <f aca="false">Pokedex!C149</f>
        <v>Electric</v>
      </c>
      <c r="D149" s="20" t="str">
        <f aca="false">Pokedex!D149</f>
        <v>Flying</v>
      </c>
      <c r="E149" s="21" t="n">
        <f aca="false">INDEX('Type Chart'!$B$5:$P$19,MATCH(E$4,'Type Chart'!$A$5:$A$19,0),MATCH($C149,'Type Chart'!$B$4:$P$4,0))*IF($D149="",1,INDEX('Type Chart'!$B$5:$P$19,MATCH(E$4,'Type Chart'!$A$5:$A$19,0),MATCH($D149,'Type Chart'!$B$4:$P$4,0)))</f>
        <v>1</v>
      </c>
      <c r="F149" s="21" t="n">
        <f aca="false">INDEX('Type Chart'!$B$5:$P$19,MATCH(F$4,'Type Chart'!$A$5:$A$19,0),MATCH($C149,'Type Chart'!$B$4:$P$4,0))*IF($D149="",1,INDEX('Type Chart'!$B$5:$P$19,MATCH(F$4,'Type Chart'!$A$5:$A$19,0),MATCH($D149,'Type Chart'!$B$4:$P$4,0)))</f>
        <v>1</v>
      </c>
      <c r="G149" s="21" t="n">
        <f aca="false">INDEX('Type Chart'!$B$5:$P$19,MATCH(G$4,'Type Chart'!$A$5:$A$19,0),MATCH($C149,'Type Chart'!$B$4:$P$4,0))*IF($D149="",1,INDEX('Type Chart'!$B$5:$P$19,MATCH(G$4,'Type Chart'!$A$5:$A$19,0),MATCH($D149,'Type Chart'!$B$4:$P$4,0)))</f>
        <v>1</v>
      </c>
      <c r="H149" s="21" t="n">
        <f aca="false">INDEX('Type Chart'!$B$5:$P$19,MATCH(H$4,'Type Chart'!$A$5:$A$19,0),MATCH($C149,'Type Chart'!$B$4:$P$4,0))*IF($D149="",1,INDEX('Type Chart'!$B$5:$P$19,MATCH(H$4,'Type Chart'!$A$5:$A$19,0),MATCH($D149,'Type Chart'!$B$4:$P$4,0)))</f>
        <v>1</v>
      </c>
      <c r="I149" s="21" t="n">
        <f aca="false">INDEX('Type Chart'!$B$5:$P$19,MATCH(I$4,'Type Chart'!$A$5:$A$19,0),MATCH($C149,'Type Chart'!$B$4:$P$4,0))*IF($D149="",1,INDEX('Type Chart'!$B$5:$P$19,MATCH(I$4,'Type Chart'!$A$5:$A$19,0),MATCH($D149,'Type Chart'!$B$4:$P$4,0)))</f>
        <v>0.5</v>
      </c>
      <c r="J149" s="21" t="n">
        <f aca="false">INDEX('Type Chart'!$B$5:$P$19,MATCH(J$4,'Type Chart'!$A$5:$A$19,0),MATCH($C149,'Type Chart'!$B$4:$P$4,0))*IF($D149="",1,INDEX('Type Chart'!$B$5:$P$19,MATCH(J$4,'Type Chart'!$A$5:$A$19,0),MATCH($D149,'Type Chart'!$B$4:$P$4,0)))</f>
        <v>2</v>
      </c>
      <c r="K149" s="21" t="n">
        <f aca="false">INDEX('Type Chart'!$B$5:$P$19,MATCH(K$4,'Type Chart'!$A$5:$A$19,0),MATCH($C149,'Type Chart'!$B$4:$P$4,0))*IF($D149="",1,INDEX('Type Chart'!$B$5:$P$19,MATCH(K$4,'Type Chart'!$A$5:$A$19,0),MATCH($D149,'Type Chart'!$B$4:$P$4,0)))</f>
        <v>0.5</v>
      </c>
      <c r="L149" s="21" t="n">
        <f aca="false">INDEX('Type Chart'!$B$5:$P$19,MATCH(L$4,'Type Chart'!$A$5:$A$19,0),MATCH($C149,'Type Chart'!$B$4:$P$4,0))*IF($D149="",1,INDEX('Type Chart'!$B$5:$P$19,MATCH(L$4,'Type Chart'!$A$5:$A$19,0),MATCH($D149,'Type Chart'!$B$4:$P$4,0)))</f>
        <v>1</v>
      </c>
      <c r="M149" s="21" t="n">
        <f aca="false">INDEX('Type Chart'!$B$5:$P$19,MATCH(M$4,'Type Chart'!$A$5:$A$19,0),MATCH($C149,'Type Chart'!$B$4:$P$4,0))*IF($D149="",1,INDEX('Type Chart'!$B$5:$P$19,MATCH(M$4,'Type Chart'!$A$5:$A$19,0),MATCH($D149,'Type Chart'!$B$4:$P$4,0)))</f>
        <v>0</v>
      </c>
      <c r="N149" s="21" t="n">
        <f aca="false">INDEX('Type Chart'!$B$5:$P$19,MATCH(N$4,'Type Chart'!$A$5:$A$19,0),MATCH($C149,'Type Chart'!$B$4:$P$4,0))*IF($D149="",1,INDEX('Type Chart'!$B$5:$P$19,MATCH(N$4,'Type Chart'!$A$5:$A$19,0),MATCH($D149,'Type Chart'!$B$4:$P$4,0)))</f>
        <v>0.5</v>
      </c>
      <c r="O149" s="21" t="n">
        <f aca="false">INDEX('Type Chart'!$B$5:$P$19,MATCH(O$4,'Type Chart'!$A$5:$A$19,0),MATCH($C149,'Type Chart'!$B$4:$P$4,0))*IF($D149="",1,INDEX('Type Chart'!$B$5:$P$19,MATCH(O$4,'Type Chart'!$A$5:$A$19,0),MATCH($D149,'Type Chart'!$B$4:$P$4,0)))</f>
        <v>1</v>
      </c>
      <c r="P149" s="21" t="n">
        <f aca="false">INDEX('Type Chart'!$B$5:$P$19,MATCH(P$4,'Type Chart'!$A$5:$A$19,0),MATCH($C149,'Type Chart'!$B$4:$P$4,0))*IF($D149="",1,INDEX('Type Chart'!$B$5:$P$19,MATCH(P$4,'Type Chart'!$A$5:$A$19,0),MATCH($D149,'Type Chart'!$B$4:$P$4,0)))</f>
        <v>0.5</v>
      </c>
      <c r="Q149" s="21" t="n">
        <f aca="false">INDEX('Type Chart'!$B$5:$P$19,MATCH(Q$4,'Type Chart'!$A$5:$A$19,0),MATCH($C149,'Type Chart'!$B$4:$P$4,0))*IF($D149="",1,INDEX('Type Chart'!$B$5:$P$19,MATCH(Q$4,'Type Chart'!$A$5:$A$19,0),MATCH($D149,'Type Chart'!$B$4:$P$4,0)))</f>
        <v>2</v>
      </c>
      <c r="R149" s="21" t="n">
        <f aca="false">INDEX('Type Chart'!$B$5:$P$19,MATCH(R$4,'Type Chart'!$A$5:$A$19,0),MATCH($C149,'Type Chart'!$B$4:$P$4,0))*IF($D149="",1,INDEX('Type Chart'!$B$5:$P$19,MATCH(R$4,'Type Chart'!$A$5:$A$19,0),MATCH($D149,'Type Chart'!$B$4:$P$4,0)))</f>
        <v>1</v>
      </c>
      <c r="S149" s="21" t="n">
        <f aca="false">INDEX('Type Chart'!$B$5:$P$19,MATCH(S$4,'Type Chart'!$A$5:$A$19,0),MATCH($C149,'Type Chart'!$B$4:$P$4,0))*IF($D149="",1,INDEX('Type Chart'!$B$5:$P$19,MATCH(S$4,'Type Chart'!$A$5:$A$19,0),MATCH($D149,'Type Chart'!$B$4:$P$4,0)))</f>
        <v>1</v>
      </c>
    </row>
    <row r="150" customFormat="false" ht="15" hidden="false" customHeight="false" outlineLevel="0" collapsed="false">
      <c r="A150" s="19" t="n">
        <v>146</v>
      </c>
      <c r="B150" s="19" t="s">
        <v>237</v>
      </c>
      <c r="C150" s="20" t="str">
        <f aca="false">Pokedex!C150</f>
        <v>Fire</v>
      </c>
      <c r="D150" s="20" t="str">
        <f aca="false">Pokedex!D150</f>
        <v>Flying</v>
      </c>
      <c r="E150" s="21" t="n">
        <f aca="false">INDEX('Type Chart'!$B$5:$P$19,MATCH(E$4,'Type Chart'!$A$5:$A$19,0),MATCH($C150,'Type Chart'!$B$4:$P$4,0))*IF($D150="",1,INDEX('Type Chart'!$B$5:$P$19,MATCH(E$4,'Type Chart'!$A$5:$A$19,0),MATCH($D150,'Type Chart'!$B$4:$P$4,0)))</f>
        <v>1</v>
      </c>
      <c r="F150" s="21" t="n">
        <f aca="false">INDEX('Type Chart'!$B$5:$P$19,MATCH(F$4,'Type Chart'!$A$5:$A$19,0),MATCH($C150,'Type Chart'!$B$4:$P$4,0))*IF($D150="",1,INDEX('Type Chart'!$B$5:$P$19,MATCH(F$4,'Type Chart'!$A$5:$A$19,0),MATCH($D150,'Type Chart'!$B$4:$P$4,0)))</f>
        <v>0.5</v>
      </c>
      <c r="G150" s="21" t="n">
        <f aca="false">INDEX('Type Chart'!$B$5:$P$19,MATCH(G$4,'Type Chart'!$A$5:$A$19,0),MATCH($C150,'Type Chart'!$B$4:$P$4,0))*IF($D150="",1,INDEX('Type Chart'!$B$5:$P$19,MATCH(G$4,'Type Chart'!$A$5:$A$19,0),MATCH($D150,'Type Chart'!$B$4:$P$4,0)))</f>
        <v>2</v>
      </c>
      <c r="H150" s="21" t="n">
        <f aca="false">INDEX('Type Chart'!$B$5:$P$19,MATCH(H$4,'Type Chart'!$A$5:$A$19,0),MATCH($C150,'Type Chart'!$B$4:$P$4,0))*IF($D150="",1,INDEX('Type Chart'!$B$5:$P$19,MATCH(H$4,'Type Chart'!$A$5:$A$19,0),MATCH($D150,'Type Chart'!$B$4:$P$4,0)))</f>
        <v>2</v>
      </c>
      <c r="I150" s="21" t="n">
        <f aca="false">INDEX('Type Chart'!$B$5:$P$19,MATCH(I$4,'Type Chart'!$A$5:$A$19,0),MATCH($C150,'Type Chart'!$B$4:$P$4,0))*IF($D150="",1,INDEX('Type Chart'!$B$5:$P$19,MATCH(I$4,'Type Chart'!$A$5:$A$19,0),MATCH($D150,'Type Chart'!$B$4:$P$4,0)))</f>
        <v>0.25</v>
      </c>
      <c r="J150" s="21" t="n">
        <f aca="false">INDEX('Type Chart'!$B$5:$P$19,MATCH(J$4,'Type Chart'!$A$5:$A$19,0),MATCH($C150,'Type Chart'!$B$4:$P$4,0))*IF($D150="",1,INDEX('Type Chart'!$B$5:$P$19,MATCH(J$4,'Type Chart'!$A$5:$A$19,0),MATCH($D150,'Type Chart'!$B$4:$P$4,0)))</f>
        <v>2</v>
      </c>
      <c r="K150" s="21" t="n">
        <f aca="false">INDEX('Type Chart'!$B$5:$P$19,MATCH(K$4,'Type Chart'!$A$5:$A$19,0),MATCH($C150,'Type Chart'!$B$4:$P$4,0))*IF($D150="",1,INDEX('Type Chart'!$B$5:$P$19,MATCH(K$4,'Type Chart'!$A$5:$A$19,0),MATCH($D150,'Type Chart'!$B$4:$P$4,0)))</f>
        <v>0.5</v>
      </c>
      <c r="L150" s="21" t="n">
        <f aca="false">INDEX('Type Chart'!$B$5:$P$19,MATCH(L$4,'Type Chart'!$A$5:$A$19,0),MATCH($C150,'Type Chart'!$B$4:$P$4,0))*IF($D150="",1,INDEX('Type Chart'!$B$5:$P$19,MATCH(L$4,'Type Chart'!$A$5:$A$19,0),MATCH($D150,'Type Chart'!$B$4:$P$4,0)))</f>
        <v>1</v>
      </c>
      <c r="M150" s="21" t="n">
        <f aca="false">INDEX('Type Chart'!$B$5:$P$19,MATCH(M$4,'Type Chart'!$A$5:$A$19,0),MATCH($C150,'Type Chart'!$B$4:$P$4,0))*IF($D150="",1,INDEX('Type Chart'!$B$5:$P$19,MATCH(M$4,'Type Chart'!$A$5:$A$19,0),MATCH($D150,'Type Chart'!$B$4:$P$4,0)))</f>
        <v>0</v>
      </c>
      <c r="N150" s="21" t="n">
        <f aca="false">INDEX('Type Chart'!$B$5:$P$19,MATCH(N$4,'Type Chart'!$A$5:$A$19,0),MATCH($C150,'Type Chart'!$B$4:$P$4,0))*IF($D150="",1,INDEX('Type Chart'!$B$5:$P$19,MATCH(N$4,'Type Chart'!$A$5:$A$19,0),MATCH($D150,'Type Chart'!$B$4:$P$4,0)))</f>
        <v>1</v>
      </c>
      <c r="O150" s="21" t="n">
        <f aca="false">INDEX('Type Chart'!$B$5:$P$19,MATCH(O$4,'Type Chart'!$A$5:$A$19,0),MATCH($C150,'Type Chart'!$B$4:$P$4,0))*IF($D150="",1,INDEX('Type Chart'!$B$5:$P$19,MATCH(O$4,'Type Chart'!$A$5:$A$19,0),MATCH($D150,'Type Chart'!$B$4:$P$4,0)))</f>
        <v>1</v>
      </c>
      <c r="P150" s="21" t="n">
        <f aca="false">INDEX('Type Chart'!$B$5:$P$19,MATCH(P$4,'Type Chart'!$A$5:$A$19,0),MATCH($C150,'Type Chart'!$B$4:$P$4,0))*IF($D150="",1,INDEX('Type Chart'!$B$5:$P$19,MATCH(P$4,'Type Chart'!$A$5:$A$19,0),MATCH($D150,'Type Chart'!$B$4:$P$4,0)))</f>
        <v>0.25</v>
      </c>
      <c r="Q150" s="21" t="n">
        <f aca="false">INDEX('Type Chart'!$B$5:$P$19,MATCH(Q$4,'Type Chart'!$A$5:$A$19,0),MATCH($C150,'Type Chart'!$B$4:$P$4,0))*IF($D150="",1,INDEX('Type Chart'!$B$5:$P$19,MATCH(Q$4,'Type Chart'!$A$5:$A$19,0),MATCH($D150,'Type Chart'!$B$4:$P$4,0)))</f>
        <v>4</v>
      </c>
      <c r="R150" s="21" t="n">
        <f aca="false">INDEX('Type Chart'!$B$5:$P$19,MATCH(R$4,'Type Chart'!$A$5:$A$19,0),MATCH($C150,'Type Chart'!$B$4:$P$4,0))*IF($D150="",1,INDEX('Type Chart'!$B$5:$P$19,MATCH(R$4,'Type Chart'!$A$5:$A$19,0),MATCH($D150,'Type Chart'!$B$4:$P$4,0)))</f>
        <v>1</v>
      </c>
      <c r="S150" s="21" t="n">
        <f aca="false">INDEX('Type Chart'!$B$5:$P$19,MATCH(S$4,'Type Chart'!$A$5:$A$19,0),MATCH($C150,'Type Chart'!$B$4:$P$4,0))*IF($D150="",1,INDEX('Type Chart'!$B$5:$P$19,MATCH(S$4,'Type Chart'!$A$5:$A$19,0),MATCH($D150,'Type Chart'!$B$4:$P$4,0)))</f>
        <v>1</v>
      </c>
    </row>
    <row r="151" customFormat="false" ht="15" hidden="false" customHeight="false" outlineLevel="0" collapsed="false">
      <c r="A151" s="19" t="n">
        <v>147</v>
      </c>
      <c r="B151" s="19" t="s">
        <v>238</v>
      </c>
      <c r="C151" s="20" t="str">
        <f aca="false">Pokedex!C151</f>
        <v>Dragon</v>
      </c>
      <c r="D151" s="20" t="n">
        <f aca="false">Pokedex!D151</f>
        <v>0</v>
      </c>
      <c r="E151" s="21" t="n">
        <f aca="false">INDEX('Type Chart'!$B$5:$P$19,MATCH(E$4,'Type Chart'!$A$5:$A$19,0),MATCH($C151,'Type Chart'!$B$4:$P$4,0))*IF($D151="",1,INDEX('Type Chart'!$B$5:$P$19,MATCH(E$4,'Type Chart'!$A$5:$A$19,0),MATCH($D151,'Type Chart'!$B$4:$P$4,0)))</f>
        <v>1</v>
      </c>
      <c r="F151" s="21" t="n">
        <f aca="false">INDEX('Type Chart'!$B$5:$P$19,MATCH(F$4,'Type Chart'!$A$5:$A$19,0),MATCH($C151,'Type Chart'!$B$4:$P$4,0))*IF($D151="",1,INDEX('Type Chart'!$B$5:$P$19,MATCH(F$4,'Type Chart'!$A$5:$A$19,0),MATCH($D151,'Type Chart'!$B$4:$P$4,0)))</f>
        <v>0.5</v>
      </c>
      <c r="G151" s="21" t="n">
        <f aca="false">INDEX('Type Chart'!$B$5:$P$19,MATCH(G$4,'Type Chart'!$A$5:$A$19,0),MATCH($C151,'Type Chart'!$B$4:$P$4,0))*IF($D151="",1,INDEX('Type Chart'!$B$5:$P$19,MATCH(G$4,'Type Chart'!$A$5:$A$19,0),MATCH($D151,'Type Chart'!$B$4:$P$4,0)))</f>
        <v>0.5</v>
      </c>
      <c r="H151" s="21" t="n">
        <f aca="false">INDEX('Type Chart'!$B$5:$P$19,MATCH(H$4,'Type Chart'!$A$5:$A$19,0),MATCH($C151,'Type Chart'!$B$4:$P$4,0))*IF($D151="",1,INDEX('Type Chart'!$B$5:$P$19,MATCH(H$4,'Type Chart'!$A$5:$A$19,0),MATCH($D151,'Type Chart'!$B$4:$P$4,0)))</f>
        <v>0.5</v>
      </c>
      <c r="I151" s="21" t="n">
        <f aca="false">INDEX('Type Chart'!$B$5:$P$19,MATCH(I$4,'Type Chart'!$A$5:$A$19,0),MATCH($C151,'Type Chart'!$B$4:$P$4,0))*IF($D151="",1,INDEX('Type Chart'!$B$5:$P$19,MATCH(I$4,'Type Chart'!$A$5:$A$19,0),MATCH($D151,'Type Chart'!$B$4:$P$4,0)))</f>
        <v>0.5</v>
      </c>
      <c r="J151" s="21" t="n">
        <f aca="false">INDEX('Type Chart'!$B$5:$P$19,MATCH(J$4,'Type Chart'!$A$5:$A$19,0),MATCH($C151,'Type Chart'!$B$4:$P$4,0))*IF($D151="",1,INDEX('Type Chart'!$B$5:$P$19,MATCH(J$4,'Type Chart'!$A$5:$A$19,0),MATCH($D151,'Type Chart'!$B$4:$P$4,0)))</f>
        <v>2</v>
      </c>
      <c r="K151" s="21" t="n">
        <f aca="false">INDEX('Type Chart'!$B$5:$P$19,MATCH(K$4,'Type Chart'!$A$5:$A$19,0),MATCH($C151,'Type Chart'!$B$4:$P$4,0))*IF($D151="",1,INDEX('Type Chart'!$B$5:$P$19,MATCH(K$4,'Type Chart'!$A$5:$A$19,0),MATCH($D151,'Type Chart'!$B$4:$P$4,0)))</f>
        <v>1</v>
      </c>
      <c r="L151" s="21" t="n">
        <f aca="false">INDEX('Type Chart'!$B$5:$P$19,MATCH(L$4,'Type Chart'!$A$5:$A$19,0),MATCH($C151,'Type Chart'!$B$4:$P$4,0))*IF($D151="",1,INDEX('Type Chart'!$B$5:$P$19,MATCH(L$4,'Type Chart'!$A$5:$A$19,0),MATCH($D151,'Type Chart'!$B$4:$P$4,0)))</f>
        <v>1</v>
      </c>
      <c r="M151" s="21" t="n">
        <f aca="false">INDEX('Type Chart'!$B$5:$P$19,MATCH(M$4,'Type Chart'!$A$5:$A$19,0),MATCH($C151,'Type Chart'!$B$4:$P$4,0))*IF($D151="",1,INDEX('Type Chart'!$B$5:$P$19,MATCH(M$4,'Type Chart'!$A$5:$A$19,0),MATCH($D151,'Type Chart'!$B$4:$P$4,0)))</f>
        <v>1</v>
      </c>
      <c r="N151" s="21" t="n">
        <f aca="false">INDEX('Type Chart'!$B$5:$P$19,MATCH(N$4,'Type Chart'!$A$5:$A$19,0),MATCH($C151,'Type Chart'!$B$4:$P$4,0))*IF($D151="",1,INDEX('Type Chart'!$B$5:$P$19,MATCH(N$4,'Type Chart'!$A$5:$A$19,0),MATCH($D151,'Type Chart'!$B$4:$P$4,0)))</f>
        <v>1</v>
      </c>
      <c r="O151" s="21" t="n">
        <f aca="false">INDEX('Type Chart'!$B$5:$P$19,MATCH(O$4,'Type Chart'!$A$5:$A$19,0),MATCH($C151,'Type Chart'!$B$4:$P$4,0))*IF($D151="",1,INDEX('Type Chart'!$B$5:$P$19,MATCH(O$4,'Type Chart'!$A$5:$A$19,0),MATCH($D151,'Type Chart'!$B$4:$P$4,0)))</f>
        <v>1</v>
      </c>
      <c r="P151" s="21" t="n">
        <f aca="false">INDEX('Type Chart'!$B$5:$P$19,MATCH(P$4,'Type Chart'!$A$5:$A$19,0),MATCH($C151,'Type Chart'!$B$4:$P$4,0))*IF($D151="",1,INDEX('Type Chart'!$B$5:$P$19,MATCH(P$4,'Type Chart'!$A$5:$A$19,0),MATCH($D151,'Type Chart'!$B$4:$P$4,0)))</f>
        <v>1</v>
      </c>
      <c r="Q151" s="21" t="n">
        <f aca="false">INDEX('Type Chart'!$B$5:$P$19,MATCH(Q$4,'Type Chart'!$A$5:$A$19,0),MATCH($C151,'Type Chart'!$B$4:$P$4,0))*IF($D151="",1,INDEX('Type Chart'!$B$5:$P$19,MATCH(Q$4,'Type Chart'!$A$5:$A$19,0),MATCH($D151,'Type Chart'!$B$4:$P$4,0)))</f>
        <v>1</v>
      </c>
      <c r="R151" s="21" t="n">
        <f aca="false">INDEX('Type Chart'!$B$5:$P$19,MATCH(R$4,'Type Chart'!$A$5:$A$19,0),MATCH($C151,'Type Chart'!$B$4:$P$4,0))*IF($D151="",1,INDEX('Type Chart'!$B$5:$P$19,MATCH(R$4,'Type Chart'!$A$5:$A$19,0),MATCH($D151,'Type Chart'!$B$4:$P$4,0)))</f>
        <v>1</v>
      </c>
      <c r="S151" s="21" t="n">
        <f aca="false">INDEX('Type Chart'!$B$5:$P$19,MATCH(S$4,'Type Chart'!$A$5:$A$19,0),MATCH($C151,'Type Chart'!$B$4:$P$4,0))*IF($D151="",1,INDEX('Type Chart'!$B$5:$P$19,MATCH(S$4,'Type Chart'!$A$5:$A$19,0),MATCH($D151,'Type Chart'!$B$4:$P$4,0)))</f>
        <v>2</v>
      </c>
    </row>
    <row r="152" customFormat="false" ht="15" hidden="false" customHeight="false" outlineLevel="0" collapsed="false">
      <c r="A152" s="19" t="n">
        <v>148</v>
      </c>
      <c r="B152" s="19" t="s">
        <v>239</v>
      </c>
      <c r="C152" s="20" t="str">
        <f aca="false">Pokedex!C152</f>
        <v>Dragon</v>
      </c>
      <c r="D152" s="20" t="n">
        <f aca="false">Pokedex!D152</f>
        <v>0</v>
      </c>
      <c r="E152" s="21" t="n">
        <f aca="false">INDEX('Type Chart'!$B$5:$P$19,MATCH(E$4,'Type Chart'!$A$5:$A$19,0),MATCH($C152,'Type Chart'!$B$4:$P$4,0))*IF($D152="",1,INDEX('Type Chart'!$B$5:$P$19,MATCH(E$4,'Type Chart'!$A$5:$A$19,0),MATCH($D152,'Type Chart'!$B$4:$P$4,0)))</f>
        <v>1</v>
      </c>
      <c r="F152" s="21" t="n">
        <f aca="false">INDEX('Type Chart'!$B$5:$P$19,MATCH(F$4,'Type Chart'!$A$5:$A$19,0),MATCH($C152,'Type Chart'!$B$4:$P$4,0))*IF($D152="",1,INDEX('Type Chart'!$B$5:$P$19,MATCH(F$4,'Type Chart'!$A$5:$A$19,0),MATCH($D152,'Type Chart'!$B$4:$P$4,0)))</f>
        <v>0.5</v>
      </c>
      <c r="G152" s="21" t="n">
        <f aca="false">INDEX('Type Chart'!$B$5:$P$19,MATCH(G$4,'Type Chart'!$A$5:$A$19,0),MATCH($C152,'Type Chart'!$B$4:$P$4,0))*IF($D152="",1,INDEX('Type Chart'!$B$5:$P$19,MATCH(G$4,'Type Chart'!$A$5:$A$19,0),MATCH($D152,'Type Chart'!$B$4:$P$4,0)))</f>
        <v>0.5</v>
      </c>
      <c r="H152" s="21" t="n">
        <f aca="false">INDEX('Type Chart'!$B$5:$P$19,MATCH(H$4,'Type Chart'!$A$5:$A$19,0),MATCH($C152,'Type Chart'!$B$4:$P$4,0))*IF($D152="",1,INDEX('Type Chart'!$B$5:$P$19,MATCH(H$4,'Type Chart'!$A$5:$A$19,0),MATCH($D152,'Type Chart'!$B$4:$P$4,0)))</f>
        <v>0.5</v>
      </c>
      <c r="I152" s="21" t="n">
        <f aca="false">INDEX('Type Chart'!$B$5:$P$19,MATCH(I$4,'Type Chart'!$A$5:$A$19,0),MATCH($C152,'Type Chart'!$B$4:$P$4,0))*IF($D152="",1,INDEX('Type Chart'!$B$5:$P$19,MATCH(I$4,'Type Chart'!$A$5:$A$19,0),MATCH($D152,'Type Chart'!$B$4:$P$4,0)))</f>
        <v>0.5</v>
      </c>
      <c r="J152" s="21" t="n">
        <f aca="false">INDEX('Type Chart'!$B$5:$P$19,MATCH(J$4,'Type Chart'!$A$5:$A$19,0),MATCH($C152,'Type Chart'!$B$4:$P$4,0))*IF($D152="",1,INDEX('Type Chart'!$B$5:$P$19,MATCH(J$4,'Type Chart'!$A$5:$A$19,0),MATCH($D152,'Type Chart'!$B$4:$P$4,0)))</f>
        <v>2</v>
      </c>
      <c r="K152" s="21" t="n">
        <f aca="false">INDEX('Type Chart'!$B$5:$P$19,MATCH(K$4,'Type Chart'!$A$5:$A$19,0),MATCH($C152,'Type Chart'!$B$4:$P$4,0))*IF($D152="",1,INDEX('Type Chart'!$B$5:$P$19,MATCH(K$4,'Type Chart'!$A$5:$A$19,0),MATCH($D152,'Type Chart'!$B$4:$P$4,0)))</f>
        <v>1</v>
      </c>
      <c r="L152" s="21" t="n">
        <f aca="false">INDEX('Type Chart'!$B$5:$P$19,MATCH(L$4,'Type Chart'!$A$5:$A$19,0),MATCH($C152,'Type Chart'!$B$4:$P$4,0))*IF($D152="",1,INDEX('Type Chart'!$B$5:$P$19,MATCH(L$4,'Type Chart'!$A$5:$A$19,0),MATCH($D152,'Type Chart'!$B$4:$P$4,0)))</f>
        <v>1</v>
      </c>
      <c r="M152" s="21" t="n">
        <f aca="false">INDEX('Type Chart'!$B$5:$P$19,MATCH(M$4,'Type Chart'!$A$5:$A$19,0),MATCH($C152,'Type Chart'!$B$4:$P$4,0))*IF($D152="",1,INDEX('Type Chart'!$B$5:$P$19,MATCH(M$4,'Type Chart'!$A$5:$A$19,0),MATCH($D152,'Type Chart'!$B$4:$P$4,0)))</f>
        <v>1</v>
      </c>
      <c r="N152" s="21" t="n">
        <f aca="false">INDEX('Type Chart'!$B$5:$P$19,MATCH(N$4,'Type Chart'!$A$5:$A$19,0),MATCH($C152,'Type Chart'!$B$4:$P$4,0))*IF($D152="",1,INDEX('Type Chart'!$B$5:$P$19,MATCH(N$4,'Type Chart'!$A$5:$A$19,0),MATCH($D152,'Type Chart'!$B$4:$P$4,0)))</f>
        <v>1</v>
      </c>
      <c r="O152" s="21" t="n">
        <f aca="false">INDEX('Type Chart'!$B$5:$P$19,MATCH(O$4,'Type Chart'!$A$5:$A$19,0),MATCH($C152,'Type Chart'!$B$4:$P$4,0))*IF($D152="",1,INDEX('Type Chart'!$B$5:$P$19,MATCH(O$4,'Type Chart'!$A$5:$A$19,0),MATCH($D152,'Type Chart'!$B$4:$P$4,0)))</f>
        <v>1</v>
      </c>
      <c r="P152" s="21" t="n">
        <f aca="false">INDEX('Type Chart'!$B$5:$P$19,MATCH(P$4,'Type Chart'!$A$5:$A$19,0),MATCH($C152,'Type Chart'!$B$4:$P$4,0))*IF($D152="",1,INDEX('Type Chart'!$B$5:$P$19,MATCH(P$4,'Type Chart'!$A$5:$A$19,0),MATCH($D152,'Type Chart'!$B$4:$P$4,0)))</f>
        <v>1</v>
      </c>
      <c r="Q152" s="21" t="n">
        <f aca="false">INDEX('Type Chart'!$B$5:$P$19,MATCH(Q$4,'Type Chart'!$A$5:$A$19,0),MATCH($C152,'Type Chart'!$B$4:$P$4,0))*IF($D152="",1,INDEX('Type Chart'!$B$5:$P$19,MATCH(Q$4,'Type Chart'!$A$5:$A$19,0),MATCH($D152,'Type Chart'!$B$4:$P$4,0)))</f>
        <v>1</v>
      </c>
      <c r="R152" s="21" t="n">
        <f aca="false">INDEX('Type Chart'!$B$5:$P$19,MATCH(R$4,'Type Chart'!$A$5:$A$19,0),MATCH($C152,'Type Chart'!$B$4:$P$4,0))*IF($D152="",1,INDEX('Type Chart'!$B$5:$P$19,MATCH(R$4,'Type Chart'!$A$5:$A$19,0),MATCH($D152,'Type Chart'!$B$4:$P$4,0)))</f>
        <v>1</v>
      </c>
      <c r="S152" s="21" t="n">
        <f aca="false">INDEX('Type Chart'!$B$5:$P$19,MATCH(S$4,'Type Chart'!$A$5:$A$19,0),MATCH($C152,'Type Chart'!$B$4:$P$4,0))*IF($D152="",1,INDEX('Type Chart'!$B$5:$P$19,MATCH(S$4,'Type Chart'!$A$5:$A$19,0),MATCH($D152,'Type Chart'!$B$4:$P$4,0)))</f>
        <v>2</v>
      </c>
    </row>
    <row r="153" customFormat="false" ht="15" hidden="false" customHeight="false" outlineLevel="0" collapsed="false">
      <c r="A153" s="19" t="n">
        <v>149</v>
      </c>
      <c r="B153" s="19" t="s">
        <v>240</v>
      </c>
      <c r="C153" s="20" t="str">
        <f aca="false">Pokedex!C153</f>
        <v>Dragon</v>
      </c>
      <c r="D153" s="20" t="str">
        <f aca="false">Pokedex!D153</f>
        <v>Flying</v>
      </c>
      <c r="E153" s="21" t="n">
        <f aca="false">INDEX('Type Chart'!$B$5:$P$19,MATCH(E$4,'Type Chart'!$A$5:$A$19,0),MATCH($C153,'Type Chart'!$B$4:$P$4,0))*IF($D153="",1,INDEX('Type Chart'!$B$5:$P$19,MATCH(E$4,'Type Chart'!$A$5:$A$19,0),MATCH($D153,'Type Chart'!$B$4:$P$4,0)))</f>
        <v>1</v>
      </c>
      <c r="F153" s="21" t="n">
        <f aca="false">INDEX('Type Chart'!$B$5:$P$19,MATCH(F$4,'Type Chart'!$A$5:$A$19,0),MATCH($C153,'Type Chart'!$B$4:$P$4,0))*IF($D153="",1,INDEX('Type Chart'!$B$5:$P$19,MATCH(F$4,'Type Chart'!$A$5:$A$19,0),MATCH($D153,'Type Chart'!$B$4:$P$4,0)))</f>
        <v>0.5</v>
      </c>
      <c r="G153" s="21" t="n">
        <f aca="false">INDEX('Type Chart'!$B$5:$P$19,MATCH(G$4,'Type Chart'!$A$5:$A$19,0),MATCH($C153,'Type Chart'!$B$4:$P$4,0))*IF($D153="",1,INDEX('Type Chart'!$B$5:$P$19,MATCH(G$4,'Type Chart'!$A$5:$A$19,0),MATCH($D153,'Type Chart'!$B$4:$P$4,0)))</f>
        <v>0.5</v>
      </c>
      <c r="H153" s="21" t="n">
        <f aca="false">INDEX('Type Chart'!$B$5:$P$19,MATCH(H$4,'Type Chart'!$A$5:$A$19,0),MATCH($C153,'Type Chart'!$B$4:$P$4,0))*IF($D153="",1,INDEX('Type Chart'!$B$5:$P$19,MATCH(H$4,'Type Chart'!$A$5:$A$19,0),MATCH($D153,'Type Chart'!$B$4:$P$4,0)))</f>
        <v>1</v>
      </c>
      <c r="I153" s="21" t="n">
        <f aca="false">INDEX('Type Chart'!$B$5:$P$19,MATCH(I$4,'Type Chart'!$A$5:$A$19,0),MATCH($C153,'Type Chart'!$B$4:$P$4,0))*IF($D153="",1,INDEX('Type Chart'!$B$5:$P$19,MATCH(I$4,'Type Chart'!$A$5:$A$19,0),MATCH($D153,'Type Chart'!$B$4:$P$4,0)))</f>
        <v>0.25</v>
      </c>
      <c r="J153" s="21" t="n">
        <f aca="false">INDEX('Type Chart'!$B$5:$P$19,MATCH(J$4,'Type Chart'!$A$5:$A$19,0),MATCH($C153,'Type Chart'!$B$4:$P$4,0))*IF($D153="",1,INDEX('Type Chart'!$B$5:$P$19,MATCH(J$4,'Type Chart'!$A$5:$A$19,0),MATCH($D153,'Type Chart'!$B$4:$P$4,0)))</f>
        <v>4</v>
      </c>
      <c r="K153" s="21" t="n">
        <f aca="false">INDEX('Type Chart'!$B$5:$P$19,MATCH(K$4,'Type Chart'!$A$5:$A$19,0),MATCH($C153,'Type Chart'!$B$4:$P$4,0))*IF($D153="",1,INDEX('Type Chart'!$B$5:$P$19,MATCH(K$4,'Type Chart'!$A$5:$A$19,0),MATCH($D153,'Type Chart'!$B$4:$P$4,0)))</f>
        <v>0.5</v>
      </c>
      <c r="L153" s="21" t="n">
        <f aca="false">INDEX('Type Chart'!$B$5:$P$19,MATCH(L$4,'Type Chart'!$A$5:$A$19,0),MATCH($C153,'Type Chart'!$B$4:$P$4,0))*IF($D153="",1,INDEX('Type Chart'!$B$5:$P$19,MATCH(L$4,'Type Chart'!$A$5:$A$19,0),MATCH($D153,'Type Chart'!$B$4:$P$4,0)))</f>
        <v>1</v>
      </c>
      <c r="M153" s="21" t="n">
        <f aca="false">INDEX('Type Chart'!$B$5:$P$19,MATCH(M$4,'Type Chart'!$A$5:$A$19,0),MATCH($C153,'Type Chart'!$B$4:$P$4,0))*IF($D153="",1,INDEX('Type Chart'!$B$5:$P$19,MATCH(M$4,'Type Chart'!$A$5:$A$19,0),MATCH($D153,'Type Chart'!$B$4:$P$4,0)))</f>
        <v>0</v>
      </c>
      <c r="N153" s="21" t="n">
        <f aca="false">INDEX('Type Chart'!$B$5:$P$19,MATCH(N$4,'Type Chart'!$A$5:$A$19,0),MATCH($C153,'Type Chart'!$B$4:$P$4,0))*IF($D153="",1,INDEX('Type Chart'!$B$5:$P$19,MATCH(N$4,'Type Chart'!$A$5:$A$19,0),MATCH($D153,'Type Chart'!$B$4:$P$4,0)))</f>
        <v>1</v>
      </c>
      <c r="O153" s="21" t="n">
        <f aca="false">INDEX('Type Chart'!$B$5:$P$19,MATCH(O$4,'Type Chart'!$A$5:$A$19,0),MATCH($C153,'Type Chart'!$B$4:$P$4,0))*IF($D153="",1,INDEX('Type Chart'!$B$5:$P$19,MATCH(O$4,'Type Chart'!$A$5:$A$19,0),MATCH($D153,'Type Chart'!$B$4:$P$4,0)))</f>
        <v>1</v>
      </c>
      <c r="P153" s="21" t="n">
        <f aca="false">INDEX('Type Chart'!$B$5:$P$19,MATCH(P$4,'Type Chart'!$A$5:$A$19,0),MATCH($C153,'Type Chart'!$B$4:$P$4,0))*IF($D153="",1,INDEX('Type Chart'!$B$5:$P$19,MATCH(P$4,'Type Chart'!$A$5:$A$19,0),MATCH($D153,'Type Chart'!$B$4:$P$4,0)))</f>
        <v>0.5</v>
      </c>
      <c r="Q153" s="21" t="n">
        <f aca="false">INDEX('Type Chart'!$B$5:$P$19,MATCH(Q$4,'Type Chart'!$A$5:$A$19,0),MATCH($C153,'Type Chart'!$B$4:$P$4,0))*IF($D153="",1,INDEX('Type Chart'!$B$5:$P$19,MATCH(Q$4,'Type Chart'!$A$5:$A$19,0),MATCH($D153,'Type Chart'!$B$4:$P$4,0)))</f>
        <v>2</v>
      </c>
      <c r="R153" s="21" t="n">
        <f aca="false">INDEX('Type Chart'!$B$5:$P$19,MATCH(R$4,'Type Chart'!$A$5:$A$19,0),MATCH($C153,'Type Chart'!$B$4:$P$4,0))*IF($D153="",1,INDEX('Type Chart'!$B$5:$P$19,MATCH(R$4,'Type Chart'!$A$5:$A$19,0),MATCH($D153,'Type Chart'!$B$4:$P$4,0)))</f>
        <v>1</v>
      </c>
      <c r="S153" s="21" t="n">
        <f aca="false">INDEX('Type Chart'!$B$5:$P$19,MATCH(S$4,'Type Chart'!$A$5:$A$19,0),MATCH($C153,'Type Chart'!$B$4:$P$4,0))*IF($D153="",1,INDEX('Type Chart'!$B$5:$P$19,MATCH(S$4,'Type Chart'!$A$5:$A$19,0),MATCH($D153,'Type Chart'!$B$4:$P$4,0)))</f>
        <v>2</v>
      </c>
    </row>
    <row r="154" customFormat="false" ht="15" hidden="false" customHeight="false" outlineLevel="0" collapsed="false">
      <c r="A154" s="19" t="n">
        <v>150</v>
      </c>
      <c r="B154" s="19" t="s">
        <v>241</v>
      </c>
      <c r="C154" s="20" t="str">
        <f aca="false">Pokedex!C154</f>
        <v>Psychic</v>
      </c>
      <c r="D154" s="20" t="n">
        <f aca="false">Pokedex!D154</f>
        <v>0</v>
      </c>
      <c r="E154" s="21" t="n">
        <f aca="false">INDEX('Type Chart'!$B$5:$P$19,MATCH(E$4,'Type Chart'!$A$5:$A$19,0),MATCH($C154,'Type Chart'!$B$4:$P$4,0))*IF($D154="",1,INDEX('Type Chart'!$B$5:$P$19,MATCH(E$4,'Type Chart'!$A$5:$A$19,0),MATCH($D154,'Type Chart'!$B$4:$P$4,0)))</f>
        <v>1</v>
      </c>
      <c r="F154" s="21" t="n">
        <f aca="false">INDEX('Type Chart'!$B$5:$P$19,MATCH(F$4,'Type Chart'!$A$5:$A$19,0),MATCH($C154,'Type Chart'!$B$4:$P$4,0))*IF($D154="",1,INDEX('Type Chart'!$B$5:$P$19,MATCH(F$4,'Type Chart'!$A$5:$A$19,0),MATCH($D154,'Type Chart'!$B$4:$P$4,0)))</f>
        <v>1</v>
      </c>
      <c r="G154" s="21" t="n">
        <f aca="false">INDEX('Type Chart'!$B$5:$P$19,MATCH(G$4,'Type Chart'!$A$5:$A$19,0),MATCH($C154,'Type Chart'!$B$4:$P$4,0))*IF($D154="",1,INDEX('Type Chart'!$B$5:$P$19,MATCH(G$4,'Type Chart'!$A$5:$A$19,0),MATCH($D154,'Type Chart'!$B$4:$P$4,0)))</f>
        <v>1</v>
      </c>
      <c r="H154" s="21" t="n">
        <f aca="false">INDEX('Type Chart'!$B$5:$P$19,MATCH(H$4,'Type Chart'!$A$5:$A$19,0),MATCH($C154,'Type Chart'!$B$4:$P$4,0))*IF($D154="",1,INDEX('Type Chart'!$B$5:$P$19,MATCH(H$4,'Type Chart'!$A$5:$A$19,0),MATCH($D154,'Type Chart'!$B$4:$P$4,0)))</f>
        <v>1</v>
      </c>
      <c r="I154" s="21" t="n">
        <f aca="false">INDEX('Type Chart'!$B$5:$P$19,MATCH(I$4,'Type Chart'!$A$5:$A$19,0),MATCH($C154,'Type Chart'!$B$4:$P$4,0))*IF($D154="",1,INDEX('Type Chart'!$B$5:$P$19,MATCH(I$4,'Type Chart'!$A$5:$A$19,0),MATCH($D154,'Type Chart'!$B$4:$P$4,0)))</f>
        <v>1</v>
      </c>
      <c r="J154" s="21" t="n">
        <f aca="false">INDEX('Type Chart'!$B$5:$P$19,MATCH(J$4,'Type Chart'!$A$5:$A$19,0),MATCH($C154,'Type Chart'!$B$4:$P$4,0))*IF($D154="",1,INDEX('Type Chart'!$B$5:$P$19,MATCH(J$4,'Type Chart'!$A$5:$A$19,0),MATCH($D154,'Type Chart'!$B$4:$P$4,0)))</f>
        <v>1</v>
      </c>
      <c r="K154" s="21" t="n">
        <f aca="false">INDEX('Type Chart'!$B$5:$P$19,MATCH(K$4,'Type Chart'!$A$5:$A$19,0),MATCH($C154,'Type Chart'!$B$4:$P$4,0))*IF($D154="",1,INDEX('Type Chart'!$B$5:$P$19,MATCH(K$4,'Type Chart'!$A$5:$A$19,0),MATCH($D154,'Type Chart'!$B$4:$P$4,0)))</f>
        <v>0.5</v>
      </c>
      <c r="L154" s="21" t="n">
        <f aca="false">INDEX('Type Chart'!$B$5:$P$19,MATCH(L$4,'Type Chart'!$A$5:$A$19,0),MATCH($C154,'Type Chart'!$B$4:$P$4,0))*IF($D154="",1,INDEX('Type Chart'!$B$5:$P$19,MATCH(L$4,'Type Chart'!$A$5:$A$19,0),MATCH($D154,'Type Chart'!$B$4:$P$4,0)))</f>
        <v>1</v>
      </c>
      <c r="M154" s="21" t="n">
        <f aca="false">INDEX('Type Chart'!$B$5:$P$19,MATCH(M$4,'Type Chart'!$A$5:$A$19,0),MATCH($C154,'Type Chart'!$B$4:$P$4,0))*IF($D154="",1,INDEX('Type Chart'!$B$5:$P$19,MATCH(M$4,'Type Chart'!$A$5:$A$19,0),MATCH($D154,'Type Chart'!$B$4:$P$4,0)))</f>
        <v>1</v>
      </c>
      <c r="N154" s="21" t="n">
        <f aca="false">INDEX('Type Chart'!$B$5:$P$19,MATCH(N$4,'Type Chart'!$A$5:$A$19,0),MATCH($C154,'Type Chart'!$B$4:$P$4,0))*IF($D154="",1,INDEX('Type Chart'!$B$5:$P$19,MATCH(N$4,'Type Chart'!$A$5:$A$19,0),MATCH($D154,'Type Chart'!$B$4:$P$4,0)))</f>
        <v>1</v>
      </c>
      <c r="O154" s="21" t="n">
        <f aca="false">INDEX('Type Chart'!$B$5:$P$19,MATCH(O$4,'Type Chart'!$A$5:$A$19,0),MATCH($C154,'Type Chart'!$B$4:$P$4,0))*IF($D154="",1,INDEX('Type Chart'!$B$5:$P$19,MATCH(O$4,'Type Chart'!$A$5:$A$19,0),MATCH($D154,'Type Chart'!$B$4:$P$4,0)))</f>
        <v>0.5</v>
      </c>
      <c r="P154" s="21" t="n">
        <f aca="false">INDEX('Type Chart'!$B$5:$P$19,MATCH(P$4,'Type Chart'!$A$5:$A$19,0),MATCH($C154,'Type Chart'!$B$4:$P$4,0))*IF($D154="",1,INDEX('Type Chart'!$B$5:$P$19,MATCH(P$4,'Type Chart'!$A$5:$A$19,0),MATCH($D154,'Type Chart'!$B$4:$P$4,0)))</f>
        <v>2</v>
      </c>
      <c r="Q154" s="21" t="n">
        <f aca="false">INDEX('Type Chart'!$B$5:$P$19,MATCH(Q$4,'Type Chart'!$A$5:$A$19,0),MATCH($C154,'Type Chart'!$B$4:$P$4,0))*IF($D154="",1,INDEX('Type Chart'!$B$5:$P$19,MATCH(Q$4,'Type Chart'!$A$5:$A$19,0),MATCH($D154,'Type Chart'!$B$4:$P$4,0)))</f>
        <v>1</v>
      </c>
      <c r="R154" s="21" t="n">
        <f aca="false">INDEX('Type Chart'!$B$5:$P$19,MATCH(R$4,'Type Chart'!$A$5:$A$19,0),MATCH($C154,'Type Chart'!$B$4:$P$4,0))*IF($D154="",1,INDEX('Type Chart'!$B$5:$P$19,MATCH(R$4,'Type Chart'!$A$5:$A$19,0),MATCH($D154,'Type Chart'!$B$4:$P$4,0)))</f>
        <v>0</v>
      </c>
      <c r="S154" s="21" t="n">
        <f aca="false">INDEX('Type Chart'!$B$5:$P$19,MATCH(S$4,'Type Chart'!$A$5:$A$19,0),MATCH($C154,'Type Chart'!$B$4:$P$4,0))*IF($D154="",1,INDEX('Type Chart'!$B$5:$P$19,MATCH(S$4,'Type Chart'!$A$5:$A$19,0),MATCH($D154,'Type Chart'!$B$4:$P$4,0)))</f>
        <v>1</v>
      </c>
    </row>
    <row r="155" customFormat="false" ht="15" hidden="false" customHeight="false" outlineLevel="0" collapsed="false">
      <c r="A155" s="19" t="n">
        <v>151</v>
      </c>
      <c r="B155" s="19" t="s">
        <v>242</v>
      </c>
      <c r="C155" s="20" t="str">
        <f aca="false">Pokedex!C155</f>
        <v>Psychic</v>
      </c>
      <c r="D155" s="20" t="n">
        <f aca="false">Pokedex!D155</f>
        <v>0</v>
      </c>
      <c r="E155" s="21" t="n">
        <f aca="false">INDEX('Type Chart'!$B$5:$P$19,MATCH(E$4,'Type Chart'!$A$5:$A$19,0),MATCH($C155,'Type Chart'!$B$4:$P$4,0))*IF($D155="",1,INDEX('Type Chart'!$B$5:$P$19,MATCH(E$4,'Type Chart'!$A$5:$A$19,0),MATCH($D155,'Type Chart'!$B$4:$P$4,0)))</f>
        <v>1</v>
      </c>
      <c r="F155" s="21" t="n">
        <f aca="false">INDEX('Type Chart'!$B$5:$P$19,MATCH(F$4,'Type Chart'!$A$5:$A$19,0),MATCH($C155,'Type Chart'!$B$4:$P$4,0))*IF($D155="",1,INDEX('Type Chart'!$B$5:$P$19,MATCH(F$4,'Type Chart'!$A$5:$A$19,0),MATCH($D155,'Type Chart'!$B$4:$P$4,0)))</f>
        <v>1</v>
      </c>
      <c r="G155" s="21" t="n">
        <f aca="false">INDEX('Type Chart'!$B$5:$P$19,MATCH(G$4,'Type Chart'!$A$5:$A$19,0),MATCH($C155,'Type Chart'!$B$4:$P$4,0))*IF($D155="",1,INDEX('Type Chart'!$B$5:$P$19,MATCH(G$4,'Type Chart'!$A$5:$A$19,0),MATCH($D155,'Type Chart'!$B$4:$P$4,0)))</f>
        <v>1</v>
      </c>
      <c r="H155" s="21" t="n">
        <f aca="false">INDEX('Type Chart'!$B$5:$P$19,MATCH(H$4,'Type Chart'!$A$5:$A$19,0),MATCH($C155,'Type Chart'!$B$4:$P$4,0))*IF($D155="",1,INDEX('Type Chart'!$B$5:$P$19,MATCH(H$4,'Type Chart'!$A$5:$A$19,0),MATCH($D155,'Type Chart'!$B$4:$P$4,0)))</f>
        <v>1</v>
      </c>
      <c r="I155" s="21" t="n">
        <f aca="false">INDEX('Type Chart'!$B$5:$P$19,MATCH(I$4,'Type Chart'!$A$5:$A$19,0),MATCH($C155,'Type Chart'!$B$4:$P$4,0))*IF($D155="",1,INDEX('Type Chart'!$B$5:$P$19,MATCH(I$4,'Type Chart'!$A$5:$A$19,0),MATCH($D155,'Type Chart'!$B$4:$P$4,0)))</f>
        <v>1</v>
      </c>
      <c r="J155" s="21" t="n">
        <f aca="false">INDEX('Type Chart'!$B$5:$P$19,MATCH(J$4,'Type Chart'!$A$5:$A$19,0),MATCH($C155,'Type Chart'!$B$4:$P$4,0))*IF($D155="",1,INDEX('Type Chart'!$B$5:$P$19,MATCH(J$4,'Type Chart'!$A$5:$A$19,0),MATCH($D155,'Type Chart'!$B$4:$P$4,0)))</f>
        <v>1</v>
      </c>
      <c r="K155" s="21" t="n">
        <f aca="false">INDEX('Type Chart'!$B$5:$P$19,MATCH(K$4,'Type Chart'!$A$5:$A$19,0),MATCH($C155,'Type Chart'!$B$4:$P$4,0))*IF($D155="",1,INDEX('Type Chart'!$B$5:$P$19,MATCH(K$4,'Type Chart'!$A$5:$A$19,0),MATCH($D155,'Type Chart'!$B$4:$P$4,0)))</f>
        <v>0.5</v>
      </c>
      <c r="L155" s="21" t="n">
        <f aca="false">INDEX('Type Chart'!$B$5:$P$19,MATCH(L$4,'Type Chart'!$A$5:$A$19,0),MATCH($C155,'Type Chart'!$B$4:$P$4,0))*IF($D155="",1,INDEX('Type Chart'!$B$5:$P$19,MATCH(L$4,'Type Chart'!$A$5:$A$19,0),MATCH($D155,'Type Chart'!$B$4:$P$4,0)))</f>
        <v>1</v>
      </c>
      <c r="M155" s="21" t="n">
        <f aca="false">INDEX('Type Chart'!$B$5:$P$19,MATCH(M$4,'Type Chart'!$A$5:$A$19,0),MATCH($C155,'Type Chart'!$B$4:$P$4,0))*IF($D155="",1,INDEX('Type Chart'!$B$5:$P$19,MATCH(M$4,'Type Chart'!$A$5:$A$19,0),MATCH($D155,'Type Chart'!$B$4:$P$4,0)))</f>
        <v>1</v>
      </c>
      <c r="N155" s="21" t="n">
        <f aca="false">INDEX('Type Chart'!$B$5:$P$19,MATCH(N$4,'Type Chart'!$A$5:$A$19,0),MATCH($C155,'Type Chart'!$B$4:$P$4,0))*IF($D155="",1,INDEX('Type Chart'!$B$5:$P$19,MATCH(N$4,'Type Chart'!$A$5:$A$19,0),MATCH($D155,'Type Chart'!$B$4:$P$4,0)))</f>
        <v>1</v>
      </c>
      <c r="O155" s="21" t="n">
        <f aca="false">INDEX('Type Chart'!$B$5:$P$19,MATCH(O$4,'Type Chart'!$A$5:$A$19,0),MATCH($C155,'Type Chart'!$B$4:$P$4,0))*IF($D155="",1,INDEX('Type Chart'!$B$5:$P$19,MATCH(O$4,'Type Chart'!$A$5:$A$19,0),MATCH($D155,'Type Chart'!$B$4:$P$4,0)))</f>
        <v>0.5</v>
      </c>
      <c r="P155" s="21" t="n">
        <f aca="false">INDEX('Type Chart'!$B$5:$P$19,MATCH(P$4,'Type Chart'!$A$5:$A$19,0),MATCH($C155,'Type Chart'!$B$4:$P$4,0))*IF($D155="",1,INDEX('Type Chart'!$B$5:$P$19,MATCH(P$4,'Type Chart'!$A$5:$A$19,0),MATCH($D155,'Type Chart'!$B$4:$P$4,0)))</f>
        <v>2</v>
      </c>
      <c r="Q155" s="21" t="n">
        <f aca="false">INDEX('Type Chart'!$B$5:$P$19,MATCH(Q$4,'Type Chart'!$A$5:$A$19,0),MATCH($C155,'Type Chart'!$B$4:$P$4,0))*IF($D155="",1,INDEX('Type Chart'!$B$5:$P$19,MATCH(Q$4,'Type Chart'!$A$5:$A$19,0),MATCH($D155,'Type Chart'!$B$4:$P$4,0)))</f>
        <v>1</v>
      </c>
      <c r="R155" s="21" t="n">
        <f aca="false">INDEX('Type Chart'!$B$5:$P$19,MATCH(R$4,'Type Chart'!$A$5:$A$19,0),MATCH($C155,'Type Chart'!$B$4:$P$4,0))*IF($D155="",1,INDEX('Type Chart'!$B$5:$P$19,MATCH(R$4,'Type Chart'!$A$5:$A$19,0),MATCH($D155,'Type Chart'!$B$4:$P$4,0)))</f>
        <v>0</v>
      </c>
      <c r="S155" s="21" t="n">
        <f aca="false">INDEX('Type Chart'!$B$5:$P$19,MATCH(S$4,'Type Chart'!$A$5:$A$19,0),MATCH($C155,'Type Chart'!$B$4:$P$4,0))*IF($D155="",1,INDEX('Type Chart'!$B$5:$P$19,MATCH(S$4,'Type Chart'!$A$5:$A$19,0),MATCH($D155,'Type Chart'!$B$4:$P$4,0)))</f>
        <v>1</v>
      </c>
    </row>
  </sheetData>
  <conditionalFormatting sqref="E5:S155">
    <cfRule type="cellIs" priority="2" operator="greaterThanOrEqual" aboveAverage="0" equalAverage="0" bottom="0" percent="0" rank="0" text="" dxfId="0">
      <formula>2</formula>
    </cfRule>
    <cfRule type="cellIs" priority="3" operator="equal" aboveAverage="0" equalAverage="0" bottom="0" percent="0" rank="0" text="" dxfId="1">
      <formula>0</formula>
    </cfRule>
    <cfRule type="cellIs" priority="4" operator="lessThan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6"/>
    <col collapsed="false" customWidth="true" hidden="false" outlineLevel="0" max="6" min="5" style="0" width="11"/>
    <col collapsed="false" customWidth="true" hidden="false" outlineLevel="0" max="7" min="7" style="0" width="6"/>
    <col collapsed="false" customWidth="true" hidden="false" outlineLevel="0" max="22" min="8" style="0" width="8"/>
  </cols>
  <sheetData>
    <row r="1" customFormat="false" ht="17.35" hidden="false" customHeight="false" outlineLevel="0" collapsed="false">
      <c r="A1" s="1" t="s">
        <v>245</v>
      </c>
    </row>
    <row r="2" customFormat="false" ht="15" hidden="false" customHeight="false" outlineLevel="0" collapsed="false">
      <c r="A2" s="2" t="s">
        <v>246</v>
      </c>
    </row>
    <row r="4" customFormat="false" ht="15" hidden="false" customHeight="false" outlineLevel="0" collapsed="false">
      <c r="A4" s="14" t="s">
        <v>247</v>
      </c>
      <c r="B4" s="14" t="s">
        <v>248</v>
      </c>
      <c r="C4" s="14" t="s">
        <v>249</v>
      </c>
      <c r="D4" s="14" t="s">
        <v>250</v>
      </c>
      <c r="E4" s="14" t="s">
        <v>90</v>
      </c>
      <c r="F4" s="14" t="s">
        <v>91</v>
      </c>
      <c r="G4" s="14" t="s">
        <v>251</v>
      </c>
      <c r="H4" s="14" t="s">
        <v>40</v>
      </c>
      <c r="I4" s="14" t="s">
        <v>41</v>
      </c>
      <c r="J4" s="14" t="s">
        <v>42</v>
      </c>
      <c r="K4" s="14" t="s">
        <v>43</v>
      </c>
      <c r="L4" s="14" t="s">
        <v>44</v>
      </c>
      <c r="M4" s="14" t="s">
        <v>45</v>
      </c>
      <c r="N4" s="14" t="s">
        <v>46</v>
      </c>
      <c r="O4" s="14" t="s">
        <v>47</v>
      </c>
      <c r="P4" s="14" t="s">
        <v>48</v>
      </c>
      <c r="Q4" s="14" t="s">
        <v>49</v>
      </c>
      <c r="R4" s="14" t="s">
        <v>50</v>
      </c>
      <c r="S4" s="14" t="s">
        <v>51</v>
      </c>
      <c r="T4" s="14" t="s">
        <v>52</v>
      </c>
      <c r="U4" s="14" t="s">
        <v>53</v>
      </c>
      <c r="V4" s="14" t="s">
        <v>54</v>
      </c>
    </row>
    <row r="5" customFormat="false" ht="15" hidden="false" customHeight="false" outlineLevel="0" collapsed="false">
      <c r="A5" s="17" t="s">
        <v>252</v>
      </c>
      <c r="B5" s="17" t="s">
        <v>253</v>
      </c>
      <c r="C5" s="17" t="s">
        <v>165</v>
      </c>
      <c r="D5" s="17" t="n">
        <v>10</v>
      </c>
      <c r="E5" s="17" t="s">
        <v>52</v>
      </c>
      <c r="F5" s="17" t="s">
        <v>48</v>
      </c>
      <c r="G5" s="17"/>
      <c r="H5" s="21" t="n">
        <f aca="false">INDEX('Type Chart'!$B$5:$P$19,MATCH(H$4,'Type Chart'!$A$5:$A$19,0),MATCH($E5,'Type Chart'!$B$4:$P$4,0))*IF($F5="",1,INDEX('Type Chart'!$B$5:$P$19,MATCH(H$4,'Type Chart'!$A$5:$A$19,0),MATCH($F5,'Type Chart'!$B$4:$P$4,0)))</f>
        <v>0.5</v>
      </c>
      <c r="I5" s="21" t="n">
        <f aca="false">INDEX('Type Chart'!$B$5:$P$19,MATCH(I$4,'Type Chart'!$A$5:$A$19,0),MATCH($E5,'Type Chart'!$B$4:$P$4,0))*IF($F5="",1,INDEX('Type Chart'!$B$5:$P$19,MATCH(I$4,'Type Chart'!$A$5:$A$19,0),MATCH($F5,'Type Chart'!$B$4:$P$4,0)))</f>
        <v>0.5</v>
      </c>
      <c r="J5" s="21" t="n">
        <f aca="false">INDEX('Type Chart'!$B$5:$P$19,MATCH(J$4,'Type Chart'!$A$5:$A$19,0),MATCH($E5,'Type Chart'!$B$4:$P$4,0))*IF($F5="",1,INDEX('Type Chart'!$B$5:$P$19,MATCH(J$4,'Type Chart'!$A$5:$A$19,0),MATCH($F5,'Type Chart'!$B$4:$P$4,0)))</f>
        <v>4</v>
      </c>
      <c r="K5" s="21" t="n">
        <f aca="false">INDEX('Type Chart'!$B$5:$P$19,MATCH(K$4,'Type Chart'!$A$5:$A$19,0),MATCH($E5,'Type Chart'!$B$4:$P$4,0))*IF($F5="",1,INDEX('Type Chart'!$B$5:$P$19,MATCH(K$4,'Type Chart'!$A$5:$A$19,0),MATCH($F5,'Type Chart'!$B$4:$P$4,0)))</f>
        <v>0</v>
      </c>
      <c r="L5" s="21" t="n">
        <f aca="false">INDEX('Type Chart'!$B$5:$P$19,MATCH(L$4,'Type Chart'!$A$5:$A$19,0),MATCH($E5,'Type Chart'!$B$4:$P$4,0))*IF($F5="",1,INDEX('Type Chart'!$B$5:$P$19,MATCH(L$4,'Type Chart'!$A$5:$A$19,0),MATCH($F5,'Type Chart'!$B$4:$P$4,0)))</f>
        <v>4</v>
      </c>
      <c r="M5" s="21" t="n">
        <f aca="false">INDEX('Type Chart'!$B$5:$P$19,MATCH(M$4,'Type Chart'!$A$5:$A$19,0),MATCH($E5,'Type Chart'!$B$4:$P$4,0))*IF($F5="",1,INDEX('Type Chart'!$B$5:$P$19,MATCH(M$4,'Type Chart'!$A$5:$A$19,0),MATCH($F5,'Type Chart'!$B$4:$P$4,0)))</f>
        <v>2</v>
      </c>
      <c r="N5" s="21" t="n">
        <f aca="false">INDEX('Type Chart'!$B$5:$P$19,MATCH(N$4,'Type Chart'!$A$5:$A$19,0),MATCH($E5,'Type Chart'!$B$4:$P$4,0))*IF($F5="",1,INDEX('Type Chart'!$B$5:$P$19,MATCH(N$4,'Type Chart'!$A$5:$A$19,0),MATCH($F5,'Type Chart'!$B$4:$P$4,0)))</f>
        <v>2</v>
      </c>
      <c r="O5" s="21" t="n">
        <f aca="false">INDEX('Type Chart'!$B$5:$P$19,MATCH(O$4,'Type Chart'!$A$5:$A$19,0),MATCH($E5,'Type Chart'!$B$4:$P$4,0))*IF($F5="",1,INDEX('Type Chart'!$B$5:$P$19,MATCH(O$4,'Type Chart'!$A$5:$A$19,0),MATCH($F5,'Type Chart'!$B$4:$P$4,0)))</f>
        <v>0.25</v>
      </c>
      <c r="P5" s="21" t="n">
        <f aca="false">INDEX('Type Chart'!$B$5:$P$19,MATCH(P$4,'Type Chart'!$A$5:$A$19,0),MATCH($E5,'Type Chart'!$B$4:$P$4,0))*IF($F5="",1,INDEX('Type Chart'!$B$5:$P$19,MATCH(P$4,'Type Chart'!$A$5:$A$19,0),MATCH($F5,'Type Chart'!$B$4:$P$4,0)))</f>
        <v>2</v>
      </c>
      <c r="Q5" s="21" t="n">
        <f aca="false">INDEX('Type Chart'!$B$5:$P$19,MATCH(Q$4,'Type Chart'!$A$5:$A$19,0),MATCH($E5,'Type Chart'!$B$4:$P$4,0))*IF($F5="",1,INDEX('Type Chart'!$B$5:$P$19,MATCH(Q$4,'Type Chart'!$A$5:$A$19,0),MATCH($F5,'Type Chart'!$B$4:$P$4,0)))</f>
        <v>0.5</v>
      </c>
      <c r="R5" s="21" t="n">
        <f aca="false">INDEX('Type Chart'!$B$5:$P$19,MATCH(R$4,'Type Chart'!$A$5:$A$19,0),MATCH($E5,'Type Chart'!$B$4:$P$4,0))*IF($F5="",1,INDEX('Type Chart'!$B$5:$P$19,MATCH(R$4,'Type Chart'!$A$5:$A$19,0),MATCH($F5,'Type Chart'!$B$4:$P$4,0)))</f>
        <v>1</v>
      </c>
      <c r="S5" s="21" t="n">
        <f aca="false">INDEX('Type Chart'!$B$5:$P$19,MATCH(S$4,'Type Chart'!$A$5:$A$19,0),MATCH($E5,'Type Chart'!$B$4:$P$4,0))*IF($F5="",1,INDEX('Type Chart'!$B$5:$P$19,MATCH(S$4,'Type Chart'!$A$5:$A$19,0),MATCH($F5,'Type Chart'!$B$4:$P$4,0)))</f>
        <v>1</v>
      </c>
      <c r="T5" s="21" t="n">
        <f aca="false">INDEX('Type Chart'!$B$5:$P$19,MATCH(T$4,'Type Chart'!$A$5:$A$19,0),MATCH($E5,'Type Chart'!$B$4:$P$4,0))*IF($F5="",1,INDEX('Type Chart'!$B$5:$P$19,MATCH(T$4,'Type Chart'!$A$5:$A$19,0),MATCH($F5,'Type Chart'!$B$4:$P$4,0)))</f>
        <v>0.5</v>
      </c>
      <c r="U5" s="21" t="n">
        <f aca="false">INDEX('Type Chart'!$B$5:$P$19,MATCH(U$4,'Type Chart'!$A$5:$A$19,0),MATCH($E5,'Type Chart'!$B$4:$P$4,0))*IF($F5="",1,INDEX('Type Chart'!$B$5:$P$19,MATCH(U$4,'Type Chart'!$A$5:$A$19,0),MATCH($F5,'Type Chart'!$B$4:$P$4,0)))</f>
        <v>1</v>
      </c>
      <c r="V5" s="21" t="n">
        <f aca="false">INDEX('Type Chart'!$B$5:$P$19,MATCH(V$4,'Type Chart'!$A$5:$A$19,0),MATCH($E5,'Type Chart'!$B$4:$P$4,0))*IF($F5="",1,INDEX('Type Chart'!$B$5:$P$19,MATCH(V$4,'Type Chart'!$A$5:$A$19,0),MATCH($F5,'Type Chart'!$B$4:$P$4,0)))</f>
        <v>1</v>
      </c>
    </row>
    <row r="6" customFormat="false" ht="15" hidden="false" customHeight="false" outlineLevel="0" collapsed="false">
      <c r="A6" s="22" t="s">
        <v>252</v>
      </c>
      <c r="B6" s="22" t="s">
        <v>253</v>
      </c>
      <c r="C6" s="22" t="s">
        <v>186</v>
      </c>
      <c r="D6" s="17" t="n">
        <v>12</v>
      </c>
      <c r="E6" s="17" t="s">
        <v>52</v>
      </c>
      <c r="F6" s="17" t="s">
        <v>48</v>
      </c>
      <c r="G6" s="17" t="s">
        <v>254</v>
      </c>
      <c r="H6" s="21" t="n">
        <f aca="false">INDEX('Type Chart'!$B$5:$P$19,MATCH(H$4,'Type Chart'!$A$5:$A$19,0),MATCH($E6,'Type Chart'!$B$4:$P$4,0))*IF($F6="",1,INDEX('Type Chart'!$B$5:$P$19,MATCH(H$4,'Type Chart'!$A$5:$A$19,0),MATCH($F6,'Type Chart'!$B$4:$P$4,0)))</f>
        <v>0.5</v>
      </c>
      <c r="I6" s="21" t="n">
        <f aca="false">INDEX('Type Chart'!$B$5:$P$19,MATCH(I$4,'Type Chart'!$A$5:$A$19,0),MATCH($E6,'Type Chart'!$B$4:$P$4,0))*IF($F6="",1,INDEX('Type Chart'!$B$5:$P$19,MATCH(I$4,'Type Chart'!$A$5:$A$19,0),MATCH($F6,'Type Chart'!$B$4:$P$4,0)))</f>
        <v>0.5</v>
      </c>
      <c r="J6" s="21" t="n">
        <f aca="false">INDEX('Type Chart'!$B$5:$P$19,MATCH(J$4,'Type Chart'!$A$5:$A$19,0),MATCH($E6,'Type Chart'!$B$4:$P$4,0))*IF($F6="",1,INDEX('Type Chart'!$B$5:$P$19,MATCH(J$4,'Type Chart'!$A$5:$A$19,0),MATCH($F6,'Type Chart'!$B$4:$P$4,0)))</f>
        <v>4</v>
      </c>
      <c r="K6" s="21" t="n">
        <f aca="false">INDEX('Type Chart'!$B$5:$P$19,MATCH(K$4,'Type Chart'!$A$5:$A$19,0),MATCH($E6,'Type Chart'!$B$4:$P$4,0))*IF($F6="",1,INDEX('Type Chart'!$B$5:$P$19,MATCH(K$4,'Type Chart'!$A$5:$A$19,0),MATCH($F6,'Type Chart'!$B$4:$P$4,0)))</f>
        <v>0</v>
      </c>
      <c r="L6" s="21" t="n">
        <f aca="false">INDEX('Type Chart'!$B$5:$P$19,MATCH(L$4,'Type Chart'!$A$5:$A$19,0),MATCH($E6,'Type Chart'!$B$4:$P$4,0))*IF($F6="",1,INDEX('Type Chart'!$B$5:$P$19,MATCH(L$4,'Type Chart'!$A$5:$A$19,0),MATCH($F6,'Type Chart'!$B$4:$P$4,0)))</f>
        <v>4</v>
      </c>
      <c r="M6" s="21" t="n">
        <f aca="false">INDEX('Type Chart'!$B$5:$P$19,MATCH(M$4,'Type Chart'!$A$5:$A$19,0),MATCH($E6,'Type Chart'!$B$4:$P$4,0))*IF($F6="",1,INDEX('Type Chart'!$B$5:$P$19,MATCH(M$4,'Type Chart'!$A$5:$A$19,0),MATCH($F6,'Type Chart'!$B$4:$P$4,0)))</f>
        <v>2</v>
      </c>
      <c r="N6" s="21" t="n">
        <f aca="false">INDEX('Type Chart'!$B$5:$P$19,MATCH(N$4,'Type Chart'!$A$5:$A$19,0),MATCH($E6,'Type Chart'!$B$4:$P$4,0))*IF($F6="",1,INDEX('Type Chart'!$B$5:$P$19,MATCH(N$4,'Type Chart'!$A$5:$A$19,0),MATCH($F6,'Type Chart'!$B$4:$P$4,0)))</f>
        <v>2</v>
      </c>
      <c r="O6" s="21" t="n">
        <f aca="false">INDEX('Type Chart'!$B$5:$P$19,MATCH(O$4,'Type Chart'!$A$5:$A$19,0),MATCH($E6,'Type Chart'!$B$4:$P$4,0))*IF($F6="",1,INDEX('Type Chart'!$B$5:$P$19,MATCH(O$4,'Type Chart'!$A$5:$A$19,0),MATCH($F6,'Type Chart'!$B$4:$P$4,0)))</f>
        <v>0.25</v>
      </c>
      <c r="P6" s="21" t="n">
        <f aca="false">INDEX('Type Chart'!$B$5:$P$19,MATCH(P$4,'Type Chart'!$A$5:$A$19,0),MATCH($E6,'Type Chart'!$B$4:$P$4,0))*IF($F6="",1,INDEX('Type Chart'!$B$5:$P$19,MATCH(P$4,'Type Chart'!$A$5:$A$19,0),MATCH($F6,'Type Chart'!$B$4:$P$4,0)))</f>
        <v>2</v>
      </c>
      <c r="Q6" s="21" t="n">
        <f aca="false">INDEX('Type Chart'!$B$5:$P$19,MATCH(Q$4,'Type Chart'!$A$5:$A$19,0),MATCH($E6,'Type Chart'!$B$4:$P$4,0))*IF($F6="",1,INDEX('Type Chart'!$B$5:$P$19,MATCH(Q$4,'Type Chart'!$A$5:$A$19,0),MATCH($F6,'Type Chart'!$B$4:$P$4,0)))</f>
        <v>0.5</v>
      </c>
      <c r="R6" s="21" t="n">
        <f aca="false">INDEX('Type Chart'!$B$5:$P$19,MATCH(R$4,'Type Chart'!$A$5:$A$19,0),MATCH($E6,'Type Chart'!$B$4:$P$4,0))*IF($F6="",1,INDEX('Type Chart'!$B$5:$P$19,MATCH(R$4,'Type Chart'!$A$5:$A$19,0),MATCH($F6,'Type Chart'!$B$4:$P$4,0)))</f>
        <v>1</v>
      </c>
      <c r="S6" s="21" t="n">
        <f aca="false">INDEX('Type Chart'!$B$5:$P$19,MATCH(S$4,'Type Chart'!$A$5:$A$19,0),MATCH($E6,'Type Chart'!$B$4:$P$4,0))*IF($F6="",1,INDEX('Type Chart'!$B$5:$P$19,MATCH(S$4,'Type Chart'!$A$5:$A$19,0),MATCH($F6,'Type Chart'!$B$4:$P$4,0)))</f>
        <v>1</v>
      </c>
      <c r="T6" s="21" t="n">
        <f aca="false">INDEX('Type Chart'!$B$5:$P$19,MATCH(T$4,'Type Chart'!$A$5:$A$19,0),MATCH($E6,'Type Chart'!$B$4:$P$4,0))*IF($F6="",1,INDEX('Type Chart'!$B$5:$P$19,MATCH(T$4,'Type Chart'!$A$5:$A$19,0),MATCH($F6,'Type Chart'!$B$4:$P$4,0)))</f>
        <v>0.5</v>
      </c>
      <c r="U6" s="21" t="n">
        <f aca="false">INDEX('Type Chart'!$B$5:$P$19,MATCH(U$4,'Type Chart'!$A$5:$A$19,0),MATCH($E6,'Type Chart'!$B$4:$P$4,0))*IF($F6="",1,INDEX('Type Chart'!$B$5:$P$19,MATCH(U$4,'Type Chart'!$A$5:$A$19,0),MATCH($F6,'Type Chart'!$B$4:$P$4,0)))</f>
        <v>1</v>
      </c>
      <c r="V6" s="21" t="n">
        <f aca="false">INDEX('Type Chart'!$B$5:$P$19,MATCH(V$4,'Type Chart'!$A$5:$A$19,0),MATCH($E6,'Type Chart'!$B$4:$P$4,0))*IF($F6="",1,INDEX('Type Chart'!$B$5:$P$19,MATCH(V$4,'Type Chart'!$A$5:$A$19,0),MATCH($F6,'Type Chart'!$B$4:$P$4,0)))</f>
        <v>1</v>
      </c>
    </row>
    <row r="7" customFormat="false" ht="15" hidden="false" customHeight="false" outlineLevel="0" collapsed="false">
      <c r="A7" s="17" t="s">
        <v>255</v>
      </c>
      <c r="B7" s="17" t="s">
        <v>256</v>
      </c>
      <c r="C7" s="17" t="s">
        <v>211</v>
      </c>
      <c r="D7" s="17" t="n">
        <v>18</v>
      </c>
      <c r="E7" s="17" t="s">
        <v>42</v>
      </c>
      <c r="F7" s="17"/>
      <c r="G7" s="17"/>
      <c r="H7" s="21" t="n">
        <f aca="false">INDEX('Type Chart'!$B$5:$P$19,MATCH(H$4,'Type Chart'!$A$5:$A$19,0),MATCH($E7,'Type Chart'!$B$4:$P$4,0))*IF($F7="",1,INDEX('Type Chart'!$B$5:$P$19,MATCH(H$4,'Type Chart'!$A$5:$A$19,0),MATCH($F7,'Type Chart'!$B$4:$P$4,0)))</f>
        <v>1</v>
      </c>
      <c r="I7" s="21" t="n">
        <f aca="false">INDEX('Type Chart'!$B$5:$P$19,MATCH(I$4,'Type Chart'!$A$5:$A$19,0),MATCH($E7,'Type Chart'!$B$4:$P$4,0))*IF($F7="",1,INDEX('Type Chart'!$B$5:$P$19,MATCH(I$4,'Type Chart'!$A$5:$A$19,0),MATCH($F7,'Type Chart'!$B$4:$P$4,0)))</f>
        <v>0.5</v>
      </c>
      <c r="J7" s="21" t="n">
        <f aca="false">INDEX('Type Chart'!$B$5:$P$19,MATCH(J$4,'Type Chart'!$A$5:$A$19,0),MATCH($E7,'Type Chart'!$B$4:$P$4,0))*IF($F7="",1,INDEX('Type Chart'!$B$5:$P$19,MATCH(J$4,'Type Chart'!$A$5:$A$19,0),MATCH($F7,'Type Chart'!$B$4:$P$4,0)))</f>
        <v>0.5</v>
      </c>
      <c r="K7" s="21" t="n">
        <f aca="false">INDEX('Type Chart'!$B$5:$P$19,MATCH(K$4,'Type Chart'!$A$5:$A$19,0),MATCH($E7,'Type Chart'!$B$4:$P$4,0))*IF($F7="",1,INDEX('Type Chart'!$B$5:$P$19,MATCH(K$4,'Type Chart'!$A$5:$A$19,0),MATCH($F7,'Type Chart'!$B$4:$P$4,0)))</f>
        <v>2</v>
      </c>
      <c r="L7" s="21" t="n">
        <f aca="false">INDEX('Type Chart'!$B$5:$P$19,MATCH(L$4,'Type Chart'!$A$5:$A$19,0),MATCH($E7,'Type Chart'!$B$4:$P$4,0))*IF($F7="",1,INDEX('Type Chart'!$B$5:$P$19,MATCH(L$4,'Type Chart'!$A$5:$A$19,0),MATCH($F7,'Type Chart'!$B$4:$P$4,0)))</f>
        <v>2</v>
      </c>
      <c r="M7" s="21" t="n">
        <f aca="false">INDEX('Type Chart'!$B$5:$P$19,MATCH(M$4,'Type Chart'!$A$5:$A$19,0),MATCH($E7,'Type Chart'!$B$4:$P$4,0))*IF($F7="",1,INDEX('Type Chart'!$B$5:$P$19,MATCH(M$4,'Type Chart'!$A$5:$A$19,0),MATCH($F7,'Type Chart'!$B$4:$P$4,0)))</f>
        <v>0.5</v>
      </c>
      <c r="N7" s="21" t="n">
        <f aca="false">INDEX('Type Chart'!$B$5:$P$19,MATCH(N$4,'Type Chart'!$A$5:$A$19,0),MATCH($E7,'Type Chart'!$B$4:$P$4,0))*IF($F7="",1,INDEX('Type Chart'!$B$5:$P$19,MATCH(N$4,'Type Chart'!$A$5:$A$19,0),MATCH($F7,'Type Chart'!$B$4:$P$4,0)))</f>
        <v>1</v>
      </c>
      <c r="O7" s="21" t="n">
        <f aca="false">INDEX('Type Chart'!$B$5:$P$19,MATCH(O$4,'Type Chart'!$A$5:$A$19,0),MATCH($E7,'Type Chart'!$B$4:$P$4,0))*IF($F7="",1,INDEX('Type Chart'!$B$5:$P$19,MATCH(O$4,'Type Chart'!$A$5:$A$19,0),MATCH($F7,'Type Chart'!$B$4:$P$4,0)))</f>
        <v>1</v>
      </c>
      <c r="P7" s="21" t="n">
        <f aca="false">INDEX('Type Chart'!$B$5:$P$19,MATCH(P$4,'Type Chart'!$A$5:$A$19,0),MATCH($E7,'Type Chart'!$B$4:$P$4,0))*IF($F7="",1,INDEX('Type Chart'!$B$5:$P$19,MATCH(P$4,'Type Chart'!$A$5:$A$19,0),MATCH($F7,'Type Chart'!$B$4:$P$4,0)))</f>
        <v>1</v>
      </c>
      <c r="Q7" s="21" t="n">
        <f aca="false">INDEX('Type Chart'!$B$5:$P$19,MATCH(Q$4,'Type Chart'!$A$5:$A$19,0),MATCH($E7,'Type Chart'!$B$4:$P$4,0))*IF($F7="",1,INDEX('Type Chart'!$B$5:$P$19,MATCH(Q$4,'Type Chart'!$A$5:$A$19,0),MATCH($F7,'Type Chart'!$B$4:$P$4,0)))</f>
        <v>1</v>
      </c>
      <c r="R7" s="21" t="n">
        <f aca="false">INDEX('Type Chart'!$B$5:$P$19,MATCH(R$4,'Type Chart'!$A$5:$A$19,0),MATCH($E7,'Type Chart'!$B$4:$P$4,0))*IF($F7="",1,INDEX('Type Chart'!$B$5:$P$19,MATCH(R$4,'Type Chart'!$A$5:$A$19,0),MATCH($F7,'Type Chart'!$B$4:$P$4,0)))</f>
        <v>1</v>
      </c>
      <c r="S7" s="21" t="n">
        <f aca="false">INDEX('Type Chart'!$B$5:$P$19,MATCH(S$4,'Type Chart'!$A$5:$A$19,0),MATCH($E7,'Type Chart'!$B$4:$P$4,0))*IF($F7="",1,INDEX('Type Chart'!$B$5:$P$19,MATCH(S$4,'Type Chart'!$A$5:$A$19,0),MATCH($F7,'Type Chart'!$B$4:$P$4,0)))</f>
        <v>1</v>
      </c>
      <c r="T7" s="21" t="n">
        <f aca="false">INDEX('Type Chart'!$B$5:$P$19,MATCH(T$4,'Type Chart'!$A$5:$A$19,0),MATCH($E7,'Type Chart'!$B$4:$P$4,0))*IF($F7="",1,INDEX('Type Chart'!$B$5:$P$19,MATCH(T$4,'Type Chart'!$A$5:$A$19,0),MATCH($F7,'Type Chart'!$B$4:$P$4,0)))</f>
        <v>1</v>
      </c>
      <c r="U7" s="21" t="n">
        <f aca="false">INDEX('Type Chart'!$B$5:$P$19,MATCH(U$4,'Type Chart'!$A$5:$A$19,0),MATCH($E7,'Type Chart'!$B$4:$P$4,0))*IF($F7="",1,INDEX('Type Chart'!$B$5:$P$19,MATCH(U$4,'Type Chart'!$A$5:$A$19,0),MATCH($F7,'Type Chart'!$B$4:$P$4,0)))</f>
        <v>1</v>
      </c>
      <c r="V7" s="21" t="n">
        <f aca="false">INDEX('Type Chart'!$B$5:$P$19,MATCH(V$4,'Type Chart'!$A$5:$A$19,0),MATCH($E7,'Type Chart'!$B$4:$P$4,0))*IF($F7="",1,INDEX('Type Chart'!$B$5:$P$19,MATCH(V$4,'Type Chart'!$A$5:$A$19,0),MATCH($F7,'Type Chart'!$B$4:$P$4,0)))</f>
        <v>1</v>
      </c>
    </row>
    <row r="8" customFormat="false" ht="15" hidden="false" customHeight="false" outlineLevel="0" collapsed="false">
      <c r="A8" s="22" t="s">
        <v>255</v>
      </c>
      <c r="B8" s="22" t="s">
        <v>256</v>
      </c>
      <c r="C8" s="22" t="s">
        <v>212</v>
      </c>
      <c r="D8" s="17" t="n">
        <v>21</v>
      </c>
      <c r="E8" s="17" t="s">
        <v>42</v>
      </c>
      <c r="F8" s="17" t="s">
        <v>50</v>
      </c>
      <c r="G8" s="17" t="s">
        <v>254</v>
      </c>
      <c r="H8" s="21" t="n">
        <f aca="false">INDEX('Type Chart'!$B$5:$P$19,MATCH(H$4,'Type Chart'!$A$5:$A$19,0),MATCH($E8,'Type Chart'!$B$4:$P$4,0))*IF($F8="",1,INDEX('Type Chart'!$B$5:$P$19,MATCH(H$4,'Type Chart'!$A$5:$A$19,0),MATCH($F8,'Type Chart'!$B$4:$P$4,0)))</f>
        <v>1</v>
      </c>
      <c r="I8" s="21" t="n">
        <f aca="false">INDEX('Type Chart'!$B$5:$P$19,MATCH(I$4,'Type Chart'!$A$5:$A$19,0),MATCH($E8,'Type Chart'!$B$4:$P$4,0))*IF($F8="",1,INDEX('Type Chart'!$B$5:$P$19,MATCH(I$4,'Type Chart'!$A$5:$A$19,0),MATCH($F8,'Type Chart'!$B$4:$P$4,0)))</f>
        <v>0.5</v>
      </c>
      <c r="J8" s="21" t="n">
        <f aca="false">INDEX('Type Chart'!$B$5:$P$19,MATCH(J$4,'Type Chart'!$A$5:$A$19,0),MATCH($E8,'Type Chart'!$B$4:$P$4,0))*IF($F8="",1,INDEX('Type Chart'!$B$5:$P$19,MATCH(J$4,'Type Chart'!$A$5:$A$19,0),MATCH($F8,'Type Chart'!$B$4:$P$4,0)))</f>
        <v>0.5</v>
      </c>
      <c r="K8" s="21" t="n">
        <f aca="false">INDEX('Type Chart'!$B$5:$P$19,MATCH(K$4,'Type Chart'!$A$5:$A$19,0),MATCH($E8,'Type Chart'!$B$4:$P$4,0))*IF($F8="",1,INDEX('Type Chart'!$B$5:$P$19,MATCH(K$4,'Type Chart'!$A$5:$A$19,0),MATCH($F8,'Type Chart'!$B$4:$P$4,0)))</f>
        <v>2</v>
      </c>
      <c r="L8" s="21" t="n">
        <f aca="false">INDEX('Type Chart'!$B$5:$P$19,MATCH(L$4,'Type Chart'!$A$5:$A$19,0),MATCH($E8,'Type Chart'!$B$4:$P$4,0))*IF($F8="",1,INDEX('Type Chart'!$B$5:$P$19,MATCH(L$4,'Type Chart'!$A$5:$A$19,0),MATCH($F8,'Type Chart'!$B$4:$P$4,0)))</f>
        <v>2</v>
      </c>
      <c r="M8" s="21" t="n">
        <f aca="false">INDEX('Type Chart'!$B$5:$P$19,MATCH(M$4,'Type Chart'!$A$5:$A$19,0),MATCH($E8,'Type Chart'!$B$4:$P$4,0))*IF($F8="",1,INDEX('Type Chart'!$B$5:$P$19,MATCH(M$4,'Type Chart'!$A$5:$A$19,0),MATCH($F8,'Type Chart'!$B$4:$P$4,0)))</f>
        <v>0.5</v>
      </c>
      <c r="N8" s="21" t="n">
        <f aca="false">INDEX('Type Chart'!$B$5:$P$19,MATCH(N$4,'Type Chart'!$A$5:$A$19,0),MATCH($E8,'Type Chart'!$B$4:$P$4,0))*IF($F8="",1,INDEX('Type Chart'!$B$5:$P$19,MATCH(N$4,'Type Chart'!$A$5:$A$19,0),MATCH($F8,'Type Chart'!$B$4:$P$4,0)))</f>
        <v>0.5</v>
      </c>
      <c r="O8" s="21" t="n">
        <f aca="false">INDEX('Type Chart'!$B$5:$P$19,MATCH(O$4,'Type Chart'!$A$5:$A$19,0),MATCH($E8,'Type Chart'!$B$4:$P$4,0))*IF($F8="",1,INDEX('Type Chart'!$B$5:$P$19,MATCH(O$4,'Type Chart'!$A$5:$A$19,0),MATCH($F8,'Type Chart'!$B$4:$P$4,0)))</f>
        <v>1</v>
      </c>
      <c r="P8" s="21" t="n">
        <f aca="false">INDEX('Type Chart'!$B$5:$P$19,MATCH(P$4,'Type Chart'!$A$5:$A$19,0),MATCH($E8,'Type Chart'!$B$4:$P$4,0))*IF($F8="",1,INDEX('Type Chart'!$B$5:$P$19,MATCH(P$4,'Type Chart'!$A$5:$A$19,0),MATCH($F8,'Type Chart'!$B$4:$P$4,0)))</f>
        <v>1</v>
      </c>
      <c r="Q8" s="21" t="n">
        <f aca="false">INDEX('Type Chart'!$B$5:$P$19,MATCH(Q$4,'Type Chart'!$A$5:$A$19,0),MATCH($E8,'Type Chart'!$B$4:$P$4,0))*IF($F8="",1,INDEX('Type Chart'!$B$5:$P$19,MATCH(Q$4,'Type Chart'!$A$5:$A$19,0),MATCH($F8,'Type Chart'!$B$4:$P$4,0)))</f>
        <v>1</v>
      </c>
      <c r="R8" s="21" t="n">
        <f aca="false">INDEX('Type Chart'!$B$5:$P$19,MATCH(R$4,'Type Chart'!$A$5:$A$19,0),MATCH($E8,'Type Chart'!$B$4:$P$4,0))*IF($F8="",1,INDEX('Type Chart'!$B$5:$P$19,MATCH(R$4,'Type Chart'!$A$5:$A$19,0),MATCH($F8,'Type Chart'!$B$4:$P$4,0)))</f>
        <v>0.5</v>
      </c>
      <c r="S8" s="21" t="n">
        <f aca="false">INDEX('Type Chart'!$B$5:$P$19,MATCH(S$4,'Type Chart'!$A$5:$A$19,0),MATCH($E8,'Type Chart'!$B$4:$P$4,0))*IF($F8="",1,INDEX('Type Chart'!$B$5:$P$19,MATCH(S$4,'Type Chart'!$A$5:$A$19,0),MATCH($F8,'Type Chart'!$B$4:$P$4,0)))</f>
        <v>2</v>
      </c>
      <c r="T8" s="21" t="n">
        <f aca="false">INDEX('Type Chart'!$B$5:$P$19,MATCH(T$4,'Type Chart'!$A$5:$A$19,0),MATCH($E8,'Type Chart'!$B$4:$P$4,0))*IF($F8="",1,INDEX('Type Chart'!$B$5:$P$19,MATCH(T$4,'Type Chart'!$A$5:$A$19,0),MATCH($F8,'Type Chart'!$B$4:$P$4,0)))</f>
        <v>1</v>
      </c>
      <c r="U8" s="21" t="n">
        <f aca="false">INDEX('Type Chart'!$B$5:$P$19,MATCH(U$4,'Type Chart'!$A$5:$A$19,0),MATCH($E8,'Type Chart'!$B$4:$P$4,0))*IF($F8="",1,INDEX('Type Chart'!$B$5:$P$19,MATCH(U$4,'Type Chart'!$A$5:$A$19,0),MATCH($F8,'Type Chart'!$B$4:$P$4,0)))</f>
        <v>0</v>
      </c>
      <c r="V8" s="21" t="n">
        <f aca="false">INDEX('Type Chart'!$B$5:$P$19,MATCH(V$4,'Type Chart'!$A$5:$A$19,0),MATCH($E8,'Type Chart'!$B$4:$P$4,0))*IF($F8="",1,INDEX('Type Chart'!$B$5:$P$19,MATCH(V$4,'Type Chart'!$A$5:$A$19,0),MATCH($F8,'Type Chart'!$B$4:$P$4,0)))</f>
        <v>1</v>
      </c>
    </row>
    <row r="9" customFormat="false" ht="15" hidden="false" customHeight="false" outlineLevel="0" collapsed="false">
      <c r="A9" s="22" t="s">
        <v>257</v>
      </c>
      <c r="B9" s="22" t="s">
        <v>258</v>
      </c>
      <c r="C9" s="22" t="s">
        <v>117</v>
      </c>
      <c r="D9" s="17" t="n">
        <v>28</v>
      </c>
      <c r="E9" s="17" t="s">
        <v>43</v>
      </c>
      <c r="F9" s="17"/>
      <c r="G9" s="17" t="s">
        <v>254</v>
      </c>
      <c r="H9" s="21" t="n">
        <f aca="false">INDEX('Type Chart'!$B$5:$P$19,MATCH(H$4,'Type Chart'!$A$5:$A$19,0),MATCH($E9,'Type Chart'!$B$4:$P$4,0))*IF($F9="",1,INDEX('Type Chart'!$B$5:$P$19,MATCH(H$4,'Type Chart'!$A$5:$A$19,0),MATCH($F9,'Type Chart'!$B$4:$P$4,0)))</f>
        <v>1</v>
      </c>
      <c r="I9" s="21" t="n">
        <f aca="false">INDEX('Type Chart'!$B$5:$P$19,MATCH(I$4,'Type Chart'!$A$5:$A$19,0),MATCH($E9,'Type Chart'!$B$4:$P$4,0))*IF($F9="",1,INDEX('Type Chart'!$B$5:$P$19,MATCH(I$4,'Type Chart'!$A$5:$A$19,0),MATCH($F9,'Type Chart'!$B$4:$P$4,0)))</f>
        <v>1</v>
      </c>
      <c r="J9" s="21" t="n">
        <f aca="false">INDEX('Type Chart'!$B$5:$P$19,MATCH(J$4,'Type Chart'!$A$5:$A$19,0),MATCH($E9,'Type Chart'!$B$4:$P$4,0))*IF($F9="",1,INDEX('Type Chart'!$B$5:$P$19,MATCH(J$4,'Type Chart'!$A$5:$A$19,0),MATCH($F9,'Type Chart'!$B$4:$P$4,0)))</f>
        <v>1</v>
      </c>
      <c r="K9" s="21" t="n">
        <f aca="false">INDEX('Type Chart'!$B$5:$P$19,MATCH(K$4,'Type Chart'!$A$5:$A$19,0),MATCH($E9,'Type Chart'!$B$4:$P$4,0))*IF($F9="",1,INDEX('Type Chart'!$B$5:$P$19,MATCH(K$4,'Type Chart'!$A$5:$A$19,0),MATCH($F9,'Type Chart'!$B$4:$P$4,0)))</f>
        <v>0.5</v>
      </c>
      <c r="L9" s="21" t="n">
        <f aca="false">INDEX('Type Chart'!$B$5:$P$19,MATCH(L$4,'Type Chart'!$A$5:$A$19,0),MATCH($E9,'Type Chart'!$B$4:$P$4,0))*IF($F9="",1,INDEX('Type Chart'!$B$5:$P$19,MATCH(L$4,'Type Chart'!$A$5:$A$19,0),MATCH($F9,'Type Chart'!$B$4:$P$4,0)))</f>
        <v>1</v>
      </c>
      <c r="M9" s="21" t="n">
        <f aca="false">INDEX('Type Chart'!$B$5:$P$19,MATCH(M$4,'Type Chart'!$A$5:$A$19,0),MATCH($E9,'Type Chart'!$B$4:$P$4,0))*IF($F9="",1,INDEX('Type Chart'!$B$5:$P$19,MATCH(M$4,'Type Chart'!$A$5:$A$19,0),MATCH($F9,'Type Chart'!$B$4:$P$4,0)))</f>
        <v>1</v>
      </c>
      <c r="N9" s="21" t="n">
        <f aca="false">INDEX('Type Chart'!$B$5:$P$19,MATCH(N$4,'Type Chart'!$A$5:$A$19,0),MATCH($E9,'Type Chart'!$B$4:$P$4,0))*IF($F9="",1,INDEX('Type Chart'!$B$5:$P$19,MATCH(N$4,'Type Chart'!$A$5:$A$19,0),MATCH($F9,'Type Chart'!$B$4:$P$4,0)))</f>
        <v>1</v>
      </c>
      <c r="O9" s="21" t="n">
        <f aca="false">INDEX('Type Chart'!$B$5:$P$19,MATCH(O$4,'Type Chart'!$A$5:$A$19,0),MATCH($E9,'Type Chart'!$B$4:$P$4,0))*IF($F9="",1,INDEX('Type Chart'!$B$5:$P$19,MATCH(O$4,'Type Chart'!$A$5:$A$19,0),MATCH($F9,'Type Chart'!$B$4:$P$4,0)))</f>
        <v>1</v>
      </c>
      <c r="P9" s="21" t="n">
        <f aca="false">INDEX('Type Chart'!$B$5:$P$19,MATCH(P$4,'Type Chart'!$A$5:$A$19,0),MATCH($E9,'Type Chart'!$B$4:$P$4,0))*IF($F9="",1,INDEX('Type Chart'!$B$5:$P$19,MATCH(P$4,'Type Chart'!$A$5:$A$19,0),MATCH($F9,'Type Chart'!$B$4:$P$4,0)))</f>
        <v>2</v>
      </c>
      <c r="Q9" s="21" t="n">
        <f aca="false">INDEX('Type Chart'!$B$5:$P$19,MATCH(Q$4,'Type Chart'!$A$5:$A$19,0),MATCH($E9,'Type Chart'!$B$4:$P$4,0))*IF($F9="",1,INDEX('Type Chart'!$B$5:$P$19,MATCH(Q$4,'Type Chart'!$A$5:$A$19,0),MATCH($F9,'Type Chart'!$B$4:$P$4,0)))</f>
        <v>0.5</v>
      </c>
      <c r="R9" s="21" t="n">
        <f aca="false">INDEX('Type Chart'!$B$5:$P$19,MATCH(R$4,'Type Chart'!$A$5:$A$19,0),MATCH($E9,'Type Chart'!$B$4:$P$4,0))*IF($F9="",1,INDEX('Type Chart'!$B$5:$P$19,MATCH(R$4,'Type Chart'!$A$5:$A$19,0),MATCH($F9,'Type Chart'!$B$4:$P$4,0)))</f>
        <v>1</v>
      </c>
      <c r="S9" s="21" t="n">
        <f aca="false">INDEX('Type Chart'!$B$5:$P$19,MATCH(S$4,'Type Chart'!$A$5:$A$19,0),MATCH($E9,'Type Chart'!$B$4:$P$4,0))*IF($F9="",1,INDEX('Type Chart'!$B$5:$P$19,MATCH(S$4,'Type Chart'!$A$5:$A$19,0),MATCH($F9,'Type Chart'!$B$4:$P$4,0)))</f>
        <v>1</v>
      </c>
      <c r="T9" s="21" t="n">
        <f aca="false">INDEX('Type Chart'!$B$5:$P$19,MATCH(T$4,'Type Chart'!$A$5:$A$19,0),MATCH($E9,'Type Chart'!$B$4:$P$4,0))*IF($F9="",1,INDEX('Type Chart'!$B$5:$P$19,MATCH(T$4,'Type Chart'!$A$5:$A$19,0),MATCH($F9,'Type Chart'!$B$4:$P$4,0)))</f>
        <v>1</v>
      </c>
      <c r="U9" s="21" t="n">
        <f aca="false">INDEX('Type Chart'!$B$5:$P$19,MATCH(U$4,'Type Chart'!$A$5:$A$19,0),MATCH($E9,'Type Chart'!$B$4:$P$4,0))*IF($F9="",1,INDEX('Type Chart'!$B$5:$P$19,MATCH(U$4,'Type Chart'!$A$5:$A$19,0),MATCH($F9,'Type Chart'!$B$4:$P$4,0)))</f>
        <v>1</v>
      </c>
      <c r="V9" s="21" t="n">
        <f aca="false">INDEX('Type Chart'!$B$5:$P$19,MATCH(V$4,'Type Chart'!$A$5:$A$19,0),MATCH($E9,'Type Chart'!$B$4:$P$4,0))*IF($F9="",1,INDEX('Type Chart'!$B$5:$P$19,MATCH(V$4,'Type Chart'!$A$5:$A$19,0),MATCH($F9,'Type Chart'!$B$4:$P$4,0)))</f>
        <v>1</v>
      </c>
    </row>
    <row r="10" customFormat="false" ht="15" hidden="false" customHeight="false" outlineLevel="0" collapsed="false">
      <c r="A10" s="17" t="s">
        <v>259</v>
      </c>
      <c r="B10" s="17" t="s">
        <v>260</v>
      </c>
      <c r="C10" s="17" t="s">
        <v>205</v>
      </c>
      <c r="D10" s="17" t="n">
        <v>30</v>
      </c>
      <c r="E10" s="17" t="s">
        <v>44</v>
      </c>
      <c r="F10" s="17"/>
      <c r="G10" s="17"/>
      <c r="H10" s="21" t="n">
        <f aca="false">INDEX('Type Chart'!$B$5:$P$19,MATCH(H$4,'Type Chart'!$A$5:$A$19,0),MATCH($E10,'Type Chart'!$B$4:$P$4,0))*IF($F10="",1,INDEX('Type Chart'!$B$5:$P$19,MATCH(H$4,'Type Chart'!$A$5:$A$19,0),MATCH($F10,'Type Chart'!$B$4:$P$4,0)))</f>
        <v>1</v>
      </c>
      <c r="I10" s="21" t="n">
        <f aca="false">INDEX('Type Chart'!$B$5:$P$19,MATCH(I$4,'Type Chart'!$A$5:$A$19,0),MATCH($E10,'Type Chart'!$B$4:$P$4,0))*IF($F10="",1,INDEX('Type Chart'!$B$5:$P$19,MATCH(I$4,'Type Chart'!$A$5:$A$19,0),MATCH($F10,'Type Chart'!$B$4:$P$4,0)))</f>
        <v>2</v>
      </c>
      <c r="J10" s="21" t="n">
        <f aca="false">INDEX('Type Chart'!$B$5:$P$19,MATCH(J$4,'Type Chart'!$A$5:$A$19,0),MATCH($E10,'Type Chart'!$B$4:$P$4,0))*IF($F10="",1,INDEX('Type Chart'!$B$5:$P$19,MATCH(J$4,'Type Chart'!$A$5:$A$19,0),MATCH($F10,'Type Chart'!$B$4:$P$4,0)))</f>
        <v>0.5</v>
      </c>
      <c r="K10" s="21" t="n">
        <f aca="false">INDEX('Type Chart'!$B$5:$P$19,MATCH(K$4,'Type Chart'!$A$5:$A$19,0),MATCH($E10,'Type Chart'!$B$4:$P$4,0))*IF($F10="",1,INDEX('Type Chart'!$B$5:$P$19,MATCH(K$4,'Type Chart'!$A$5:$A$19,0),MATCH($F10,'Type Chart'!$B$4:$P$4,0)))</f>
        <v>0.5</v>
      </c>
      <c r="L10" s="21" t="n">
        <f aca="false">INDEX('Type Chart'!$B$5:$P$19,MATCH(L$4,'Type Chart'!$A$5:$A$19,0),MATCH($E10,'Type Chart'!$B$4:$P$4,0))*IF($F10="",1,INDEX('Type Chart'!$B$5:$P$19,MATCH(L$4,'Type Chart'!$A$5:$A$19,0),MATCH($F10,'Type Chart'!$B$4:$P$4,0)))</f>
        <v>0.5</v>
      </c>
      <c r="M10" s="21" t="n">
        <f aca="false">INDEX('Type Chart'!$B$5:$P$19,MATCH(M$4,'Type Chart'!$A$5:$A$19,0),MATCH($E10,'Type Chart'!$B$4:$P$4,0))*IF($F10="",1,INDEX('Type Chart'!$B$5:$P$19,MATCH(M$4,'Type Chart'!$A$5:$A$19,0),MATCH($F10,'Type Chart'!$B$4:$P$4,0)))</f>
        <v>2</v>
      </c>
      <c r="N10" s="21" t="n">
        <f aca="false">INDEX('Type Chart'!$B$5:$P$19,MATCH(N$4,'Type Chart'!$A$5:$A$19,0),MATCH($E10,'Type Chart'!$B$4:$P$4,0))*IF($F10="",1,INDEX('Type Chart'!$B$5:$P$19,MATCH(N$4,'Type Chart'!$A$5:$A$19,0),MATCH($F10,'Type Chart'!$B$4:$P$4,0)))</f>
        <v>1</v>
      </c>
      <c r="O10" s="21" t="n">
        <f aca="false">INDEX('Type Chart'!$B$5:$P$19,MATCH(O$4,'Type Chart'!$A$5:$A$19,0),MATCH($E10,'Type Chart'!$B$4:$P$4,0))*IF($F10="",1,INDEX('Type Chart'!$B$5:$P$19,MATCH(O$4,'Type Chart'!$A$5:$A$19,0),MATCH($F10,'Type Chart'!$B$4:$P$4,0)))</f>
        <v>2</v>
      </c>
      <c r="P10" s="21" t="n">
        <f aca="false">INDEX('Type Chart'!$B$5:$P$19,MATCH(P$4,'Type Chart'!$A$5:$A$19,0),MATCH($E10,'Type Chart'!$B$4:$P$4,0))*IF($F10="",1,INDEX('Type Chart'!$B$5:$P$19,MATCH(P$4,'Type Chart'!$A$5:$A$19,0),MATCH($F10,'Type Chart'!$B$4:$P$4,0)))</f>
        <v>0.5</v>
      </c>
      <c r="Q10" s="21" t="n">
        <f aca="false">INDEX('Type Chart'!$B$5:$P$19,MATCH(Q$4,'Type Chart'!$A$5:$A$19,0),MATCH($E10,'Type Chart'!$B$4:$P$4,0))*IF($F10="",1,INDEX('Type Chart'!$B$5:$P$19,MATCH(Q$4,'Type Chart'!$A$5:$A$19,0),MATCH($F10,'Type Chart'!$B$4:$P$4,0)))</f>
        <v>2</v>
      </c>
      <c r="R10" s="21" t="n">
        <f aca="false">INDEX('Type Chart'!$B$5:$P$19,MATCH(R$4,'Type Chart'!$A$5:$A$19,0),MATCH($E10,'Type Chart'!$B$4:$P$4,0))*IF($F10="",1,INDEX('Type Chart'!$B$5:$P$19,MATCH(R$4,'Type Chart'!$A$5:$A$19,0),MATCH($F10,'Type Chart'!$B$4:$P$4,0)))</f>
        <v>1</v>
      </c>
      <c r="S10" s="21" t="n">
        <f aca="false">INDEX('Type Chart'!$B$5:$P$19,MATCH(S$4,'Type Chart'!$A$5:$A$19,0),MATCH($E10,'Type Chart'!$B$4:$P$4,0))*IF($F10="",1,INDEX('Type Chart'!$B$5:$P$19,MATCH(S$4,'Type Chart'!$A$5:$A$19,0),MATCH($F10,'Type Chart'!$B$4:$P$4,0)))</f>
        <v>2</v>
      </c>
      <c r="T10" s="21" t="n">
        <f aca="false">INDEX('Type Chart'!$B$5:$P$19,MATCH(T$4,'Type Chart'!$A$5:$A$19,0),MATCH($E10,'Type Chart'!$B$4:$P$4,0))*IF($F10="",1,INDEX('Type Chart'!$B$5:$P$19,MATCH(T$4,'Type Chart'!$A$5:$A$19,0),MATCH($F10,'Type Chart'!$B$4:$P$4,0)))</f>
        <v>1</v>
      </c>
      <c r="U10" s="21" t="n">
        <f aca="false">INDEX('Type Chart'!$B$5:$P$19,MATCH(U$4,'Type Chart'!$A$5:$A$19,0),MATCH($E10,'Type Chart'!$B$4:$P$4,0))*IF($F10="",1,INDEX('Type Chart'!$B$5:$P$19,MATCH(U$4,'Type Chart'!$A$5:$A$19,0),MATCH($F10,'Type Chart'!$B$4:$P$4,0)))</f>
        <v>1</v>
      </c>
      <c r="V10" s="21" t="n">
        <f aca="false">INDEX('Type Chart'!$B$5:$P$19,MATCH(V$4,'Type Chart'!$A$5:$A$19,0),MATCH($E10,'Type Chart'!$B$4:$P$4,0))*IF($F10="",1,INDEX('Type Chart'!$B$5:$P$19,MATCH(V$4,'Type Chart'!$A$5:$A$19,0),MATCH($F10,'Type Chart'!$B$4:$P$4,0)))</f>
        <v>1</v>
      </c>
    </row>
    <row r="11" customFormat="false" ht="15" hidden="false" customHeight="false" outlineLevel="0" collapsed="false">
      <c r="A11" s="17" t="s">
        <v>259</v>
      </c>
      <c r="B11" s="17" t="s">
        <v>260</v>
      </c>
      <c r="C11" s="17" t="s">
        <v>161</v>
      </c>
      <c r="D11" s="17" t="n">
        <v>32</v>
      </c>
      <c r="E11" s="17" t="s">
        <v>44</v>
      </c>
      <c r="F11" s="17" t="s">
        <v>47</v>
      </c>
      <c r="G11" s="17"/>
      <c r="H11" s="21" t="n">
        <f aca="false">INDEX('Type Chart'!$B$5:$P$19,MATCH(H$4,'Type Chart'!$A$5:$A$19,0),MATCH($E11,'Type Chart'!$B$4:$P$4,0))*IF($F11="",1,INDEX('Type Chart'!$B$5:$P$19,MATCH(H$4,'Type Chart'!$A$5:$A$19,0),MATCH($F11,'Type Chart'!$B$4:$P$4,0)))</f>
        <v>1</v>
      </c>
      <c r="I11" s="21" t="n">
        <f aca="false">INDEX('Type Chart'!$B$5:$P$19,MATCH(I$4,'Type Chart'!$A$5:$A$19,0),MATCH($E11,'Type Chart'!$B$4:$P$4,0))*IF($F11="",1,INDEX('Type Chart'!$B$5:$P$19,MATCH(I$4,'Type Chart'!$A$5:$A$19,0),MATCH($F11,'Type Chart'!$B$4:$P$4,0)))</f>
        <v>2</v>
      </c>
      <c r="J11" s="21" t="n">
        <f aca="false">INDEX('Type Chart'!$B$5:$P$19,MATCH(J$4,'Type Chart'!$A$5:$A$19,0),MATCH($E11,'Type Chart'!$B$4:$P$4,0))*IF($F11="",1,INDEX('Type Chart'!$B$5:$P$19,MATCH(J$4,'Type Chart'!$A$5:$A$19,0),MATCH($F11,'Type Chart'!$B$4:$P$4,0)))</f>
        <v>0.5</v>
      </c>
      <c r="K11" s="21" t="n">
        <f aca="false">INDEX('Type Chart'!$B$5:$P$19,MATCH(K$4,'Type Chart'!$A$5:$A$19,0),MATCH($E11,'Type Chart'!$B$4:$P$4,0))*IF($F11="",1,INDEX('Type Chart'!$B$5:$P$19,MATCH(K$4,'Type Chart'!$A$5:$A$19,0),MATCH($F11,'Type Chart'!$B$4:$P$4,0)))</f>
        <v>0.5</v>
      </c>
      <c r="L11" s="21" t="n">
        <f aca="false">INDEX('Type Chart'!$B$5:$P$19,MATCH(L$4,'Type Chart'!$A$5:$A$19,0),MATCH($E11,'Type Chart'!$B$4:$P$4,0))*IF($F11="",1,INDEX('Type Chart'!$B$5:$P$19,MATCH(L$4,'Type Chart'!$A$5:$A$19,0),MATCH($F11,'Type Chart'!$B$4:$P$4,0)))</f>
        <v>0.25</v>
      </c>
      <c r="M11" s="21" t="n">
        <f aca="false">INDEX('Type Chart'!$B$5:$P$19,MATCH(M$4,'Type Chart'!$A$5:$A$19,0),MATCH($E11,'Type Chart'!$B$4:$P$4,0))*IF($F11="",1,INDEX('Type Chart'!$B$5:$P$19,MATCH(M$4,'Type Chart'!$A$5:$A$19,0),MATCH($F11,'Type Chart'!$B$4:$P$4,0)))</f>
        <v>2</v>
      </c>
      <c r="N11" s="21" t="n">
        <f aca="false">INDEX('Type Chart'!$B$5:$P$19,MATCH(N$4,'Type Chart'!$A$5:$A$19,0),MATCH($E11,'Type Chart'!$B$4:$P$4,0))*IF($F11="",1,INDEX('Type Chart'!$B$5:$P$19,MATCH(N$4,'Type Chart'!$A$5:$A$19,0),MATCH($F11,'Type Chart'!$B$4:$P$4,0)))</f>
        <v>0.5</v>
      </c>
      <c r="O11" s="21" t="n">
        <f aca="false">INDEX('Type Chart'!$B$5:$P$19,MATCH(O$4,'Type Chart'!$A$5:$A$19,0),MATCH($E11,'Type Chart'!$B$4:$P$4,0))*IF($F11="",1,INDEX('Type Chart'!$B$5:$P$19,MATCH(O$4,'Type Chart'!$A$5:$A$19,0),MATCH($F11,'Type Chart'!$B$4:$P$4,0)))</f>
        <v>1</v>
      </c>
      <c r="P11" s="21" t="n">
        <f aca="false">INDEX('Type Chart'!$B$5:$P$19,MATCH(P$4,'Type Chart'!$A$5:$A$19,0),MATCH($E11,'Type Chart'!$B$4:$P$4,0))*IF($F11="",1,INDEX('Type Chart'!$B$5:$P$19,MATCH(P$4,'Type Chart'!$A$5:$A$19,0),MATCH($F11,'Type Chart'!$B$4:$P$4,0)))</f>
        <v>1</v>
      </c>
      <c r="Q11" s="21" t="n">
        <f aca="false">INDEX('Type Chart'!$B$5:$P$19,MATCH(Q$4,'Type Chart'!$A$5:$A$19,0),MATCH($E11,'Type Chart'!$B$4:$P$4,0))*IF($F11="",1,INDEX('Type Chart'!$B$5:$P$19,MATCH(Q$4,'Type Chart'!$A$5:$A$19,0),MATCH($F11,'Type Chart'!$B$4:$P$4,0)))</f>
        <v>2</v>
      </c>
      <c r="R11" s="21" t="n">
        <f aca="false">INDEX('Type Chart'!$B$5:$P$19,MATCH(R$4,'Type Chart'!$A$5:$A$19,0),MATCH($E11,'Type Chart'!$B$4:$P$4,0))*IF($F11="",1,INDEX('Type Chart'!$B$5:$P$19,MATCH(R$4,'Type Chart'!$A$5:$A$19,0),MATCH($F11,'Type Chart'!$B$4:$P$4,0)))</f>
        <v>2</v>
      </c>
      <c r="S11" s="21" t="n">
        <f aca="false">INDEX('Type Chart'!$B$5:$P$19,MATCH(S$4,'Type Chart'!$A$5:$A$19,0),MATCH($E11,'Type Chart'!$B$4:$P$4,0))*IF($F11="",1,INDEX('Type Chart'!$B$5:$P$19,MATCH(S$4,'Type Chart'!$A$5:$A$19,0),MATCH($F11,'Type Chart'!$B$4:$P$4,0)))</f>
        <v>4</v>
      </c>
      <c r="T11" s="21" t="n">
        <f aca="false">INDEX('Type Chart'!$B$5:$P$19,MATCH(T$4,'Type Chart'!$A$5:$A$19,0),MATCH($E11,'Type Chart'!$B$4:$P$4,0))*IF($F11="",1,INDEX('Type Chart'!$B$5:$P$19,MATCH(T$4,'Type Chart'!$A$5:$A$19,0),MATCH($F11,'Type Chart'!$B$4:$P$4,0)))</f>
        <v>1</v>
      </c>
      <c r="U11" s="21" t="n">
        <f aca="false">INDEX('Type Chart'!$B$5:$P$19,MATCH(U$4,'Type Chart'!$A$5:$A$19,0),MATCH($E11,'Type Chart'!$B$4:$P$4,0))*IF($F11="",1,INDEX('Type Chart'!$B$5:$P$19,MATCH(U$4,'Type Chart'!$A$5:$A$19,0),MATCH($F11,'Type Chart'!$B$4:$P$4,0)))</f>
        <v>1</v>
      </c>
      <c r="V11" s="21" t="n">
        <f aca="false">INDEX('Type Chart'!$B$5:$P$19,MATCH(V$4,'Type Chart'!$A$5:$A$19,0),MATCH($E11,'Type Chart'!$B$4:$P$4,0))*IF($F11="",1,INDEX('Type Chart'!$B$5:$P$19,MATCH(V$4,'Type Chart'!$A$5:$A$19,0),MATCH($F11,'Type Chart'!$B$4:$P$4,0)))</f>
        <v>1</v>
      </c>
    </row>
    <row r="12" customFormat="false" ht="15" hidden="false" customHeight="false" outlineLevel="0" collapsed="false">
      <c r="A12" s="22" t="s">
        <v>259</v>
      </c>
      <c r="B12" s="22" t="s">
        <v>260</v>
      </c>
      <c r="C12" s="22" t="s">
        <v>135</v>
      </c>
      <c r="D12" s="17" t="n">
        <v>32</v>
      </c>
      <c r="E12" s="17" t="s">
        <v>44</v>
      </c>
      <c r="F12" s="17" t="s">
        <v>47</v>
      </c>
      <c r="G12" s="17" t="s">
        <v>254</v>
      </c>
      <c r="H12" s="21" t="n">
        <f aca="false">INDEX('Type Chart'!$B$5:$P$19,MATCH(H$4,'Type Chart'!$A$5:$A$19,0),MATCH($E12,'Type Chart'!$B$4:$P$4,0))*IF($F12="",1,INDEX('Type Chart'!$B$5:$P$19,MATCH(H$4,'Type Chart'!$A$5:$A$19,0),MATCH($F12,'Type Chart'!$B$4:$P$4,0)))</f>
        <v>1</v>
      </c>
      <c r="I12" s="21" t="n">
        <f aca="false">INDEX('Type Chart'!$B$5:$P$19,MATCH(I$4,'Type Chart'!$A$5:$A$19,0),MATCH($E12,'Type Chart'!$B$4:$P$4,0))*IF($F12="",1,INDEX('Type Chart'!$B$5:$P$19,MATCH(I$4,'Type Chart'!$A$5:$A$19,0),MATCH($F12,'Type Chart'!$B$4:$P$4,0)))</f>
        <v>2</v>
      </c>
      <c r="J12" s="21" t="n">
        <f aca="false">INDEX('Type Chart'!$B$5:$P$19,MATCH(J$4,'Type Chart'!$A$5:$A$19,0),MATCH($E12,'Type Chart'!$B$4:$P$4,0))*IF($F12="",1,INDEX('Type Chart'!$B$5:$P$19,MATCH(J$4,'Type Chart'!$A$5:$A$19,0),MATCH($F12,'Type Chart'!$B$4:$P$4,0)))</f>
        <v>0.5</v>
      </c>
      <c r="K12" s="21" t="n">
        <f aca="false">INDEX('Type Chart'!$B$5:$P$19,MATCH(K$4,'Type Chart'!$A$5:$A$19,0),MATCH($E12,'Type Chart'!$B$4:$P$4,0))*IF($F12="",1,INDEX('Type Chart'!$B$5:$P$19,MATCH(K$4,'Type Chart'!$A$5:$A$19,0),MATCH($F12,'Type Chart'!$B$4:$P$4,0)))</f>
        <v>0.5</v>
      </c>
      <c r="L12" s="21" t="n">
        <f aca="false">INDEX('Type Chart'!$B$5:$P$19,MATCH(L$4,'Type Chart'!$A$5:$A$19,0),MATCH($E12,'Type Chart'!$B$4:$P$4,0))*IF($F12="",1,INDEX('Type Chart'!$B$5:$P$19,MATCH(L$4,'Type Chart'!$A$5:$A$19,0),MATCH($F12,'Type Chart'!$B$4:$P$4,0)))</f>
        <v>0.25</v>
      </c>
      <c r="M12" s="21" t="n">
        <f aca="false">INDEX('Type Chart'!$B$5:$P$19,MATCH(M$4,'Type Chart'!$A$5:$A$19,0),MATCH($E12,'Type Chart'!$B$4:$P$4,0))*IF($F12="",1,INDEX('Type Chart'!$B$5:$P$19,MATCH(M$4,'Type Chart'!$A$5:$A$19,0),MATCH($F12,'Type Chart'!$B$4:$P$4,0)))</f>
        <v>2</v>
      </c>
      <c r="N12" s="21" t="n">
        <f aca="false">INDEX('Type Chart'!$B$5:$P$19,MATCH(N$4,'Type Chart'!$A$5:$A$19,0),MATCH($E12,'Type Chart'!$B$4:$P$4,0))*IF($F12="",1,INDEX('Type Chart'!$B$5:$P$19,MATCH(N$4,'Type Chart'!$A$5:$A$19,0),MATCH($F12,'Type Chart'!$B$4:$P$4,0)))</f>
        <v>0.5</v>
      </c>
      <c r="O12" s="21" t="n">
        <f aca="false">INDEX('Type Chart'!$B$5:$P$19,MATCH(O$4,'Type Chart'!$A$5:$A$19,0),MATCH($E12,'Type Chart'!$B$4:$P$4,0))*IF($F12="",1,INDEX('Type Chart'!$B$5:$P$19,MATCH(O$4,'Type Chart'!$A$5:$A$19,0),MATCH($F12,'Type Chart'!$B$4:$P$4,0)))</f>
        <v>1</v>
      </c>
      <c r="P12" s="21" t="n">
        <f aca="false">INDEX('Type Chart'!$B$5:$P$19,MATCH(P$4,'Type Chart'!$A$5:$A$19,0),MATCH($E12,'Type Chart'!$B$4:$P$4,0))*IF($F12="",1,INDEX('Type Chart'!$B$5:$P$19,MATCH(P$4,'Type Chart'!$A$5:$A$19,0),MATCH($F12,'Type Chart'!$B$4:$P$4,0)))</f>
        <v>1</v>
      </c>
      <c r="Q12" s="21" t="n">
        <f aca="false">INDEX('Type Chart'!$B$5:$P$19,MATCH(Q$4,'Type Chart'!$A$5:$A$19,0),MATCH($E12,'Type Chart'!$B$4:$P$4,0))*IF($F12="",1,INDEX('Type Chart'!$B$5:$P$19,MATCH(Q$4,'Type Chart'!$A$5:$A$19,0),MATCH($F12,'Type Chart'!$B$4:$P$4,0)))</f>
        <v>2</v>
      </c>
      <c r="R12" s="21" t="n">
        <f aca="false">INDEX('Type Chart'!$B$5:$P$19,MATCH(R$4,'Type Chart'!$A$5:$A$19,0),MATCH($E12,'Type Chart'!$B$4:$P$4,0))*IF($F12="",1,INDEX('Type Chart'!$B$5:$P$19,MATCH(R$4,'Type Chart'!$A$5:$A$19,0),MATCH($F12,'Type Chart'!$B$4:$P$4,0)))</f>
        <v>2</v>
      </c>
      <c r="S12" s="21" t="n">
        <f aca="false">INDEX('Type Chart'!$B$5:$P$19,MATCH(S$4,'Type Chart'!$A$5:$A$19,0),MATCH($E12,'Type Chart'!$B$4:$P$4,0))*IF($F12="",1,INDEX('Type Chart'!$B$5:$P$19,MATCH(S$4,'Type Chart'!$A$5:$A$19,0),MATCH($F12,'Type Chart'!$B$4:$P$4,0)))</f>
        <v>4</v>
      </c>
      <c r="T12" s="21" t="n">
        <f aca="false">INDEX('Type Chart'!$B$5:$P$19,MATCH(T$4,'Type Chart'!$A$5:$A$19,0),MATCH($E12,'Type Chart'!$B$4:$P$4,0))*IF($F12="",1,INDEX('Type Chart'!$B$5:$P$19,MATCH(T$4,'Type Chart'!$A$5:$A$19,0),MATCH($F12,'Type Chart'!$B$4:$P$4,0)))</f>
        <v>1</v>
      </c>
      <c r="U12" s="21" t="n">
        <f aca="false">INDEX('Type Chart'!$B$5:$P$19,MATCH(U$4,'Type Chart'!$A$5:$A$19,0),MATCH($E12,'Type Chart'!$B$4:$P$4,0))*IF($F12="",1,INDEX('Type Chart'!$B$5:$P$19,MATCH(U$4,'Type Chart'!$A$5:$A$19,0),MATCH($F12,'Type Chart'!$B$4:$P$4,0)))</f>
        <v>1</v>
      </c>
      <c r="V12" s="21" t="n">
        <f aca="false">INDEX('Type Chart'!$B$5:$P$19,MATCH(V$4,'Type Chart'!$A$5:$A$19,0),MATCH($E12,'Type Chart'!$B$4:$P$4,0))*IF($F12="",1,INDEX('Type Chart'!$B$5:$P$19,MATCH(V$4,'Type Chart'!$A$5:$A$19,0),MATCH($F12,'Type Chart'!$B$4:$P$4,0)))</f>
        <v>1</v>
      </c>
    </row>
    <row r="13" customFormat="false" ht="15" hidden="false" customHeight="false" outlineLevel="0" collapsed="false">
      <c r="A13" s="17" t="s">
        <v>261</v>
      </c>
      <c r="B13" s="17" t="s">
        <v>262</v>
      </c>
      <c r="C13" s="17" t="s">
        <v>139</v>
      </c>
      <c r="D13" s="17" t="n">
        <v>44</v>
      </c>
      <c r="E13" s="17" t="s">
        <v>51</v>
      </c>
      <c r="F13" s="17" t="s">
        <v>47</v>
      </c>
      <c r="G13" s="17"/>
      <c r="H13" s="21" t="n">
        <f aca="false">INDEX('Type Chart'!$B$5:$P$19,MATCH(H$4,'Type Chart'!$A$5:$A$19,0),MATCH($E13,'Type Chart'!$B$4:$P$4,0))*IF($F13="",1,INDEX('Type Chart'!$B$5:$P$19,MATCH(H$4,'Type Chart'!$A$5:$A$19,0),MATCH($F13,'Type Chart'!$B$4:$P$4,0)))</f>
        <v>1</v>
      </c>
      <c r="I13" s="21" t="n">
        <f aca="false">INDEX('Type Chart'!$B$5:$P$19,MATCH(I$4,'Type Chart'!$A$5:$A$19,0),MATCH($E13,'Type Chart'!$B$4:$P$4,0))*IF($F13="",1,INDEX('Type Chart'!$B$5:$P$19,MATCH(I$4,'Type Chart'!$A$5:$A$19,0),MATCH($F13,'Type Chart'!$B$4:$P$4,0)))</f>
        <v>2</v>
      </c>
      <c r="J13" s="21" t="n">
        <f aca="false">INDEX('Type Chart'!$B$5:$P$19,MATCH(J$4,'Type Chart'!$A$5:$A$19,0),MATCH($E13,'Type Chart'!$B$4:$P$4,0))*IF($F13="",1,INDEX('Type Chart'!$B$5:$P$19,MATCH(J$4,'Type Chart'!$A$5:$A$19,0),MATCH($F13,'Type Chart'!$B$4:$P$4,0)))</f>
        <v>1</v>
      </c>
      <c r="K13" s="21" t="n">
        <f aca="false">INDEX('Type Chart'!$B$5:$P$19,MATCH(K$4,'Type Chart'!$A$5:$A$19,0),MATCH($E13,'Type Chart'!$B$4:$P$4,0))*IF($F13="",1,INDEX('Type Chart'!$B$5:$P$19,MATCH(K$4,'Type Chart'!$A$5:$A$19,0),MATCH($F13,'Type Chart'!$B$4:$P$4,0)))</f>
        <v>1</v>
      </c>
      <c r="L13" s="21" t="n">
        <f aca="false">INDEX('Type Chart'!$B$5:$P$19,MATCH(L$4,'Type Chart'!$A$5:$A$19,0),MATCH($E13,'Type Chart'!$B$4:$P$4,0))*IF($F13="",1,INDEX('Type Chart'!$B$5:$P$19,MATCH(L$4,'Type Chart'!$A$5:$A$19,0),MATCH($F13,'Type Chart'!$B$4:$P$4,0)))</f>
        <v>0.25</v>
      </c>
      <c r="M13" s="21" t="n">
        <f aca="false">INDEX('Type Chart'!$B$5:$P$19,MATCH(M$4,'Type Chart'!$A$5:$A$19,0),MATCH($E13,'Type Chart'!$B$4:$P$4,0))*IF($F13="",1,INDEX('Type Chart'!$B$5:$P$19,MATCH(M$4,'Type Chart'!$A$5:$A$19,0),MATCH($F13,'Type Chart'!$B$4:$P$4,0)))</f>
        <v>1</v>
      </c>
      <c r="N13" s="21" t="n">
        <f aca="false">INDEX('Type Chart'!$B$5:$P$19,MATCH(N$4,'Type Chart'!$A$5:$A$19,0),MATCH($E13,'Type Chart'!$B$4:$P$4,0))*IF($F13="",1,INDEX('Type Chart'!$B$5:$P$19,MATCH(N$4,'Type Chart'!$A$5:$A$19,0),MATCH($F13,'Type Chart'!$B$4:$P$4,0)))</f>
        <v>0.25</v>
      </c>
      <c r="O13" s="21" t="n">
        <f aca="false">INDEX('Type Chart'!$B$5:$P$19,MATCH(O$4,'Type Chart'!$A$5:$A$19,0),MATCH($E13,'Type Chart'!$B$4:$P$4,0))*IF($F13="",1,INDEX('Type Chart'!$B$5:$P$19,MATCH(O$4,'Type Chart'!$A$5:$A$19,0),MATCH($F13,'Type Chart'!$B$4:$P$4,0)))</f>
        <v>1</v>
      </c>
      <c r="P13" s="21" t="n">
        <f aca="false">INDEX('Type Chart'!$B$5:$P$19,MATCH(P$4,'Type Chart'!$A$5:$A$19,0),MATCH($E13,'Type Chart'!$B$4:$P$4,0))*IF($F13="",1,INDEX('Type Chart'!$B$5:$P$19,MATCH(P$4,'Type Chart'!$A$5:$A$19,0),MATCH($F13,'Type Chart'!$B$4:$P$4,0)))</f>
        <v>1</v>
      </c>
      <c r="Q13" s="21" t="n">
        <f aca="false">INDEX('Type Chart'!$B$5:$P$19,MATCH(Q$4,'Type Chart'!$A$5:$A$19,0),MATCH($E13,'Type Chart'!$B$4:$P$4,0))*IF($F13="",1,INDEX('Type Chart'!$B$5:$P$19,MATCH(Q$4,'Type Chart'!$A$5:$A$19,0),MATCH($F13,'Type Chart'!$B$4:$P$4,0)))</f>
        <v>2</v>
      </c>
      <c r="R13" s="21" t="n">
        <f aca="false">INDEX('Type Chart'!$B$5:$P$19,MATCH(R$4,'Type Chart'!$A$5:$A$19,0),MATCH($E13,'Type Chart'!$B$4:$P$4,0))*IF($F13="",1,INDEX('Type Chart'!$B$5:$P$19,MATCH(R$4,'Type Chart'!$A$5:$A$19,0),MATCH($F13,'Type Chart'!$B$4:$P$4,0)))</f>
        <v>2</v>
      </c>
      <c r="S13" s="21" t="n">
        <f aca="false">INDEX('Type Chart'!$B$5:$P$19,MATCH(S$4,'Type Chart'!$A$5:$A$19,0),MATCH($E13,'Type Chart'!$B$4:$P$4,0))*IF($F13="",1,INDEX('Type Chart'!$B$5:$P$19,MATCH(S$4,'Type Chart'!$A$5:$A$19,0),MATCH($F13,'Type Chart'!$B$4:$P$4,0)))</f>
        <v>2</v>
      </c>
      <c r="T13" s="21" t="n">
        <f aca="false">INDEX('Type Chart'!$B$5:$P$19,MATCH(T$4,'Type Chart'!$A$5:$A$19,0),MATCH($E13,'Type Chart'!$B$4:$P$4,0))*IF($F13="",1,INDEX('Type Chart'!$B$5:$P$19,MATCH(T$4,'Type Chart'!$A$5:$A$19,0),MATCH($F13,'Type Chart'!$B$4:$P$4,0)))</f>
        <v>2</v>
      </c>
      <c r="U13" s="21" t="n">
        <f aca="false">INDEX('Type Chart'!$B$5:$P$19,MATCH(U$4,'Type Chart'!$A$5:$A$19,0),MATCH($E13,'Type Chart'!$B$4:$P$4,0))*IF($F13="",1,INDEX('Type Chart'!$B$5:$P$19,MATCH(U$4,'Type Chart'!$A$5:$A$19,0),MATCH($F13,'Type Chart'!$B$4:$P$4,0)))</f>
        <v>1</v>
      </c>
      <c r="V13" s="21" t="n">
        <f aca="false">INDEX('Type Chart'!$B$5:$P$19,MATCH(V$4,'Type Chart'!$A$5:$A$19,0),MATCH($E13,'Type Chart'!$B$4:$P$4,0))*IF($F13="",1,INDEX('Type Chart'!$B$5:$P$19,MATCH(V$4,'Type Chart'!$A$5:$A$19,0),MATCH($F13,'Type Chart'!$B$4:$P$4,0)))</f>
        <v>1</v>
      </c>
    </row>
    <row r="14" customFormat="false" ht="15" hidden="false" customHeight="false" outlineLevel="0" collapsed="false">
      <c r="A14" s="17" t="s">
        <v>261</v>
      </c>
      <c r="B14" s="17" t="s">
        <v>262</v>
      </c>
      <c r="C14" s="17" t="s">
        <v>139</v>
      </c>
      <c r="D14" s="17" t="n">
        <v>46</v>
      </c>
      <c r="E14" s="17" t="s">
        <v>51</v>
      </c>
      <c r="F14" s="17" t="s">
        <v>47</v>
      </c>
      <c r="G14" s="17"/>
      <c r="H14" s="21" t="n">
        <f aca="false">INDEX('Type Chart'!$B$5:$P$19,MATCH(H$4,'Type Chart'!$A$5:$A$19,0),MATCH($E14,'Type Chart'!$B$4:$P$4,0))*IF($F14="",1,INDEX('Type Chart'!$B$5:$P$19,MATCH(H$4,'Type Chart'!$A$5:$A$19,0),MATCH($F14,'Type Chart'!$B$4:$P$4,0)))</f>
        <v>1</v>
      </c>
      <c r="I14" s="21" t="n">
        <f aca="false">INDEX('Type Chart'!$B$5:$P$19,MATCH(I$4,'Type Chart'!$A$5:$A$19,0),MATCH($E14,'Type Chart'!$B$4:$P$4,0))*IF($F14="",1,INDEX('Type Chart'!$B$5:$P$19,MATCH(I$4,'Type Chart'!$A$5:$A$19,0),MATCH($F14,'Type Chart'!$B$4:$P$4,0)))</f>
        <v>2</v>
      </c>
      <c r="J14" s="21" t="n">
        <f aca="false">INDEX('Type Chart'!$B$5:$P$19,MATCH(J$4,'Type Chart'!$A$5:$A$19,0),MATCH($E14,'Type Chart'!$B$4:$P$4,0))*IF($F14="",1,INDEX('Type Chart'!$B$5:$P$19,MATCH(J$4,'Type Chart'!$A$5:$A$19,0),MATCH($F14,'Type Chart'!$B$4:$P$4,0)))</f>
        <v>1</v>
      </c>
      <c r="K14" s="21" t="n">
        <f aca="false">INDEX('Type Chart'!$B$5:$P$19,MATCH(K$4,'Type Chart'!$A$5:$A$19,0),MATCH($E14,'Type Chart'!$B$4:$P$4,0))*IF($F14="",1,INDEX('Type Chart'!$B$5:$P$19,MATCH(K$4,'Type Chart'!$A$5:$A$19,0),MATCH($F14,'Type Chart'!$B$4:$P$4,0)))</f>
        <v>1</v>
      </c>
      <c r="L14" s="21" t="n">
        <f aca="false">INDEX('Type Chart'!$B$5:$P$19,MATCH(L$4,'Type Chart'!$A$5:$A$19,0),MATCH($E14,'Type Chart'!$B$4:$P$4,0))*IF($F14="",1,INDEX('Type Chart'!$B$5:$P$19,MATCH(L$4,'Type Chart'!$A$5:$A$19,0),MATCH($F14,'Type Chart'!$B$4:$P$4,0)))</f>
        <v>0.25</v>
      </c>
      <c r="M14" s="21" t="n">
        <f aca="false">INDEX('Type Chart'!$B$5:$P$19,MATCH(M$4,'Type Chart'!$A$5:$A$19,0),MATCH($E14,'Type Chart'!$B$4:$P$4,0))*IF($F14="",1,INDEX('Type Chart'!$B$5:$P$19,MATCH(M$4,'Type Chart'!$A$5:$A$19,0),MATCH($F14,'Type Chart'!$B$4:$P$4,0)))</f>
        <v>1</v>
      </c>
      <c r="N14" s="21" t="n">
        <f aca="false">INDEX('Type Chart'!$B$5:$P$19,MATCH(N$4,'Type Chart'!$A$5:$A$19,0),MATCH($E14,'Type Chart'!$B$4:$P$4,0))*IF($F14="",1,INDEX('Type Chart'!$B$5:$P$19,MATCH(N$4,'Type Chart'!$A$5:$A$19,0),MATCH($F14,'Type Chart'!$B$4:$P$4,0)))</f>
        <v>0.25</v>
      </c>
      <c r="O14" s="21" t="n">
        <f aca="false">INDEX('Type Chart'!$B$5:$P$19,MATCH(O$4,'Type Chart'!$A$5:$A$19,0),MATCH($E14,'Type Chart'!$B$4:$P$4,0))*IF($F14="",1,INDEX('Type Chart'!$B$5:$P$19,MATCH(O$4,'Type Chart'!$A$5:$A$19,0),MATCH($F14,'Type Chart'!$B$4:$P$4,0)))</f>
        <v>1</v>
      </c>
      <c r="P14" s="21" t="n">
        <f aca="false">INDEX('Type Chart'!$B$5:$P$19,MATCH(P$4,'Type Chart'!$A$5:$A$19,0),MATCH($E14,'Type Chart'!$B$4:$P$4,0))*IF($F14="",1,INDEX('Type Chart'!$B$5:$P$19,MATCH(P$4,'Type Chart'!$A$5:$A$19,0),MATCH($F14,'Type Chart'!$B$4:$P$4,0)))</f>
        <v>1</v>
      </c>
      <c r="Q14" s="21" t="n">
        <f aca="false">INDEX('Type Chart'!$B$5:$P$19,MATCH(Q$4,'Type Chart'!$A$5:$A$19,0),MATCH($E14,'Type Chart'!$B$4:$P$4,0))*IF($F14="",1,INDEX('Type Chart'!$B$5:$P$19,MATCH(Q$4,'Type Chart'!$A$5:$A$19,0),MATCH($F14,'Type Chart'!$B$4:$P$4,0)))</f>
        <v>2</v>
      </c>
      <c r="R14" s="21" t="n">
        <f aca="false">INDEX('Type Chart'!$B$5:$P$19,MATCH(R$4,'Type Chart'!$A$5:$A$19,0),MATCH($E14,'Type Chart'!$B$4:$P$4,0))*IF($F14="",1,INDEX('Type Chart'!$B$5:$P$19,MATCH(R$4,'Type Chart'!$A$5:$A$19,0),MATCH($F14,'Type Chart'!$B$4:$P$4,0)))</f>
        <v>2</v>
      </c>
      <c r="S14" s="21" t="n">
        <f aca="false">INDEX('Type Chart'!$B$5:$P$19,MATCH(S$4,'Type Chart'!$A$5:$A$19,0),MATCH($E14,'Type Chart'!$B$4:$P$4,0))*IF($F14="",1,INDEX('Type Chart'!$B$5:$P$19,MATCH(S$4,'Type Chart'!$A$5:$A$19,0),MATCH($F14,'Type Chart'!$B$4:$P$4,0)))</f>
        <v>2</v>
      </c>
      <c r="T14" s="21" t="n">
        <f aca="false">INDEX('Type Chart'!$B$5:$P$19,MATCH(T$4,'Type Chart'!$A$5:$A$19,0),MATCH($E14,'Type Chart'!$B$4:$P$4,0))*IF($F14="",1,INDEX('Type Chart'!$B$5:$P$19,MATCH(T$4,'Type Chart'!$A$5:$A$19,0),MATCH($F14,'Type Chart'!$B$4:$P$4,0)))</f>
        <v>2</v>
      </c>
      <c r="U14" s="21" t="n">
        <f aca="false">INDEX('Type Chart'!$B$5:$P$19,MATCH(U$4,'Type Chart'!$A$5:$A$19,0),MATCH($E14,'Type Chart'!$B$4:$P$4,0))*IF($F14="",1,INDEX('Type Chart'!$B$5:$P$19,MATCH(U$4,'Type Chart'!$A$5:$A$19,0),MATCH($F14,'Type Chart'!$B$4:$P$4,0)))</f>
        <v>1</v>
      </c>
      <c r="V14" s="21" t="n">
        <f aca="false">INDEX('Type Chart'!$B$5:$P$19,MATCH(V$4,'Type Chart'!$A$5:$A$19,0),MATCH($E14,'Type Chart'!$B$4:$P$4,0))*IF($F14="",1,INDEX('Type Chart'!$B$5:$P$19,MATCH(V$4,'Type Chart'!$A$5:$A$19,0),MATCH($F14,'Type Chart'!$B$4:$P$4,0)))</f>
        <v>1</v>
      </c>
    </row>
    <row r="15" customFormat="false" ht="15" hidden="false" customHeight="false" outlineLevel="0" collapsed="false">
      <c r="A15" s="17" t="s">
        <v>261</v>
      </c>
      <c r="B15" s="17" t="s">
        <v>262</v>
      </c>
      <c r="C15" s="17" t="s">
        <v>139</v>
      </c>
      <c r="D15" s="17" t="n">
        <v>48</v>
      </c>
      <c r="E15" s="17" t="s">
        <v>51</v>
      </c>
      <c r="F15" s="17" t="s">
        <v>47</v>
      </c>
      <c r="G15" s="17"/>
      <c r="H15" s="21" t="n">
        <f aca="false">INDEX('Type Chart'!$B$5:$P$19,MATCH(H$4,'Type Chart'!$A$5:$A$19,0),MATCH($E15,'Type Chart'!$B$4:$P$4,0))*IF($F15="",1,INDEX('Type Chart'!$B$5:$P$19,MATCH(H$4,'Type Chart'!$A$5:$A$19,0),MATCH($F15,'Type Chart'!$B$4:$P$4,0)))</f>
        <v>1</v>
      </c>
      <c r="I15" s="21" t="n">
        <f aca="false">INDEX('Type Chart'!$B$5:$P$19,MATCH(I$4,'Type Chart'!$A$5:$A$19,0),MATCH($E15,'Type Chart'!$B$4:$P$4,0))*IF($F15="",1,INDEX('Type Chart'!$B$5:$P$19,MATCH(I$4,'Type Chart'!$A$5:$A$19,0),MATCH($F15,'Type Chart'!$B$4:$P$4,0)))</f>
        <v>2</v>
      </c>
      <c r="J15" s="21" t="n">
        <f aca="false">INDEX('Type Chart'!$B$5:$P$19,MATCH(J$4,'Type Chart'!$A$5:$A$19,0),MATCH($E15,'Type Chart'!$B$4:$P$4,0))*IF($F15="",1,INDEX('Type Chart'!$B$5:$P$19,MATCH(J$4,'Type Chart'!$A$5:$A$19,0),MATCH($F15,'Type Chart'!$B$4:$P$4,0)))</f>
        <v>1</v>
      </c>
      <c r="K15" s="21" t="n">
        <f aca="false">INDEX('Type Chart'!$B$5:$P$19,MATCH(K$4,'Type Chart'!$A$5:$A$19,0),MATCH($E15,'Type Chart'!$B$4:$P$4,0))*IF($F15="",1,INDEX('Type Chart'!$B$5:$P$19,MATCH(K$4,'Type Chart'!$A$5:$A$19,0),MATCH($F15,'Type Chart'!$B$4:$P$4,0)))</f>
        <v>1</v>
      </c>
      <c r="L15" s="21" t="n">
        <f aca="false">INDEX('Type Chart'!$B$5:$P$19,MATCH(L$4,'Type Chart'!$A$5:$A$19,0),MATCH($E15,'Type Chart'!$B$4:$P$4,0))*IF($F15="",1,INDEX('Type Chart'!$B$5:$P$19,MATCH(L$4,'Type Chart'!$A$5:$A$19,0),MATCH($F15,'Type Chart'!$B$4:$P$4,0)))</f>
        <v>0.25</v>
      </c>
      <c r="M15" s="21" t="n">
        <f aca="false">INDEX('Type Chart'!$B$5:$P$19,MATCH(M$4,'Type Chart'!$A$5:$A$19,0),MATCH($E15,'Type Chart'!$B$4:$P$4,0))*IF($F15="",1,INDEX('Type Chart'!$B$5:$P$19,MATCH(M$4,'Type Chart'!$A$5:$A$19,0),MATCH($F15,'Type Chart'!$B$4:$P$4,0)))</f>
        <v>1</v>
      </c>
      <c r="N15" s="21" t="n">
        <f aca="false">INDEX('Type Chart'!$B$5:$P$19,MATCH(N$4,'Type Chart'!$A$5:$A$19,0),MATCH($E15,'Type Chart'!$B$4:$P$4,0))*IF($F15="",1,INDEX('Type Chart'!$B$5:$P$19,MATCH(N$4,'Type Chart'!$A$5:$A$19,0),MATCH($F15,'Type Chart'!$B$4:$P$4,0)))</f>
        <v>0.25</v>
      </c>
      <c r="O15" s="21" t="n">
        <f aca="false">INDEX('Type Chart'!$B$5:$P$19,MATCH(O$4,'Type Chart'!$A$5:$A$19,0),MATCH($E15,'Type Chart'!$B$4:$P$4,0))*IF($F15="",1,INDEX('Type Chart'!$B$5:$P$19,MATCH(O$4,'Type Chart'!$A$5:$A$19,0),MATCH($F15,'Type Chart'!$B$4:$P$4,0)))</f>
        <v>1</v>
      </c>
      <c r="P15" s="21" t="n">
        <f aca="false">INDEX('Type Chart'!$B$5:$P$19,MATCH(P$4,'Type Chart'!$A$5:$A$19,0),MATCH($E15,'Type Chart'!$B$4:$P$4,0))*IF($F15="",1,INDEX('Type Chart'!$B$5:$P$19,MATCH(P$4,'Type Chart'!$A$5:$A$19,0),MATCH($F15,'Type Chart'!$B$4:$P$4,0)))</f>
        <v>1</v>
      </c>
      <c r="Q15" s="21" t="n">
        <f aca="false">INDEX('Type Chart'!$B$5:$P$19,MATCH(Q$4,'Type Chart'!$A$5:$A$19,0),MATCH($E15,'Type Chart'!$B$4:$P$4,0))*IF($F15="",1,INDEX('Type Chart'!$B$5:$P$19,MATCH(Q$4,'Type Chart'!$A$5:$A$19,0),MATCH($F15,'Type Chart'!$B$4:$P$4,0)))</f>
        <v>2</v>
      </c>
      <c r="R15" s="21" t="n">
        <f aca="false">INDEX('Type Chart'!$B$5:$P$19,MATCH(R$4,'Type Chart'!$A$5:$A$19,0),MATCH($E15,'Type Chart'!$B$4:$P$4,0))*IF($F15="",1,INDEX('Type Chart'!$B$5:$P$19,MATCH(R$4,'Type Chart'!$A$5:$A$19,0),MATCH($F15,'Type Chart'!$B$4:$P$4,0)))</f>
        <v>2</v>
      </c>
      <c r="S15" s="21" t="n">
        <f aca="false">INDEX('Type Chart'!$B$5:$P$19,MATCH(S$4,'Type Chart'!$A$5:$A$19,0),MATCH($E15,'Type Chart'!$B$4:$P$4,0))*IF($F15="",1,INDEX('Type Chart'!$B$5:$P$19,MATCH(S$4,'Type Chart'!$A$5:$A$19,0),MATCH($F15,'Type Chart'!$B$4:$P$4,0)))</f>
        <v>2</v>
      </c>
      <c r="T15" s="21" t="n">
        <f aca="false">INDEX('Type Chart'!$B$5:$P$19,MATCH(T$4,'Type Chart'!$A$5:$A$19,0),MATCH($E15,'Type Chart'!$B$4:$P$4,0))*IF($F15="",1,INDEX('Type Chart'!$B$5:$P$19,MATCH(T$4,'Type Chart'!$A$5:$A$19,0),MATCH($F15,'Type Chart'!$B$4:$P$4,0)))</f>
        <v>2</v>
      </c>
      <c r="U15" s="21" t="n">
        <f aca="false">INDEX('Type Chart'!$B$5:$P$19,MATCH(U$4,'Type Chart'!$A$5:$A$19,0),MATCH($E15,'Type Chart'!$B$4:$P$4,0))*IF($F15="",1,INDEX('Type Chart'!$B$5:$P$19,MATCH(U$4,'Type Chart'!$A$5:$A$19,0),MATCH($F15,'Type Chart'!$B$4:$P$4,0)))</f>
        <v>1</v>
      </c>
      <c r="V15" s="21" t="n">
        <f aca="false">INDEX('Type Chart'!$B$5:$P$19,MATCH(V$4,'Type Chart'!$A$5:$A$19,0),MATCH($E15,'Type Chart'!$B$4:$P$4,0))*IF($F15="",1,INDEX('Type Chart'!$B$5:$P$19,MATCH(V$4,'Type Chart'!$A$5:$A$19,0),MATCH($F15,'Type Chart'!$B$4:$P$4,0)))</f>
        <v>1</v>
      </c>
    </row>
    <row r="16" customFormat="false" ht="15" hidden="false" customHeight="false" outlineLevel="0" collapsed="false">
      <c r="A16" s="22" t="s">
        <v>261</v>
      </c>
      <c r="B16" s="22" t="s">
        <v>262</v>
      </c>
      <c r="C16" s="22" t="s">
        <v>140</v>
      </c>
      <c r="D16" s="17" t="n">
        <v>50</v>
      </c>
      <c r="E16" s="17" t="s">
        <v>51</v>
      </c>
      <c r="F16" s="17" t="s">
        <v>47</v>
      </c>
      <c r="G16" s="17" t="s">
        <v>254</v>
      </c>
      <c r="H16" s="21" t="n">
        <f aca="false">INDEX('Type Chart'!$B$5:$P$19,MATCH(H$4,'Type Chart'!$A$5:$A$19,0),MATCH($E16,'Type Chart'!$B$4:$P$4,0))*IF($F16="",1,INDEX('Type Chart'!$B$5:$P$19,MATCH(H$4,'Type Chart'!$A$5:$A$19,0),MATCH($F16,'Type Chart'!$B$4:$P$4,0)))</f>
        <v>1</v>
      </c>
      <c r="I16" s="21" t="n">
        <f aca="false">INDEX('Type Chart'!$B$5:$P$19,MATCH(I$4,'Type Chart'!$A$5:$A$19,0),MATCH($E16,'Type Chart'!$B$4:$P$4,0))*IF($F16="",1,INDEX('Type Chart'!$B$5:$P$19,MATCH(I$4,'Type Chart'!$A$5:$A$19,0),MATCH($F16,'Type Chart'!$B$4:$P$4,0)))</f>
        <v>2</v>
      </c>
      <c r="J16" s="21" t="n">
        <f aca="false">INDEX('Type Chart'!$B$5:$P$19,MATCH(J$4,'Type Chart'!$A$5:$A$19,0),MATCH($E16,'Type Chart'!$B$4:$P$4,0))*IF($F16="",1,INDEX('Type Chart'!$B$5:$P$19,MATCH(J$4,'Type Chart'!$A$5:$A$19,0),MATCH($F16,'Type Chart'!$B$4:$P$4,0)))</f>
        <v>1</v>
      </c>
      <c r="K16" s="21" t="n">
        <f aca="false">INDEX('Type Chart'!$B$5:$P$19,MATCH(K$4,'Type Chart'!$A$5:$A$19,0),MATCH($E16,'Type Chart'!$B$4:$P$4,0))*IF($F16="",1,INDEX('Type Chart'!$B$5:$P$19,MATCH(K$4,'Type Chart'!$A$5:$A$19,0),MATCH($F16,'Type Chart'!$B$4:$P$4,0)))</f>
        <v>1</v>
      </c>
      <c r="L16" s="21" t="n">
        <f aca="false">INDEX('Type Chart'!$B$5:$P$19,MATCH(L$4,'Type Chart'!$A$5:$A$19,0),MATCH($E16,'Type Chart'!$B$4:$P$4,0))*IF($F16="",1,INDEX('Type Chart'!$B$5:$P$19,MATCH(L$4,'Type Chart'!$A$5:$A$19,0),MATCH($F16,'Type Chart'!$B$4:$P$4,0)))</f>
        <v>0.25</v>
      </c>
      <c r="M16" s="21" t="n">
        <f aca="false">INDEX('Type Chart'!$B$5:$P$19,MATCH(M$4,'Type Chart'!$A$5:$A$19,0),MATCH($E16,'Type Chart'!$B$4:$P$4,0))*IF($F16="",1,INDEX('Type Chart'!$B$5:$P$19,MATCH(M$4,'Type Chart'!$A$5:$A$19,0),MATCH($F16,'Type Chart'!$B$4:$P$4,0)))</f>
        <v>1</v>
      </c>
      <c r="N16" s="21" t="n">
        <f aca="false">INDEX('Type Chart'!$B$5:$P$19,MATCH(N$4,'Type Chart'!$A$5:$A$19,0),MATCH($E16,'Type Chart'!$B$4:$P$4,0))*IF($F16="",1,INDEX('Type Chart'!$B$5:$P$19,MATCH(N$4,'Type Chart'!$A$5:$A$19,0),MATCH($F16,'Type Chart'!$B$4:$P$4,0)))</f>
        <v>0.25</v>
      </c>
      <c r="O16" s="21" t="n">
        <f aca="false">INDEX('Type Chart'!$B$5:$P$19,MATCH(O$4,'Type Chart'!$A$5:$A$19,0),MATCH($E16,'Type Chart'!$B$4:$P$4,0))*IF($F16="",1,INDEX('Type Chart'!$B$5:$P$19,MATCH(O$4,'Type Chart'!$A$5:$A$19,0),MATCH($F16,'Type Chart'!$B$4:$P$4,0)))</f>
        <v>1</v>
      </c>
      <c r="P16" s="21" t="n">
        <f aca="false">INDEX('Type Chart'!$B$5:$P$19,MATCH(P$4,'Type Chart'!$A$5:$A$19,0),MATCH($E16,'Type Chart'!$B$4:$P$4,0))*IF($F16="",1,INDEX('Type Chart'!$B$5:$P$19,MATCH(P$4,'Type Chart'!$A$5:$A$19,0),MATCH($F16,'Type Chart'!$B$4:$P$4,0)))</f>
        <v>1</v>
      </c>
      <c r="Q16" s="21" t="n">
        <f aca="false">INDEX('Type Chart'!$B$5:$P$19,MATCH(Q$4,'Type Chart'!$A$5:$A$19,0),MATCH($E16,'Type Chart'!$B$4:$P$4,0))*IF($F16="",1,INDEX('Type Chart'!$B$5:$P$19,MATCH(Q$4,'Type Chart'!$A$5:$A$19,0),MATCH($F16,'Type Chart'!$B$4:$P$4,0)))</f>
        <v>2</v>
      </c>
      <c r="R16" s="21" t="n">
        <f aca="false">INDEX('Type Chart'!$B$5:$P$19,MATCH(R$4,'Type Chart'!$A$5:$A$19,0),MATCH($E16,'Type Chart'!$B$4:$P$4,0))*IF($F16="",1,INDEX('Type Chart'!$B$5:$P$19,MATCH(R$4,'Type Chart'!$A$5:$A$19,0),MATCH($F16,'Type Chart'!$B$4:$P$4,0)))</f>
        <v>2</v>
      </c>
      <c r="S16" s="21" t="n">
        <f aca="false">INDEX('Type Chart'!$B$5:$P$19,MATCH(S$4,'Type Chart'!$A$5:$A$19,0),MATCH($E16,'Type Chart'!$B$4:$P$4,0))*IF($F16="",1,INDEX('Type Chart'!$B$5:$P$19,MATCH(S$4,'Type Chart'!$A$5:$A$19,0),MATCH($F16,'Type Chart'!$B$4:$P$4,0)))</f>
        <v>2</v>
      </c>
      <c r="T16" s="21" t="n">
        <f aca="false">INDEX('Type Chart'!$B$5:$P$19,MATCH(T$4,'Type Chart'!$A$5:$A$19,0),MATCH($E16,'Type Chart'!$B$4:$P$4,0))*IF($F16="",1,INDEX('Type Chart'!$B$5:$P$19,MATCH(T$4,'Type Chart'!$A$5:$A$19,0),MATCH($F16,'Type Chart'!$B$4:$P$4,0)))</f>
        <v>2</v>
      </c>
      <c r="U16" s="21" t="n">
        <f aca="false">INDEX('Type Chart'!$B$5:$P$19,MATCH(U$4,'Type Chart'!$A$5:$A$19,0),MATCH($E16,'Type Chart'!$B$4:$P$4,0))*IF($F16="",1,INDEX('Type Chart'!$B$5:$P$19,MATCH(U$4,'Type Chart'!$A$5:$A$19,0),MATCH($F16,'Type Chart'!$B$4:$P$4,0)))</f>
        <v>1</v>
      </c>
      <c r="V16" s="21" t="n">
        <f aca="false">INDEX('Type Chart'!$B$5:$P$19,MATCH(V$4,'Type Chart'!$A$5:$A$19,0),MATCH($E16,'Type Chart'!$B$4:$P$4,0))*IF($F16="",1,INDEX('Type Chart'!$B$5:$P$19,MATCH(V$4,'Type Chart'!$A$5:$A$19,0),MATCH($F16,'Type Chart'!$B$4:$P$4,0)))</f>
        <v>1</v>
      </c>
    </row>
    <row r="17" customFormat="false" ht="15" hidden="false" customHeight="false" outlineLevel="0" collapsed="false">
      <c r="A17" s="17" t="s">
        <v>263</v>
      </c>
      <c r="B17" s="17" t="s">
        <v>264</v>
      </c>
      <c r="C17" s="17" t="s">
        <v>154</v>
      </c>
      <c r="D17" s="17" t="n">
        <v>50</v>
      </c>
      <c r="E17" s="17" t="s">
        <v>50</v>
      </c>
      <c r="F17" s="17"/>
      <c r="G17" s="17"/>
      <c r="H17" s="21" t="n">
        <f aca="false">INDEX('Type Chart'!$B$5:$P$19,MATCH(H$4,'Type Chart'!$A$5:$A$19,0),MATCH($E17,'Type Chart'!$B$4:$P$4,0))*IF($F17="",1,INDEX('Type Chart'!$B$5:$P$19,MATCH(H$4,'Type Chart'!$A$5:$A$19,0),MATCH($F17,'Type Chart'!$B$4:$P$4,0)))</f>
        <v>1</v>
      </c>
      <c r="I17" s="21" t="n">
        <f aca="false">INDEX('Type Chart'!$B$5:$P$19,MATCH(I$4,'Type Chart'!$A$5:$A$19,0),MATCH($E17,'Type Chart'!$B$4:$P$4,0))*IF($F17="",1,INDEX('Type Chart'!$B$5:$P$19,MATCH(I$4,'Type Chart'!$A$5:$A$19,0),MATCH($F17,'Type Chart'!$B$4:$P$4,0)))</f>
        <v>1</v>
      </c>
      <c r="J17" s="21" t="n">
        <f aca="false">INDEX('Type Chart'!$B$5:$P$19,MATCH(J$4,'Type Chart'!$A$5:$A$19,0),MATCH($E17,'Type Chart'!$B$4:$P$4,0))*IF($F17="",1,INDEX('Type Chart'!$B$5:$P$19,MATCH(J$4,'Type Chart'!$A$5:$A$19,0),MATCH($F17,'Type Chart'!$B$4:$P$4,0)))</f>
        <v>1</v>
      </c>
      <c r="K17" s="21" t="n">
        <f aca="false">INDEX('Type Chart'!$B$5:$P$19,MATCH(K$4,'Type Chart'!$A$5:$A$19,0),MATCH($E17,'Type Chart'!$B$4:$P$4,0))*IF($F17="",1,INDEX('Type Chart'!$B$5:$P$19,MATCH(K$4,'Type Chart'!$A$5:$A$19,0),MATCH($F17,'Type Chart'!$B$4:$P$4,0)))</f>
        <v>1</v>
      </c>
      <c r="L17" s="21" t="n">
        <f aca="false">INDEX('Type Chart'!$B$5:$P$19,MATCH(L$4,'Type Chart'!$A$5:$A$19,0),MATCH($E17,'Type Chart'!$B$4:$P$4,0))*IF($F17="",1,INDEX('Type Chart'!$B$5:$P$19,MATCH(L$4,'Type Chart'!$A$5:$A$19,0),MATCH($F17,'Type Chart'!$B$4:$P$4,0)))</f>
        <v>1</v>
      </c>
      <c r="M17" s="21" t="n">
        <f aca="false">INDEX('Type Chart'!$B$5:$P$19,MATCH(M$4,'Type Chart'!$A$5:$A$19,0),MATCH($E17,'Type Chart'!$B$4:$P$4,0))*IF($F17="",1,INDEX('Type Chart'!$B$5:$P$19,MATCH(M$4,'Type Chart'!$A$5:$A$19,0),MATCH($F17,'Type Chart'!$B$4:$P$4,0)))</f>
        <v>1</v>
      </c>
      <c r="N17" s="21" t="n">
        <f aca="false">INDEX('Type Chart'!$B$5:$P$19,MATCH(N$4,'Type Chart'!$A$5:$A$19,0),MATCH($E17,'Type Chart'!$B$4:$P$4,0))*IF($F17="",1,INDEX('Type Chart'!$B$5:$P$19,MATCH(N$4,'Type Chart'!$A$5:$A$19,0),MATCH($F17,'Type Chart'!$B$4:$P$4,0)))</f>
        <v>0.5</v>
      </c>
      <c r="O17" s="21" t="n">
        <f aca="false">INDEX('Type Chart'!$B$5:$P$19,MATCH(O$4,'Type Chart'!$A$5:$A$19,0),MATCH($E17,'Type Chart'!$B$4:$P$4,0))*IF($F17="",1,INDEX('Type Chart'!$B$5:$P$19,MATCH(O$4,'Type Chart'!$A$5:$A$19,0),MATCH($F17,'Type Chart'!$B$4:$P$4,0)))</f>
        <v>1</v>
      </c>
      <c r="P17" s="21" t="n">
        <f aca="false">INDEX('Type Chart'!$B$5:$P$19,MATCH(P$4,'Type Chart'!$A$5:$A$19,0),MATCH($E17,'Type Chart'!$B$4:$P$4,0))*IF($F17="",1,INDEX('Type Chart'!$B$5:$P$19,MATCH(P$4,'Type Chart'!$A$5:$A$19,0),MATCH($F17,'Type Chart'!$B$4:$P$4,0)))</f>
        <v>1</v>
      </c>
      <c r="Q17" s="21" t="n">
        <f aca="false">INDEX('Type Chart'!$B$5:$P$19,MATCH(Q$4,'Type Chart'!$A$5:$A$19,0),MATCH($E17,'Type Chart'!$B$4:$P$4,0))*IF($F17="",1,INDEX('Type Chart'!$B$5:$P$19,MATCH(Q$4,'Type Chart'!$A$5:$A$19,0),MATCH($F17,'Type Chart'!$B$4:$P$4,0)))</f>
        <v>1</v>
      </c>
      <c r="R17" s="21" t="n">
        <f aca="false">INDEX('Type Chart'!$B$5:$P$19,MATCH(R$4,'Type Chart'!$A$5:$A$19,0),MATCH($E17,'Type Chart'!$B$4:$P$4,0))*IF($F17="",1,INDEX('Type Chart'!$B$5:$P$19,MATCH(R$4,'Type Chart'!$A$5:$A$19,0),MATCH($F17,'Type Chart'!$B$4:$P$4,0)))</f>
        <v>0.5</v>
      </c>
      <c r="S17" s="21" t="n">
        <f aca="false">INDEX('Type Chart'!$B$5:$P$19,MATCH(S$4,'Type Chart'!$A$5:$A$19,0),MATCH($E17,'Type Chart'!$B$4:$P$4,0))*IF($F17="",1,INDEX('Type Chart'!$B$5:$P$19,MATCH(S$4,'Type Chart'!$A$5:$A$19,0),MATCH($F17,'Type Chart'!$B$4:$P$4,0)))</f>
        <v>2</v>
      </c>
      <c r="T17" s="21" t="n">
        <f aca="false">INDEX('Type Chart'!$B$5:$P$19,MATCH(T$4,'Type Chart'!$A$5:$A$19,0),MATCH($E17,'Type Chart'!$B$4:$P$4,0))*IF($F17="",1,INDEX('Type Chart'!$B$5:$P$19,MATCH(T$4,'Type Chart'!$A$5:$A$19,0),MATCH($F17,'Type Chart'!$B$4:$P$4,0)))</f>
        <v>1</v>
      </c>
      <c r="U17" s="21" t="n">
        <f aca="false">INDEX('Type Chart'!$B$5:$P$19,MATCH(U$4,'Type Chart'!$A$5:$A$19,0),MATCH($E17,'Type Chart'!$B$4:$P$4,0))*IF($F17="",1,INDEX('Type Chart'!$B$5:$P$19,MATCH(U$4,'Type Chart'!$A$5:$A$19,0),MATCH($F17,'Type Chart'!$B$4:$P$4,0)))</f>
        <v>0</v>
      </c>
      <c r="V17" s="21" t="n">
        <f aca="false">INDEX('Type Chart'!$B$5:$P$19,MATCH(V$4,'Type Chart'!$A$5:$A$19,0),MATCH($E17,'Type Chart'!$B$4:$P$4,0))*IF($F17="",1,INDEX('Type Chart'!$B$5:$P$19,MATCH(V$4,'Type Chart'!$A$5:$A$19,0),MATCH($F17,'Type Chart'!$B$4:$P$4,0)))</f>
        <v>1</v>
      </c>
    </row>
    <row r="18" customFormat="false" ht="15" hidden="false" customHeight="false" outlineLevel="0" collapsed="false">
      <c r="A18" s="17" t="s">
        <v>263</v>
      </c>
      <c r="B18" s="17" t="s">
        <v>264</v>
      </c>
      <c r="C18" s="17" t="s">
        <v>155</v>
      </c>
      <c r="D18" s="17" t="n">
        <v>50</v>
      </c>
      <c r="E18" s="17" t="s">
        <v>50</v>
      </c>
      <c r="F18" s="17"/>
      <c r="G18" s="17"/>
      <c r="H18" s="21" t="n">
        <f aca="false">INDEX('Type Chart'!$B$5:$P$19,MATCH(H$4,'Type Chart'!$A$5:$A$19,0),MATCH($E18,'Type Chart'!$B$4:$P$4,0))*IF($F18="",1,INDEX('Type Chart'!$B$5:$P$19,MATCH(H$4,'Type Chart'!$A$5:$A$19,0),MATCH($F18,'Type Chart'!$B$4:$P$4,0)))</f>
        <v>1</v>
      </c>
      <c r="I18" s="21" t="n">
        <f aca="false">INDEX('Type Chart'!$B$5:$P$19,MATCH(I$4,'Type Chart'!$A$5:$A$19,0),MATCH($E18,'Type Chart'!$B$4:$P$4,0))*IF($F18="",1,INDEX('Type Chart'!$B$5:$P$19,MATCH(I$4,'Type Chart'!$A$5:$A$19,0),MATCH($F18,'Type Chart'!$B$4:$P$4,0)))</f>
        <v>1</v>
      </c>
      <c r="J18" s="21" t="n">
        <f aca="false">INDEX('Type Chart'!$B$5:$P$19,MATCH(J$4,'Type Chart'!$A$5:$A$19,0),MATCH($E18,'Type Chart'!$B$4:$P$4,0))*IF($F18="",1,INDEX('Type Chart'!$B$5:$P$19,MATCH(J$4,'Type Chart'!$A$5:$A$19,0),MATCH($F18,'Type Chart'!$B$4:$P$4,0)))</f>
        <v>1</v>
      </c>
      <c r="K18" s="21" t="n">
        <f aca="false">INDEX('Type Chart'!$B$5:$P$19,MATCH(K$4,'Type Chart'!$A$5:$A$19,0),MATCH($E18,'Type Chart'!$B$4:$P$4,0))*IF($F18="",1,INDEX('Type Chart'!$B$5:$P$19,MATCH(K$4,'Type Chart'!$A$5:$A$19,0),MATCH($F18,'Type Chart'!$B$4:$P$4,0)))</f>
        <v>1</v>
      </c>
      <c r="L18" s="21" t="n">
        <f aca="false">INDEX('Type Chart'!$B$5:$P$19,MATCH(L$4,'Type Chart'!$A$5:$A$19,0),MATCH($E18,'Type Chart'!$B$4:$P$4,0))*IF($F18="",1,INDEX('Type Chart'!$B$5:$P$19,MATCH(L$4,'Type Chart'!$A$5:$A$19,0),MATCH($F18,'Type Chart'!$B$4:$P$4,0)))</f>
        <v>1</v>
      </c>
      <c r="M18" s="21" t="n">
        <f aca="false">INDEX('Type Chart'!$B$5:$P$19,MATCH(M$4,'Type Chart'!$A$5:$A$19,0),MATCH($E18,'Type Chart'!$B$4:$P$4,0))*IF($F18="",1,INDEX('Type Chart'!$B$5:$P$19,MATCH(M$4,'Type Chart'!$A$5:$A$19,0),MATCH($F18,'Type Chart'!$B$4:$P$4,0)))</f>
        <v>1</v>
      </c>
      <c r="N18" s="21" t="n">
        <f aca="false">INDEX('Type Chart'!$B$5:$P$19,MATCH(N$4,'Type Chart'!$A$5:$A$19,0),MATCH($E18,'Type Chart'!$B$4:$P$4,0))*IF($F18="",1,INDEX('Type Chart'!$B$5:$P$19,MATCH(N$4,'Type Chart'!$A$5:$A$19,0),MATCH($F18,'Type Chart'!$B$4:$P$4,0)))</f>
        <v>0.5</v>
      </c>
      <c r="O18" s="21" t="n">
        <f aca="false">INDEX('Type Chart'!$B$5:$P$19,MATCH(O$4,'Type Chart'!$A$5:$A$19,0),MATCH($E18,'Type Chart'!$B$4:$P$4,0))*IF($F18="",1,INDEX('Type Chart'!$B$5:$P$19,MATCH(O$4,'Type Chart'!$A$5:$A$19,0),MATCH($F18,'Type Chart'!$B$4:$P$4,0)))</f>
        <v>1</v>
      </c>
      <c r="P18" s="21" t="n">
        <f aca="false">INDEX('Type Chart'!$B$5:$P$19,MATCH(P$4,'Type Chart'!$A$5:$A$19,0),MATCH($E18,'Type Chart'!$B$4:$P$4,0))*IF($F18="",1,INDEX('Type Chart'!$B$5:$P$19,MATCH(P$4,'Type Chart'!$A$5:$A$19,0),MATCH($F18,'Type Chart'!$B$4:$P$4,0)))</f>
        <v>1</v>
      </c>
      <c r="Q18" s="21" t="n">
        <f aca="false">INDEX('Type Chart'!$B$5:$P$19,MATCH(Q$4,'Type Chart'!$A$5:$A$19,0),MATCH($E18,'Type Chart'!$B$4:$P$4,0))*IF($F18="",1,INDEX('Type Chart'!$B$5:$P$19,MATCH(Q$4,'Type Chart'!$A$5:$A$19,0),MATCH($F18,'Type Chart'!$B$4:$P$4,0)))</f>
        <v>1</v>
      </c>
      <c r="R18" s="21" t="n">
        <f aca="false">INDEX('Type Chart'!$B$5:$P$19,MATCH(R$4,'Type Chart'!$A$5:$A$19,0),MATCH($E18,'Type Chart'!$B$4:$P$4,0))*IF($F18="",1,INDEX('Type Chart'!$B$5:$P$19,MATCH(R$4,'Type Chart'!$A$5:$A$19,0),MATCH($F18,'Type Chart'!$B$4:$P$4,0)))</f>
        <v>0.5</v>
      </c>
      <c r="S18" s="21" t="n">
        <f aca="false">INDEX('Type Chart'!$B$5:$P$19,MATCH(S$4,'Type Chart'!$A$5:$A$19,0),MATCH($E18,'Type Chart'!$B$4:$P$4,0))*IF($F18="",1,INDEX('Type Chart'!$B$5:$P$19,MATCH(S$4,'Type Chart'!$A$5:$A$19,0),MATCH($F18,'Type Chart'!$B$4:$P$4,0)))</f>
        <v>2</v>
      </c>
      <c r="T18" s="21" t="n">
        <f aca="false">INDEX('Type Chart'!$B$5:$P$19,MATCH(T$4,'Type Chart'!$A$5:$A$19,0),MATCH($E18,'Type Chart'!$B$4:$P$4,0))*IF($F18="",1,INDEX('Type Chart'!$B$5:$P$19,MATCH(T$4,'Type Chart'!$A$5:$A$19,0),MATCH($F18,'Type Chart'!$B$4:$P$4,0)))</f>
        <v>1</v>
      </c>
      <c r="U18" s="21" t="n">
        <f aca="false">INDEX('Type Chart'!$B$5:$P$19,MATCH(U$4,'Type Chart'!$A$5:$A$19,0),MATCH($E18,'Type Chart'!$B$4:$P$4,0))*IF($F18="",1,INDEX('Type Chart'!$B$5:$P$19,MATCH(U$4,'Type Chart'!$A$5:$A$19,0),MATCH($F18,'Type Chart'!$B$4:$P$4,0)))</f>
        <v>0</v>
      </c>
      <c r="V18" s="21" t="n">
        <f aca="false">INDEX('Type Chart'!$B$5:$P$19,MATCH(V$4,'Type Chart'!$A$5:$A$19,0),MATCH($E18,'Type Chart'!$B$4:$P$4,0))*IF($F18="",1,INDEX('Type Chart'!$B$5:$P$19,MATCH(V$4,'Type Chart'!$A$5:$A$19,0),MATCH($F18,'Type Chart'!$B$4:$P$4,0)))</f>
        <v>1</v>
      </c>
    </row>
    <row r="19" customFormat="false" ht="15" hidden="false" customHeight="false" outlineLevel="0" collapsed="false">
      <c r="A19" s="22" t="s">
        <v>263</v>
      </c>
      <c r="B19" s="22" t="s">
        <v>264</v>
      </c>
      <c r="C19" s="22" t="s">
        <v>156</v>
      </c>
      <c r="D19" s="17" t="n">
        <v>50</v>
      </c>
      <c r="E19" s="17" t="s">
        <v>50</v>
      </c>
      <c r="F19" s="17"/>
      <c r="G19" s="17" t="s">
        <v>254</v>
      </c>
      <c r="H19" s="21" t="n">
        <f aca="false">INDEX('Type Chart'!$B$5:$P$19,MATCH(H$4,'Type Chart'!$A$5:$A$19,0),MATCH($E19,'Type Chart'!$B$4:$P$4,0))*IF($F19="",1,INDEX('Type Chart'!$B$5:$P$19,MATCH(H$4,'Type Chart'!$A$5:$A$19,0),MATCH($F19,'Type Chart'!$B$4:$P$4,0)))</f>
        <v>1</v>
      </c>
      <c r="I19" s="21" t="n">
        <f aca="false">INDEX('Type Chart'!$B$5:$P$19,MATCH(I$4,'Type Chart'!$A$5:$A$19,0),MATCH($E19,'Type Chart'!$B$4:$P$4,0))*IF($F19="",1,INDEX('Type Chart'!$B$5:$P$19,MATCH(I$4,'Type Chart'!$A$5:$A$19,0),MATCH($F19,'Type Chart'!$B$4:$P$4,0)))</f>
        <v>1</v>
      </c>
      <c r="J19" s="21" t="n">
        <f aca="false">INDEX('Type Chart'!$B$5:$P$19,MATCH(J$4,'Type Chart'!$A$5:$A$19,0),MATCH($E19,'Type Chart'!$B$4:$P$4,0))*IF($F19="",1,INDEX('Type Chart'!$B$5:$P$19,MATCH(J$4,'Type Chart'!$A$5:$A$19,0),MATCH($F19,'Type Chart'!$B$4:$P$4,0)))</f>
        <v>1</v>
      </c>
      <c r="K19" s="21" t="n">
        <f aca="false">INDEX('Type Chart'!$B$5:$P$19,MATCH(K$4,'Type Chart'!$A$5:$A$19,0),MATCH($E19,'Type Chart'!$B$4:$P$4,0))*IF($F19="",1,INDEX('Type Chart'!$B$5:$P$19,MATCH(K$4,'Type Chart'!$A$5:$A$19,0),MATCH($F19,'Type Chart'!$B$4:$P$4,0)))</f>
        <v>1</v>
      </c>
      <c r="L19" s="21" t="n">
        <f aca="false">INDEX('Type Chart'!$B$5:$P$19,MATCH(L$4,'Type Chart'!$A$5:$A$19,0),MATCH($E19,'Type Chart'!$B$4:$P$4,0))*IF($F19="",1,INDEX('Type Chart'!$B$5:$P$19,MATCH(L$4,'Type Chart'!$A$5:$A$19,0),MATCH($F19,'Type Chart'!$B$4:$P$4,0)))</f>
        <v>1</v>
      </c>
      <c r="M19" s="21" t="n">
        <f aca="false">INDEX('Type Chart'!$B$5:$P$19,MATCH(M$4,'Type Chart'!$A$5:$A$19,0),MATCH($E19,'Type Chart'!$B$4:$P$4,0))*IF($F19="",1,INDEX('Type Chart'!$B$5:$P$19,MATCH(M$4,'Type Chart'!$A$5:$A$19,0),MATCH($F19,'Type Chart'!$B$4:$P$4,0)))</f>
        <v>1</v>
      </c>
      <c r="N19" s="21" t="n">
        <f aca="false">INDEX('Type Chart'!$B$5:$P$19,MATCH(N$4,'Type Chart'!$A$5:$A$19,0),MATCH($E19,'Type Chart'!$B$4:$P$4,0))*IF($F19="",1,INDEX('Type Chart'!$B$5:$P$19,MATCH(N$4,'Type Chart'!$A$5:$A$19,0),MATCH($F19,'Type Chart'!$B$4:$P$4,0)))</f>
        <v>0.5</v>
      </c>
      <c r="O19" s="21" t="n">
        <f aca="false">INDEX('Type Chart'!$B$5:$P$19,MATCH(O$4,'Type Chart'!$A$5:$A$19,0),MATCH($E19,'Type Chart'!$B$4:$P$4,0))*IF($F19="",1,INDEX('Type Chart'!$B$5:$P$19,MATCH(O$4,'Type Chart'!$A$5:$A$19,0),MATCH($F19,'Type Chart'!$B$4:$P$4,0)))</f>
        <v>1</v>
      </c>
      <c r="P19" s="21" t="n">
        <f aca="false">INDEX('Type Chart'!$B$5:$P$19,MATCH(P$4,'Type Chart'!$A$5:$A$19,0),MATCH($E19,'Type Chart'!$B$4:$P$4,0))*IF($F19="",1,INDEX('Type Chart'!$B$5:$P$19,MATCH(P$4,'Type Chart'!$A$5:$A$19,0),MATCH($F19,'Type Chart'!$B$4:$P$4,0)))</f>
        <v>1</v>
      </c>
      <c r="Q19" s="21" t="n">
        <f aca="false">INDEX('Type Chart'!$B$5:$P$19,MATCH(Q$4,'Type Chart'!$A$5:$A$19,0),MATCH($E19,'Type Chart'!$B$4:$P$4,0))*IF($F19="",1,INDEX('Type Chart'!$B$5:$P$19,MATCH(Q$4,'Type Chart'!$A$5:$A$19,0),MATCH($F19,'Type Chart'!$B$4:$P$4,0)))</f>
        <v>1</v>
      </c>
      <c r="R19" s="21" t="n">
        <f aca="false">INDEX('Type Chart'!$B$5:$P$19,MATCH(R$4,'Type Chart'!$A$5:$A$19,0),MATCH($E19,'Type Chart'!$B$4:$P$4,0))*IF($F19="",1,INDEX('Type Chart'!$B$5:$P$19,MATCH(R$4,'Type Chart'!$A$5:$A$19,0),MATCH($F19,'Type Chart'!$B$4:$P$4,0)))</f>
        <v>0.5</v>
      </c>
      <c r="S19" s="21" t="n">
        <f aca="false">INDEX('Type Chart'!$B$5:$P$19,MATCH(S$4,'Type Chart'!$A$5:$A$19,0),MATCH($E19,'Type Chart'!$B$4:$P$4,0))*IF($F19="",1,INDEX('Type Chart'!$B$5:$P$19,MATCH(S$4,'Type Chart'!$A$5:$A$19,0),MATCH($F19,'Type Chart'!$B$4:$P$4,0)))</f>
        <v>2</v>
      </c>
      <c r="T19" s="21" t="n">
        <f aca="false">INDEX('Type Chart'!$B$5:$P$19,MATCH(T$4,'Type Chart'!$A$5:$A$19,0),MATCH($E19,'Type Chart'!$B$4:$P$4,0))*IF($F19="",1,INDEX('Type Chart'!$B$5:$P$19,MATCH(T$4,'Type Chart'!$A$5:$A$19,0),MATCH($F19,'Type Chart'!$B$4:$P$4,0)))</f>
        <v>1</v>
      </c>
      <c r="U19" s="21" t="n">
        <f aca="false">INDEX('Type Chart'!$B$5:$P$19,MATCH(U$4,'Type Chart'!$A$5:$A$19,0),MATCH($E19,'Type Chart'!$B$4:$P$4,0))*IF($F19="",1,INDEX('Type Chart'!$B$5:$P$19,MATCH(U$4,'Type Chart'!$A$5:$A$19,0),MATCH($F19,'Type Chart'!$B$4:$P$4,0)))</f>
        <v>0</v>
      </c>
      <c r="V19" s="21" t="n">
        <f aca="false">INDEX('Type Chart'!$B$5:$P$19,MATCH(V$4,'Type Chart'!$A$5:$A$19,0),MATCH($E19,'Type Chart'!$B$4:$P$4,0))*IF($F19="",1,INDEX('Type Chart'!$B$5:$P$19,MATCH(V$4,'Type Chart'!$A$5:$A$19,0),MATCH($F19,'Type Chart'!$B$4:$P$4,0)))</f>
        <v>1</v>
      </c>
    </row>
    <row r="20" customFormat="false" ht="15" hidden="false" customHeight="false" outlineLevel="0" collapsed="false">
      <c r="A20" s="17" t="s">
        <v>265</v>
      </c>
      <c r="B20" s="17" t="s">
        <v>266</v>
      </c>
      <c r="C20" s="17" t="s">
        <v>129</v>
      </c>
      <c r="D20" s="17" t="n">
        <v>48</v>
      </c>
      <c r="E20" s="17" t="s">
        <v>41</v>
      </c>
      <c r="F20" s="17"/>
      <c r="G20" s="17"/>
      <c r="H20" s="21" t="n">
        <f aca="false">INDEX('Type Chart'!$B$5:$P$19,MATCH(H$4,'Type Chart'!$A$5:$A$19,0),MATCH($E20,'Type Chart'!$B$4:$P$4,0))*IF($F20="",1,INDEX('Type Chart'!$B$5:$P$19,MATCH(H$4,'Type Chart'!$A$5:$A$19,0),MATCH($F20,'Type Chart'!$B$4:$P$4,0)))</f>
        <v>1</v>
      </c>
      <c r="I20" s="21" t="n">
        <f aca="false">INDEX('Type Chart'!$B$5:$P$19,MATCH(I$4,'Type Chart'!$A$5:$A$19,0),MATCH($E20,'Type Chart'!$B$4:$P$4,0))*IF($F20="",1,INDEX('Type Chart'!$B$5:$P$19,MATCH(I$4,'Type Chart'!$A$5:$A$19,0),MATCH($F20,'Type Chart'!$B$4:$P$4,0)))</f>
        <v>0.5</v>
      </c>
      <c r="J20" s="21" t="n">
        <f aca="false">INDEX('Type Chart'!$B$5:$P$19,MATCH(J$4,'Type Chart'!$A$5:$A$19,0),MATCH($E20,'Type Chart'!$B$4:$P$4,0))*IF($F20="",1,INDEX('Type Chart'!$B$5:$P$19,MATCH(J$4,'Type Chart'!$A$5:$A$19,0),MATCH($F20,'Type Chart'!$B$4:$P$4,0)))</f>
        <v>2</v>
      </c>
      <c r="K20" s="21" t="n">
        <f aca="false">INDEX('Type Chart'!$B$5:$P$19,MATCH(K$4,'Type Chart'!$A$5:$A$19,0),MATCH($E20,'Type Chart'!$B$4:$P$4,0))*IF($F20="",1,INDEX('Type Chart'!$B$5:$P$19,MATCH(K$4,'Type Chart'!$A$5:$A$19,0),MATCH($F20,'Type Chart'!$B$4:$P$4,0)))</f>
        <v>1</v>
      </c>
      <c r="L20" s="21" t="n">
        <f aca="false">INDEX('Type Chart'!$B$5:$P$19,MATCH(L$4,'Type Chart'!$A$5:$A$19,0),MATCH($E20,'Type Chart'!$B$4:$P$4,0))*IF($F20="",1,INDEX('Type Chart'!$B$5:$P$19,MATCH(L$4,'Type Chart'!$A$5:$A$19,0),MATCH($F20,'Type Chart'!$B$4:$P$4,0)))</f>
        <v>0.5</v>
      </c>
      <c r="M20" s="21" t="n">
        <f aca="false">INDEX('Type Chart'!$B$5:$P$19,MATCH(M$4,'Type Chart'!$A$5:$A$19,0),MATCH($E20,'Type Chart'!$B$4:$P$4,0))*IF($F20="",1,INDEX('Type Chart'!$B$5:$P$19,MATCH(M$4,'Type Chart'!$A$5:$A$19,0),MATCH($F20,'Type Chart'!$B$4:$P$4,0)))</f>
        <v>1</v>
      </c>
      <c r="N20" s="21" t="n">
        <f aca="false">INDEX('Type Chart'!$B$5:$P$19,MATCH(N$4,'Type Chart'!$A$5:$A$19,0),MATCH($E20,'Type Chart'!$B$4:$P$4,0))*IF($F20="",1,INDEX('Type Chart'!$B$5:$P$19,MATCH(N$4,'Type Chart'!$A$5:$A$19,0),MATCH($F20,'Type Chart'!$B$4:$P$4,0)))</f>
        <v>1</v>
      </c>
      <c r="O20" s="21" t="n">
        <f aca="false">INDEX('Type Chart'!$B$5:$P$19,MATCH(O$4,'Type Chart'!$A$5:$A$19,0),MATCH($E20,'Type Chart'!$B$4:$P$4,0))*IF($F20="",1,INDEX('Type Chart'!$B$5:$P$19,MATCH(O$4,'Type Chart'!$A$5:$A$19,0),MATCH($F20,'Type Chart'!$B$4:$P$4,0)))</f>
        <v>1</v>
      </c>
      <c r="P20" s="21" t="n">
        <f aca="false">INDEX('Type Chart'!$B$5:$P$19,MATCH(P$4,'Type Chart'!$A$5:$A$19,0),MATCH($E20,'Type Chart'!$B$4:$P$4,0))*IF($F20="",1,INDEX('Type Chart'!$B$5:$P$19,MATCH(P$4,'Type Chart'!$A$5:$A$19,0),MATCH($F20,'Type Chart'!$B$4:$P$4,0)))</f>
        <v>2</v>
      </c>
      <c r="Q20" s="21" t="n">
        <f aca="false">INDEX('Type Chart'!$B$5:$P$19,MATCH(Q$4,'Type Chart'!$A$5:$A$19,0),MATCH($E20,'Type Chart'!$B$4:$P$4,0))*IF($F20="",1,INDEX('Type Chart'!$B$5:$P$19,MATCH(Q$4,'Type Chart'!$A$5:$A$19,0),MATCH($F20,'Type Chart'!$B$4:$P$4,0)))</f>
        <v>1</v>
      </c>
      <c r="R20" s="21" t="n">
        <f aca="false">INDEX('Type Chart'!$B$5:$P$19,MATCH(R$4,'Type Chart'!$A$5:$A$19,0),MATCH($E20,'Type Chart'!$B$4:$P$4,0))*IF($F20="",1,INDEX('Type Chart'!$B$5:$P$19,MATCH(R$4,'Type Chart'!$A$5:$A$19,0),MATCH($F20,'Type Chart'!$B$4:$P$4,0)))</f>
        <v>1</v>
      </c>
      <c r="S20" s="21" t="n">
        <f aca="false">INDEX('Type Chart'!$B$5:$P$19,MATCH(S$4,'Type Chart'!$A$5:$A$19,0),MATCH($E20,'Type Chart'!$B$4:$P$4,0))*IF($F20="",1,INDEX('Type Chart'!$B$5:$P$19,MATCH(S$4,'Type Chart'!$A$5:$A$19,0),MATCH($F20,'Type Chart'!$B$4:$P$4,0)))</f>
        <v>0.5</v>
      </c>
      <c r="T20" s="21" t="n">
        <f aca="false">INDEX('Type Chart'!$B$5:$P$19,MATCH(T$4,'Type Chart'!$A$5:$A$19,0),MATCH($E20,'Type Chart'!$B$4:$P$4,0))*IF($F20="",1,INDEX('Type Chart'!$B$5:$P$19,MATCH(T$4,'Type Chart'!$A$5:$A$19,0),MATCH($F20,'Type Chart'!$B$4:$P$4,0)))</f>
        <v>2</v>
      </c>
      <c r="U20" s="21" t="n">
        <f aca="false">INDEX('Type Chart'!$B$5:$P$19,MATCH(U$4,'Type Chart'!$A$5:$A$19,0),MATCH($E20,'Type Chart'!$B$4:$P$4,0))*IF($F20="",1,INDEX('Type Chart'!$B$5:$P$19,MATCH(U$4,'Type Chart'!$A$5:$A$19,0),MATCH($F20,'Type Chart'!$B$4:$P$4,0)))</f>
        <v>1</v>
      </c>
      <c r="V20" s="21" t="n">
        <f aca="false">INDEX('Type Chart'!$B$5:$P$19,MATCH(V$4,'Type Chart'!$A$5:$A$19,0),MATCH($E20,'Type Chart'!$B$4:$P$4,0))*IF($F20="",1,INDEX('Type Chart'!$B$5:$P$19,MATCH(V$4,'Type Chart'!$A$5:$A$19,0),MATCH($F20,'Type Chart'!$B$4:$P$4,0)))</f>
        <v>1</v>
      </c>
    </row>
    <row r="21" customFormat="false" ht="15" hidden="false" customHeight="false" outlineLevel="0" collapsed="false">
      <c r="A21" s="17" t="s">
        <v>265</v>
      </c>
      <c r="B21" s="17" t="s">
        <v>266</v>
      </c>
      <c r="C21" s="17" t="s">
        <v>169</v>
      </c>
      <c r="D21" s="17" t="n">
        <v>50</v>
      </c>
      <c r="E21" s="17" t="s">
        <v>41</v>
      </c>
      <c r="F21" s="17"/>
      <c r="G21" s="17"/>
      <c r="H21" s="21" t="n">
        <f aca="false">INDEX('Type Chart'!$B$5:$P$19,MATCH(H$4,'Type Chart'!$A$5:$A$19,0),MATCH($E21,'Type Chart'!$B$4:$P$4,0))*IF($F21="",1,INDEX('Type Chart'!$B$5:$P$19,MATCH(H$4,'Type Chart'!$A$5:$A$19,0),MATCH($F21,'Type Chart'!$B$4:$P$4,0)))</f>
        <v>1</v>
      </c>
      <c r="I21" s="21" t="n">
        <f aca="false">INDEX('Type Chart'!$B$5:$P$19,MATCH(I$4,'Type Chart'!$A$5:$A$19,0),MATCH($E21,'Type Chart'!$B$4:$P$4,0))*IF($F21="",1,INDEX('Type Chart'!$B$5:$P$19,MATCH(I$4,'Type Chart'!$A$5:$A$19,0),MATCH($F21,'Type Chart'!$B$4:$P$4,0)))</f>
        <v>0.5</v>
      </c>
      <c r="J21" s="21" t="n">
        <f aca="false">INDEX('Type Chart'!$B$5:$P$19,MATCH(J$4,'Type Chart'!$A$5:$A$19,0),MATCH($E21,'Type Chart'!$B$4:$P$4,0))*IF($F21="",1,INDEX('Type Chart'!$B$5:$P$19,MATCH(J$4,'Type Chart'!$A$5:$A$19,0),MATCH($F21,'Type Chart'!$B$4:$P$4,0)))</f>
        <v>2</v>
      </c>
      <c r="K21" s="21" t="n">
        <f aca="false">INDEX('Type Chart'!$B$5:$P$19,MATCH(K$4,'Type Chart'!$A$5:$A$19,0),MATCH($E21,'Type Chart'!$B$4:$P$4,0))*IF($F21="",1,INDEX('Type Chart'!$B$5:$P$19,MATCH(K$4,'Type Chart'!$A$5:$A$19,0),MATCH($F21,'Type Chart'!$B$4:$P$4,0)))</f>
        <v>1</v>
      </c>
      <c r="L21" s="21" t="n">
        <f aca="false">INDEX('Type Chart'!$B$5:$P$19,MATCH(L$4,'Type Chart'!$A$5:$A$19,0),MATCH($E21,'Type Chart'!$B$4:$P$4,0))*IF($F21="",1,INDEX('Type Chart'!$B$5:$P$19,MATCH(L$4,'Type Chart'!$A$5:$A$19,0),MATCH($F21,'Type Chart'!$B$4:$P$4,0)))</f>
        <v>0.5</v>
      </c>
      <c r="M21" s="21" t="n">
        <f aca="false">INDEX('Type Chart'!$B$5:$P$19,MATCH(M$4,'Type Chart'!$A$5:$A$19,0),MATCH($E21,'Type Chart'!$B$4:$P$4,0))*IF($F21="",1,INDEX('Type Chart'!$B$5:$P$19,MATCH(M$4,'Type Chart'!$A$5:$A$19,0),MATCH($F21,'Type Chart'!$B$4:$P$4,0)))</f>
        <v>1</v>
      </c>
      <c r="N21" s="21" t="n">
        <f aca="false">INDEX('Type Chart'!$B$5:$P$19,MATCH(N$4,'Type Chart'!$A$5:$A$19,0),MATCH($E21,'Type Chart'!$B$4:$P$4,0))*IF($F21="",1,INDEX('Type Chart'!$B$5:$P$19,MATCH(N$4,'Type Chart'!$A$5:$A$19,0),MATCH($F21,'Type Chart'!$B$4:$P$4,0)))</f>
        <v>1</v>
      </c>
      <c r="O21" s="21" t="n">
        <f aca="false">INDEX('Type Chart'!$B$5:$P$19,MATCH(O$4,'Type Chart'!$A$5:$A$19,0),MATCH($E21,'Type Chart'!$B$4:$P$4,0))*IF($F21="",1,INDEX('Type Chart'!$B$5:$P$19,MATCH(O$4,'Type Chart'!$A$5:$A$19,0),MATCH($F21,'Type Chart'!$B$4:$P$4,0)))</f>
        <v>1</v>
      </c>
      <c r="P21" s="21" t="n">
        <f aca="false">INDEX('Type Chart'!$B$5:$P$19,MATCH(P$4,'Type Chart'!$A$5:$A$19,0),MATCH($E21,'Type Chart'!$B$4:$P$4,0))*IF($F21="",1,INDEX('Type Chart'!$B$5:$P$19,MATCH(P$4,'Type Chart'!$A$5:$A$19,0),MATCH($F21,'Type Chart'!$B$4:$P$4,0)))</f>
        <v>2</v>
      </c>
      <c r="Q21" s="21" t="n">
        <f aca="false">INDEX('Type Chart'!$B$5:$P$19,MATCH(Q$4,'Type Chart'!$A$5:$A$19,0),MATCH($E21,'Type Chart'!$B$4:$P$4,0))*IF($F21="",1,INDEX('Type Chart'!$B$5:$P$19,MATCH(Q$4,'Type Chart'!$A$5:$A$19,0),MATCH($F21,'Type Chart'!$B$4:$P$4,0)))</f>
        <v>1</v>
      </c>
      <c r="R21" s="21" t="n">
        <f aca="false">INDEX('Type Chart'!$B$5:$P$19,MATCH(R$4,'Type Chart'!$A$5:$A$19,0),MATCH($E21,'Type Chart'!$B$4:$P$4,0))*IF($F21="",1,INDEX('Type Chart'!$B$5:$P$19,MATCH(R$4,'Type Chart'!$A$5:$A$19,0),MATCH($F21,'Type Chart'!$B$4:$P$4,0)))</f>
        <v>1</v>
      </c>
      <c r="S21" s="21" t="n">
        <f aca="false">INDEX('Type Chart'!$B$5:$P$19,MATCH(S$4,'Type Chart'!$A$5:$A$19,0),MATCH($E21,'Type Chart'!$B$4:$P$4,0))*IF($F21="",1,INDEX('Type Chart'!$B$5:$P$19,MATCH(S$4,'Type Chart'!$A$5:$A$19,0),MATCH($F21,'Type Chart'!$B$4:$P$4,0)))</f>
        <v>0.5</v>
      </c>
      <c r="T21" s="21" t="n">
        <f aca="false">INDEX('Type Chart'!$B$5:$P$19,MATCH(T$4,'Type Chart'!$A$5:$A$19,0),MATCH($E21,'Type Chart'!$B$4:$P$4,0))*IF($F21="",1,INDEX('Type Chart'!$B$5:$P$19,MATCH(T$4,'Type Chart'!$A$5:$A$19,0),MATCH($F21,'Type Chart'!$B$4:$P$4,0)))</f>
        <v>2</v>
      </c>
      <c r="U21" s="21" t="n">
        <f aca="false">INDEX('Type Chart'!$B$5:$P$19,MATCH(U$4,'Type Chart'!$A$5:$A$19,0),MATCH($E21,'Type Chart'!$B$4:$P$4,0))*IF($F21="",1,INDEX('Type Chart'!$B$5:$P$19,MATCH(U$4,'Type Chart'!$A$5:$A$19,0),MATCH($F21,'Type Chart'!$B$4:$P$4,0)))</f>
        <v>1</v>
      </c>
      <c r="V21" s="21" t="n">
        <f aca="false">INDEX('Type Chart'!$B$5:$P$19,MATCH(V$4,'Type Chart'!$A$5:$A$19,0),MATCH($E21,'Type Chart'!$B$4:$P$4,0))*IF($F21="",1,INDEX('Type Chart'!$B$5:$P$19,MATCH(V$4,'Type Chart'!$A$5:$A$19,0),MATCH($F21,'Type Chart'!$B$4:$P$4,0)))</f>
        <v>1</v>
      </c>
    </row>
    <row r="22" customFormat="false" ht="15" hidden="false" customHeight="false" outlineLevel="0" collapsed="false">
      <c r="A22" s="22" t="s">
        <v>265</v>
      </c>
      <c r="B22" s="22" t="s">
        <v>266</v>
      </c>
      <c r="C22" s="22" t="s">
        <v>150</v>
      </c>
      <c r="D22" s="17" t="n">
        <v>54</v>
      </c>
      <c r="E22" s="17" t="s">
        <v>41</v>
      </c>
      <c r="F22" s="17"/>
      <c r="G22" s="17" t="s">
        <v>254</v>
      </c>
      <c r="H22" s="21" t="n">
        <f aca="false">INDEX('Type Chart'!$B$5:$P$19,MATCH(H$4,'Type Chart'!$A$5:$A$19,0),MATCH($E22,'Type Chart'!$B$4:$P$4,0))*IF($F22="",1,INDEX('Type Chart'!$B$5:$P$19,MATCH(H$4,'Type Chart'!$A$5:$A$19,0),MATCH($F22,'Type Chart'!$B$4:$P$4,0)))</f>
        <v>1</v>
      </c>
      <c r="I22" s="21" t="n">
        <f aca="false">INDEX('Type Chart'!$B$5:$P$19,MATCH(I$4,'Type Chart'!$A$5:$A$19,0),MATCH($E22,'Type Chart'!$B$4:$P$4,0))*IF($F22="",1,INDEX('Type Chart'!$B$5:$P$19,MATCH(I$4,'Type Chart'!$A$5:$A$19,0),MATCH($F22,'Type Chart'!$B$4:$P$4,0)))</f>
        <v>0.5</v>
      </c>
      <c r="J22" s="21" t="n">
        <f aca="false">INDEX('Type Chart'!$B$5:$P$19,MATCH(J$4,'Type Chart'!$A$5:$A$19,0),MATCH($E22,'Type Chart'!$B$4:$P$4,0))*IF($F22="",1,INDEX('Type Chart'!$B$5:$P$19,MATCH(J$4,'Type Chart'!$A$5:$A$19,0),MATCH($F22,'Type Chart'!$B$4:$P$4,0)))</f>
        <v>2</v>
      </c>
      <c r="K22" s="21" t="n">
        <f aca="false">INDEX('Type Chart'!$B$5:$P$19,MATCH(K$4,'Type Chart'!$A$5:$A$19,0),MATCH($E22,'Type Chart'!$B$4:$P$4,0))*IF($F22="",1,INDEX('Type Chart'!$B$5:$P$19,MATCH(K$4,'Type Chart'!$A$5:$A$19,0),MATCH($F22,'Type Chart'!$B$4:$P$4,0)))</f>
        <v>1</v>
      </c>
      <c r="L22" s="21" t="n">
        <f aca="false">INDEX('Type Chart'!$B$5:$P$19,MATCH(L$4,'Type Chart'!$A$5:$A$19,0),MATCH($E22,'Type Chart'!$B$4:$P$4,0))*IF($F22="",1,INDEX('Type Chart'!$B$5:$P$19,MATCH(L$4,'Type Chart'!$A$5:$A$19,0),MATCH($F22,'Type Chart'!$B$4:$P$4,0)))</f>
        <v>0.5</v>
      </c>
      <c r="M22" s="21" t="n">
        <f aca="false">INDEX('Type Chart'!$B$5:$P$19,MATCH(M$4,'Type Chart'!$A$5:$A$19,0),MATCH($E22,'Type Chart'!$B$4:$P$4,0))*IF($F22="",1,INDEX('Type Chart'!$B$5:$P$19,MATCH(M$4,'Type Chart'!$A$5:$A$19,0),MATCH($F22,'Type Chart'!$B$4:$P$4,0)))</f>
        <v>1</v>
      </c>
      <c r="N22" s="21" t="n">
        <f aca="false">INDEX('Type Chart'!$B$5:$P$19,MATCH(N$4,'Type Chart'!$A$5:$A$19,0),MATCH($E22,'Type Chart'!$B$4:$P$4,0))*IF($F22="",1,INDEX('Type Chart'!$B$5:$P$19,MATCH(N$4,'Type Chart'!$A$5:$A$19,0),MATCH($F22,'Type Chart'!$B$4:$P$4,0)))</f>
        <v>1</v>
      </c>
      <c r="O22" s="21" t="n">
        <f aca="false">INDEX('Type Chart'!$B$5:$P$19,MATCH(O$4,'Type Chart'!$A$5:$A$19,0),MATCH($E22,'Type Chart'!$B$4:$P$4,0))*IF($F22="",1,INDEX('Type Chart'!$B$5:$P$19,MATCH(O$4,'Type Chart'!$A$5:$A$19,0),MATCH($F22,'Type Chart'!$B$4:$P$4,0)))</f>
        <v>1</v>
      </c>
      <c r="P22" s="21" t="n">
        <f aca="false">INDEX('Type Chart'!$B$5:$P$19,MATCH(P$4,'Type Chart'!$A$5:$A$19,0),MATCH($E22,'Type Chart'!$B$4:$P$4,0))*IF($F22="",1,INDEX('Type Chart'!$B$5:$P$19,MATCH(P$4,'Type Chart'!$A$5:$A$19,0),MATCH($F22,'Type Chart'!$B$4:$P$4,0)))</f>
        <v>2</v>
      </c>
      <c r="Q22" s="21" t="n">
        <f aca="false">INDEX('Type Chart'!$B$5:$P$19,MATCH(Q$4,'Type Chart'!$A$5:$A$19,0),MATCH($E22,'Type Chart'!$B$4:$P$4,0))*IF($F22="",1,INDEX('Type Chart'!$B$5:$P$19,MATCH(Q$4,'Type Chart'!$A$5:$A$19,0),MATCH($F22,'Type Chart'!$B$4:$P$4,0)))</f>
        <v>1</v>
      </c>
      <c r="R22" s="21" t="n">
        <f aca="false">INDEX('Type Chart'!$B$5:$P$19,MATCH(R$4,'Type Chart'!$A$5:$A$19,0),MATCH($E22,'Type Chart'!$B$4:$P$4,0))*IF($F22="",1,INDEX('Type Chart'!$B$5:$P$19,MATCH(R$4,'Type Chart'!$A$5:$A$19,0),MATCH($F22,'Type Chart'!$B$4:$P$4,0)))</f>
        <v>1</v>
      </c>
      <c r="S22" s="21" t="n">
        <f aca="false">INDEX('Type Chart'!$B$5:$P$19,MATCH(S$4,'Type Chart'!$A$5:$A$19,0),MATCH($E22,'Type Chart'!$B$4:$P$4,0))*IF($F22="",1,INDEX('Type Chart'!$B$5:$P$19,MATCH(S$4,'Type Chart'!$A$5:$A$19,0),MATCH($F22,'Type Chart'!$B$4:$P$4,0)))</f>
        <v>0.5</v>
      </c>
      <c r="T22" s="21" t="n">
        <f aca="false">INDEX('Type Chart'!$B$5:$P$19,MATCH(T$4,'Type Chart'!$A$5:$A$19,0),MATCH($E22,'Type Chart'!$B$4:$P$4,0))*IF($F22="",1,INDEX('Type Chart'!$B$5:$P$19,MATCH(T$4,'Type Chart'!$A$5:$A$19,0),MATCH($F22,'Type Chart'!$B$4:$P$4,0)))</f>
        <v>2</v>
      </c>
      <c r="U22" s="21" t="n">
        <f aca="false">INDEX('Type Chart'!$B$5:$P$19,MATCH(U$4,'Type Chart'!$A$5:$A$19,0),MATCH($E22,'Type Chart'!$B$4:$P$4,0))*IF($F22="",1,INDEX('Type Chart'!$B$5:$P$19,MATCH(U$4,'Type Chart'!$A$5:$A$19,0),MATCH($F22,'Type Chart'!$B$4:$P$4,0)))</f>
        <v>1</v>
      </c>
      <c r="V22" s="21" t="n">
        <f aca="false">INDEX('Type Chart'!$B$5:$P$19,MATCH(V$4,'Type Chart'!$A$5:$A$19,0),MATCH($E22,'Type Chart'!$B$4:$P$4,0))*IF($F22="",1,INDEX('Type Chart'!$B$5:$P$19,MATCH(V$4,'Type Chart'!$A$5:$A$19,0),MATCH($F22,'Type Chart'!$B$4:$P$4,0)))</f>
        <v>1</v>
      </c>
    </row>
    <row r="23" customFormat="false" ht="15" hidden="false" customHeight="false" outlineLevel="0" collapsed="false">
      <c r="A23" s="17" t="s">
        <v>267</v>
      </c>
      <c r="B23" s="17" t="s">
        <v>268</v>
      </c>
      <c r="C23" s="17" t="s">
        <v>142</v>
      </c>
      <c r="D23" s="17" t="n">
        <v>50</v>
      </c>
      <c r="E23" s="17" t="s">
        <v>48</v>
      </c>
      <c r="F23" s="17"/>
      <c r="G23" s="17"/>
      <c r="H23" s="21" t="n">
        <f aca="false">INDEX('Type Chart'!$B$5:$P$19,MATCH(H$4,'Type Chart'!$A$5:$A$19,0),MATCH($E23,'Type Chart'!$B$4:$P$4,0))*IF($F23="",1,INDEX('Type Chart'!$B$5:$P$19,MATCH(H$4,'Type Chart'!$A$5:$A$19,0),MATCH($F23,'Type Chart'!$B$4:$P$4,0)))</f>
        <v>1</v>
      </c>
      <c r="I23" s="21" t="n">
        <f aca="false">INDEX('Type Chart'!$B$5:$P$19,MATCH(I$4,'Type Chart'!$A$5:$A$19,0),MATCH($E23,'Type Chart'!$B$4:$P$4,0))*IF($F23="",1,INDEX('Type Chart'!$B$5:$P$19,MATCH(I$4,'Type Chart'!$A$5:$A$19,0),MATCH($F23,'Type Chart'!$B$4:$P$4,0)))</f>
        <v>1</v>
      </c>
      <c r="J23" s="21" t="n">
        <f aca="false">INDEX('Type Chart'!$B$5:$P$19,MATCH(J$4,'Type Chart'!$A$5:$A$19,0),MATCH($E23,'Type Chart'!$B$4:$P$4,0))*IF($F23="",1,INDEX('Type Chart'!$B$5:$P$19,MATCH(J$4,'Type Chart'!$A$5:$A$19,0),MATCH($F23,'Type Chart'!$B$4:$P$4,0)))</f>
        <v>2</v>
      </c>
      <c r="K23" s="21" t="n">
        <f aca="false">INDEX('Type Chart'!$B$5:$P$19,MATCH(K$4,'Type Chart'!$A$5:$A$19,0),MATCH($E23,'Type Chart'!$B$4:$P$4,0))*IF($F23="",1,INDEX('Type Chart'!$B$5:$P$19,MATCH(K$4,'Type Chart'!$A$5:$A$19,0),MATCH($F23,'Type Chart'!$B$4:$P$4,0)))</f>
        <v>0</v>
      </c>
      <c r="L23" s="21" t="n">
        <f aca="false">INDEX('Type Chart'!$B$5:$P$19,MATCH(L$4,'Type Chart'!$A$5:$A$19,0),MATCH($E23,'Type Chart'!$B$4:$P$4,0))*IF($F23="",1,INDEX('Type Chart'!$B$5:$P$19,MATCH(L$4,'Type Chart'!$A$5:$A$19,0),MATCH($F23,'Type Chart'!$B$4:$P$4,0)))</f>
        <v>2</v>
      </c>
      <c r="M23" s="21" t="n">
        <f aca="false">INDEX('Type Chart'!$B$5:$P$19,MATCH(M$4,'Type Chart'!$A$5:$A$19,0),MATCH($E23,'Type Chart'!$B$4:$P$4,0))*IF($F23="",1,INDEX('Type Chart'!$B$5:$P$19,MATCH(M$4,'Type Chart'!$A$5:$A$19,0),MATCH($F23,'Type Chart'!$B$4:$P$4,0)))</f>
        <v>2</v>
      </c>
      <c r="N23" s="21" t="n">
        <f aca="false">INDEX('Type Chart'!$B$5:$P$19,MATCH(N$4,'Type Chart'!$A$5:$A$19,0),MATCH($E23,'Type Chart'!$B$4:$P$4,0))*IF($F23="",1,INDEX('Type Chart'!$B$5:$P$19,MATCH(N$4,'Type Chart'!$A$5:$A$19,0),MATCH($F23,'Type Chart'!$B$4:$P$4,0)))</f>
        <v>1</v>
      </c>
      <c r="O23" s="21" t="n">
        <f aca="false">INDEX('Type Chart'!$B$5:$P$19,MATCH(O$4,'Type Chart'!$A$5:$A$19,0),MATCH($E23,'Type Chart'!$B$4:$P$4,0))*IF($F23="",1,INDEX('Type Chart'!$B$5:$P$19,MATCH(O$4,'Type Chart'!$A$5:$A$19,0),MATCH($F23,'Type Chart'!$B$4:$P$4,0)))</f>
        <v>0.5</v>
      </c>
      <c r="P23" s="21" t="n">
        <f aca="false">INDEX('Type Chart'!$B$5:$P$19,MATCH(P$4,'Type Chart'!$A$5:$A$19,0),MATCH($E23,'Type Chart'!$B$4:$P$4,0))*IF($F23="",1,INDEX('Type Chart'!$B$5:$P$19,MATCH(P$4,'Type Chart'!$A$5:$A$19,0),MATCH($F23,'Type Chart'!$B$4:$P$4,0)))</f>
        <v>1</v>
      </c>
      <c r="Q23" s="21" t="n">
        <f aca="false">INDEX('Type Chart'!$B$5:$P$19,MATCH(Q$4,'Type Chart'!$A$5:$A$19,0),MATCH($E23,'Type Chart'!$B$4:$P$4,0))*IF($F23="",1,INDEX('Type Chart'!$B$5:$P$19,MATCH(Q$4,'Type Chart'!$A$5:$A$19,0),MATCH($F23,'Type Chart'!$B$4:$P$4,0)))</f>
        <v>1</v>
      </c>
      <c r="R23" s="21" t="n">
        <f aca="false">INDEX('Type Chart'!$B$5:$P$19,MATCH(R$4,'Type Chart'!$A$5:$A$19,0),MATCH($E23,'Type Chart'!$B$4:$P$4,0))*IF($F23="",1,INDEX('Type Chart'!$B$5:$P$19,MATCH(R$4,'Type Chart'!$A$5:$A$19,0),MATCH($F23,'Type Chart'!$B$4:$P$4,0)))</f>
        <v>1</v>
      </c>
      <c r="S23" s="21" t="n">
        <f aca="false">INDEX('Type Chart'!$B$5:$P$19,MATCH(S$4,'Type Chart'!$A$5:$A$19,0),MATCH($E23,'Type Chart'!$B$4:$P$4,0))*IF($F23="",1,INDEX('Type Chart'!$B$5:$P$19,MATCH(S$4,'Type Chart'!$A$5:$A$19,0),MATCH($F23,'Type Chart'!$B$4:$P$4,0)))</f>
        <v>1</v>
      </c>
      <c r="T23" s="21" t="n">
        <f aca="false">INDEX('Type Chart'!$B$5:$P$19,MATCH(T$4,'Type Chart'!$A$5:$A$19,0),MATCH($E23,'Type Chart'!$B$4:$P$4,0))*IF($F23="",1,INDEX('Type Chart'!$B$5:$P$19,MATCH(T$4,'Type Chart'!$A$5:$A$19,0),MATCH($F23,'Type Chart'!$B$4:$P$4,0)))</f>
        <v>0.5</v>
      </c>
      <c r="U23" s="21" t="n">
        <f aca="false">INDEX('Type Chart'!$B$5:$P$19,MATCH(U$4,'Type Chart'!$A$5:$A$19,0),MATCH($E23,'Type Chart'!$B$4:$P$4,0))*IF($F23="",1,INDEX('Type Chart'!$B$5:$P$19,MATCH(U$4,'Type Chart'!$A$5:$A$19,0),MATCH($F23,'Type Chart'!$B$4:$P$4,0)))</f>
        <v>1</v>
      </c>
      <c r="V23" s="21" t="n">
        <f aca="false">INDEX('Type Chart'!$B$5:$P$19,MATCH(V$4,'Type Chart'!$A$5:$A$19,0),MATCH($E23,'Type Chart'!$B$4:$P$4,0))*IF($F23="",1,INDEX('Type Chart'!$B$5:$P$19,MATCH(V$4,'Type Chart'!$A$5:$A$19,0),MATCH($F23,'Type Chart'!$B$4:$P$4,0)))</f>
        <v>1</v>
      </c>
    </row>
    <row r="24" customFormat="false" ht="15" hidden="false" customHeight="false" outlineLevel="0" collapsed="false">
      <c r="A24" s="17" t="s">
        <v>267</v>
      </c>
      <c r="B24" s="17" t="s">
        <v>268</v>
      </c>
      <c r="C24" s="17" t="s">
        <v>144</v>
      </c>
      <c r="D24" s="17" t="n">
        <v>53</v>
      </c>
      <c r="E24" s="17" t="s">
        <v>40</v>
      </c>
      <c r="F24" s="17"/>
      <c r="G24" s="17"/>
      <c r="H24" s="21" t="n">
        <f aca="false">INDEX('Type Chart'!$B$5:$P$19,MATCH(H$4,'Type Chart'!$A$5:$A$19,0),MATCH($E24,'Type Chart'!$B$4:$P$4,0))*IF($F24="",1,INDEX('Type Chart'!$B$5:$P$19,MATCH(H$4,'Type Chart'!$A$5:$A$19,0),MATCH($F24,'Type Chart'!$B$4:$P$4,0)))</f>
        <v>1</v>
      </c>
      <c r="I24" s="21" t="n">
        <f aca="false">INDEX('Type Chart'!$B$5:$P$19,MATCH(I$4,'Type Chart'!$A$5:$A$19,0),MATCH($E24,'Type Chart'!$B$4:$P$4,0))*IF($F24="",1,INDEX('Type Chart'!$B$5:$P$19,MATCH(I$4,'Type Chart'!$A$5:$A$19,0),MATCH($F24,'Type Chart'!$B$4:$P$4,0)))</f>
        <v>1</v>
      </c>
      <c r="J24" s="21" t="n">
        <f aca="false">INDEX('Type Chart'!$B$5:$P$19,MATCH(J$4,'Type Chart'!$A$5:$A$19,0),MATCH($E24,'Type Chart'!$B$4:$P$4,0))*IF($F24="",1,INDEX('Type Chart'!$B$5:$P$19,MATCH(J$4,'Type Chart'!$A$5:$A$19,0),MATCH($F24,'Type Chart'!$B$4:$P$4,0)))</f>
        <v>1</v>
      </c>
      <c r="K24" s="21" t="n">
        <f aca="false">INDEX('Type Chart'!$B$5:$P$19,MATCH(K$4,'Type Chart'!$A$5:$A$19,0),MATCH($E24,'Type Chart'!$B$4:$P$4,0))*IF($F24="",1,INDEX('Type Chart'!$B$5:$P$19,MATCH(K$4,'Type Chart'!$A$5:$A$19,0),MATCH($F24,'Type Chart'!$B$4:$P$4,0)))</f>
        <v>1</v>
      </c>
      <c r="L24" s="21" t="n">
        <f aca="false">INDEX('Type Chart'!$B$5:$P$19,MATCH(L$4,'Type Chart'!$A$5:$A$19,0),MATCH($E24,'Type Chart'!$B$4:$P$4,0))*IF($F24="",1,INDEX('Type Chart'!$B$5:$P$19,MATCH(L$4,'Type Chart'!$A$5:$A$19,0),MATCH($F24,'Type Chart'!$B$4:$P$4,0)))</f>
        <v>1</v>
      </c>
      <c r="M24" s="21" t="n">
        <f aca="false">INDEX('Type Chart'!$B$5:$P$19,MATCH(M$4,'Type Chart'!$A$5:$A$19,0),MATCH($E24,'Type Chart'!$B$4:$P$4,0))*IF($F24="",1,INDEX('Type Chart'!$B$5:$P$19,MATCH(M$4,'Type Chart'!$A$5:$A$19,0),MATCH($F24,'Type Chart'!$B$4:$P$4,0)))</f>
        <v>1</v>
      </c>
      <c r="N24" s="21" t="n">
        <f aca="false">INDEX('Type Chart'!$B$5:$P$19,MATCH(N$4,'Type Chart'!$A$5:$A$19,0),MATCH($E24,'Type Chart'!$B$4:$P$4,0))*IF($F24="",1,INDEX('Type Chart'!$B$5:$P$19,MATCH(N$4,'Type Chart'!$A$5:$A$19,0),MATCH($F24,'Type Chart'!$B$4:$P$4,0)))</f>
        <v>2</v>
      </c>
      <c r="O24" s="21" t="n">
        <f aca="false">INDEX('Type Chart'!$B$5:$P$19,MATCH(O$4,'Type Chart'!$A$5:$A$19,0),MATCH($E24,'Type Chart'!$B$4:$P$4,0))*IF($F24="",1,INDEX('Type Chart'!$B$5:$P$19,MATCH(O$4,'Type Chart'!$A$5:$A$19,0),MATCH($F24,'Type Chart'!$B$4:$P$4,0)))</f>
        <v>1</v>
      </c>
      <c r="P24" s="21" t="n">
        <f aca="false">INDEX('Type Chart'!$B$5:$P$19,MATCH(P$4,'Type Chart'!$A$5:$A$19,0),MATCH($E24,'Type Chart'!$B$4:$P$4,0))*IF($F24="",1,INDEX('Type Chart'!$B$5:$P$19,MATCH(P$4,'Type Chart'!$A$5:$A$19,0),MATCH($F24,'Type Chart'!$B$4:$P$4,0)))</f>
        <v>1</v>
      </c>
      <c r="Q24" s="21" t="n">
        <f aca="false">INDEX('Type Chart'!$B$5:$P$19,MATCH(Q$4,'Type Chart'!$A$5:$A$19,0),MATCH($E24,'Type Chart'!$B$4:$P$4,0))*IF($F24="",1,INDEX('Type Chart'!$B$5:$P$19,MATCH(Q$4,'Type Chart'!$A$5:$A$19,0),MATCH($F24,'Type Chart'!$B$4:$P$4,0)))</f>
        <v>1</v>
      </c>
      <c r="R24" s="21" t="n">
        <f aca="false">INDEX('Type Chart'!$B$5:$P$19,MATCH(R$4,'Type Chart'!$A$5:$A$19,0),MATCH($E24,'Type Chart'!$B$4:$P$4,0))*IF($F24="",1,INDEX('Type Chart'!$B$5:$P$19,MATCH(R$4,'Type Chart'!$A$5:$A$19,0),MATCH($F24,'Type Chart'!$B$4:$P$4,0)))</f>
        <v>1</v>
      </c>
      <c r="S24" s="21" t="n">
        <f aca="false">INDEX('Type Chart'!$B$5:$P$19,MATCH(S$4,'Type Chart'!$A$5:$A$19,0),MATCH($E24,'Type Chart'!$B$4:$P$4,0))*IF($F24="",1,INDEX('Type Chart'!$B$5:$P$19,MATCH(S$4,'Type Chart'!$A$5:$A$19,0),MATCH($F24,'Type Chart'!$B$4:$P$4,0)))</f>
        <v>1</v>
      </c>
      <c r="T24" s="21" t="n">
        <f aca="false">INDEX('Type Chart'!$B$5:$P$19,MATCH(T$4,'Type Chart'!$A$5:$A$19,0),MATCH($E24,'Type Chart'!$B$4:$P$4,0))*IF($F24="",1,INDEX('Type Chart'!$B$5:$P$19,MATCH(T$4,'Type Chart'!$A$5:$A$19,0),MATCH($F24,'Type Chart'!$B$4:$P$4,0)))</f>
        <v>1</v>
      </c>
      <c r="U24" s="21" t="n">
        <f aca="false">INDEX('Type Chart'!$B$5:$P$19,MATCH(U$4,'Type Chart'!$A$5:$A$19,0),MATCH($E24,'Type Chart'!$B$4:$P$4,0))*IF($F24="",1,INDEX('Type Chart'!$B$5:$P$19,MATCH(U$4,'Type Chart'!$A$5:$A$19,0),MATCH($F24,'Type Chart'!$B$4:$P$4,0)))</f>
        <v>0</v>
      </c>
      <c r="V24" s="21" t="n">
        <f aca="false">INDEX('Type Chart'!$B$5:$P$19,MATCH(V$4,'Type Chart'!$A$5:$A$19,0),MATCH($E24,'Type Chart'!$B$4:$P$4,0))*IF($F24="",1,INDEX('Type Chart'!$B$5:$P$19,MATCH(V$4,'Type Chart'!$A$5:$A$19,0),MATCH($F24,'Type Chart'!$B$4:$P$4,0)))</f>
        <v>1</v>
      </c>
    </row>
    <row r="25" customFormat="false" ht="15" hidden="false" customHeight="false" outlineLevel="0" collapsed="false">
      <c r="A25" s="17" t="s">
        <v>267</v>
      </c>
      <c r="B25" s="17" t="s">
        <v>268</v>
      </c>
      <c r="C25" s="17" t="s">
        <v>122</v>
      </c>
      <c r="D25" s="17" t="n">
        <v>53</v>
      </c>
      <c r="E25" s="17" t="s">
        <v>47</v>
      </c>
      <c r="F25" s="17" t="s">
        <v>48</v>
      </c>
      <c r="G25" s="17"/>
      <c r="H25" s="21" t="n">
        <f aca="false">INDEX('Type Chart'!$B$5:$P$19,MATCH(H$4,'Type Chart'!$A$5:$A$19,0),MATCH($E25,'Type Chart'!$B$4:$P$4,0))*IF($F25="",1,INDEX('Type Chart'!$B$5:$P$19,MATCH(H$4,'Type Chart'!$A$5:$A$19,0),MATCH($F25,'Type Chart'!$B$4:$P$4,0)))</f>
        <v>1</v>
      </c>
      <c r="I25" s="21" t="n">
        <f aca="false">INDEX('Type Chart'!$B$5:$P$19,MATCH(I$4,'Type Chart'!$A$5:$A$19,0),MATCH($E25,'Type Chart'!$B$4:$P$4,0))*IF($F25="",1,INDEX('Type Chart'!$B$5:$P$19,MATCH(I$4,'Type Chart'!$A$5:$A$19,0),MATCH($F25,'Type Chart'!$B$4:$P$4,0)))</f>
        <v>1</v>
      </c>
      <c r="J25" s="21" t="n">
        <f aca="false">INDEX('Type Chart'!$B$5:$P$19,MATCH(J$4,'Type Chart'!$A$5:$A$19,0),MATCH($E25,'Type Chart'!$B$4:$P$4,0))*IF($F25="",1,INDEX('Type Chart'!$B$5:$P$19,MATCH(J$4,'Type Chart'!$A$5:$A$19,0),MATCH($F25,'Type Chart'!$B$4:$P$4,0)))</f>
        <v>2</v>
      </c>
      <c r="K25" s="21" t="n">
        <f aca="false">INDEX('Type Chart'!$B$5:$P$19,MATCH(K$4,'Type Chart'!$A$5:$A$19,0),MATCH($E25,'Type Chart'!$B$4:$P$4,0))*IF($F25="",1,INDEX('Type Chart'!$B$5:$P$19,MATCH(K$4,'Type Chart'!$A$5:$A$19,0),MATCH($F25,'Type Chart'!$B$4:$P$4,0)))</f>
        <v>0</v>
      </c>
      <c r="L25" s="21" t="n">
        <f aca="false">INDEX('Type Chart'!$B$5:$P$19,MATCH(L$4,'Type Chart'!$A$5:$A$19,0),MATCH($E25,'Type Chart'!$B$4:$P$4,0))*IF($F25="",1,INDEX('Type Chart'!$B$5:$P$19,MATCH(L$4,'Type Chart'!$A$5:$A$19,0),MATCH($F25,'Type Chart'!$B$4:$P$4,0)))</f>
        <v>1</v>
      </c>
      <c r="M25" s="21" t="n">
        <f aca="false">INDEX('Type Chart'!$B$5:$P$19,MATCH(M$4,'Type Chart'!$A$5:$A$19,0),MATCH($E25,'Type Chart'!$B$4:$P$4,0))*IF($F25="",1,INDEX('Type Chart'!$B$5:$P$19,MATCH(M$4,'Type Chart'!$A$5:$A$19,0),MATCH($F25,'Type Chart'!$B$4:$P$4,0)))</f>
        <v>2</v>
      </c>
      <c r="N25" s="21" t="n">
        <f aca="false">INDEX('Type Chart'!$B$5:$P$19,MATCH(N$4,'Type Chart'!$A$5:$A$19,0),MATCH($E25,'Type Chart'!$B$4:$P$4,0))*IF($F25="",1,INDEX('Type Chart'!$B$5:$P$19,MATCH(N$4,'Type Chart'!$A$5:$A$19,0),MATCH($F25,'Type Chart'!$B$4:$P$4,0)))</f>
        <v>0.5</v>
      </c>
      <c r="O25" s="21" t="n">
        <f aca="false">INDEX('Type Chart'!$B$5:$P$19,MATCH(O$4,'Type Chart'!$A$5:$A$19,0),MATCH($E25,'Type Chart'!$B$4:$P$4,0))*IF($F25="",1,INDEX('Type Chart'!$B$5:$P$19,MATCH(O$4,'Type Chart'!$A$5:$A$19,0),MATCH($F25,'Type Chart'!$B$4:$P$4,0)))</f>
        <v>0.25</v>
      </c>
      <c r="P25" s="21" t="n">
        <f aca="false">INDEX('Type Chart'!$B$5:$P$19,MATCH(P$4,'Type Chart'!$A$5:$A$19,0),MATCH($E25,'Type Chart'!$B$4:$P$4,0))*IF($F25="",1,INDEX('Type Chart'!$B$5:$P$19,MATCH(P$4,'Type Chart'!$A$5:$A$19,0),MATCH($F25,'Type Chart'!$B$4:$P$4,0)))</f>
        <v>2</v>
      </c>
      <c r="Q25" s="21" t="n">
        <f aca="false">INDEX('Type Chart'!$B$5:$P$19,MATCH(Q$4,'Type Chart'!$A$5:$A$19,0),MATCH($E25,'Type Chart'!$B$4:$P$4,0))*IF($F25="",1,INDEX('Type Chart'!$B$5:$P$19,MATCH(Q$4,'Type Chart'!$A$5:$A$19,0),MATCH($F25,'Type Chart'!$B$4:$P$4,0)))</f>
        <v>1</v>
      </c>
      <c r="R25" s="21" t="n">
        <f aca="false">INDEX('Type Chart'!$B$5:$P$19,MATCH(R$4,'Type Chart'!$A$5:$A$19,0),MATCH($E25,'Type Chart'!$B$4:$P$4,0))*IF($F25="",1,INDEX('Type Chart'!$B$5:$P$19,MATCH(R$4,'Type Chart'!$A$5:$A$19,0),MATCH($F25,'Type Chart'!$B$4:$P$4,0)))</f>
        <v>2</v>
      </c>
      <c r="S25" s="21" t="n">
        <f aca="false">INDEX('Type Chart'!$B$5:$P$19,MATCH(S$4,'Type Chart'!$A$5:$A$19,0),MATCH($E25,'Type Chart'!$B$4:$P$4,0))*IF($F25="",1,INDEX('Type Chart'!$B$5:$P$19,MATCH(S$4,'Type Chart'!$A$5:$A$19,0),MATCH($F25,'Type Chart'!$B$4:$P$4,0)))</f>
        <v>2</v>
      </c>
      <c r="T25" s="21" t="n">
        <f aca="false">INDEX('Type Chart'!$B$5:$P$19,MATCH(T$4,'Type Chart'!$A$5:$A$19,0),MATCH($E25,'Type Chart'!$B$4:$P$4,0))*IF($F25="",1,INDEX('Type Chart'!$B$5:$P$19,MATCH(T$4,'Type Chart'!$A$5:$A$19,0),MATCH($F25,'Type Chart'!$B$4:$P$4,0)))</f>
        <v>0.5</v>
      </c>
      <c r="U25" s="21" t="n">
        <f aca="false">INDEX('Type Chart'!$B$5:$P$19,MATCH(U$4,'Type Chart'!$A$5:$A$19,0),MATCH($E25,'Type Chart'!$B$4:$P$4,0))*IF($F25="",1,INDEX('Type Chart'!$B$5:$P$19,MATCH(U$4,'Type Chart'!$A$5:$A$19,0),MATCH($F25,'Type Chart'!$B$4:$P$4,0)))</f>
        <v>1</v>
      </c>
      <c r="V25" s="21" t="n">
        <f aca="false">INDEX('Type Chart'!$B$5:$P$19,MATCH(V$4,'Type Chart'!$A$5:$A$19,0),MATCH($E25,'Type Chart'!$B$4:$P$4,0))*IF($F25="",1,INDEX('Type Chart'!$B$5:$P$19,MATCH(V$4,'Type Chart'!$A$5:$A$19,0),MATCH($F25,'Type Chart'!$B$4:$P$4,0)))</f>
        <v>1</v>
      </c>
    </row>
    <row r="26" customFormat="false" ht="15" hidden="false" customHeight="false" outlineLevel="0" collapsed="false">
      <c r="A26" s="17" t="s">
        <v>267</v>
      </c>
      <c r="B26" s="17" t="s">
        <v>268</v>
      </c>
      <c r="C26" s="17" t="s">
        <v>125</v>
      </c>
      <c r="D26" s="17" t="n">
        <v>55</v>
      </c>
      <c r="E26" s="17" t="s">
        <v>47</v>
      </c>
      <c r="F26" s="17" t="s">
        <v>48</v>
      </c>
      <c r="G26" s="17"/>
      <c r="H26" s="21" t="n">
        <f aca="false">INDEX('Type Chart'!$B$5:$P$19,MATCH(H$4,'Type Chart'!$A$5:$A$19,0),MATCH($E26,'Type Chart'!$B$4:$P$4,0))*IF($F26="",1,INDEX('Type Chart'!$B$5:$P$19,MATCH(H$4,'Type Chart'!$A$5:$A$19,0),MATCH($F26,'Type Chart'!$B$4:$P$4,0)))</f>
        <v>1</v>
      </c>
      <c r="I26" s="21" t="n">
        <f aca="false">INDEX('Type Chart'!$B$5:$P$19,MATCH(I$4,'Type Chart'!$A$5:$A$19,0),MATCH($E26,'Type Chart'!$B$4:$P$4,0))*IF($F26="",1,INDEX('Type Chart'!$B$5:$P$19,MATCH(I$4,'Type Chart'!$A$5:$A$19,0),MATCH($F26,'Type Chart'!$B$4:$P$4,0)))</f>
        <v>1</v>
      </c>
      <c r="J26" s="21" t="n">
        <f aca="false">INDEX('Type Chart'!$B$5:$P$19,MATCH(J$4,'Type Chart'!$A$5:$A$19,0),MATCH($E26,'Type Chart'!$B$4:$P$4,0))*IF($F26="",1,INDEX('Type Chart'!$B$5:$P$19,MATCH(J$4,'Type Chart'!$A$5:$A$19,0),MATCH($F26,'Type Chart'!$B$4:$P$4,0)))</f>
        <v>2</v>
      </c>
      <c r="K26" s="21" t="n">
        <f aca="false">INDEX('Type Chart'!$B$5:$P$19,MATCH(K$4,'Type Chart'!$A$5:$A$19,0),MATCH($E26,'Type Chart'!$B$4:$P$4,0))*IF($F26="",1,INDEX('Type Chart'!$B$5:$P$19,MATCH(K$4,'Type Chart'!$A$5:$A$19,0),MATCH($F26,'Type Chart'!$B$4:$P$4,0)))</f>
        <v>0</v>
      </c>
      <c r="L26" s="21" t="n">
        <f aca="false">INDEX('Type Chart'!$B$5:$P$19,MATCH(L$4,'Type Chart'!$A$5:$A$19,0),MATCH($E26,'Type Chart'!$B$4:$P$4,0))*IF($F26="",1,INDEX('Type Chart'!$B$5:$P$19,MATCH(L$4,'Type Chart'!$A$5:$A$19,0),MATCH($F26,'Type Chart'!$B$4:$P$4,0)))</f>
        <v>1</v>
      </c>
      <c r="M26" s="21" t="n">
        <f aca="false">INDEX('Type Chart'!$B$5:$P$19,MATCH(M$4,'Type Chart'!$A$5:$A$19,0),MATCH($E26,'Type Chart'!$B$4:$P$4,0))*IF($F26="",1,INDEX('Type Chart'!$B$5:$P$19,MATCH(M$4,'Type Chart'!$A$5:$A$19,0),MATCH($F26,'Type Chart'!$B$4:$P$4,0)))</f>
        <v>2</v>
      </c>
      <c r="N26" s="21" t="n">
        <f aca="false">INDEX('Type Chart'!$B$5:$P$19,MATCH(N$4,'Type Chart'!$A$5:$A$19,0),MATCH($E26,'Type Chart'!$B$4:$P$4,0))*IF($F26="",1,INDEX('Type Chart'!$B$5:$P$19,MATCH(N$4,'Type Chart'!$A$5:$A$19,0),MATCH($F26,'Type Chart'!$B$4:$P$4,0)))</f>
        <v>0.5</v>
      </c>
      <c r="O26" s="21" t="n">
        <f aca="false">INDEX('Type Chart'!$B$5:$P$19,MATCH(O$4,'Type Chart'!$A$5:$A$19,0),MATCH($E26,'Type Chart'!$B$4:$P$4,0))*IF($F26="",1,INDEX('Type Chart'!$B$5:$P$19,MATCH(O$4,'Type Chart'!$A$5:$A$19,0),MATCH($F26,'Type Chart'!$B$4:$P$4,0)))</f>
        <v>0.25</v>
      </c>
      <c r="P26" s="21" t="n">
        <f aca="false">INDEX('Type Chart'!$B$5:$P$19,MATCH(P$4,'Type Chart'!$A$5:$A$19,0),MATCH($E26,'Type Chart'!$B$4:$P$4,0))*IF($F26="",1,INDEX('Type Chart'!$B$5:$P$19,MATCH(P$4,'Type Chart'!$A$5:$A$19,0),MATCH($F26,'Type Chart'!$B$4:$P$4,0)))</f>
        <v>2</v>
      </c>
      <c r="Q26" s="21" t="n">
        <f aca="false">INDEX('Type Chart'!$B$5:$P$19,MATCH(Q$4,'Type Chart'!$A$5:$A$19,0),MATCH($E26,'Type Chart'!$B$4:$P$4,0))*IF($F26="",1,INDEX('Type Chart'!$B$5:$P$19,MATCH(Q$4,'Type Chart'!$A$5:$A$19,0),MATCH($F26,'Type Chart'!$B$4:$P$4,0)))</f>
        <v>1</v>
      </c>
      <c r="R26" s="21" t="n">
        <f aca="false">INDEX('Type Chart'!$B$5:$P$19,MATCH(R$4,'Type Chart'!$A$5:$A$19,0),MATCH($E26,'Type Chart'!$B$4:$P$4,0))*IF($F26="",1,INDEX('Type Chart'!$B$5:$P$19,MATCH(R$4,'Type Chart'!$A$5:$A$19,0),MATCH($F26,'Type Chart'!$B$4:$P$4,0)))</f>
        <v>2</v>
      </c>
      <c r="S26" s="21" t="n">
        <f aca="false">INDEX('Type Chart'!$B$5:$P$19,MATCH(S$4,'Type Chart'!$A$5:$A$19,0),MATCH($E26,'Type Chart'!$B$4:$P$4,0))*IF($F26="",1,INDEX('Type Chart'!$B$5:$P$19,MATCH(S$4,'Type Chart'!$A$5:$A$19,0),MATCH($F26,'Type Chart'!$B$4:$P$4,0)))</f>
        <v>2</v>
      </c>
      <c r="T26" s="21" t="n">
        <f aca="false">INDEX('Type Chart'!$B$5:$P$19,MATCH(T$4,'Type Chart'!$A$5:$A$19,0),MATCH($E26,'Type Chart'!$B$4:$P$4,0))*IF($F26="",1,INDEX('Type Chart'!$B$5:$P$19,MATCH(T$4,'Type Chart'!$A$5:$A$19,0),MATCH($F26,'Type Chart'!$B$4:$P$4,0)))</f>
        <v>0.5</v>
      </c>
      <c r="U26" s="21" t="n">
        <f aca="false">INDEX('Type Chart'!$B$5:$P$19,MATCH(U$4,'Type Chart'!$A$5:$A$19,0),MATCH($E26,'Type Chart'!$B$4:$P$4,0))*IF($F26="",1,INDEX('Type Chart'!$B$5:$P$19,MATCH(U$4,'Type Chart'!$A$5:$A$19,0),MATCH($F26,'Type Chart'!$B$4:$P$4,0)))</f>
        <v>1</v>
      </c>
      <c r="V26" s="21" t="n">
        <f aca="false">INDEX('Type Chart'!$B$5:$P$19,MATCH(V$4,'Type Chart'!$A$5:$A$19,0),MATCH($E26,'Type Chart'!$B$4:$P$4,0))*IF($F26="",1,INDEX('Type Chart'!$B$5:$P$19,MATCH(V$4,'Type Chart'!$A$5:$A$19,0),MATCH($F26,'Type Chart'!$B$4:$P$4,0)))</f>
        <v>1</v>
      </c>
    </row>
    <row r="27" customFormat="false" ht="15" hidden="false" customHeight="false" outlineLevel="0" collapsed="false">
      <c r="A27" s="22" t="s">
        <v>267</v>
      </c>
      <c r="B27" s="22" t="s">
        <v>268</v>
      </c>
      <c r="C27" s="22" t="s">
        <v>203</v>
      </c>
      <c r="D27" s="17" t="n">
        <v>55</v>
      </c>
      <c r="E27" s="17" t="s">
        <v>48</v>
      </c>
      <c r="F27" s="17" t="s">
        <v>52</v>
      </c>
      <c r="G27" s="17" t="s">
        <v>254</v>
      </c>
      <c r="H27" s="21" t="n">
        <f aca="false">INDEX('Type Chart'!$B$5:$P$19,MATCH(H$4,'Type Chart'!$A$5:$A$19,0),MATCH($E27,'Type Chart'!$B$4:$P$4,0))*IF($F27="",1,INDEX('Type Chart'!$B$5:$P$19,MATCH(H$4,'Type Chart'!$A$5:$A$19,0),MATCH($F27,'Type Chart'!$B$4:$P$4,0)))</f>
        <v>0.5</v>
      </c>
      <c r="I27" s="21" t="n">
        <f aca="false">INDEX('Type Chart'!$B$5:$P$19,MATCH(I$4,'Type Chart'!$A$5:$A$19,0),MATCH($E27,'Type Chart'!$B$4:$P$4,0))*IF($F27="",1,INDEX('Type Chart'!$B$5:$P$19,MATCH(I$4,'Type Chart'!$A$5:$A$19,0),MATCH($F27,'Type Chart'!$B$4:$P$4,0)))</f>
        <v>0.5</v>
      </c>
      <c r="J27" s="21" t="n">
        <f aca="false">INDEX('Type Chart'!$B$5:$P$19,MATCH(J$4,'Type Chart'!$A$5:$A$19,0),MATCH($E27,'Type Chart'!$B$4:$P$4,0))*IF($F27="",1,INDEX('Type Chart'!$B$5:$P$19,MATCH(J$4,'Type Chart'!$A$5:$A$19,0),MATCH($F27,'Type Chart'!$B$4:$P$4,0)))</f>
        <v>4</v>
      </c>
      <c r="K27" s="21" t="n">
        <f aca="false">INDEX('Type Chart'!$B$5:$P$19,MATCH(K$4,'Type Chart'!$A$5:$A$19,0),MATCH($E27,'Type Chart'!$B$4:$P$4,0))*IF($F27="",1,INDEX('Type Chart'!$B$5:$P$19,MATCH(K$4,'Type Chart'!$A$5:$A$19,0),MATCH($F27,'Type Chart'!$B$4:$P$4,0)))</f>
        <v>0</v>
      </c>
      <c r="L27" s="21" t="n">
        <f aca="false">INDEX('Type Chart'!$B$5:$P$19,MATCH(L$4,'Type Chart'!$A$5:$A$19,0),MATCH($E27,'Type Chart'!$B$4:$P$4,0))*IF($F27="",1,INDEX('Type Chart'!$B$5:$P$19,MATCH(L$4,'Type Chart'!$A$5:$A$19,0),MATCH($F27,'Type Chart'!$B$4:$P$4,0)))</f>
        <v>4</v>
      </c>
      <c r="M27" s="21" t="n">
        <f aca="false">INDEX('Type Chart'!$B$5:$P$19,MATCH(M$4,'Type Chart'!$A$5:$A$19,0),MATCH($E27,'Type Chart'!$B$4:$P$4,0))*IF($F27="",1,INDEX('Type Chart'!$B$5:$P$19,MATCH(M$4,'Type Chart'!$A$5:$A$19,0),MATCH($F27,'Type Chart'!$B$4:$P$4,0)))</f>
        <v>2</v>
      </c>
      <c r="N27" s="21" t="n">
        <f aca="false">INDEX('Type Chart'!$B$5:$P$19,MATCH(N$4,'Type Chart'!$A$5:$A$19,0),MATCH($E27,'Type Chart'!$B$4:$P$4,0))*IF($F27="",1,INDEX('Type Chart'!$B$5:$P$19,MATCH(N$4,'Type Chart'!$A$5:$A$19,0),MATCH($F27,'Type Chart'!$B$4:$P$4,0)))</f>
        <v>2</v>
      </c>
      <c r="O27" s="21" t="n">
        <f aca="false">INDEX('Type Chart'!$B$5:$P$19,MATCH(O$4,'Type Chart'!$A$5:$A$19,0),MATCH($E27,'Type Chart'!$B$4:$P$4,0))*IF($F27="",1,INDEX('Type Chart'!$B$5:$P$19,MATCH(O$4,'Type Chart'!$A$5:$A$19,0),MATCH($F27,'Type Chart'!$B$4:$P$4,0)))</f>
        <v>0.25</v>
      </c>
      <c r="P27" s="21" t="n">
        <f aca="false">INDEX('Type Chart'!$B$5:$P$19,MATCH(P$4,'Type Chart'!$A$5:$A$19,0),MATCH($E27,'Type Chart'!$B$4:$P$4,0))*IF($F27="",1,INDEX('Type Chart'!$B$5:$P$19,MATCH(P$4,'Type Chart'!$A$5:$A$19,0),MATCH($F27,'Type Chart'!$B$4:$P$4,0)))</f>
        <v>2</v>
      </c>
      <c r="Q27" s="21" t="n">
        <f aca="false">INDEX('Type Chart'!$B$5:$P$19,MATCH(Q$4,'Type Chart'!$A$5:$A$19,0),MATCH($E27,'Type Chart'!$B$4:$P$4,0))*IF($F27="",1,INDEX('Type Chart'!$B$5:$P$19,MATCH(Q$4,'Type Chart'!$A$5:$A$19,0),MATCH($F27,'Type Chart'!$B$4:$P$4,0)))</f>
        <v>0.5</v>
      </c>
      <c r="R27" s="21" t="n">
        <f aca="false">INDEX('Type Chart'!$B$5:$P$19,MATCH(R$4,'Type Chart'!$A$5:$A$19,0),MATCH($E27,'Type Chart'!$B$4:$P$4,0))*IF($F27="",1,INDEX('Type Chart'!$B$5:$P$19,MATCH(R$4,'Type Chart'!$A$5:$A$19,0),MATCH($F27,'Type Chart'!$B$4:$P$4,0)))</f>
        <v>1</v>
      </c>
      <c r="S27" s="21" t="n">
        <f aca="false">INDEX('Type Chart'!$B$5:$P$19,MATCH(S$4,'Type Chart'!$A$5:$A$19,0),MATCH($E27,'Type Chart'!$B$4:$P$4,0))*IF($F27="",1,INDEX('Type Chart'!$B$5:$P$19,MATCH(S$4,'Type Chart'!$A$5:$A$19,0),MATCH($F27,'Type Chart'!$B$4:$P$4,0)))</f>
        <v>1</v>
      </c>
      <c r="T27" s="21" t="n">
        <f aca="false">INDEX('Type Chart'!$B$5:$P$19,MATCH(T$4,'Type Chart'!$A$5:$A$19,0),MATCH($E27,'Type Chart'!$B$4:$P$4,0))*IF($F27="",1,INDEX('Type Chart'!$B$5:$P$19,MATCH(T$4,'Type Chart'!$A$5:$A$19,0),MATCH($F27,'Type Chart'!$B$4:$P$4,0)))</f>
        <v>0.5</v>
      </c>
      <c r="U27" s="21" t="n">
        <f aca="false">INDEX('Type Chart'!$B$5:$P$19,MATCH(U$4,'Type Chart'!$A$5:$A$19,0),MATCH($E27,'Type Chart'!$B$4:$P$4,0))*IF($F27="",1,INDEX('Type Chart'!$B$5:$P$19,MATCH(U$4,'Type Chart'!$A$5:$A$19,0),MATCH($F27,'Type Chart'!$B$4:$P$4,0)))</f>
        <v>1</v>
      </c>
      <c r="V27" s="21" t="n">
        <f aca="false">INDEX('Type Chart'!$B$5:$P$19,MATCH(V$4,'Type Chart'!$A$5:$A$19,0),MATCH($E27,'Type Chart'!$B$4:$P$4,0))*IF($F27="",1,INDEX('Type Chart'!$B$5:$P$19,MATCH(V$4,'Type Chart'!$A$5:$A$19,0),MATCH($F27,'Type Chart'!$B$4:$P$4,0)))</f>
        <v>1</v>
      </c>
    </row>
    <row r="28" customFormat="false" ht="15" hidden="false" customHeight="false" outlineLevel="0" collapsed="false">
      <c r="A28" s="17" t="s">
        <v>269</v>
      </c>
      <c r="B28" s="17" t="s">
        <v>270</v>
      </c>
      <c r="C28" s="17" t="s">
        <v>178</v>
      </c>
      <c r="D28" s="17" t="n">
        <v>54</v>
      </c>
      <c r="E28" s="17" t="s">
        <v>42</v>
      </c>
      <c r="F28" s="17" t="s">
        <v>45</v>
      </c>
      <c r="G28" s="17"/>
      <c r="H28" s="21" t="n">
        <f aca="false">INDEX('Type Chart'!$B$5:$P$19,MATCH(H$4,'Type Chart'!$A$5:$A$19,0),MATCH($E28,'Type Chart'!$B$4:$P$4,0))*IF($F28="",1,INDEX('Type Chart'!$B$5:$P$19,MATCH(H$4,'Type Chart'!$A$5:$A$19,0),MATCH($F28,'Type Chart'!$B$4:$P$4,0)))</f>
        <v>1</v>
      </c>
      <c r="I28" s="21" t="n">
        <f aca="false">INDEX('Type Chart'!$B$5:$P$19,MATCH(I$4,'Type Chart'!$A$5:$A$19,0),MATCH($E28,'Type Chart'!$B$4:$P$4,0))*IF($F28="",1,INDEX('Type Chart'!$B$5:$P$19,MATCH(I$4,'Type Chart'!$A$5:$A$19,0),MATCH($F28,'Type Chart'!$B$4:$P$4,0)))</f>
        <v>1</v>
      </c>
      <c r="J28" s="21" t="n">
        <f aca="false">INDEX('Type Chart'!$B$5:$P$19,MATCH(J$4,'Type Chart'!$A$5:$A$19,0),MATCH($E28,'Type Chart'!$B$4:$P$4,0))*IF($F28="",1,INDEX('Type Chart'!$B$5:$P$19,MATCH(J$4,'Type Chart'!$A$5:$A$19,0),MATCH($F28,'Type Chart'!$B$4:$P$4,0)))</f>
        <v>0.5</v>
      </c>
      <c r="K28" s="21" t="n">
        <f aca="false">INDEX('Type Chart'!$B$5:$P$19,MATCH(K$4,'Type Chart'!$A$5:$A$19,0),MATCH($E28,'Type Chart'!$B$4:$P$4,0))*IF($F28="",1,INDEX('Type Chart'!$B$5:$P$19,MATCH(K$4,'Type Chart'!$A$5:$A$19,0),MATCH($F28,'Type Chart'!$B$4:$P$4,0)))</f>
        <v>2</v>
      </c>
      <c r="L28" s="21" t="n">
        <f aca="false">INDEX('Type Chart'!$B$5:$P$19,MATCH(L$4,'Type Chart'!$A$5:$A$19,0),MATCH($E28,'Type Chart'!$B$4:$P$4,0))*IF($F28="",1,INDEX('Type Chart'!$B$5:$P$19,MATCH(L$4,'Type Chart'!$A$5:$A$19,0),MATCH($F28,'Type Chart'!$B$4:$P$4,0)))</f>
        <v>2</v>
      </c>
      <c r="M28" s="21" t="n">
        <f aca="false">INDEX('Type Chart'!$B$5:$P$19,MATCH(M$4,'Type Chart'!$A$5:$A$19,0),MATCH($E28,'Type Chart'!$B$4:$P$4,0))*IF($F28="",1,INDEX('Type Chart'!$B$5:$P$19,MATCH(M$4,'Type Chart'!$A$5:$A$19,0),MATCH($F28,'Type Chart'!$B$4:$P$4,0)))</f>
        <v>0.25</v>
      </c>
      <c r="N28" s="21" t="n">
        <f aca="false">INDEX('Type Chart'!$B$5:$P$19,MATCH(N$4,'Type Chart'!$A$5:$A$19,0),MATCH($E28,'Type Chart'!$B$4:$P$4,0))*IF($F28="",1,INDEX('Type Chart'!$B$5:$P$19,MATCH(N$4,'Type Chart'!$A$5:$A$19,0),MATCH($F28,'Type Chart'!$B$4:$P$4,0)))</f>
        <v>2</v>
      </c>
      <c r="O28" s="21" t="n">
        <f aca="false">INDEX('Type Chart'!$B$5:$P$19,MATCH(O$4,'Type Chart'!$A$5:$A$19,0),MATCH($E28,'Type Chart'!$B$4:$P$4,0))*IF($F28="",1,INDEX('Type Chart'!$B$5:$P$19,MATCH(O$4,'Type Chart'!$A$5:$A$19,0),MATCH($F28,'Type Chart'!$B$4:$P$4,0)))</f>
        <v>1</v>
      </c>
      <c r="P28" s="21" t="n">
        <f aca="false">INDEX('Type Chart'!$B$5:$P$19,MATCH(P$4,'Type Chart'!$A$5:$A$19,0),MATCH($E28,'Type Chart'!$B$4:$P$4,0))*IF($F28="",1,INDEX('Type Chart'!$B$5:$P$19,MATCH(P$4,'Type Chart'!$A$5:$A$19,0),MATCH($F28,'Type Chart'!$B$4:$P$4,0)))</f>
        <v>1</v>
      </c>
      <c r="Q28" s="21" t="n">
        <f aca="false">INDEX('Type Chart'!$B$5:$P$19,MATCH(Q$4,'Type Chart'!$A$5:$A$19,0),MATCH($E28,'Type Chart'!$B$4:$P$4,0))*IF($F28="",1,INDEX('Type Chart'!$B$5:$P$19,MATCH(Q$4,'Type Chart'!$A$5:$A$19,0),MATCH($F28,'Type Chart'!$B$4:$P$4,0)))</f>
        <v>1</v>
      </c>
      <c r="R28" s="21" t="n">
        <f aca="false">INDEX('Type Chart'!$B$5:$P$19,MATCH(R$4,'Type Chart'!$A$5:$A$19,0),MATCH($E28,'Type Chart'!$B$4:$P$4,0))*IF($F28="",1,INDEX('Type Chart'!$B$5:$P$19,MATCH(R$4,'Type Chart'!$A$5:$A$19,0),MATCH($F28,'Type Chart'!$B$4:$P$4,0)))</f>
        <v>1</v>
      </c>
      <c r="S28" s="21" t="n">
        <f aca="false">INDEX('Type Chart'!$B$5:$P$19,MATCH(S$4,'Type Chart'!$A$5:$A$19,0),MATCH($E28,'Type Chart'!$B$4:$P$4,0))*IF($F28="",1,INDEX('Type Chart'!$B$5:$P$19,MATCH(S$4,'Type Chart'!$A$5:$A$19,0),MATCH($F28,'Type Chart'!$B$4:$P$4,0)))</f>
        <v>1</v>
      </c>
      <c r="T28" s="21" t="n">
        <f aca="false">INDEX('Type Chart'!$B$5:$P$19,MATCH(T$4,'Type Chart'!$A$5:$A$19,0),MATCH($E28,'Type Chart'!$B$4:$P$4,0))*IF($F28="",1,INDEX('Type Chart'!$B$5:$P$19,MATCH(T$4,'Type Chart'!$A$5:$A$19,0),MATCH($F28,'Type Chart'!$B$4:$P$4,0)))</f>
        <v>2</v>
      </c>
      <c r="U28" s="21" t="n">
        <f aca="false">INDEX('Type Chart'!$B$5:$P$19,MATCH(U$4,'Type Chart'!$A$5:$A$19,0),MATCH($E28,'Type Chart'!$B$4:$P$4,0))*IF($F28="",1,INDEX('Type Chart'!$B$5:$P$19,MATCH(U$4,'Type Chart'!$A$5:$A$19,0),MATCH($F28,'Type Chart'!$B$4:$P$4,0)))</f>
        <v>1</v>
      </c>
      <c r="V28" s="21" t="n">
        <f aca="false">INDEX('Type Chart'!$B$5:$P$19,MATCH(V$4,'Type Chart'!$A$5:$A$19,0),MATCH($E28,'Type Chart'!$B$4:$P$4,0))*IF($F28="",1,INDEX('Type Chart'!$B$5:$P$19,MATCH(V$4,'Type Chart'!$A$5:$A$19,0),MATCH($F28,'Type Chart'!$B$4:$P$4,0)))</f>
        <v>1</v>
      </c>
    </row>
    <row r="29" customFormat="false" ht="15" hidden="false" customHeight="false" outlineLevel="0" collapsed="false">
      <c r="A29" s="17" t="s">
        <v>269</v>
      </c>
      <c r="B29" s="17" t="s">
        <v>270</v>
      </c>
      <c r="C29" s="17" t="s">
        <v>182</v>
      </c>
      <c r="D29" s="17" t="n">
        <v>53</v>
      </c>
      <c r="E29" s="17" t="s">
        <v>42</v>
      </c>
      <c r="F29" s="17" t="s">
        <v>45</v>
      </c>
      <c r="G29" s="17"/>
      <c r="H29" s="21" t="n">
        <f aca="false">INDEX('Type Chart'!$B$5:$P$19,MATCH(H$4,'Type Chart'!$A$5:$A$19,0),MATCH($E29,'Type Chart'!$B$4:$P$4,0))*IF($F29="",1,INDEX('Type Chart'!$B$5:$P$19,MATCH(H$4,'Type Chart'!$A$5:$A$19,0),MATCH($F29,'Type Chart'!$B$4:$P$4,0)))</f>
        <v>1</v>
      </c>
      <c r="I29" s="21" t="n">
        <f aca="false">INDEX('Type Chart'!$B$5:$P$19,MATCH(I$4,'Type Chart'!$A$5:$A$19,0),MATCH($E29,'Type Chart'!$B$4:$P$4,0))*IF($F29="",1,INDEX('Type Chart'!$B$5:$P$19,MATCH(I$4,'Type Chart'!$A$5:$A$19,0),MATCH($F29,'Type Chart'!$B$4:$P$4,0)))</f>
        <v>1</v>
      </c>
      <c r="J29" s="21" t="n">
        <f aca="false">INDEX('Type Chart'!$B$5:$P$19,MATCH(J$4,'Type Chart'!$A$5:$A$19,0),MATCH($E29,'Type Chart'!$B$4:$P$4,0))*IF($F29="",1,INDEX('Type Chart'!$B$5:$P$19,MATCH(J$4,'Type Chart'!$A$5:$A$19,0),MATCH($F29,'Type Chart'!$B$4:$P$4,0)))</f>
        <v>0.5</v>
      </c>
      <c r="K29" s="21" t="n">
        <f aca="false">INDEX('Type Chart'!$B$5:$P$19,MATCH(K$4,'Type Chart'!$A$5:$A$19,0),MATCH($E29,'Type Chart'!$B$4:$P$4,0))*IF($F29="",1,INDEX('Type Chart'!$B$5:$P$19,MATCH(K$4,'Type Chart'!$A$5:$A$19,0),MATCH($F29,'Type Chart'!$B$4:$P$4,0)))</f>
        <v>2</v>
      </c>
      <c r="L29" s="21" t="n">
        <f aca="false">INDEX('Type Chart'!$B$5:$P$19,MATCH(L$4,'Type Chart'!$A$5:$A$19,0),MATCH($E29,'Type Chart'!$B$4:$P$4,0))*IF($F29="",1,INDEX('Type Chart'!$B$5:$P$19,MATCH(L$4,'Type Chart'!$A$5:$A$19,0),MATCH($F29,'Type Chart'!$B$4:$P$4,0)))</f>
        <v>2</v>
      </c>
      <c r="M29" s="21" t="n">
        <f aca="false">INDEX('Type Chart'!$B$5:$P$19,MATCH(M$4,'Type Chart'!$A$5:$A$19,0),MATCH($E29,'Type Chart'!$B$4:$P$4,0))*IF($F29="",1,INDEX('Type Chart'!$B$5:$P$19,MATCH(M$4,'Type Chart'!$A$5:$A$19,0),MATCH($F29,'Type Chart'!$B$4:$P$4,0)))</f>
        <v>0.25</v>
      </c>
      <c r="N29" s="21" t="n">
        <f aca="false">INDEX('Type Chart'!$B$5:$P$19,MATCH(N$4,'Type Chart'!$A$5:$A$19,0),MATCH($E29,'Type Chart'!$B$4:$P$4,0))*IF($F29="",1,INDEX('Type Chart'!$B$5:$P$19,MATCH(N$4,'Type Chart'!$A$5:$A$19,0),MATCH($F29,'Type Chart'!$B$4:$P$4,0)))</f>
        <v>2</v>
      </c>
      <c r="O29" s="21" t="n">
        <f aca="false">INDEX('Type Chart'!$B$5:$P$19,MATCH(O$4,'Type Chart'!$A$5:$A$19,0),MATCH($E29,'Type Chart'!$B$4:$P$4,0))*IF($F29="",1,INDEX('Type Chart'!$B$5:$P$19,MATCH(O$4,'Type Chart'!$A$5:$A$19,0),MATCH($F29,'Type Chart'!$B$4:$P$4,0)))</f>
        <v>1</v>
      </c>
      <c r="P29" s="21" t="n">
        <f aca="false">INDEX('Type Chart'!$B$5:$P$19,MATCH(P$4,'Type Chart'!$A$5:$A$19,0),MATCH($E29,'Type Chart'!$B$4:$P$4,0))*IF($F29="",1,INDEX('Type Chart'!$B$5:$P$19,MATCH(P$4,'Type Chart'!$A$5:$A$19,0),MATCH($F29,'Type Chart'!$B$4:$P$4,0)))</f>
        <v>1</v>
      </c>
      <c r="Q29" s="21" t="n">
        <f aca="false">INDEX('Type Chart'!$B$5:$P$19,MATCH(Q$4,'Type Chart'!$A$5:$A$19,0),MATCH($E29,'Type Chart'!$B$4:$P$4,0))*IF($F29="",1,INDEX('Type Chart'!$B$5:$P$19,MATCH(Q$4,'Type Chart'!$A$5:$A$19,0),MATCH($F29,'Type Chart'!$B$4:$P$4,0)))</f>
        <v>1</v>
      </c>
      <c r="R29" s="21" t="n">
        <f aca="false">INDEX('Type Chart'!$B$5:$P$19,MATCH(R$4,'Type Chart'!$A$5:$A$19,0),MATCH($E29,'Type Chart'!$B$4:$P$4,0))*IF($F29="",1,INDEX('Type Chart'!$B$5:$P$19,MATCH(R$4,'Type Chart'!$A$5:$A$19,0),MATCH($F29,'Type Chart'!$B$4:$P$4,0)))</f>
        <v>1</v>
      </c>
      <c r="S29" s="21" t="n">
        <f aca="false">INDEX('Type Chart'!$B$5:$P$19,MATCH(S$4,'Type Chart'!$A$5:$A$19,0),MATCH($E29,'Type Chart'!$B$4:$P$4,0))*IF($F29="",1,INDEX('Type Chart'!$B$5:$P$19,MATCH(S$4,'Type Chart'!$A$5:$A$19,0),MATCH($F29,'Type Chart'!$B$4:$P$4,0)))</f>
        <v>1</v>
      </c>
      <c r="T29" s="21" t="n">
        <f aca="false">INDEX('Type Chart'!$B$5:$P$19,MATCH(T$4,'Type Chart'!$A$5:$A$19,0),MATCH($E29,'Type Chart'!$B$4:$P$4,0))*IF($F29="",1,INDEX('Type Chart'!$B$5:$P$19,MATCH(T$4,'Type Chart'!$A$5:$A$19,0),MATCH($F29,'Type Chart'!$B$4:$P$4,0)))</f>
        <v>2</v>
      </c>
      <c r="U29" s="21" t="n">
        <f aca="false">INDEX('Type Chart'!$B$5:$P$19,MATCH(U$4,'Type Chart'!$A$5:$A$19,0),MATCH($E29,'Type Chart'!$B$4:$P$4,0))*IF($F29="",1,INDEX('Type Chart'!$B$5:$P$19,MATCH(U$4,'Type Chart'!$A$5:$A$19,0),MATCH($F29,'Type Chart'!$B$4:$P$4,0)))</f>
        <v>1</v>
      </c>
      <c r="V29" s="21" t="n">
        <f aca="false">INDEX('Type Chart'!$B$5:$P$19,MATCH(V$4,'Type Chart'!$A$5:$A$19,0),MATCH($E29,'Type Chart'!$B$4:$P$4,0))*IF($F29="",1,INDEX('Type Chart'!$B$5:$P$19,MATCH(V$4,'Type Chart'!$A$5:$A$19,0),MATCH($F29,'Type Chart'!$B$4:$P$4,0)))</f>
        <v>1</v>
      </c>
    </row>
    <row r="30" customFormat="false" ht="15" hidden="false" customHeight="false" outlineLevel="0" collapsed="false">
      <c r="A30" s="17" t="s">
        <v>269</v>
      </c>
      <c r="B30" s="17" t="s">
        <v>270</v>
      </c>
      <c r="C30" s="17" t="s">
        <v>171</v>
      </c>
      <c r="D30" s="17" t="n">
        <v>54</v>
      </c>
      <c r="E30" s="17" t="s">
        <v>42</v>
      </c>
      <c r="F30" s="17" t="s">
        <v>50</v>
      </c>
      <c r="G30" s="17"/>
      <c r="H30" s="21" t="n">
        <f aca="false">INDEX('Type Chart'!$B$5:$P$19,MATCH(H$4,'Type Chart'!$A$5:$A$19,0),MATCH($E30,'Type Chart'!$B$4:$P$4,0))*IF($F30="",1,INDEX('Type Chart'!$B$5:$P$19,MATCH(H$4,'Type Chart'!$A$5:$A$19,0),MATCH($F30,'Type Chart'!$B$4:$P$4,0)))</f>
        <v>1</v>
      </c>
      <c r="I30" s="21" t="n">
        <f aca="false">INDEX('Type Chart'!$B$5:$P$19,MATCH(I$4,'Type Chart'!$A$5:$A$19,0),MATCH($E30,'Type Chart'!$B$4:$P$4,0))*IF($F30="",1,INDEX('Type Chart'!$B$5:$P$19,MATCH(I$4,'Type Chart'!$A$5:$A$19,0),MATCH($F30,'Type Chart'!$B$4:$P$4,0)))</f>
        <v>0.5</v>
      </c>
      <c r="J30" s="21" t="n">
        <f aca="false">INDEX('Type Chart'!$B$5:$P$19,MATCH(J$4,'Type Chart'!$A$5:$A$19,0),MATCH($E30,'Type Chart'!$B$4:$P$4,0))*IF($F30="",1,INDEX('Type Chart'!$B$5:$P$19,MATCH(J$4,'Type Chart'!$A$5:$A$19,0),MATCH($F30,'Type Chart'!$B$4:$P$4,0)))</f>
        <v>0.5</v>
      </c>
      <c r="K30" s="21" t="n">
        <f aca="false">INDEX('Type Chart'!$B$5:$P$19,MATCH(K$4,'Type Chart'!$A$5:$A$19,0),MATCH($E30,'Type Chart'!$B$4:$P$4,0))*IF($F30="",1,INDEX('Type Chart'!$B$5:$P$19,MATCH(K$4,'Type Chart'!$A$5:$A$19,0),MATCH($F30,'Type Chart'!$B$4:$P$4,0)))</f>
        <v>2</v>
      </c>
      <c r="L30" s="21" t="n">
        <f aca="false">INDEX('Type Chart'!$B$5:$P$19,MATCH(L$4,'Type Chart'!$A$5:$A$19,0),MATCH($E30,'Type Chart'!$B$4:$P$4,0))*IF($F30="",1,INDEX('Type Chart'!$B$5:$P$19,MATCH(L$4,'Type Chart'!$A$5:$A$19,0),MATCH($F30,'Type Chart'!$B$4:$P$4,0)))</f>
        <v>2</v>
      </c>
      <c r="M30" s="21" t="n">
        <f aca="false">INDEX('Type Chart'!$B$5:$P$19,MATCH(M$4,'Type Chart'!$A$5:$A$19,0),MATCH($E30,'Type Chart'!$B$4:$P$4,0))*IF($F30="",1,INDEX('Type Chart'!$B$5:$P$19,MATCH(M$4,'Type Chart'!$A$5:$A$19,0),MATCH($F30,'Type Chart'!$B$4:$P$4,0)))</f>
        <v>0.5</v>
      </c>
      <c r="N30" s="21" t="n">
        <f aca="false">INDEX('Type Chart'!$B$5:$P$19,MATCH(N$4,'Type Chart'!$A$5:$A$19,0),MATCH($E30,'Type Chart'!$B$4:$P$4,0))*IF($F30="",1,INDEX('Type Chart'!$B$5:$P$19,MATCH(N$4,'Type Chart'!$A$5:$A$19,0),MATCH($F30,'Type Chart'!$B$4:$P$4,0)))</f>
        <v>0.5</v>
      </c>
      <c r="O30" s="21" t="n">
        <f aca="false">INDEX('Type Chart'!$B$5:$P$19,MATCH(O$4,'Type Chart'!$A$5:$A$19,0),MATCH($E30,'Type Chart'!$B$4:$P$4,0))*IF($F30="",1,INDEX('Type Chart'!$B$5:$P$19,MATCH(O$4,'Type Chart'!$A$5:$A$19,0),MATCH($F30,'Type Chart'!$B$4:$P$4,0)))</f>
        <v>1</v>
      </c>
      <c r="P30" s="21" t="n">
        <f aca="false">INDEX('Type Chart'!$B$5:$P$19,MATCH(P$4,'Type Chart'!$A$5:$A$19,0),MATCH($E30,'Type Chart'!$B$4:$P$4,0))*IF($F30="",1,INDEX('Type Chart'!$B$5:$P$19,MATCH(P$4,'Type Chart'!$A$5:$A$19,0),MATCH($F30,'Type Chart'!$B$4:$P$4,0)))</f>
        <v>1</v>
      </c>
      <c r="Q30" s="21" t="n">
        <f aca="false">INDEX('Type Chart'!$B$5:$P$19,MATCH(Q$4,'Type Chart'!$A$5:$A$19,0),MATCH($E30,'Type Chart'!$B$4:$P$4,0))*IF($F30="",1,INDEX('Type Chart'!$B$5:$P$19,MATCH(Q$4,'Type Chart'!$A$5:$A$19,0),MATCH($F30,'Type Chart'!$B$4:$P$4,0)))</f>
        <v>1</v>
      </c>
      <c r="R30" s="21" t="n">
        <f aca="false">INDEX('Type Chart'!$B$5:$P$19,MATCH(R$4,'Type Chart'!$A$5:$A$19,0),MATCH($E30,'Type Chart'!$B$4:$P$4,0))*IF($F30="",1,INDEX('Type Chart'!$B$5:$P$19,MATCH(R$4,'Type Chart'!$A$5:$A$19,0),MATCH($F30,'Type Chart'!$B$4:$P$4,0)))</f>
        <v>0.5</v>
      </c>
      <c r="S30" s="21" t="n">
        <f aca="false">INDEX('Type Chart'!$B$5:$P$19,MATCH(S$4,'Type Chart'!$A$5:$A$19,0),MATCH($E30,'Type Chart'!$B$4:$P$4,0))*IF($F30="",1,INDEX('Type Chart'!$B$5:$P$19,MATCH(S$4,'Type Chart'!$A$5:$A$19,0),MATCH($F30,'Type Chart'!$B$4:$P$4,0)))</f>
        <v>2</v>
      </c>
      <c r="T30" s="21" t="n">
        <f aca="false">INDEX('Type Chart'!$B$5:$P$19,MATCH(T$4,'Type Chart'!$A$5:$A$19,0),MATCH($E30,'Type Chart'!$B$4:$P$4,0))*IF($F30="",1,INDEX('Type Chart'!$B$5:$P$19,MATCH(T$4,'Type Chart'!$A$5:$A$19,0),MATCH($F30,'Type Chart'!$B$4:$P$4,0)))</f>
        <v>1</v>
      </c>
      <c r="U30" s="21" t="n">
        <f aca="false">INDEX('Type Chart'!$B$5:$P$19,MATCH(U$4,'Type Chart'!$A$5:$A$19,0),MATCH($E30,'Type Chart'!$B$4:$P$4,0))*IF($F30="",1,INDEX('Type Chart'!$B$5:$P$19,MATCH(U$4,'Type Chart'!$A$5:$A$19,0),MATCH($F30,'Type Chart'!$B$4:$P$4,0)))</f>
        <v>0</v>
      </c>
      <c r="V30" s="21" t="n">
        <f aca="false">INDEX('Type Chart'!$B$5:$P$19,MATCH(V$4,'Type Chart'!$A$5:$A$19,0),MATCH($E30,'Type Chart'!$B$4:$P$4,0))*IF($F30="",1,INDEX('Type Chart'!$B$5:$P$19,MATCH(V$4,'Type Chart'!$A$5:$A$19,0),MATCH($F30,'Type Chart'!$B$4:$P$4,0)))</f>
        <v>1</v>
      </c>
    </row>
    <row r="31" customFormat="false" ht="15" hidden="false" customHeight="false" outlineLevel="0" collapsed="false">
      <c r="A31" s="17" t="s">
        <v>269</v>
      </c>
      <c r="B31" s="17" t="s">
        <v>270</v>
      </c>
      <c r="C31" s="17" t="s">
        <v>215</v>
      </c>
      <c r="D31" s="17" t="n">
        <v>56</v>
      </c>
      <c r="E31" s="17" t="s">
        <v>45</v>
      </c>
      <c r="F31" s="17" t="s">
        <v>50</v>
      </c>
      <c r="G31" s="17"/>
      <c r="H31" s="21" t="n">
        <f aca="false">INDEX('Type Chart'!$B$5:$P$19,MATCH(H$4,'Type Chart'!$A$5:$A$19,0),MATCH($E31,'Type Chart'!$B$4:$P$4,0))*IF($F31="",1,INDEX('Type Chart'!$B$5:$P$19,MATCH(H$4,'Type Chart'!$A$5:$A$19,0),MATCH($F31,'Type Chart'!$B$4:$P$4,0)))</f>
        <v>1</v>
      </c>
      <c r="I31" s="21" t="n">
        <f aca="false">INDEX('Type Chart'!$B$5:$P$19,MATCH(I$4,'Type Chart'!$A$5:$A$19,0),MATCH($E31,'Type Chart'!$B$4:$P$4,0))*IF($F31="",1,INDEX('Type Chart'!$B$5:$P$19,MATCH(I$4,'Type Chart'!$A$5:$A$19,0),MATCH($F31,'Type Chart'!$B$4:$P$4,0)))</f>
        <v>2</v>
      </c>
      <c r="J31" s="21" t="n">
        <f aca="false">INDEX('Type Chart'!$B$5:$P$19,MATCH(J$4,'Type Chart'!$A$5:$A$19,0),MATCH($E31,'Type Chart'!$B$4:$P$4,0))*IF($F31="",1,INDEX('Type Chart'!$B$5:$P$19,MATCH(J$4,'Type Chart'!$A$5:$A$19,0),MATCH($F31,'Type Chart'!$B$4:$P$4,0)))</f>
        <v>1</v>
      </c>
      <c r="K31" s="21" t="n">
        <f aca="false">INDEX('Type Chart'!$B$5:$P$19,MATCH(K$4,'Type Chart'!$A$5:$A$19,0),MATCH($E31,'Type Chart'!$B$4:$P$4,0))*IF($F31="",1,INDEX('Type Chart'!$B$5:$P$19,MATCH(K$4,'Type Chart'!$A$5:$A$19,0),MATCH($F31,'Type Chart'!$B$4:$P$4,0)))</f>
        <v>1</v>
      </c>
      <c r="L31" s="21" t="n">
        <f aca="false">INDEX('Type Chart'!$B$5:$P$19,MATCH(L$4,'Type Chart'!$A$5:$A$19,0),MATCH($E31,'Type Chart'!$B$4:$P$4,0))*IF($F31="",1,INDEX('Type Chart'!$B$5:$P$19,MATCH(L$4,'Type Chart'!$A$5:$A$19,0),MATCH($F31,'Type Chart'!$B$4:$P$4,0)))</f>
        <v>1</v>
      </c>
      <c r="M31" s="21" t="n">
        <f aca="false">INDEX('Type Chart'!$B$5:$P$19,MATCH(M$4,'Type Chart'!$A$5:$A$19,0),MATCH($E31,'Type Chart'!$B$4:$P$4,0))*IF($F31="",1,INDEX('Type Chart'!$B$5:$P$19,MATCH(M$4,'Type Chart'!$A$5:$A$19,0),MATCH($F31,'Type Chart'!$B$4:$P$4,0)))</f>
        <v>0.5</v>
      </c>
      <c r="N31" s="21" t="n">
        <f aca="false">INDEX('Type Chart'!$B$5:$P$19,MATCH(N$4,'Type Chart'!$A$5:$A$19,0),MATCH($E31,'Type Chart'!$B$4:$P$4,0))*IF($F31="",1,INDEX('Type Chart'!$B$5:$P$19,MATCH(N$4,'Type Chart'!$A$5:$A$19,0),MATCH($F31,'Type Chart'!$B$4:$P$4,0)))</f>
        <v>1</v>
      </c>
      <c r="O31" s="21" t="n">
        <f aca="false">INDEX('Type Chart'!$B$5:$P$19,MATCH(O$4,'Type Chart'!$A$5:$A$19,0),MATCH($E31,'Type Chart'!$B$4:$P$4,0))*IF($F31="",1,INDEX('Type Chart'!$B$5:$P$19,MATCH(O$4,'Type Chart'!$A$5:$A$19,0),MATCH($F31,'Type Chart'!$B$4:$P$4,0)))</f>
        <v>1</v>
      </c>
      <c r="P31" s="21" t="n">
        <f aca="false">INDEX('Type Chart'!$B$5:$P$19,MATCH(P$4,'Type Chart'!$A$5:$A$19,0),MATCH($E31,'Type Chart'!$B$4:$P$4,0))*IF($F31="",1,INDEX('Type Chart'!$B$5:$P$19,MATCH(P$4,'Type Chart'!$A$5:$A$19,0),MATCH($F31,'Type Chart'!$B$4:$P$4,0)))</f>
        <v>1</v>
      </c>
      <c r="Q31" s="21" t="n">
        <f aca="false">INDEX('Type Chart'!$B$5:$P$19,MATCH(Q$4,'Type Chart'!$A$5:$A$19,0),MATCH($E31,'Type Chart'!$B$4:$P$4,0))*IF($F31="",1,INDEX('Type Chart'!$B$5:$P$19,MATCH(Q$4,'Type Chart'!$A$5:$A$19,0),MATCH($F31,'Type Chart'!$B$4:$P$4,0)))</f>
        <v>1</v>
      </c>
      <c r="R31" s="21" t="n">
        <f aca="false">INDEX('Type Chart'!$B$5:$P$19,MATCH(R$4,'Type Chart'!$A$5:$A$19,0),MATCH($E31,'Type Chart'!$B$4:$P$4,0))*IF($F31="",1,INDEX('Type Chart'!$B$5:$P$19,MATCH(R$4,'Type Chart'!$A$5:$A$19,0),MATCH($F31,'Type Chart'!$B$4:$P$4,0)))</f>
        <v>0.5</v>
      </c>
      <c r="S31" s="21" t="n">
        <f aca="false">INDEX('Type Chart'!$B$5:$P$19,MATCH(S$4,'Type Chart'!$A$5:$A$19,0),MATCH($E31,'Type Chart'!$B$4:$P$4,0))*IF($F31="",1,INDEX('Type Chart'!$B$5:$P$19,MATCH(S$4,'Type Chart'!$A$5:$A$19,0),MATCH($F31,'Type Chart'!$B$4:$P$4,0)))</f>
        <v>2</v>
      </c>
      <c r="T31" s="21" t="n">
        <f aca="false">INDEX('Type Chart'!$B$5:$P$19,MATCH(T$4,'Type Chart'!$A$5:$A$19,0),MATCH($E31,'Type Chart'!$B$4:$P$4,0))*IF($F31="",1,INDEX('Type Chart'!$B$5:$P$19,MATCH(T$4,'Type Chart'!$A$5:$A$19,0),MATCH($F31,'Type Chart'!$B$4:$P$4,0)))</f>
        <v>2</v>
      </c>
      <c r="U31" s="21" t="n">
        <f aca="false">INDEX('Type Chart'!$B$5:$P$19,MATCH(U$4,'Type Chart'!$A$5:$A$19,0),MATCH($E31,'Type Chart'!$B$4:$P$4,0))*IF($F31="",1,INDEX('Type Chart'!$B$5:$P$19,MATCH(U$4,'Type Chart'!$A$5:$A$19,0),MATCH($F31,'Type Chart'!$B$4:$P$4,0)))</f>
        <v>0</v>
      </c>
      <c r="V31" s="21" t="n">
        <f aca="false">INDEX('Type Chart'!$B$5:$P$19,MATCH(V$4,'Type Chart'!$A$5:$A$19,0),MATCH($E31,'Type Chart'!$B$4:$P$4,0))*IF($F31="",1,INDEX('Type Chart'!$B$5:$P$19,MATCH(V$4,'Type Chart'!$A$5:$A$19,0),MATCH($F31,'Type Chart'!$B$4:$P$4,0)))</f>
        <v>1</v>
      </c>
    </row>
    <row r="32" customFormat="false" ht="15" hidden="false" customHeight="false" outlineLevel="0" collapsed="false">
      <c r="A32" s="22" t="s">
        <v>269</v>
      </c>
      <c r="B32" s="22" t="s">
        <v>270</v>
      </c>
      <c r="C32" s="22" t="s">
        <v>222</v>
      </c>
      <c r="D32" s="17" t="n">
        <v>56</v>
      </c>
      <c r="E32" s="17" t="s">
        <v>42</v>
      </c>
      <c r="F32" s="17" t="s">
        <v>45</v>
      </c>
      <c r="G32" s="17" t="s">
        <v>254</v>
      </c>
      <c r="H32" s="21" t="n">
        <f aca="false">INDEX('Type Chart'!$B$5:$P$19,MATCH(H$4,'Type Chart'!$A$5:$A$19,0),MATCH($E32,'Type Chart'!$B$4:$P$4,0))*IF($F32="",1,INDEX('Type Chart'!$B$5:$P$19,MATCH(H$4,'Type Chart'!$A$5:$A$19,0),MATCH($F32,'Type Chart'!$B$4:$P$4,0)))</f>
        <v>1</v>
      </c>
      <c r="I32" s="21" t="n">
        <f aca="false">INDEX('Type Chart'!$B$5:$P$19,MATCH(I$4,'Type Chart'!$A$5:$A$19,0),MATCH($E32,'Type Chart'!$B$4:$P$4,0))*IF($F32="",1,INDEX('Type Chart'!$B$5:$P$19,MATCH(I$4,'Type Chart'!$A$5:$A$19,0),MATCH($F32,'Type Chart'!$B$4:$P$4,0)))</f>
        <v>1</v>
      </c>
      <c r="J32" s="21" t="n">
        <f aca="false">INDEX('Type Chart'!$B$5:$P$19,MATCH(J$4,'Type Chart'!$A$5:$A$19,0),MATCH($E32,'Type Chart'!$B$4:$P$4,0))*IF($F32="",1,INDEX('Type Chart'!$B$5:$P$19,MATCH(J$4,'Type Chart'!$A$5:$A$19,0),MATCH($F32,'Type Chart'!$B$4:$P$4,0)))</f>
        <v>0.5</v>
      </c>
      <c r="K32" s="21" t="n">
        <f aca="false">INDEX('Type Chart'!$B$5:$P$19,MATCH(K$4,'Type Chart'!$A$5:$A$19,0),MATCH($E32,'Type Chart'!$B$4:$P$4,0))*IF($F32="",1,INDEX('Type Chart'!$B$5:$P$19,MATCH(K$4,'Type Chart'!$A$5:$A$19,0),MATCH($F32,'Type Chart'!$B$4:$P$4,0)))</f>
        <v>2</v>
      </c>
      <c r="L32" s="21" t="n">
        <f aca="false">INDEX('Type Chart'!$B$5:$P$19,MATCH(L$4,'Type Chart'!$A$5:$A$19,0),MATCH($E32,'Type Chart'!$B$4:$P$4,0))*IF($F32="",1,INDEX('Type Chart'!$B$5:$P$19,MATCH(L$4,'Type Chart'!$A$5:$A$19,0),MATCH($F32,'Type Chart'!$B$4:$P$4,0)))</f>
        <v>2</v>
      </c>
      <c r="M32" s="21" t="n">
        <f aca="false">INDEX('Type Chart'!$B$5:$P$19,MATCH(M$4,'Type Chart'!$A$5:$A$19,0),MATCH($E32,'Type Chart'!$B$4:$P$4,0))*IF($F32="",1,INDEX('Type Chart'!$B$5:$P$19,MATCH(M$4,'Type Chart'!$A$5:$A$19,0),MATCH($F32,'Type Chart'!$B$4:$P$4,0)))</f>
        <v>0.25</v>
      </c>
      <c r="N32" s="21" t="n">
        <f aca="false">INDEX('Type Chart'!$B$5:$P$19,MATCH(N$4,'Type Chart'!$A$5:$A$19,0),MATCH($E32,'Type Chart'!$B$4:$P$4,0))*IF($F32="",1,INDEX('Type Chart'!$B$5:$P$19,MATCH(N$4,'Type Chart'!$A$5:$A$19,0),MATCH($F32,'Type Chart'!$B$4:$P$4,0)))</f>
        <v>2</v>
      </c>
      <c r="O32" s="21" t="n">
        <f aca="false">INDEX('Type Chart'!$B$5:$P$19,MATCH(O$4,'Type Chart'!$A$5:$A$19,0),MATCH($E32,'Type Chart'!$B$4:$P$4,0))*IF($F32="",1,INDEX('Type Chart'!$B$5:$P$19,MATCH(O$4,'Type Chart'!$A$5:$A$19,0),MATCH($F32,'Type Chart'!$B$4:$P$4,0)))</f>
        <v>1</v>
      </c>
      <c r="P32" s="21" t="n">
        <f aca="false">INDEX('Type Chart'!$B$5:$P$19,MATCH(P$4,'Type Chart'!$A$5:$A$19,0),MATCH($E32,'Type Chart'!$B$4:$P$4,0))*IF($F32="",1,INDEX('Type Chart'!$B$5:$P$19,MATCH(P$4,'Type Chart'!$A$5:$A$19,0),MATCH($F32,'Type Chart'!$B$4:$P$4,0)))</f>
        <v>1</v>
      </c>
      <c r="Q32" s="21" t="n">
        <f aca="false">INDEX('Type Chart'!$B$5:$P$19,MATCH(Q$4,'Type Chart'!$A$5:$A$19,0),MATCH($E32,'Type Chart'!$B$4:$P$4,0))*IF($F32="",1,INDEX('Type Chart'!$B$5:$P$19,MATCH(Q$4,'Type Chart'!$A$5:$A$19,0),MATCH($F32,'Type Chart'!$B$4:$P$4,0)))</f>
        <v>1</v>
      </c>
      <c r="R32" s="21" t="n">
        <f aca="false">INDEX('Type Chart'!$B$5:$P$19,MATCH(R$4,'Type Chart'!$A$5:$A$19,0),MATCH($E32,'Type Chart'!$B$4:$P$4,0))*IF($F32="",1,INDEX('Type Chart'!$B$5:$P$19,MATCH(R$4,'Type Chart'!$A$5:$A$19,0),MATCH($F32,'Type Chart'!$B$4:$P$4,0)))</f>
        <v>1</v>
      </c>
      <c r="S32" s="21" t="n">
        <f aca="false">INDEX('Type Chart'!$B$5:$P$19,MATCH(S$4,'Type Chart'!$A$5:$A$19,0),MATCH($E32,'Type Chart'!$B$4:$P$4,0))*IF($F32="",1,INDEX('Type Chart'!$B$5:$P$19,MATCH(S$4,'Type Chart'!$A$5:$A$19,0),MATCH($F32,'Type Chart'!$B$4:$P$4,0)))</f>
        <v>1</v>
      </c>
      <c r="T32" s="21" t="n">
        <f aca="false">INDEX('Type Chart'!$B$5:$P$19,MATCH(T$4,'Type Chart'!$A$5:$A$19,0),MATCH($E32,'Type Chart'!$B$4:$P$4,0))*IF($F32="",1,INDEX('Type Chart'!$B$5:$P$19,MATCH(T$4,'Type Chart'!$A$5:$A$19,0),MATCH($F32,'Type Chart'!$B$4:$P$4,0)))</f>
        <v>2</v>
      </c>
      <c r="U32" s="21" t="n">
        <f aca="false">INDEX('Type Chart'!$B$5:$P$19,MATCH(U$4,'Type Chart'!$A$5:$A$19,0),MATCH($E32,'Type Chart'!$B$4:$P$4,0))*IF($F32="",1,INDEX('Type Chart'!$B$5:$P$19,MATCH(U$4,'Type Chart'!$A$5:$A$19,0),MATCH($F32,'Type Chart'!$B$4:$P$4,0)))</f>
        <v>1</v>
      </c>
      <c r="V32" s="21" t="n">
        <f aca="false">INDEX('Type Chart'!$B$5:$P$19,MATCH(V$4,'Type Chart'!$A$5:$A$19,0),MATCH($E32,'Type Chart'!$B$4:$P$4,0))*IF($F32="",1,INDEX('Type Chart'!$B$5:$P$19,MATCH(V$4,'Type Chart'!$A$5:$A$19,0),MATCH($F32,'Type Chart'!$B$4:$P$4,0)))</f>
        <v>1</v>
      </c>
    </row>
    <row r="33" customFormat="false" ht="15" hidden="false" customHeight="false" outlineLevel="0" collapsed="false">
      <c r="A33" s="17" t="s">
        <v>271</v>
      </c>
      <c r="B33" s="17" t="s">
        <v>270</v>
      </c>
      <c r="C33" s="17" t="s">
        <v>186</v>
      </c>
      <c r="D33" s="17" t="n">
        <v>53</v>
      </c>
      <c r="E33" s="17" t="s">
        <v>52</v>
      </c>
      <c r="F33" s="17" t="s">
        <v>48</v>
      </c>
      <c r="G33" s="17"/>
      <c r="H33" s="21" t="n">
        <f aca="false">INDEX('Type Chart'!$B$5:$P$19,MATCH(H$4,'Type Chart'!$A$5:$A$19,0),MATCH($E33,'Type Chart'!$B$4:$P$4,0))*IF($F33="",1,INDEX('Type Chart'!$B$5:$P$19,MATCH(H$4,'Type Chart'!$A$5:$A$19,0),MATCH($F33,'Type Chart'!$B$4:$P$4,0)))</f>
        <v>0.5</v>
      </c>
      <c r="I33" s="21" t="n">
        <f aca="false">INDEX('Type Chart'!$B$5:$P$19,MATCH(I$4,'Type Chart'!$A$5:$A$19,0),MATCH($E33,'Type Chart'!$B$4:$P$4,0))*IF($F33="",1,INDEX('Type Chart'!$B$5:$P$19,MATCH(I$4,'Type Chart'!$A$5:$A$19,0),MATCH($F33,'Type Chart'!$B$4:$P$4,0)))</f>
        <v>0.5</v>
      </c>
      <c r="J33" s="21" t="n">
        <f aca="false">INDEX('Type Chart'!$B$5:$P$19,MATCH(J$4,'Type Chart'!$A$5:$A$19,0),MATCH($E33,'Type Chart'!$B$4:$P$4,0))*IF($F33="",1,INDEX('Type Chart'!$B$5:$P$19,MATCH(J$4,'Type Chart'!$A$5:$A$19,0),MATCH($F33,'Type Chart'!$B$4:$P$4,0)))</f>
        <v>4</v>
      </c>
      <c r="K33" s="21" t="n">
        <f aca="false">INDEX('Type Chart'!$B$5:$P$19,MATCH(K$4,'Type Chart'!$A$5:$A$19,0),MATCH($E33,'Type Chart'!$B$4:$P$4,0))*IF($F33="",1,INDEX('Type Chart'!$B$5:$P$19,MATCH(K$4,'Type Chart'!$A$5:$A$19,0),MATCH($F33,'Type Chart'!$B$4:$P$4,0)))</f>
        <v>0</v>
      </c>
      <c r="L33" s="21" t="n">
        <f aca="false">INDEX('Type Chart'!$B$5:$P$19,MATCH(L$4,'Type Chart'!$A$5:$A$19,0),MATCH($E33,'Type Chart'!$B$4:$P$4,0))*IF($F33="",1,INDEX('Type Chart'!$B$5:$P$19,MATCH(L$4,'Type Chart'!$A$5:$A$19,0),MATCH($F33,'Type Chart'!$B$4:$P$4,0)))</f>
        <v>4</v>
      </c>
      <c r="M33" s="21" t="n">
        <f aca="false">INDEX('Type Chart'!$B$5:$P$19,MATCH(M$4,'Type Chart'!$A$5:$A$19,0),MATCH($E33,'Type Chart'!$B$4:$P$4,0))*IF($F33="",1,INDEX('Type Chart'!$B$5:$P$19,MATCH(M$4,'Type Chart'!$A$5:$A$19,0),MATCH($F33,'Type Chart'!$B$4:$P$4,0)))</f>
        <v>2</v>
      </c>
      <c r="N33" s="21" t="n">
        <f aca="false">INDEX('Type Chart'!$B$5:$P$19,MATCH(N$4,'Type Chart'!$A$5:$A$19,0),MATCH($E33,'Type Chart'!$B$4:$P$4,0))*IF($F33="",1,INDEX('Type Chart'!$B$5:$P$19,MATCH(N$4,'Type Chart'!$A$5:$A$19,0),MATCH($F33,'Type Chart'!$B$4:$P$4,0)))</f>
        <v>2</v>
      </c>
      <c r="O33" s="21" t="n">
        <f aca="false">INDEX('Type Chart'!$B$5:$P$19,MATCH(O$4,'Type Chart'!$A$5:$A$19,0),MATCH($E33,'Type Chart'!$B$4:$P$4,0))*IF($F33="",1,INDEX('Type Chart'!$B$5:$P$19,MATCH(O$4,'Type Chart'!$A$5:$A$19,0),MATCH($F33,'Type Chart'!$B$4:$P$4,0)))</f>
        <v>0.25</v>
      </c>
      <c r="P33" s="21" t="n">
        <f aca="false">INDEX('Type Chart'!$B$5:$P$19,MATCH(P$4,'Type Chart'!$A$5:$A$19,0),MATCH($E33,'Type Chart'!$B$4:$P$4,0))*IF($F33="",1,INDEX('Type Chart'!$B$5:$P$19,MATCH(P$4,'Type Chart'!$A$5:$A$19,0),MATCH($F33,'Type Chart'!$B$4:$P$4,0)))</f>
        <v>2</v>
      </c>
      <c r="Q33" s="21" t="n">
        <f aca="false">INDEX('Type Chart'!$B$5:$P$19,MATCH(Q$4,'Type Chart'!$A$5:$A$19,0),MATCH($E33,'Type Chart'!$B$4:$P$4,0))*IF($F33="",1,INDEX('Type Chart'!$B$5:$P$19,MATCH(Q$4,'Type Chart'!$A$5:$A$19,0),MATCH($F33,'Type Chart'!$B$4:$P$4,0)))</f>
        <v>0.5</v>
      </c>
      <c r="R33" s="21" t="n">
        <f aca="false">INDEX('Type Chart'!$B$5:$P$19,MATCH(R$4,'Type Chart'!$A$5:$A$19,0),MATCH($E33,'Type Chart'!$B$4:$P$4,0))*IF($F33="",1,INDEX('Type Chart'!$B$5:$P$19,MATCH(R$4,'Type Chart'!$A$5:$A$19,0),MATCH($F33,'Type Chart'!$B$4:$P$4,0)))</f>
        <v>1</v>
      </c>
      <c r="S33" s="21" t="n">
        <f aca="false">INDEX('Type Chart'!$B$5:$P$19,MATCH(S$4,'Type Chart'!$A$5:$A$19,0),MATCH($E33,'Type Chart'!$B$4:$P$4,0))*IF($F33="",1,INDEX('Type Chart'!$B$5:$P$19,MATCH(S$4,'Type Chart'!$A$5:$A$19,0),MATCH($F33,'Type Chart'!$B$4:$P$4,0)))</f>
        <v>1</v>
      </c>
      <c r="T33" s="21" t="n">
        <f aca="false">INDEX('Type Chart'!$B$5:$P$19,MATCH(T$4,'Type Chart'!$A$5:$A$19,0),MATCH($E33,'Type Chart'!$B$4:$P$4,0))*IF($F33="",1,INDEX('Type Chart'!$B$5:$P$19,MATCH(T$4,'Type Chart'!$A$5:$A$19,0),MATCH($F33,'Type Chart'!$B$4:$P$4,0)))</f>
        <v>0.5</v>
      </c>
      <c r="U33" s="21" t="n">
        <f aca="false">INDEX('Type Chart'!$B$5:$P$19,MATCH(U$4,'Type Chart'!$A$5:$A$19,0),MATCH($E33,'Type Chart'!$B$4:$P$4,0))*IF($F33="",1,INDEX('Type Chart'!$B$5:$P$19,MATCH(U$4,'Type Chart'!$A$5:$A$19,0),MATCH($F33,'Type Chart'!$B$4:$P$4,0)))</f>
        <v>1</v>
      </c>
      <c r="V33" s="21" t="n">
        <f aca="false">INDEX('Type Chart'!$B$5:$P$19,MATCH(V$4,'Type Chart'!$A$5:$A$19,0),MATCH($E33,'Type Chart'!$B$4:$P$4,0))*IF($F33="",1,INDEX('Type Chart'!$B$5:$P$19,MATCH(V$4,'Type Chart'!$A$5:$A$19,0),MATCH($F33,'Type Chart'!$B$4:$P$4,0)))</f>
        <v>1</v>
      </c>
    </row>
    <row r="34" customFormat="false" ht="15" hidden="false" customHeight="false" outlineLevel="0" collapsed="false">
      <c r="A34" s="17" t="s">
        <v>271</v>
      </c>
      <c r="B34" s="17" t="s">
        <v>270</v>
      </c>
      <c r="C34" s="17" t="s">
        <v>198</v>
      </c>
      <c r="D34" s="17" t="n">
        <v>55</v>
      </c>
      <c r="E34" s="17" t="s">
        <v>46</v>
      </c>
      <c r="F34" s="17"/>
      <c r="G34" s="17"/>
      <c r="H34" s="21" t="n">
        <f aca="false">INDEX('Type Chart'!$B$5:$P$19,MATCH(H$4,'Type Chart'!$A$5:$A$19,0),MATCH($E34,'Type Chart'!$B$4:$P$4,0))*IF($F34="",1,INDEX('Type Chart'!$B$5:$P$19,MATCH(H$4,'Type Chart'!$A$5:$A$19,0),MATCH($F34,'Type Chart'!$B$4:$P$4,0)))</f>
        <v>1</v>
      </c>
      <c r="I34" s="21" t="n">
        <f aca="false">INDEX('Type Chart'!$B$5:$P$19,MATCH(I$4,'Type Chart'!$A$5:$A$19,0),MATCH($E34,'Type Chart'!$B$4:$P$4,0))*IF($F34="",1,INDEX('Type Chart'!$B$5:$P$19,MATCH(I$4,'Type Chart'!$A$5:$A$19,0),MATCH($F34,'Type Chart'!$B$4:$P$4,0)))</f>
        <v>1</v>
      </c>
      <c r="J34" s="21" t="n">
        <f aca="false">INDEX('Type Chart'!$B$5:$P$19,MATCH(J$4,'Type Chart'!$A$5:$A$19,0),MATCH($E34,'Type Chart'!$B$4:$P$4,0))*IF($F34="",1,INDEX('Type Chart'!$B$5:$P$19,MATCH(J$4,'Type Chart'!$A$5:$A$19,0),MATCH($F34,'Type Chart'!$B$4:$P$4,0)))</f>
        <v>1</v>
      </c>
      <c r="K34" s="21" t="n">
        <f aca="false">INDEX('Type Chart'!$B$5:$P$19,MATCH(K$4,'Type Chart'!$A$5:$A$19,0),MATCH($E34,'Type Chart'!$B$4:$P$4,0))*IF($F34="",1,INDEX('Type Chart'!$B$5:$P$19,MATCH(K$4,'Type Chart'!$A$5:$A$19,0),MATCH($F34,'Type Chart'!$B$4:$P$4,0)))</f>
        <v>1</v>
      </c>
      <c r="L34" s="21" t="n">
        <f aca="false">INDEX('Type Chart'!$B$5:$P$19,MATCH(L$4,'Type Chart'!$A$5:$A$19,0),MATCH($E34,'Type Chart'!$B$4:$P$4,0))*IF($F34="",1,INDEX('Type Chart'!$B$5:$P$19,MATCH(L$4,'Type Chart'!$A$5:$A$19,0),MATCH($F34,'Type Chart'!$B$4:$P$4,0)))</f>
        <v>1</v>
      </c>
      <c r="M34" s="21" t="n">
        <f aca="false">INDEX('Type Chart'!$B$5:$P$19,MATCH(M$4,'Type Chart'!$A$5:$A$19,0),MATCH($E34,'Type Chart'!$B$4:$P$4,0))*IF($F34="",1,INDEX('Type Chart'!$B$5:$P$19,MATCH(M$4,'Type Chart'!$A$5:$A$19,0),MATCH($F34,'Type Chart'!$B$4:$P$4,0)))</f>
        <v>1</v>
      </c>
      <c r="N34" s="21" t="n">
        <f aca="false">INDEX('Type Chart'!$B$5:$P$19,MATCH(N$4,'Type Chart'!$A$5:$A$19,0),MATCH($E34,'Type Chart'!$B$4:$P$4,0))*IF($F34="",1,INDEX('Type Chart'!$B$5:$P$19,MATCH(N$4,'Type Chart'!$A$5:$A$19,0),MATCH($F34,'Type Chart'!$B$4:$P$4,0)))</f>
        <v>1</v>
      </c>
      <c r="O34" s="21" t="n">
        <f aca="false">INDEX('Type Chart'!$B$5:$P$19,MATCH(O$4,'Type Chart'!$A$5:$A$19,0),MATCH($E34,'Type Chart'!$B$4:$P$4,0))*IF($F34="",1,INDEX('Type Chart'!$B$5:$P$19,MATCH(O$4,'Type Chart'!$A$5:$A$19,0),MATCH($F34,'Type Chart'!$B$4:$P$4,0)))</f>
        <v>1</v>
      </c>
      <c r="P34" s="21" t="n">
        <f aca="false">INDEX('Type Chart'!$B$5:$P$19,MATCH(P$4,'Type Chart'!$A$5:$A$19,0),MATCH($E34,'Type Chart'!$B$4:$P$4,0))*IF($F34="",1,INDEX('Type Chart'!$B$5:$P$19,MATCH(P$4,'Type Chart'!$A$5:$A$19,0),MATCH($F34,'Type Chart'!$B$4:$P$4,0)))</f>
        <v>1</v>
      </c>
      <c r="Q34" s="21" t="n">
        <f aca="false">INDEX('Type Chart'!$B$5:$P$19,MATCH(Q$4,'Type Chart'!$A$5:$A$19,0),MATCH($E34,'Type Chart'!$B$4:$P$4,0))*IF($F34="",1,INDEX('Type Chart'!$B$5:$P$19,MATCH(Q$4,'Type Chart'!$A$5:$A$19,0),MATCH($F34,'Type Chart'!$B$4:$P$4,0)))</f>
        <v>2</v>
      </c>
      <c r="R34" s="21" t="n">
        <f aca="false">INDEX('Type Chart'!$B$5:$P$19,MATCH(R$4,'Type Chart'!$A$5:$A$19,0),MATCH($E34,'Type Chart'!$B$4:$P$4,0))*IF($F34="",1,INDEX('Type Chart'!$B$5:$P$19,MATCH(R$4,'Type Chart'!$A$5:$A$19,0),MATCH($F34,'Type Chart'!$B$4:$P$4,0)))</f>
        <v>2</v>
      </c>
      <c r="S34" s="21" t="n">
        <f aca="false">INDEX('Type Chart'!$B$5:$P$19,MATCH(S$4,'Type Chart'!$A$5:$A$19,0),MATCH($E34,'Type Chart'!$B$4:$P$4,0))*IF($F34="",1,INDEX('Type Chart'!$B$5:$P$19,MATCH(S$4,'Type Chart'!$A$5:$A$19,0),MATCH($F34,'Type Chart'!$B$4:$P$4,0)))</f>
        <v>0.5</v>
      </c>
      <c r="T34" s="21" t="n">
        <f aca="false">INDEX('Type Chart'!$B$5:$P$19,MATCH(T$4,'Type Chart'!$A$5:$A$19,0),MATCH($E34,'Type Chart'!$B$4:$P$4,0))*IF($F34="",1,INDEX('Type Chart'!$B$5:$P$19,MATCH(T$4,'Type Chart'!$A$5:$A$19,0),MATCH($F34,'Type Chart'!$B$4:$P$4,0)))</f>
        <v>0.5</v>
      </c>
      <c r="U34" s="21" t="n">
        <f aca="false">INDEX('Type Chart'!$B$5:$P$19,MATCH(U$4,'Type Chart'!$A$5:$A$19,0),MATCH($E34,'Type Chart'!$B$4:$P$4,0))*IF($F34="",1,INDEX('Type Chart'!$B$5:$P$19,MATCH(U$4,'Type Chart'!$A$5:$A$19,0),MATCH($F34,'Type Chart'!$B$4:$P$4,0)))</f>
        <v>1</v>
      </c>
      <c r="V34" s="21" t="n">
        <f aca="false">INDEX('Type Chart'!$B$5:$P$19,MATCH(V$4,'Type Chart'!$A$5:$A$19,0),MATCH($E34,'Type Chart'!$B$4:$P$4,0))*IF($F34="",1,INDEX('Type Chart'!$B$5:$P$19,MATCH(V$4,'Type Chart'!$A$5:$A$19,0),MATCH($F34,'Type Chart'!$B$4:$P$4,0)))</f>
        <v>1</v>
      </c>
    </row>
    <row r="35" customFormat="false" ht="15" hidden="false" customHeight="false" outlineLevel="0" collapsed="false">
      <c r="A35" s="17" t="s">
        <v>271</v>
      </c>
      <c r="B35" s="17" t="s">
        <v>270</v>
      </c>
      <c r="C35" s="17" t="s">
        <v>197</v>
      </c>
      <c r="D35" s="17" t="n">
        <v>55</v>
      </c>
      <c r="E35" s="17" t="s">
        <v>46</v>
      </c>
      <c r="F35" s="17"/>
      <c r="G35" s="17"/>
      <c r="H35" s="21" t="n">
        <f aca="false">INDEX('Type Chart'!$B$5:$P$19,MATCH(H$4,'Type Chart'!$A$5:$A$19,0),MATCH($E35,'Type Chart'!$B$4:$P$4,0))*IF($F35="",1,INDEX('Type Chart'!$B$5:$P$19,MATCH(H$4,'Type Chart'!$A$5:$A$19,0),MATCH($F35,'Type Chart'!$B$4:$P$4,0)))</f>
        <v>1</v>
      </c>
      <c r="I35" s="21" t="n">
        <f aca="false">INDEX('Type Chart'!$B$5:$P$19,MATCH(I$4,'Type Chart'!$A$5:$A$19,0),MATCH($E35,'Type Chart'!$B$4:$P$4,0))*IF($F35="",1,INDEX('Type Chart'!$B$5:$P$19,MATCH(I$4,'Type Chart'!$A$5:$A$19,0),MATCH($F35,'Type Chart'!$B$4:$P$4,0)))</f>
        <v>1</v>
      </c>
      <c r="J35" s="21" t="n">
        <f aca="false">INDEX('Type Chart'!$B$5:$P$19,MATCH(J$4,'Type Chart'!$A$5:$A$19,0),MATCH($E35,'Type Chart'!$B$4:$P$4,0))*IF($F35="",1,INDEX('Type Chart'!$B$5:$P$19,MATCH(J$4,'Type Chart'!$A$5:$A$19,0),MATCH($F35,'Type Chart'!$B$4:$P$4,0)))</f>
        <v>1</v>
      </c>
      <c r="K35" s="21" t="n">
        <f aca="false">INDEX('Type Chart'!$B$5:$P$19,MATCH(K$4,'Type Chart'!$A$5:$A$19,0),MATCH($E35,'Type Chart'!$B$4:$P$4,0))*IF($F35="",1,INDEX('Type Chart'!$B$5:$P$19,MATCH(K$4,'Type Chart'!$A$5:$A$19,0),MATCH($F35,'Type Chart'!$B$4:$P$4,0)))</f>
        <v>1</v>
      </c>
      <c r="L35" s="21" t="n">
        <f aca="false">INDEX('Type Chart'!$B$5:$P$19,MATCH(L$4,'Type Chart'!$A$5:$A$19,0),MATCH($E35,'Type Chart'!$B$4:$P$4,0))*IF($F35="",1,INDEX('Type Chart'!$B$5:$P$19,MATCH(L$4,'Type Chart'!$A$5:$A$19,0),MATCH($F35,'Type Chart'!$B$4:$P$4,0)))</f>
        <v>1</v>
      </c>
      <c r="M35" s="21" t="n">
        <f aca="false">INDEX('Type Chart'!$B$5:$P$19,MATCH(M$4,'Type Chart'!$A$5:$A$19,0),MATCH($E35,'Type Chart'!$B$4:$P$4,0))*IF($F35="",1,INDEX('Type Chart'!$B$5:$P$19,MATCH(M$4,'Type Chart'!$A$5:$A$19,0),MATCH($F35,'Type Chart'!$B$4:$P$4,0)))</f>
        <v>1</v>
      </c>
      <c r="N35" s="21" t="n">
        <f aca="false">INDEX('Type Chart'!$B$5:$P$19,MATCH(N$4,'Type Chart'!$A$5:$A$19,0),MATCH($E35,'Type Chart'!$B$4:$P$4,0))*IF($F35="",1,INDEX('Type Chart'!$B$5:$P$19,MATCH(N$4,'Type Chart'!$A$5:$A$19,0),MATCH($F35,'Type Chart'!$B$4:$P$4,0)))</f>
        <v>1</v>
      </c>
      <c r="O35" s="21" t="n">
        <f aca="false">INDEX('Type Chart'!$B$5:$P$19,MATCH(O$4,'Type Chart'!$A$5:$A$19,0),MATCH($E35,'Type Chart'!$B$4:$P$4,0))*IF($F35="",1,INDEX('Type Chart'!$B$5:$P$19,MATCH(O$4,'Type Chart'!$A$5:$A$19,0),MATCH($F35,'Type Chart'!$B$4:$P$4,0)))</f>
        <v>1</v>
      </c>
      <c r="P35" s="21" t="n">
        <f aca="false">INDEX('Type Chart'!$B$5:$P$19,MATCH(P$4,'Type Chart'!$A$5:$A$19,0),MATCH($E35,'Type Chart'!$B$4:$P$4,0))*IF($F35="",1,INDEX('Type Chart'!$B$5:$P$19,MATCH(P$4,'Type Chart'!$A$5:$A$19,0),MATCH($F35,'Type Chart'!$B$4:$P$4,0)))</f>
        <v>1</v>
      </c>
      <c r="Q35" s="21" t="n">
        <f aca="false">INDEX('Type Chart'!$B$5:$P$19,MATCH(Q$4,'Type Chart'!$A$5:$A$19,0),MATCH($E35,'Type Chart'!$B$4:$P$4,0))*IF($F35="",1,INDEX('Type Chart'!$B$5:$P$19,MATCH(Q$4,'Type Chart'!$A$5:$A$19,0),MATCH($F35,'Type Chart'!$B$4:$P$4,0)))</f>
        <v>2</v>
      </c>
      <c r="R35" s="21" t="n">
        <f aca="false">INDEX('Type Chart'!$B$5:$P$19,MATCH(R$4,'Type Chart'!$A$5:$A$19,0),MATCH($E35,'Type Chart'!$B$4:$P$4,0))*IF($F35="",1,INDEX('Type Chart'!$B$5:$P$19,MATCH(R$4,'Type Chart'!$A$5:$A$19,0),MATCH($F35,'Type Chart'!$B$4:$P$4,0)))</f>
        <v>2</v>
      </c>
      <c r="S35" s="21" t="n">
        <f aca="false">INDEX('Type Chart'!$B$5:$P$19,MATCH(S$4,'Type Chart'!$A$5:$A$19,0),MATCH($E35,'Type Chart'!$B$4:$P$4,0))*IF($F35="",1,INDEX('Type Chart'!$B$5:$P$19,MATCH(S$4,'Type Chart'!$A$5:$A$19,0),MATCH($F35,'Type Chart'!$B$4:$P$4,0)))</f>
        <v>0.5</v>
      </c>
      <c r="T35" s="21" t="n">
        <f aca="false">INDEX('Type Chart'!$B$5:$P$19,MATCH(T$4,'Type Chart'!$A$5:$A$19,0),MATCH($E35,'Type Chart'!$B$4:$P$4,0))*IF($F35="",1,INDEX('Type Chart'!$B$5:$P$19,MATCH(T$4,'Type Chart'!$A$5:$A$19,0),MATCH($F35,'Type Chart'!$B$4:$P$4,0)))</f>
        <v>0.5</v>
      </c>
      <c r="U35" s="21" t="n">
        <f aca="false">INDEX('Type Chart'!$B$5:$P$19,MATCH(U$4,'Type Chart'!$A$5:$A$19,0),MATCH($E35,'Type Chart'!$B$4:$P$4,0))*IF($F35="",1,INDEX('Type Chart'!$B$5:$P$19,MATCH(U$4,'Type Chart'!$A$5:$A$19,0),MATCH($F35,'Type Chart'!$B$4:$P$4,0)))</f>
        <v>1</v>
      </c>
      <c r="V35" s="21" t="n">
        <f aca="false">INDEX('Type Chart'!$B$5:$P$19,MATCH(V$4,'Type Chart'!$A$5:$A$19,0),MATCH($E35,'Type Chart'!$B$4:$P$4,0))*IF($F35="",1,INDEX('Type Chart'!$B$5:$P$19,MATCH(V$4,'Type Chart'!$A$5:$A$19,0),MATCH($F35,'Type Chart'!$B$4:$P$4,0)))</f>
        <v>1</v>
      </c>
    </row>
    <row r="36" customFormat="false" ht="15" hidden="false" customHeight="false" outlineLevel="0" collapsed="false">
      <c r="A36" s="17" t="s">
        <v>271</v>
      </c>
      <c r="B36" s="17" t="s">
        <v>270</v>
      </c>
      <c r="C36" s="17" t="s">
        <v>186</v>
      </c>
      <c r="D36" s="17" t="n">
        <v>56</v>
      </c>
      <c r="E36" s="17" t="s">
        <v>52</v>
      </c>
      <c r="F36" s="17" t="s">
        <v>48</v>
      </c>
      <c r="G36" s="17"/>
      <c r="H36" s="21" t="n">
        <f aca="false">INDEX('Type Chart'!$B$5:$P$19,MATCH(H$4,'Type Chart'!$A$5:$A$19,0),MATCH($E36,'Type Chart'!$B$4:$P$4,0))*IF($F36="",1,INDEX('Type Chart'!$B$5:$P$19,MATCH(H$4,'Type Chart'!$A$5:$A$19,0),MATCH($F36,'Type Chart'!$B$4:$P$4,0)))</f>
        <v>0.5</v>
      </c>
      <c r="I36" s="21" t="n">
        <f aca="false">INDEX('Type Chart'!$B$5:$P$19,MATCH(I$4,'Type Chart'!$A$5:$A$19,0),MATCH($E36,'Type Chart'!$B$4:$P$4,0))*IF($F36="",1,INDEX('Type Chart'!$B$5:$P$19,MATCH(I$4,'Type Chart'!$A$5:$A$19,0),MATCH($F36,'Type Chart'!$B$4:$P$4,0)))</f>
        <v>0.5</v>
      </c>
      <c r="J36" s="21" t="n">
        <f aca="false">INDEX('Type Chart'!$B$5:$P$19,MATCH(J$4,'Type Chart'!$A$5:$A$19,0),MATCH($E36,'Type Chart'!$B$4:$P$4,0))*IF($F36="",1,INDEX('Type Chart'!$B$5:$P$19,MATCH(J$4,'Type Chart'!$A$5:$A$19,0),MATCH($F36,'Type Chart'!$B$4:$P$4,0)))</f>
        <v>4</v>
      </c>
      <c r="K36" s="21" t="n">
        <f aca="false">INDEX('Type Chart'!$B$5:$P$19,MATCH(K$4,'Type Chart'!$A$5:$A$19,0),MATCH($E36,'Type Chart'!$B$4:$P$4,0))*IF($F36="",1,INDEX('Type Chart'!$B$5:$P$19,MATCH(K$4,'Type Chart'!$A$5:$A$19,0),MATCH($F36,'Type Chart'!$B$4:$P$4,0)))</f>
        <v>0</v>
      </c>
      <c r="L36" s="21" t="n">
        <f aca="false">INDEX('Type Chart'!$B$5:$P$19,MATCH(L$4,'Type Chart'!$A$5:$A$19,0),MATCH($E36,'Type Chart'!$B$4:$P$4,0))*IF($F36="",1,INDEX('Type Chart'!$B$5:$P$19,MATCH(L$4,'Type Chart'!$A$5:$A$19,0),MATCH($F36,'Type Chart'!$B$4:$P$4,0)))</f>
        <v>4</v>
      </c>
      <c r="M36" s="21" t="n">
        <f aca="false">INDEX('Type Chart'!$B$5:$P$19,MATCH(M$4,'Type Chart'!$A$5:$A$19,0),MATCH($E36,'Type Chart'!$B$4:$P$4,0))*IF($F36="",1,INDEX('Type Chart'!$B$5:$P$19,MATCH(M$4,'Type Chart'!$A$5:$A$19,0),MATCH($F36,'Type Chart'!$B$4:$P$4,0)))</f>
        <v>2</v>
      </c>
      <c r="N36" s="21" t="n">
        <f aca="false">INDEX('Type Chart'!$B$5:$P$19,MATCH(N$4,'Type Chart'!$A$5:$A$19,0),MATCH($E36,'Type Chart'!$B$4:$P$4,0))*IF($F36="",1,INDEX('Type Chart'!$B$5:$P$19,MATCH(N$4,'Type Chart'!$A$5:$A$19,0),MATCH($F36,'Type Chart'!$B$4:$P$4,0)))</f>
        <v>2</v>
      </c>
      <c r="O36" s="21" t="n">
        <f aca="false">INDEX('Type Chart'!$B$5:$P$19,MATCH(O$4,'Type Chart'!$A$5:$A$19,0),MATCH($E36,'Type Chart'!$B$4:$P$4,0))*IF($F36="",1,INDEX('Type Chart'!$B$5:$P$19,MATCH(O$4,'Type Chart'!$A$5:$A$19,0),MATCH($F36,'Type Chart'!$B$4:$P$4,0)))</f>
        <v>0.25</v>
      </c>
      <c r="P36" s="21" t="n">
        <f aca="false">INDEX('Type Chart'!$B$5:$P$19,MATCH(P$4,'Type Chart'!$A$5:$A$19,0),MATCH($E36,'Type Chart'!$B$4:$P$4,0))*IF($F36="",1,INDEX('Type Chart'!$B$5:$P$19,MATCH(P$4,'Type Chart'!$A$5:$A$19,0),MATCH($F36,'Type Chart'!$B$4:$P$4,0)))</f>
        <v>2</v>
      </c>
      <c r="Q36" s="21" t="n">
        <f aca="false">INDEX('Type Chart'!$B$5:$P$19,MATCH(Q$4,'Type Chart'!$A$5:$A$19,0),MATCH($E36,'Type Chart'!$B$4:$P$4,0))*IF($F36="",1,INDEX('Type Chart'!$B$5:$P$19,MATCH(Q$4,'Type Chart'!$A$5:$A$19,0),MATCH($F36,'Type Chart'!$B$4:$P$4,0)))</f>
        <v>0.5</v>
      </c>
      <c r="R36" s="21" t="n">
        <f aca="false">INDEX('Type Chart'!$B$5:$P$19,MATCH(R$4,'Type Chart'!$A$5:$A$19,0),MATCH($E36,'Type Chart'!$B$4:$P$4,0))*IF($F36="",1,INDEX('Type Chart'!$B$5:$P$19,MATCH(R$4,'Type Chart'!$A$5:$A$19,0),MATCH($F36,'Type Chart'!$B$4:$P$4,0)))</f>
        <v>1</v>
      </c>
      <c r="S36" s="21" t="n">
        <f aca="false">INDEX('Type Chart'!$B$5:$P$19,MATCH(S$4,'Type Chart'!$A$5:$A$19,0),MATCH($E36,'Type Chart'!$B$4:$P$4,0))*IF($F36="",1,INDEX('Type Chart'!$B$5:$P$19,MATCH(S$4,'Type Chart'!$A$5:$A$19,0),MATCH($F36,'Type Chart'!$B$4:$P$4,0)))</f>
        <v>1</v>
      </c>
      <c r="T36" s="21" t="n">
        <f aca="false">INDEX('Type Chart'!$B$5:$P$19,MATCH(T$4,'Type Chart'!$A$5:$A$19,0),MATCH($E36,'Type Chart'!$B$4:$P$4,0))*IF($F36="",1,INDEX('Type Chart'!$B$5:$P$19,MATCH(T$4,'Type Chart'!$A$5:$A$19,0),MATCH($F36,'Type Chart'!$B$4:$P$4,0)))</f>
        <v>0.5</v>
      </c>
      <c r="U36" s="21" t="n">
        <f aca="false">INDEX('Type Chart'!$B$5:$P$19,MATCH(U$4,'Type Chart'!$A$5:$A$19,0),MATCH($E36,'Type Chart'!$B$4:$P$4,0))*IF($F36="",1,INDEX('Type Chart'!$B$5:$P$19,MATCH(U$4,'Type Chart'!$A$5:$A$19,0),MATCH($F36,'Type Chart'!$B$4:$P$4,0)))</f>
        <v>1</v>
      </c>
      <c r="V36" s="21" t="n">
        <f aca="false">INDEX('Type Chart'!$B$5:$P$19,MATCH(V$4,'Type Chart'!$A$5:$A$19,0),MATCH($E36,'Type Chart'!$B$4:$P$4,0))*IF($F36="",1,INDEX('Type Chart'!$B$5:$P$19,MATCH(V$4,'Type Chart'!$A$5:$A$19,0),MATCH($F36,'Type Chart'!$B$4:$P$4,0)))</f>
        <v>1</v>
      </c>
    </row>
    <row r="37" customFormat="false" ht="15" hidden="false" customHeight="false" outlineLevel="0" collapsed="false">
      <c r="A37" s="22" t="s">
        <v>271</v>
      </c>
      <c r="B37" s="22" t="s">
        <v>270</v>
      </c>
      <c r="C37" s="22" t="s">
        <v>159</v>
      </c>
      <c r="D37" s="17" t="n">
        <v>58</v>
      </c>
      <c r="E37" s="17" t="s">
        <v>46</v>
      </c>
      <c r="F37" s="17"/>
      <c r="G37" s="17" t="s">
        <v>254</v>
      </c>
      <c r="H37" s="21" t="n">
        <f aca="false">INDEX('Type Chart'!$B$5:$P$19,MATCH(H$4,'Type Chart'!$A$5:$A$19,0),MATCH($E37,'Type Chart'!$B$4:$P$4,0))*IF($F37="",1,INDEX('Type Chart'!$B$5:$P$19,MATCH(H$4,'Type Chart'!$A$5:$A$19,0),MATCH($F37,'Type Chart'!$B$4:$P$4,0)))</f>
        <v>1</v>
      </c>
      <c r="I37" s="21" t="n">
        <f aca="false">INDEX('Type Chart'!$B$5:$P$19,MATCH(I$4,'Type Chart'!$A$5:$A$19,0),MATCH($E37,'Type Chart'!$B$4:$P$4,0))*IF($F37="",1,INDEX('Type Chart'!$B$5:$P$19,MATCH(I$4,'Type Chart'!$A$5:$A$19,0),MATCH($F37,'Type Chart'!$B$4:$P$4,0)))</f>
        <v>1</v>
      </c>
      <c r="J37" s="21" t="n">
        <f aca="false">INDEX('Type Chart'!$B$5:$P$19,MATCH(J$4,'Type Chart'!$A$5:$A$19,0),MATCH($E37,'Type Chart'!$B$4:$P$4,0))*IF($F37="",1,INDEX('Type Chart'!$B$5:$P$19,MATCH(J$4,'Type Chart'!$A$5:$A$19,0),MATCH($F37,'Type Chart'!$B$4:$P$4,0)))</f>
        <v>1</v>
      </c>
      <c r="K37" s="21" t="n">
        <f aca="false">INDEX('Type Chart'!$B$5:$P$19,MATCH(K$4,'Type Chart'!$A$5:$A$19,0),MATCH($E37,'Type Chart'!$B$4:$P$4,0))*IF($F37="",1,INDEX('Type Chart'!$B$5:$P$19,MATCH(K$4,'Type Chart'!$A$5:$A$19,0),MATCH($F37,'Type Chart'!$B$4:$P$4,0)))</f>
        <v>1</v>
      </c>
      <c r="L37" s="21" t="n">
        <f aca="false">INDEX('Type Chart'!$B$5:$P$19,MATCH(L$4,'Type Chart'!$A$5:$A$19,0),MATCH($E37,'Type Chart'!$B$4:$P$4,0))*IF($F37="",1,INDEX('Type Chart'!$B$5:$P$19,MATCH(L$4,'Type Chart'!$A$5:$A$19,0),MATCH($F37,'Type Chart'!$B$4:$P$4,0)))</f>
        <v>1</v>
      </c>
      <c r="M37" s="21" t="n">
        <f aca="false">INDEX('Type Chart'!$B$5:$P$19,MATCH(M$4,'Type Chart'!$A$5:$A$19,0),MATCH($E37,'Type Chart'!$B$4:$P$4,0))*IF($F37="",1,INDEX('Type Chart'!$B$5:$P$19,MATCH(M$4,'Type Chart'!$A$5:$A$19,0),MATCH($F37,'Type Chart'!$B$4:$P$4,0)))</f>
        <v>1</v>
      </c>
      <c r="N37" s="21" t="n">
        <f aca="false">INDEX('Type Chart'!$B$5:$P$19,MATCH(N$4,'Type Chart'!$A$5:$A$19,0),MATCH($E37,'Type Chart'!$B$4:$P$4,0))*IF($F37="",1,INDEX('Type Chart'!$B$5:$P$19,MATCH(N$4,'Type Chart'!$A$5:$A$19,0),MATCH($F37,'Type Chart'!$B$4:$P$4,0)))</f>
        <v>1</v>
      </c>
      <c r="O37" s="21" t="n">
        <f aca="false">INDEX('Type Chart'!$B$5:$P$19,MATCH(O$4,'Type Chart'!$A$5:$A$19,0),MATCH($E37,'Type Chart'!$B$4:$P$4,0))*IF($F37="",1,INDEX('Type Chart'!$B$5:$P$19,MATCH(O$4,'Type Chart'!$A$5:$A$19,0),MATCH($F37,'Type Chart'!$B$4:$P$4,0)))</f>
        <v>1</v>
      </c>
      <c r="P37" s="21" t="n">
        <f aca="false">INDEX('Type Chart'!$B$5:$P$19,MATCH(P$4,'Type Chart'!$A$5:$A$19,0),MATCH($E37,'Type Chart'!$B$4:$P$4,0))*IF($F37="",1,INDEX('Type Chart'!$B$5:$P$19,MATCH(P$4,'Type Chart'!$A$5:$A$19,0),MATCH($F37,'Type Chart'!$B$4:$P$4,0)))</f>
        <v>1</v>
      </c>
      <c r="Q37" s="21" t="n">
        <f aca="false">INDEX('Type Chart'!$B$5:$P$19,MATCH(Q$4,'Type Chart'!$A$5:$A$19,0),MATCH($E37,'Type Chart'!$B$4:$P$4,0))*IF($F37="",1,INDEX('Type Chart'!$B$5:$P$19,MATCH(Q$4,'Type Chart'!$A$5:$A$19,0),MATCH($F37,'Type Chart'!$B$4:$P$4,0)))</f>
        <v>2</v>
      </c>
      <c r="R37" s="21" t="n">
        <f aca="false">INDEX('Type Chart'!$B$5:$P$19,MATCH(R$4,'Type Chart'!$A$5:$A$19,0),MATCH($E37,'Type Chart'!$B$4:$P$4,0))*IF($F37="",1,INDEX('Type Chart'!$B$5:$P$19,MATCH(R$4,'Type Chart'!$A$5:$A$19,0),MATCH($F37,'Type Chart'!$B$4:$P$4,0)))</f>
        <v>2</v>
      </c>
      <c r="S37" s="21" t="n">
        <f aca="false">INDEX('Type Chart'!$B$5:$P$19,MATCH(S$4,'Type Chart'!$A$5:$A$19,0),MATCH($E37,'Type Chart'!$B$4:$P$4,0))*IF($F37="",1,INDEX('Type Chart'!$B$5:$P$19,MATCH(S$4,'Type Chart'!$A$5:$A$19,0),MATCH($F37,'Type Chart'!$B$4:$P$4,0)))</f>
        <v>0.5</v>
      </c>
      <c r="T37" s="21" t="n">
        <f aca="false">INDEX('Type Chart'!$B$5:$P$19,MATCH(T$4,'Type Chart'!$A$5:$A$19,0),MATCH($E37,'Type Chart'!$B$4:$P$4,0))*IF($F37="",1,INDEX('Type Chart'!$B$5:$P$19,MATCH(T$4,'Type Chart'!$A$5:$A$19,0),MATCH($F37,'Type Chart'!$B$4:$P$4,0)))</f>
        <v>0.5</v>
      </c>
      <c r="U37" s="21" t="n">
        <f aca="false">INDEX('Type Chart'!$B$5:$P$19,MATCH(U$4,'Type Chart'!$A$5:$A$19,0),MATCH($E37,'Type Chart'!$B$4:$P$4,0))*IF($F37="",1,INDEX('Type Chart'!$B$5:$P$19,MATCH(U$4,'Type Chart'!$A$5:$A$19,0),MATCH($F37,'Type Chart'!$B$4:$P$4,0)))</f>
        <v>1</v>
      </c>
      <c r="V37" s="21" t="n">
        <f aca="false">INDEX('Type Chart'!$B$5:$P$19,MATCH(V$4,'Type Chart'!$A$5:$A$19,0),MATCH($E37,'Type Chart'!$B$4:$P$4,0))*IF($F37="",1,INDEX('Type Chart'!$B$5:$P$19,MATCH(V$4,'Type Chart'!$A$5:$A$19,0),MATCH($F37,'Type Chart'!$B$4:$P$4,0)))</f>
        <v>1</v>
      </c>
    </row>
    <row r="38" customFormat="false" ht="15" hidden="false" customHeight="false" outlineLevel="0" collapsed="false">
      <c r="A38" s="17" t="s">
        <v>272</v>
      </c>
      <c r="B38" s="17" t="s">
        <v>270</v>
      </c>
      <c r="C38" s="17" t="s">
        <v>185</v>
      </c>
      <c r="D38" s="17" t="n">
        <v>56</v>
      </c>
      <c r="E38" s="17" t="s">
        <v>53</v>
      </c>
      <c r="F38" s="17" t="s">
        <v>47</v>
      </c>
      <c r="G38" s="17"/>
      <c r="H38" s="21" t="n">
        <f aca="false">INDEX('Type Chart'!$B$5:$P$19,MATCH(H$4,'Type Chart'!$A$5:$A$19,0),MATCH($E38,'Type Chart'!$B$4:$P$4,0))*IF($F38="",1,INDEX('Type Chart'!$B$5:$P$19,MATCH(H$4,'Type Chart'!$A$5:$A$19,0),MATCH($F38,'Type Chart'!$B$4:$P$4,0)))</f>
        <v>0</v>
      </c>
      <c r="I38" s="21" t="n">
        <f aca="false">INDEX('Type Chart'!$B$5:$P$19,MATCH(I$4,'Type Chart'!$A$5:$A$19,0),MATCH($E38,'Type Chart'!$B$4:$P$4,0))*IF($F38="",1,INDEX('Type Chart'!$B$5:$P$19,MATCH(I$4,'Type Chart'!$A$5:$A$19,0),MATCH($F38,'Type Chart'!$B$4:$P$4,0)))</f>
        <v>1</v>
      </c>
      <c r="J38" s="21" t="n">
        <f aca="false">INDEX('Type Chart'!$B$5:$P$19,MATCH(J$4,'Type Chart'!$A$5:$A$19,0),MATCH($E38,'Type Chart'!$B$4:$P$4,0))*IF($F38="",1,INDEX('Type Chart'!$B$5:$P$19,MATCH(J$4,'Type Chart'!$A$5:$A$19,0),MATCH($F38,'Type Chart'!$B$4:$P$4,0)))</f>
        <v>1</v>
      </c>
      <c r="K38" s="21" t="n">
        <f aca="false">INDEX('Type Chart'!$B$5:$P$19,MATCH(K$4,'Type Chart'!$A$5:$A$19,0),MATCH($E38,'Type Chart'!$B$4:$P$4,0))*IF($F38="",1,INDEX('Type Chart'!$B$5:$P$19,MATCH(K$4,'Type Chart'!$A$5:$A$19,0),MATCH($F38,'Type Chart'!$B$4:$P$4,0)))</f>
        <v>1</v>
      </c>
      <c r="L38" s="21" t="n">
        <f aca="false">INDEX('Type Chart'!$B$5:$P$19,MATCH(L$4,'Type Chart'!$A$5:$A$19,0),MATCH($E38,'Type Chart'!$B$4:$P$4,0))*IF($F38="",1,INDEX('Type Chart'!$B$5:$P$19,MATCH(L$4,'Type Chart'!$A$5:$A$19,0),MATCH($F38,'Type Chart'!$B$4:$P$4,0)))</f>
        <v>0.5</v>
      </c>
      <c r="M38" s="21" t="n">
        <f aca="false">INDEX('Type Chart'!$B$5:$P$19,MATCH(M$4,'Type Chart'!$A$5:$A$19,0),MATCH($E38,'Type Chart'!$B$4:$P$4,0))*IF($F38="",1,INDEX('Type Chart'!$B$5:$P$19,MATCH(M$4,'Type Chart'!$A$5:$A$19,0),MATCH($F38,'Type Chart'!$B$4:$P$4,0)))</f>
        <v>1</v>
      </c>
      <c r="N38" s="21" t="n">
        <f aca="false">INDEX('Type Chart'!$B$5:$P$19,MATCH(N$4,'Type Chart'!$A$5:$A$19,0),MATCH($E38,'Type Chart'!$B$4:$P$4,0))*IF($F38="",1,INDEX('Type Chart'!$B$5:$P$19,MATCH(N$4,'Type Chart'!$A$5:$A$19,0),MATCH($F38,'Type Chart'!$B$4:$P$4,0)))</f>
        <v>0</v>
      </c>
      <c r="O38" s="21" t="n">
        <f aca="false">INDEX('Type Chart'!$B$5:$P$19,MATCH(O$4,'Type Chart'!$A$5:$A$19,0),MATCH($E38,'Type Chart'!$B$4:$P$4,0))*IF($F38="",1,INDEX('Type Chart'!$B$5:$P$19,MATCH(O$4,'Type Chart'!$A$5:$A$19,0),MATCH($F38,'Type Chart'!$B$4:$P$4,0)))</f>
        <v>0.25</v>
      </c>
      <c r="P38" s="21" t="n">
        <f aca="false">INDEX('Type Chart'!$B$5:$P$19,MATCH(P$4,'Type Chart'!$A$5:$A$19,0),MATCH($E38,'Type Chart'!$B$4:$P$4,0))*IF($F38="",1,INDEX('Type Chart'!$B$5:$P$19,MATCH(P$4,'Type Chart'!$A$5:$A$19,0),MATCH($F38,'Type Chart'!$B$4:$P$4,0)))</f>
        <v>2</v>
      </c>
      <c r="Q38" s="21" t="n">
        <f aca="false">INDEX('Type Chart'!$B$5:$P$19,MATCH(Q$4,'Type Chart'!$A$5:$A$19,0),MATCH($E38,'Type Chart'!$B$4:$P$4,0))*IF($F38="",1,INDEX('Type Chart'!$B$5:$P$19,MATCH(Q$4,'Type Chart'!$A$5:$A$19,0),MATCH($F38,'Type Chart'!$B$4:$P$4,0)))</f>
        <v>1</v>
      </c>
      <c r="R38" s="21" t="n">
        <f aca="false">INDEX('Type Chart'!$B$5:$P$19,MATCH(R$4,'Type Chart'!$A$5:$A$19,0),MATCH($E38,'Type Chart'!$B$4:$P$4,0))*IF($F38="",1,INDEX('Type Chart'!$B$5:$P$19,MATCH(R$4,'Type Chart'!$A$5:$A$19,0),MATCH($F38,'Type Chart'!$B$4:$P$4,0)))</f>
        <v>2</v>
      </c>
      <c r="S38" s="21" t="n">
        <f aca="false">INDEX('Type Chart'!$B$5:$P$19,MATCH(S$4,'Type Chart'!$A$5:$A$19,0),MATCH($E38,'Type Chart'!$B$4:$P$4,0))*IF($F38="",1,INDEX('Type Chart'!$B$5:$P$19,MATCH(S$4,'Type Chart'!$A$5:$A$19,0),MATCH($F38,'Type Chart'!$B$4:$P$4,0)))</f>
        <v>1</v>
      </c>
      <c r="T38" s="21" t="n">
        <f aca="false">INDEX('Type Chart'!$B$5:$P$19,MATCH(T$4,'Type Chart'!$A$5:$A$19,0),MATCH($E38,'Type Chart'!$B$4:$P$4,0))*IF($F38="",1,INDEX('Type Chart'!$B$5:$P$19,MATCH(T$4,'Type Chart'!$A$5:$A$19,0),MATCH($F38,'Type Chart'!$B$4:$P$4,0)))</f>
        <v>1</v>
      </c>
      <c r="U38" s="21" t="n">
        <f aca="false">INDEX('Type Chart'!$B$5:$P$19,MATCH(U$4,'Type Chart'!$A$5:$A$19,0),MATCH($E38,'Type Chart'!$B$4:$P$4,0))*IF($F38="",1,INDEX('Type Chart'!$B$5:$P$19,MATCH(U$4,'Type Chart'!$A$5:$A$19,0),MATCH($F38,'Type Chart'!$B$4:$P$4,0)))</f>
        <v>2</v>
      </c>
      <c r="V38" s="21" t="n">
        <f aca="false">INDEX('Type Chart'!$B$5:$P$19,MATCH(V$4,'Type Chart'!$A$5:$A$19,0),MATCH($E38,'Type Chart'!$B$4:$P$4,0))*IF($F38="",1,INDEX('Type Chart'!$B$5:$P$19,MATCH(V$4,'Type Chart'!$A$5:$A$19,0),MATCH($F38,'Type Chart'!$B$4:$P$4,0)))</f>
        <v>1</v>
      </c>
    </row>
    <row r="39" customFormat="false" ht="15" hidden="false" customHeight="false" outlineLevel="0" collapsed="false">
      <c r="A39" s="17" t="s">
        <v>272</v>
      </c>
      <c r="B39" s="17" t="s">
        <v>270</v>
      </c>
      <c r="C39" s="17" t="s">
        <v>133</v>
      </c>
      <c r="D39" s="17" t="n">
        <v>56</v>
      </c>
      <c r="E39" s="17" t="s">
        <v>47</v>
      </c>
      <c r="F39" s="17" t="s">
        <v>49</v>
      </c>
      <c r="G39" s="17"/>
      <c r="H39" s="21" t="n">
        <f aca="false">INDEX('Type Chart'!$B$5:$P$19,MATCH(H$4,'Type Chart'!$A$5:$A$19,0),MATCH($E39,'Type Chart'!$B$4:$P$4,0))*IF($F39="",1,INDEX('Type Chart'!$B$5:$P$19,MATCH(H$4,'Type Chart'!$A$5:$A$19,0),MATCH($F39,'Type Chart'!$B$4:$P$4,0)))</f>
        <v>1</v>
      </c>
      <c r="I39" s="21" t="n">
        <f aca="false">INDEX('Type Chart'!$B$5:$P$19,MATCH(I$4,'Type Chart'!$A$5:$A$19,0),MATCH($E39,'Type Chart'!$B$4:$P$4,0))*IF($F39="",1,INDEX('Type Chart'!$B$5:$P$19,MATCH(I$4,'Type Chart'!$A$5:$A$19,0),MATCH($F39,'Type Chart'!$B$4:$P$4,0)))</f>
        <v>1</v>
      </c>
      <c r="J39" s="21" t="n">
        <f aca="false">INDEX('Type Chart'!$B$5:$P$19,MATCH(J$4,'Type Chart'!$A$5:$A$19,0),MATCH($E39,'Type Chart'!$B$4:$P$4,0))*IF($F39="",1,INDEX('Type Chart'!$B$5:$P$19,MATCH(J$4,'Type Chart'!$A$5:$A$19,0),MATCH($F39,'Type Chart'!$B$4:$P$4,0)))</f>
        <v>1</v>
      </c>
      <c r="K39" s="21" t="n">
        <f aca="false">INDEX('Type Chart'!$B$5:$P$19,MATCH(K$4,'Type Chart'!$A$5:$A$19,0),MATCH($E39,'Type Chart'!$B$4:$P$4,0))*IF($F39="",1,INDEX('Type Chart'!$B$5:$P$19,MATCH(K$4,'Type Chart'!$A$5:$A$19,0),MATCH($F39,'Type Chart'!$B$4:$P$4,0)))</f>
        <v>2</v>
      </c>
      <c r="L39" s="21" t="n">
        <f aca="false">INDEX('Type Chart'!$B$5:$P$19,MATCH(L$4,'Type Chart'!$A$5:$A$19,0),MATCH($E39,'Type Chart'!$B$4:$P$4,0))*IF($F39="",1,INDEX('Type Chart'!$B$5:$P$19,MATCH(L$4,'Type Chart'!$A$5:$A$19,0),MATCH($F39,'Type Chart'!$B$4:$P$4,0)))</f>
        <v>0.25</v>
      </c>
      <c r="M39" s="21" t="n">
        <f aca="false">INDEX('Type Chart'!$B$5:$P$19,MATCH(M$4,'Type Chart'!$A$5:$A$19,0),MATCH($E39,'Type Chart'!$B$4:$P$4,0))*IF($F39="",1,INDEX('Type Chart'!$B$5:$P$19,MATCH(M$4,'Type Chart'!$A$5:$A$19,0),MATCH($F39,'Type Chart'!$B$4:$P$4,0)))</f>
        <v>2</v>
      </c>
      <c r="N39" s="21" t="n">
        <f aca="false">INDEX('Type Chart'!$B$5:$P$19,MATCH(N$4,'Type Chart'!$A$5:$A$19,0),MATCH($E39,'Type Chart'!$B$4:$P$4,0))*IF($F39="",1,INDEX('Type Chart'!$B$5:$P$19,MATCH(N$4,'Type Chart'!$A$5:$A$19,0),MATCH($F39,'Type Chart'!$B$4:$P$4,0)))</f>
        <v>0.25</v>
      </c>
      <c r="O39" s="21" t="n">
        <f aca="false">INDEX('Type Chart'!$B$5:$P$19,MATCH(O$4,'Type Chart'!$A$5:$A$19,0),MATCH($E39,'Type Chart'!$B$4:$P$4,0))*IF($F39="",1,INDEX('Type Chart'!$B$5:$P$19,MATCH(O$4,'Type Chart'!$A$5:$A$19,0),MATCH($F39,'Type Chart'!$B$4:$P$4,0)))</f>
        <v>0.5</v>
      </c>
      <c r="P39" s="21" t="n">
        <f aca="false">INDEX('Type Chart'!$B$5:$P$19,MATCH(P$4,'Type Chart'!$A$5:$A$19,0),MATCH($E39,'Type Chart'!$B$4:$P$4,0))*IF($F39="",1,INDEX('Type Chart'!$B$5:$P$19,MATCH(P$4,'Type Chart'!$A$5:$A$19,0),MATCH($F39,'Type Chart'!$B$4:$P$4,0)))</f>
        <v>0</v>
      </c>
      <c r="Q39" s="21" t="n">
        <f aca="false">INDEX('Type Chart'!$B$5:$P$19,MATCH(Q$4,'Type Chart'!$A$5:$A$19,0),MATCH($E39,'Type Chart'!$B$4:$P$4,0))*IF($F39="",1,INDEX('Type Chart'!$B$5:$P$19,MATCH(Q$4,'Type Chart'!$A$5:$A$19,0),MATCH($F39,'Type Chart'!$B$4:$P$4,0)))</f>
        <v>1</v>
      </c>
      <c r="R39" s="21" t="n">
        <f aca="false">INDEX('Type Chart'!$B$5:$P$19,MATCH(R$4,'Type Chart'!$A$5:$A$19,0),MATCH($E39,'Type Chart'!$B$4:$P$4,0))*IF($F39="",1,INDEX('Type Chart'!$B$5:$P$19,MATCH(R$4,'Type Chart'!$A$5:$A$19,0),MATCH($F39,'Type Chart'!$B$4:$P$4,0)))</f>
        <v>2</v>
      </c>
      <c r="S39" s="21" t="n">
        <f aca="false">INDEX('Type Chart'!$B$5:$P$19,MATCH(S$4,'Type Chart'!$A$5:$A$19,0),MATCH($E39,'Type Chart'!$B$4:$P$4,0))*IF($F39="",1,INDEX('Type Chart'!$B$5:$P$19,MATCH(S$4,'Type Chart'!$A$5:$A$19,0),MATCH($F39,'Type Chart'!$B$4:$P$4,0)))</f>
        <v>1</v>
      </c>
      <c r="T39" s="21" t="n">
        <f aca="false">INDEX('Type Chart'!$B$5:$P$19,MATCH(T$4,'Type Chart'!$A$5:$A$19,0),MATCH($E39,'Type Chart'!$B$4:$P$4,0))*IF($F39="",1,INDEX('Type Chart'!$B$5:$P$19,MATCH(T$4,'Type Chart'!$A$5:$A$19,0),MATCH($F39,'Type Chart'!$B$4:$P$4,0)))</f>
        <v>2</v>
      </c>
      <c r="U39" s="21" t="n">
        <f aca="false">INDEX('Type Chart'!$B$5:$P$19,MATCH(U$4,'Type Chart'!$A$5:$A$19,0),MATCH($E39,'Type Chart'!$B$4:$P$4,0))*IF($F39="",1,INDEX('Type Chart'!$B$5:$P$19,MATCH(U$4,'Type Chart'!$A$5:$A$19,0),MATCH($F39,'Type Chart'!$B$4:$P$4,0)))</f>
        <v>1</v>
      </c>
      <c r="V39" s="21" t="n">
        <f aca="false">INDEX('Type Chart'!$B$5:$P$19,MATCH(V$4,'Type Chart'!$A$5:$A$19,0),MATCH($E39,'Type Chart'!$B$4:$P$4,0))*IF($F39="",1,INDEX('Type Chart'!$B$5:$P$19,MATCH(V$4,'Type Chart'!$A$5:$A$19,0),MATCH($F39,'Type Chart'!$B$4:$P$4,0)))</f>
        <v>1</v>
      </c>
    </row>
    <row r="40" customFormat="false" ht="15" hidden="false" customHeight="false" outlineLevel="0" collapsed="false">
      <c r="A40" s="17" t="s">
        <v>272</v>
      </c>
      <c r="B40" s="17" t="s">
        <v>270</v>
      </c>
      <c r="C40" s="17" t="s">
        <v>184</v>
      </c>
      <c r="D40" s="17" t="n">
        <v>55</v>
      </c>
      <c r="E40" s="17" t="s">
        <v>53</v>
      </c>
      <c r="F40" s="17" t="s">
        <v>47</v>
      </c>
      <c r="G40" s="17"/>
      <c r="H40" s="21" t="n">
        <f aca="false">INDEX('Type Chart'!$B$5:$P$19,MATCH(H$4,'Type Chart'!$A$5:$A$19,0),MATCH($E40,'Type Chart'!$B$4:$P$4,0))*IF($F40="",1,INDEX('Type Chart'!$B$5:$P$19,MATCH(H$4,'Type Chart'!$A$5:$A$19,0),MATCH($F40,'Type Chart'!$B$4:$P$4,0)))</f>
        <v>0</v>
      </c>
      <c r="I40" s="21" t="n">
        <f aca="false">INDEX('Type Chart'!$B$5:$P$19,MATCH(I$4,'Type Chart'!$A$5:$A$19,0),MATCH($E40,'Type Chart'!$B$4:$P$4,0))*IF($F40="",1,INDEX('Type Chart'!$B$5:$P$19,MATCH(I$4,'Type Chart'!$A$5:$A$19,0),MATCH($F40,'Type Chart'!$B$4:$P$4,0)))</f>
        <v>1</v>
      </c>
      <c r="J40" s="21" t="n">
        <f aca="false">INDEX('Type Chart'!$B$5:$P$19,MATCH(J$4,'Type Chart'!$A$5:$A$19,0),MATCH($E40,'Type Chart'!$B$4:$P$4,0))*IF($F40="",1,INDEX('Type Chart'!$B$5:$P$19,MATCH(J$4,'Type Chart'!$A$5:$A$19,0),MATCH($F40,'Type Chart'!$B$4:$P$4,0)))</f>
        <v>1</v>
      </c>
      <c r="K40" s="21" t="n">
        <f aca="false">INDEX('Type Chart'!$B$5:$P$19,MATCH(K$4,'Type Chart'!$A$5:$A$19,0),MATCH($E40,'Type Chart'!$B$4:$P$4,0))*IF($F40="",1,INDEX('Type Chart'!$B$5:$P$19,MATCH(K$4,'Type Chart'!$A$5:$A$19,0),MATCH($F40,'Type Chart'!$B$4:$P$4,0)))</f>
        <v>1</v>
      </c>
      <c r="L40" s="21" t="n">
        <f aca="false">INDEX('Type Chart'!$B$5:$P$19,MATCH(L$4,'Type Chart'!$A$5:$A$19,0),MATCH($E40,'Type Chart'!$B$4:$P$4,0))*IF($F40="",1,INDEX('Type Chart'!$B$5:$P$19,MATCH(L$4,'Type Chart'!$A$5:$A$19,0),MATCH($F40,'Type Chart'!$B$4:$P$4,0)))</f>
        <v>0.5</v>
      </c>
      <c r="M40" s="21" t="n">
        <f aca="false">INDEX('Type Chart'!$B$5:$P$19,MATCH(M$4,'Type Chart'!$A$5:$A$19,0),MATCH($E40,'Type Chart'!$B$4:$P$4,0))*IF($F40="",1,INDEX('Type Chart'!$B$5:$P$19,MATCH(M$4,'Type Chart'!$A$5:$A$19,0),MATCH($F40,'Type Chart'!$B$4:$P$4,0)))</f>
        <v>1</v>
      </c>
      <c r="N40" s="21" t="n">
        <f aca="false">INDEX('Type Chart'!$B$5:$P$19,MATCH(N$4,'Type Chart'!$A$5:$A$19,0),MATCH($E40,'Type Chart'!$B$4:$P$4,0))*IF($F40="",1,INDEX('Type Chart'!$B$5:$P$19,MATCH(N$4,'Type Chart'!$A$5:$A$19,0),MATCH($F40,'Type Chart'!$B$4:$P$4,0)))</f>
        <v>0</v>
      </c>
      <c r="O40" s="21" t="n">
        <f aca="false">INDEX('Type Chart'!$B$5:$P$19,MATCH(O$4,'Type Chart'!$A$5:$A$19,0),MATCH($E40,'Type Chart'!$B$4:$P$4,0))*IF($F40="",1,INDEX('Type Chart'!$B$5:$P$19,MATCH(O$4,'Type Chart'!$A$5:$A$19,0),MATCH($F40,'Type Chart'!$B$4:$P$4,0)))</f>
        <v>0.25</v>
      </c>
      <c r="P40" s="21" t="n">
        <f aca="false">INDEX('Type Chart'!$B$5:$P$19,MATCH(P$4,'Type Chart'!$A$5:$A$19,0),MATCH($E40,'Type Chart'!$B$4:$P$4,0))*IF($F40="",1,INDEX('Type Chart'!$B$5:$P$19,MATCH(P$4,'Type Chart'!$A$5:$A$19,0),MATCH($F40,'Type Chart'!$B$4:$P$4,0)))</f>
        <v>2</v>
      </c>
      <c r="Q40" s="21" t="n">
        <f aca="false">INDEX('Type Chart'!$B$5:$P$19,MATCH(Q$4,'Type Chart'!$A$5:$A$19,0),MATCH($E40,'Type Chart'!$B$4:$P$4,0))*IF($F40="",1,INDEX('Type Chart'!$B$5:$P$19,MATCH(Q$4,'Type Chart'!$A$5:$A$19,0),MATCH($F40,'Type Chart'!$B$4:$P$4,0)))</f>
        <v>1</v>
      </c>
      <c r="R40" s="21" t="n">
        <f aca="false">INDEX('Type Chart'!$B$5:$P$19,MATCH(R$4,'Type Chart'!$A$5:$A$19,0),MATCH($E40,'Type Chart'!$B$4:$P$4,0))*IF($F40="",1,INDEX('Type Chart'!$B$5:$P$19,MATCH(R$4,'Type Chart'!$A$5:$A$19,0),MATCH($F40,'Type Chart'!$B$4:$P$4,0)))</f>
        <v>2</v>
      </c>
      <c r="S40" s="21" t="n">
        <f aca="false">INDEX('Type Chart'!$B$5:$P$19,MATCH(S$4,'Type Chart'!$A$5:$A$19,0),MATCH($E40,'Type Chart'!$B$4:$P$4,0))*IF($F40="",1,INDEX('Type Chart'!$B$5:$P$19,MATCH(S$4,'Type Chart'!$A$5:$A$19,0),MATCH($F40,'Type Chart'!$B$4:$P$4,0)))</f>
        <v>1</v>
      </c>
      <c r="T40" s="21" t="n">
        <f aca="false">INDEX('Type Chart'!$B$5:$P$19,MATCH(T$4,'Type Chart'!$A$5:$A$19,0),MATCH($E40,'Type Chart'!$B$4:$P$4,0))*IF($F40="",1,INDEX('Type Chart'!$B$5:$P$19,MATCH(T$4,'Type Chart'!$A$5:$A$19,0),MATCH($F40,'Type Chart'!$B$4:$P$4,0)))</f>
        <v>1</v>
      </c>
      <c r="U40" s="21" t="n">
        <f aca="false">INDEX('Type Chart'!$B$5:$P$19,MATCH(U$4,'Type Chart'!$A$5:$A$19,0),MATCH($E40,'Type Chart'!$B$4:$P$4,0))*IF($F40="",1,INDEX('Type Chart'!$B$5:$P$19,MATCH(U$4,'Type Chart'!$A$5:$A$19,0),MATCH($F40,'Type Chart'!$B$4:$P$4,0)))</f>
        <v>2</v>
      </c>
      <c r="V40" s="21" t="n">
        <f aca="false">INDEX('Type Chart'!$B$5:$P$19,MATCH(V$4,'Type Chart'!$A$5:$A$19,0),MATCH($E40,'Type Chart'!$B$4:$P$4,0))*IF($F40="",1,INDEX('Type Chart'!$B$5:$P$19,MATCH(V$4,'Type Chart'!$A$5:$A$19,0),MATCH($F40,'Type Chart'!$B$4:$P$4,0)))</f>
        <v>1</v>
      </c>
    </row>
    <row r="41" customFormat="false" ht="15" hidden="false" customHeight="false" outlineLevel="0" collapsed="false">
      <c r="A41" s="17" t="s">
        <v>272</v>
      </c>
      <c r="B41" s="17" t="s">
        <v>270</v>
      </c>
      <c r="C41" s="17" t="s">
        <v>115</v>
      </c>
      <c r="D41" s="17" t="n">
        <v>58</v>
      </c>
      <c r="E41" s="17" t="s">
        <v>47</v>
      </c>
      <c r="F41" s="17"/>
      <c r="G41" s="17"/>
      <c r="H41" s="21" t="n">
        <f aca="false">INDEX('Type Chart'!$B$5:$P$19,MATCH(H$4,'Type Chart'!$A$5:$A$19,0),MATCH($E41,'Type Chart'!$B$4:$P$4,0))*IF($F41="",1,INDEX('Type Chart'!$B$5:$P$19,MATCH(H$4,'Type Chart'!$A$5:$A$19,0),MATCH($F41,'Type Chart'!$B$4:$P$4,0)))</f>
        <v>1</v>
      </c>
      <c r="I41" s="21" t="n">
        <f aca="false">INDEX('Type Chart'!$B$5:$P$19,MATCH(I$4,'Type Chart'!$A$5:$A$19,0),MATCH($E41,'Type Chart'!$B$4:$P$4,0))*IF($F41="",1,INDEX('Type Chart'!$B$5:$P$19,MATCH(I$4,'Type Chart'!$A$5:$A$19,0),MATCH($F41,'Type Chart'!$B$4:$P$4,0)))</f>
        <v>1</v>
      </c>
      <c r="J41" s="21" t="n">
        <f aca="false">INDEX('Type Chart'!$B$5:$P$19,MATCH(J$4,'Type Chart'!$A$5:$A$19,0),MATCH($E41,'Type Chart'!$B$4:$P$4,0))*IF($F41="",1,INDEX('Type Chart'!$B$5:$P$19,MATCH(J$4,'Type Chart'!$A$5:$A$19,0),MATCH($F41,'Type Chart'!$B$4:$P$4,0)))</f>
        <v>1</v>
      </c>
      <c r="K41" s="21" t="n">
        <f aca="false">INDEX('Type Chart'!$B$5:$P$19,MATCH(K$4,'Type Chart'!$A$5:$A$19,0),MATCH($E41,'Type Chart'!$B$4:$P$4,0))*IF($F41="",1,INDEX('Type Chart'!$B$5:$P$19,MATCH(K$4,'Type Chart'!$A$5:$A$19,0),MATCH($F41,'Type Chart'!$B$4:$P$4,0)))</f>
        <v>1</v>
      </c>
      <c r="L41" s="21" t="n">
        <f aca="false">INDEX('Type Chart'!$B$5:$P$19,MATCH(L$4,'Type Chart'!$A$5:$A$19,0),MATCH($E41,'Type Chart'!$B$4:$P$4,0))*IF($F41="",1,INDEX('Type Chart'!$B$5:$P$19,MATCH(L$4,'Type Chart'!$A$5:$A$19,0),MATCH($F41,'Type Chart'!$B$4:$P$4,0)))</f>
        <v>0.5</v>
      </c>
      <c r="M41" s="21" t="n">
        <f aca="false">INDEX('Type Chart'!$B$5:$P$19,MATCH(M$4,'Type Chart'!$A$5:$A$19,0),MATCH($E41,'Type Chart'!$B$4:$P$4,0))*IF($F41="",1,INDEX('Type Chart'!$B$5:$P$19,MATCH(M$4,'Type Chart'!$A$5:$A$19,0),MATCH($F41,'Type Chart'!$B$4:$P$4,0)))</f>
        <v>1</v>
      </c>
      <c r="N41" s="21" t="n">
        <f aca="false">INDEX('Type Chart'!$B$5:$P$19,MATCH(N$4,'Type Chart'!$A$5:$A$19,0),MATCH($E41,'Type Chart'!$B$4:$P$4,0))*IF($F41="",1,INDEX('Type Chart'!$B$5:$P$19,MATCH(N$4,'Type Chart'!$A$5:$A$19,0),MATCH($F41,'Type Chart'!$B$4:$P$4,0)))</f>
        <v>0.5</v>
      </c>
      <c r="O41" s="21" t="n">
        <f aca="false">INDEX('Type Chart'!$B$5:$P$19,MATCH(O$4,'Type Chart'!$A$5:$A$19,0),MATCH($E41,'Type Chart'!$B$4:$P$4,0))*IF($F41="",1,INDEX('Type Chart'!$B$5:$P$19,MATCH(O$4,'Type Chart'!$A$5:$A$19,0),MATCH($F41,'Type Chart'!$B$4:$P$4,0)))</f>
        <v>0.5</v>
      </c>
      <c r="P41" s="21" t="n">
        <f aca="false">INDEX('Type Chart'!$B$5:$P$19,MATCH(P$4,'Type Chart'!$A$5:$A$19,0),MATCH($E41,'Type Chart'!$B$4:$P$4,0))*IF($F41="",1,INDEX('Type Chart'!$B$5:$P$19,MATCH(P$4,'Type Chart'!$A$5:$A$19,0),MATCH($F41,'Type Chart'!$B$4:$P$4,0)))</f>
        <v>2</v>
      </c>
      <c r="Q41" s="21" t="n">
        <f aca="false">INDEX('Type Chart'!$B$5:$P$19,MATCH(Q$4,'Type Chart'!$A$5:$A$19,0),MATCH($E41,'Type Chart'!$B$4:$P$4,0))*IF($F41="",1,INDEX('Type Chart'!$B$5:$P$19,MATCH(Q$4,'Type Chart'!$A$5:$A$19,0),MATCH($F41,'Type Chart'!$B$4:$P$4,0)))</f>
        <v>1</v>
      </c>
      <c r="R41" s="21" t="n">
        <f aca="false">INDEX('Type Chart'!$B$5:$P$19,MATCH(R$4,'Type Chart'!$A$5:$A$19,0),MATCH($E41,'Type Chart'!$B$4:$P$4,0))*IF($F41="",1,INDEX('Type Chart'!$B$5:$P$19,MATCH(R$4,'Type Chart'!$A$5:$A$19,0),MATCH($F41,'Type Chart'!$B$4:$P$4,0)))</f>
        <v>2</v>
      </c>
      <c r="S41" s="21" t="n">
        <f aca="false">INDEX('Type Chart'!$B$5:$P$19,MATCH(S$4,'Type Chart'!$A$5:$A$19,0),MATCH($E41,'Type Chart'!$B$4:$P$4,0))*IF($F41="",1,INDEX('Type Chart'!$B$5:$P$19,MATCH(S$4,'Type Chart'!$A$5:$A$19,0),MATCH($F41,'Type Chart'!$B$4:$P$4,0)))</f>
        <v>2</v>
      </c>
      <c r="T41" s="21" t="n">
        <f aca="false">INDEX('Type Chart'!$B$5:$P$19,MATCH(T$4,'Type Chart'!$A$5:$A$19,0),MATCH($E41,'Type Chart'!$B$4:$P$4,0))*IF($F41="",1,INDEX('Type Chart'!$B$5:$P$19,MATCH(T$4,'Type Chart'!$A$5:$A$19,0),MATCH($F41,'Type Chart'!$B$4:$P$4,0)))</f>
        <v>1</v>
      </c>
      <c r="U41" s="21" t="n">
        <f aca="false">INDEX('Type Chart'!$B$5:$P$19,MATCH(U$4,'Type Chart'!$A$5:$A$19,0),MATCH($E41,'Type Chart'!$B$4:$P$4,0))*IF($F41="",1,INDEX('Type Chart'!$B$5:$P$19,MATCH(U$4,'Type Chart'!$A$5:$A$19,0),MATCH($F41,'Type Chart'!$B$4:$P$4,0)))</f>
        <v>1</v>
      </c>
      <c r="V41" s="21" t="n">
        <f aca="false">INDEX('Type Chart'!$B$5:$P$19,MATCH(V$4,'Type Chart'!$A$5:$A$19,0),MATCH($E41,'Type Chart'!$B$4:$P$4,0))*IF($F41="",1,INDEX('Type Chart'!$B$5:$P$19,MATCH(V$4,'Type Chart'!$A$5:$A$19,0),MATCH($F41,'Type Chart'!$B$4:$P$4,0)))</f>
        <v>1</v>
      </c>
    </row>
    <row r="42" customFormat="false" ht="15" hidden="false" customHeight="false" outlineLevel="0" collapsed="false">
      <c r="A42" s="22" t="s">
        <v>272</v>
      </c>
      <c r="B42" s="22" t="s">
        <v>270</v>
      </c>
      <c r="C42" s="22" t="s">
        <v>185</v>
      </c>
      <c r="D42" s="17" t="n">
        <v>60</v>
      </c>
      <c r="E42" s="17" t="s">
        <v>53</v>
      </c>
      <c r="F42" s="17" t="s">
        <v>47</v>
      </c>
      <c r="G42" s="17" t="s">
        <v>254</v>
      </c>
      <c r="H42" s="21" t="n">
        <f aca="false">INDEX('Type Chart'!$B$5:$P$19,MATCH(H$4,'Type Chart'!$A$5:$A$19,0),MATCH($E42,'Type Chart'!$B$4:$P$4,0))*IF($F42="",1,INDEX('Type Chart'!$B$5:$P$19,MATCH(H$4,'Type Chart'!$A$5:$A$19,0),MATCH($F42,'Type Chart'!$B$4:$P$4,0)))</f>
        <v>0</v>
      </c>
      <c r="I42" s="21" t="n">
        <f aca="false">INDEX('Type Chart'!$B$5:$P$19,MATCH(I$4,'Type Chart'!$A$5:$A$19,0),MATCH($E42,'Type Chart'!$B$4:$P$4,0))*IF($F42="",1,INDEX('Type Chart'!$B$5:$P$19,MATCH(I$4,'Type Chart'!$A$5:$A$19,0),MATCH($F42,'Type Chart'!$B$4:$P$4,0)))</f>
        <v>1</v>
      </c>
      <c r="J42" s="21" t="n">
        <f aca="false">INDEX('Type Chart'!$B$5:$P$19,MATCH(J$4,'Type Chart'!$A$5:$A$19,0),MATCH($E42,'Type Chart'!$B$4:$P$4,0))*IF($F42="",1,INDEX('Type Chart'!$B$5:$P$19,MATCH(J$4,'Type Chart'!$A$5:$A$19,0),MATCH($F42,'Type Chart'!$B$4:$P$4,0)))</f>
        <v>1</v>
      </c>
      <c r="K42" s="21" t="n">
        <f aca="false">INDEX('Type Chart'!$B$5:$P$19,MATCH(K$4,'Type Chart'!$A$5:$A$19,0),MATCH($E42,'Type Chart'!$B$4:$P$4,0))*IF($F42="",1,INDEX('Type Chart'!$B$5:$P$19,MATCH(K$4,'Type Chart'!$A$5:$A$19,0),MATCH($F42,'Type Chart'!$B$4:$P$4,0)))</f>
        <v>1</v>
      </c>
      <c r="L42" s="21" t="n">
        <f aca="false">INDEX('Type Chart'!$B$5:$P$19,MATCH(L$4,'Type Chart'!$A$5:$A$19,0),MATCH($E42,'Type Chart'!$B$4:$P$4,0))*IF($F42="",1,INDEX('Type Chart'!$B$5:$P$19,MATCH(L$4,'Type Chart'!$A$5:$A$19,0),MATCH($F42,'Type Chart'!$B$4:$P$4,0)))</f>
        <v>0.5</v>
      </c>
      <c r="M42" s="21" t="n">
        <f aca="false">INDEX('Type Chart'!$B$5:$P$19,MATCH(M$4,'Type Chart'!$A$5:$A$19,0),MATCH($E42,'Type Chart'!$B$4:$P$4,0))*IF($F42="",1,INDEX('Type Chart'!$B$5:$P$19,MATCH(M$4,'Type Chart'!$A$5:$A$19,0),MATCH($F42,'Type Chart'!$B$4:$P$4,0)))</f>
        <v>1</v>
      </c>
      <c r="N42" s="21" t="n">
        <f aca="false">INDEX('Type Chart'!$B$5:$P$19,MATCH(N$4,'Type Chart'!$A$5:$A$19,0),MATCH($E42,'Type Chart'!$B$4:$P$4,0))*IF($F42="",1,INDEX('Type Chart'!$B$5:$P$19,MATCH(N$4,'Type Chart'!$A$5:$A$19,0),MATCH($F42,'Type Chart'!$B$4:$P$4,0)))</f>
        <v>0</v>
      </c>
      <c r="O42" s="21" t="n">
        <f aca="false">INDEX('Type Chart'!$B$5:$P$19,MATCH(O$4,'Type Chart'!$A$5:$A$19,0),MATCH($E42,'Type Chart'!$B$4:$P$4,0))*IF($F42="",1,INDEX('Type Chart'!$B$5:$P$19,MATCH(O$4,'Type Chart'!$A$5:$A$19,0),MATCH($F42,'Type Chart'!$B$4:$P$4,0)))</f>
        <v>0.25</v>
      </c>
      <c r="P42" s="21" t="n">
        <f aca="false">INDEX('Type Chart'!$B$5:$P$19,MATCH(P$4,'Type Chart'!$A$5:$A$19,0),MATCH($E42,'Type Chart'!$B$4:$P$4,0))*IF($F42="",1,INDEX('Type Chart'!$B$5:$P$19,MATCH(P$4,'Type Chart'!$A$5:$A$19,0),MATCH($F42,'Type Chart'!$B$4:$P$4,0)))</f>
        <v>2</v>
      </c>
      <c r="Q42" s="21" t="n">
        <f aca="false">INDEX('Type Chart'!$B$5:$P$19,MATCH(Q$4,'Type Chart'!$A$5:$A$19,0),MATCH($E42,'Type Chart'!$B$4:$P$4,0))*IF($F42="",1,INDEX('Type Chart'!$B$5:$P$19,MATCH(Q$4,'Type Chart'!$A$5:$A$19,0),MATCH($F42,'Type Chart'!$B$4:$P$4,0)))</f>
        <v>1</v>
      </c>
      <c r="R42" s="21" t="n">
        <f aca="false">INDEX('Type Chart'!$B$5:$P$19,MATCH(R$4,'Type Chart'!$A$5:$A$19,0),MATCH($E42,'Type Chart'!$B$4:$P$4,0))*IF($F42="",1,INDEX('Type Chart'!$B$5:$P$19,MATCH(R$4,'Type Chart'!$A$5:$A$19,0),MATCH($F42,'Type Chart'!$B$4:$P$4,0)))</f>
        <v>2</v>
      </c>
      <c r="S42" s="21" t="n">
        <f aca="false">INDEX('Type Chart'!$B$5:$P$19,MATCH(S$4,'Type Chart'!$A$5:$A$19,0),MATCH($E42,'Type Chart'!$B$4:$P$4,0))*IF($F42="",1,INDEX('Type Chart'!$B$5:$P$19,MATCH(S$4,'Type Chart'!$A$5:$A$19,0),MATCH($F42,'Type Chart'!$B$4:$P$4,0)))</f>
        <v>1</v>
      </c>
      <c r="T42" s="21" t="n">
        <f aca="false">INDEX('Type Chart'!$B$5:$P$19,MATCH(T$4,'Type Chart'!$A$5:$A$19,0),MATCH($E42,'Type Chart'!$B$4:$P$4,0))*IF($F42="",1,INDEX('Type Chart'!$B$5:$P$19,MATCH(T$4,'Type Chart'!$A$5:$A$19,0),MATCH($F42,'Type Chart'!$B$4:$P$4,0)))</f>
        <v>1</v>
      </c>
      <c r="U42" s="21" t="n">
        <f aca="false">INDEX('Type Chart'!$B$5:$P$19,MATCH(U$4,'Type Chart'!$A$5:$A$19,0),MATCH($E42,'Type Chart'!$B$4:$P$4,0))*IF($F42="",1,INDEX('Type Chart'!$B$5:$P$19,MATCH(U$4,'Type Chart'!$A$5:$A$19,0),MATCH($F42,'Type Chart'!$B$4:$P$4,0)))</f>
        <v>2</v>
      </c>
      <c r="V42" s="21" t="n">
        <f aca="false">INDEX('Type Chart'!$B$5:$P$19,MATCH(V$4,'Type Chart'!$A$5:$A$19,0),MATCH($E42,'Type Chart'!$B$4:$P$4,0))*IF($F42="",1,INDEX('Type Chart'!$B$5:$P$19,MATCH(V$4,'Type Chart'!$A$5:$A$19,0),MATCH($F42,'Type Chart'!$B$4:$P$4,0)))</f>
        <v>1</v>
      </c>
    </row>
    <row r="43" customFormat="false" ht="15" hidden="false" customHeight="false" outlineLevel="0" collapsed="false">
      <c r="A43" s="17" t="s">
        <v>273</v>
      </c>
      <c r="B43" s="17" t="s">
        <v>270</v>
      </c>
      <c r="C43" s="17" t="s">
        <v>221</v>
      </c>
      <c r="D43" s="17" t="n">
        <v>58</v>
      </c>
      <c r="E43" s="17" t="s">
        <v>42</v>
      </c>
      <c r="F43" s="17" t="s">
        <v>49</v>
      </c>
      <c r="G43" s="17"/>
      <c r="H43" s="21" t="n">
        <f aca="false">INDEX('Type Chart'!$B$5:$P$19,MATCH(H$4,'Type Chart'!$A$5:$A$19,0),MATCH($E43,'Type Chart'!$B$4:$P$4,0))*IF($F43="",1,INDEX('Type Chart'!$B$5:$P$19,MATCH(H$4,'Type Chart'!$A$5:$A$19,0),MATCH($F43,'Type Chart'!$B$4:$P$4,0)))</f>
        <v>1</v>
      </c>
      <c r="I43" s="21" t="n">
        <f aca="false">INDEX('Type Chart'!$B$5:$P$19,MATCH(I$4,'Type Chart'!$A$5:$A$19,0),MATCH($E43,'Type Chart'!$B$4:$P$4,0))*IF($F43="",1,INDEX('Type Chart'!$B$5:$P$19,MATCH(I$4,'Type Chart'!$A$5:$A$19,0),MATCH($F43,'Type Chart'!$B$4:$P$4,0)))</f>
        <v>0.5</v>
      </c>
      <c r="J43" s="21" t="n">
        <f aca="false">INDEX('Type Chart'!$B$5:$P$19,MATCH(J$4,'Type Chart'!$A$5:$A$19,0),MATCH($E43,'Type Chart'!$B$4:$P$4,0))*IF($F43="",1,INDEX('Type Chart'!$B$5:$P$19,MATCH(J$4,'Type Chart'!$A$5:$A$19,0),MATCH($F43,'Type Chart'!$B$4:$P$4,0)))</f>
        <v>0.5</v>
      </c>
      <c r="K43" s="21" t="n">
        <f aca="false">INDEX('Type Chart'!$B$5:$P$19,MATCH(K$4,'Type Chart'!$A$5:$A$19,0),MATCH($E43,'Type Chart'!$B$4:$P$4,0))*IF($F43="",1,INDEX('Type Chart'!$B$5:$P$19,MATCH(K$4,'Type Chart'!$A$5:$A$19,0),MATCH($F43,'Type Chart'!$B$4:$P$4,0)))</f>
        <v>4</v>
      </c>
      <c r="L43" s="21" t="n">
        <f aca="false">INDEX('Type Chart'!$B$5:$P$19,MATCH(L$4,'Type Chart'!$A$5:$A$19,0),MATCH($E43,'Type Chart'!$B$4:$P$4,0))*IF($F43="",1,INDEX('Type Chart'!$B$5:$P$19,MATCH(L$4,'Type Chart'!$A$5:$A$19,0),MATCH($F43,'Type Chart'!$B$4:$P$4,0)))</f>
        <v>1</v>
      </c>
      <c r="M43" s="21" t="n">
        <f aca="false">INDEX('Type Chart'!$B$5:$P$19,MATCH(M$4,'Type Chart'!$A$5:$A$19,0),MATCH($E43,'Type Chart'!$B$4:$P$4,0))*IF($F43="",1,INDEX('Type Chart'!$B$5:$P$19,MATCH(M$4,'Type Chart'!$A$5:$A$19,0),MATCH($F43,'Type Chart'!$B$4:$P$4,0)))</f>
        <v>1</v>
      </c>
      <c r="N43" s="21" t="n">
        <f aca="false">INDEX('Type Chart'!$B$5:$P$19,MATCH(N$4,'Type Chart'!$A$5:$A$19,0),MATCH($E43,'Type Chart'!$B$4:$P$4,0))*IF($F43="",1,INDEX('Type Chart'!$B$5:$P$19,MATCH(N$4,'Type Chart'!$A$5:$A$19,0),MATCH($F43,'Type Chart'!$B$4:$P$4,0)))</f>
        <v>0.5</v>
      </c>
      <c r="O43" s="21" t="n">
        <f aca="false">INDEX('Type Chart'!$B$5:$P$19,MATCH(O$4,'Type Chart'!$A$5:$A$19,0),MATCH($E43,'Type Chart'!$B$4:$P$4,0))*IF($F43="",1,INDEX('Type Chart'!$B$5:$P$19,MATCH(O$4,'Type Chart'!$A$5:$A$19,0),MATCH($F43,'Type Chart'!$B$4:$P$4,0)))</f>
        <v>1</v>
      </c>
      <c r="P43" s="21" t="n">
        <f aca="false">INDEX('Type Chart'!$B$5:$P$19,MATCH(P$4,'Type Chart'!$A$5:$A$19,0),MATCH($E43,'Type Chart'!$B$4:$P$4,0))*IF($F43="",1,INDEX('Type Chart'!$B$5:$P$19,MATCH(P$4,'Type Chart'!$A$5:$A$19,0),MATCH($F43,'Type Chart'!$B$4:$P$4,0)))</f>
        <v>0</v>
      </c>
      <c r="Q43" s="21" t="n">
        <f aca="false">INDEX('Type Chart'!$B$5:$P$19,MATCH(Q$4,'Type Chart'!$A$5:$A$19,0),MATCH($E43,'Type Chart'!$B$4:$P$4,0))*IF($F43="",1,INDEX('Type Chart'!$B$5:$P$19,MATCH(Q$4,'Type Chart'!$A$5:$A$19,0),MATCH($F43,'Type Chart'!$B$4:$P$4,0)))</f>
        <v>1</v>
      </c>
      <c r="R43" s="21" t="n">
        <f aca="false">INDEX('Type Chart'!$B$5:$P$19,MATCH(R$4,'Type Chart'!$A$5:$A$19,0),MATCH($E43,'Type Chart'!$B$4:$P$4,0))*IF($F43="",1,INDEX('Type Chart'!$B$5:$P$19,MATCH(R$4,'Type Chart'!$A$5:$A$19,0),MATCH($F43,'Type Chart'!$B$4:$P$4,0)))</f>
        <v>1</v>
      </c>
      <c r="S43" s="21" t="n">
        <f aca="false">INDEX('Type Chart'!$B$5:$P$19,MATCH(S$4,'Type Chart'!$A$5:$A$19,0),MATCH($E43,'Type Chart'!$B$4:$P$4,0))*IF($F43="",1,INDEX('Type Chart'!$B$5:$P$19,MATCH(S$4,'Type Chart'!$A$5:$A$19,0),MATCH($F43,'Type Chart'!$B$4:$P$4,0)))</f>
        <v>0.5</v>
      </c>
      <c r="T43" s="21" t="n">
        <f aca="false">INDEX('Type Chart'!$B$5:$P$19,MATCH(T$4,'Type Chart'!$A$5:$A$19,0),MATCH($E43,'Type Chart'!$B$4:$P$4,0))*IF($F43="",1,INDEX('Type Chart'!$B$5:$P$19,MATCH(T$4,'Type Chart'!$A$5:$A$19,0),MATCH($F43,'Type Chart'!$B$4:$P$4,0)))</f>
        <v>2</v>
      </c>
      <c r="U43" s="21" t="n">
        <f aca="false">INDEX('Type Chart'!$B$5:$P$19,MATCH(U$4,'Type Chart'!$A$5:$A$19,0),MATCH($E43,'Type Chart'!$B$4:$P$4,0))*IF($F43="",1,INDEX('Type Chart'!$B$5:$P$19,MATCH(U$4,'Type Chart'!$A$5:$A$19,0),MATCH($F43,'Type Chart'!$B$4:$P$4,0)))</f>
        <v>1</v>
      </c>
      <c r="V43" s="21" t="n">
        <f aca="false">INDEX('Type Chart'!$B$5:$P$19,MATCH(V$4,'Type Chart'!$A$5:$A$19,0),MATCH($E43,'Type Chart'!$B$4:$P$4,0))*IF($F43="",1,INDEX('Type Chart'!$B$5:$P$19,MATCH(V$4,'Type Chart'!$A$5:$A$19,0),MATCH($F43,'Type Chart'!$B$4:$P$4,0)))</f>
        <v>1</v>
      </c>
    </row>
    <row r="44" customFormat="false" ht="15" hidden="false" customHeight="false" outlineLevel="0" collapsed="false">
      <c r="A44" s="17" t="s">
        <v>273</v>
      </c>
      <c r="B44" s="17" t="s">
        <v>270</v>
      </c>
      <c r="C44" s="17" t="s">
        <v>239</v>
      </c>
      <c r="D44" s="17" t="n">
        <v>56</v>
      </c>
      <c r="E44" s="17" t="s">
        <v>54</v>
      </c>
      <c r="F44" s="17"/>
      <c r="G44" s="17"/>
      <c r="H44" s="21" t="n">
        <f aca="false">INDEX('Type Chart'!$B$5:$P$19,MATCH(H$4,'Type Chart'!$A$5:$A$19,0),MATCH($E44,'Type Chart'!$B$4:$P$4,0))*IF($F44="",1,INDEX('Type Chart'!$B$5:$P$19,MATCH(H$4,'Type Chart'!$A$5:$A$19,0),MATCH($F44,'Type Chart'!$B$4:$P$4,0)))</f>
        <v>1</v>
      </c>
      <c r="I44" s="21" t="n">
        <f aca="false">INDEX('Type Chart'!$B$5:$P$19,MATCH(I$4,'Type Chart'!$A$5:$A$19,0),MATCH($E44,'Type Chart'!$B$4:$P$4,0))*IF($F44="",1,INDEX('Type Chart'!$B$5:$P$19,MATCH(I$4,'Type Chart'!$A$5:$A$19,0),MATCH($F44,'Type Chart'!$B$4:$P$4,0)))</f>
        <v>0.5</v>
      </c>
      <c r="J44" s="21" t="n">
        <f aca="false">INDEX('Type Chart'!$B$5:$P$19,MATCH(J$4,'Type Chart'!$A$5:$A$19,0),MATCH($E44,'Type Chart'!$B$4:$P$4,0))*IF($F44="",1,INDEX('Type Chart'!$B$5:$P$19,MATCH(J$4,'Type Chart'!$A$5:$A$19,0),MATCH($F44,'Type Chart'!$B$4:$P$4,0)))</f>
        <v>0.5</v>
      </c>
      <c r="K44" s="21" t="n">
        <f aca="false">INDEX('Type Chart'!$B$5:$P$19,MATCH(K$4,'Type Chart'!$A$5:$A$19,0),MATCH($E44,'Type Chart'!$B$4:$P$4,0))*IF($F44="",1,INDEX('Type Chart'!$B$5:$P$19,MATCH(K$4,'Type Chart'!$A$5:$A$19,0),MATCH($F44,'Type Chart'!$B$4:$P$4,0)))</f>
        <v>0.5</v>
      </c>
      <c r="L44" s="21" t="n">
        <f aca="false">INDEX('Type Chart'!$B$5:$P$19,MATCH(L$4,'Type Chart'!$A$5:$A$19,0),MATCH($E44,'Type Chart'!$B$4:$P$4,0))*IF($F44="",1,INDEX('Type Chart'!$B$5:$P$19,MATCH(L$4,'Type Chart'!$A$5:$A$19,0),MATCH($F44,'Type Chart'!$B$4:$P$4,0)))</f>
        <v>0.5</v>
      </c>
      <c r="M44" s="21" t="n">
        <f aca="false">INDEX('Type Chart'!$B$5:$P$19,MATCH(M$4,'Type Chart'!$A$5:$A$19,0),MATCH($E44,'Type Chart'!$B$4:$P$4,0))*IF($F44="",1,INDEX('Type Chart'!$B$5:$P$19,MATCH(M$4,'Type Chart'!$A$5:$A$19,0),MATCH($F44,'Type Chart'!$B$4:$P$4,0)))</f>
        <v>2</v>
      </c>
      <c r="N44" s="21" t="n">
        <f aca="false">INDEX('Type Chart'!$B$5:$P$19,MATCH(N$4,'Type Chart'!$A$5:$A$19,0),MATCH($E44,'Type Chart'!$B$4:$P$4,0))*IF($F44="",1,INDEX('Type Chart'!$B$5:$P$19,MATCH(N$4,'Type Chart'!$A$5:$A$19,0),MATCH($F44,'Type Chart'!$B$4:$P$4,0)))</f>
        <v>1</v>
      </c>
      <c r="O44" s="21" t="n">
        <f aca="false">INDEX('Type Chart'!$B$5:$P$19,MATCH(O$4,'Type Chart'!$A$5:$A$19,0),MATCH($E44,'Type Chart'!$B$4:$P$4,0))*IF($F44="",1,INDEX('Type Chart'!$B$5:$P$19,MATCH(O$4,'Type Chart'!$A$5:$A$19,0),MATCH($F44,'Type Chart'!$B$4:$P$4,0)))</f>
        <v>1</v>
      </c>
      <c r="P44" s="21" t="n">
        <f aca="false">INDEX('Type Chart'!$B$5:$P$19,MATCH(P$4,'Type Chart'!$A$5:$A$19,0),MATCH($E44,'Type Chart'!$B$4:$P$4,0))*IF($F44="",1,INDEX('Type Chart'!$B$5:$P$19,MATCH(P$4,'Type Chart'!$A$5:$A$19,0),MATCH($F44,'Type Chart'!$B$4:$P$4,0)))</f>
        <v>1</v>
      </c>
      <c r="Q44" s="21" t="n">
        <f aca="false">INDEX('Type Chart'!$B$5:$P$19,MATCH(Q$4,'Type Chart'!$A$5:$A$19,0),MATCH($E44,'Type Chart'!$B$4:$P$4,0))*IF($F44="",1,INDEX('Type Chart'!$B$5:$P$19,MATCH(Q$4,'Type Chart'!$A$5:$A$19,0),MATCH($F44,'Type Chart'!$B$4:$P$4,0)))</f>
        <v>1</v>
      </c>
      <c r="R44" s="21" t="n">
        <f aca="false">INDEX('Type Chart'!$B$5:$P$19,MATCH(R$4,'Type Chart'!$A$5:$A$19,0),MATCH($E44,'Type Chart'!$B$4:$P$4,0))*IF($F44="",1,INDEX('Type Chart'!$B$5:$P$19,MATCH(R$4,'Type Chart'!$A$5:$A$19,0),MATCH($F44,'Type Chart'!$B$4:$P$4,0)))</f>
        <v>1</v>
      </c>
      <c r="S44" s="21" t="n">
        <f aca="false">INDEX('Type Chart'!$B$5:$P$19,MATCH(S$4,'Type Chart'!$A$5:$A$19,0),MATCH($E44,'Type Chart'!$B$4:$P$4,0))*IF($F44="",1,INDEX('Type Chart'!$B$5:$P$19,MATCH(S$4,'Type Chart'!$A$5:$A$19,0),MATCH($F44,'Type Chart'!$B$4:$P$4,0)))</f>
        <v>1</v>
      </c>
      <c r="T44" s="21" t="n">
        <f aca="false">INDEX('Type Chart'!$B$5:$P$19,MATCH(T$4,'Type Chart'!$A$5:$A$19,0),MATCH($E44,'Type Chart'!$B$4:$P$4,0))*IF($F44="",1,INDEX('Type Chart'!$B$5:$P$19,MATCH(T$4,'Type Chart'!$A$5:$A$19,0),MATCH($F44,'Type Chart'!$B$4:$P$4,0)))</f>
        <v>1</v>
      </c>
      <c r="U44" s="21" t="n">
        <f aca="false">INDEX('Type Chart'!$B$5:$P$19,MATCH(U$4,'Type Chart'!$A$5:$A$19,0),MATCH($E44,'Type Chart'!$B$4:$P$4,0))*IF($F44="",1,INDEX('Type Chart'!$B$5:$P$19,MATCH(U$4,'Type Chart'!$A$5:$A$19,0),MATCH($F44,'Type Chart'!$B$4:$P$4,0)))</f>
        <v>1</v>
      </c>
      <c r="V44" s="21" t="n">
        <f aca="false">INDEX('Type Chart'!$B$5:$P$19,MATCH(V$4,'Type Chart'!$A$5:$A$19,0),MATCH($E44,'Type Chart'!$B$4:$P$4,0))*IF($F44="",1,INDEX('Type Chart'!$B$5:$P$19,MATCH(V$4,'Type Chart'!$A$5:$A$19,0),MATCH($F44,'Type Chart'!$B$4:$P$4,0)))</f>
        <v>2</v>
      </c>
    </row>
    <row r="45" customFormat="false" ht="15" hidden="false" customHeight="false" outlineLevel="0" collapsed="false">
      <c r="A45" s="17" t="s">
        <v>273</v>
      </c>
      <c r="B45" s="17" t="s">
        <v>270</v>
      </c>
      <c r="C45" s="17" t="s">
        <v>239</v>
      </c>
      <c r="D45" s="17" t="n">
        <v>56</v>
      </c>
      <c r="E45" s="17" t="s">
        <v>54</v>
      </c>
      <c r="F45" s="17"/>
      <c r="G45" s="17"/>
      <c r="H45" s="21" t="n">
        <f aca="false">INDEX('Type Chart'!$B$5:$P$19,MATCH(H$4,'Type Chart'!$A$5:$A$19,0),MATCH($E45,'Type Chart'!$B$4:$P$4,0))*IF($F45="",1,INDEX('Type Chart'!$B$5:$P$19,MATCH(H$4,'Type Chart'!$A$5:$A$19,0),MATCH($F45,'Type Chart'!$B$4:$P$4,0)))</f>
        <v>1</v>
      </c>
      <c r="I45" s="21" t="n">
        <f aca="false">INDEX('Type Chart'!$B$5:$P$19,MATCH(I$4,'Type Chart'!$A$5:$A$19,0),MATCH($E45,'Type Chart'!$B$4:$P$4,0))*IF($F45="",1,INDEX('Type Chart'!$B$5:$P$19,MATCH(I$4,'Type Chart'!$A$5:$A$19,0),MATCH($F45,'Type Chart'!$B$4:$P$4,0)))</f>
        <v>0.5</v>
      </c>
      <c r="J45" s="21" t="n">
        <f aca="false">INDEX('Type Chart'!$B$5:$P$19,MATCH(J$4,'Type Chart'!$A$5:$A$19,0),MATCH($E45,'Type Chart'!$B$4:$P$4,0))*IF($F45="",1,INDEX('Type Chart'!$B$5:$P$19,MATCH(J$4,'Type Chart'!$A$5:$A$19,0),MATCH($F45,'Type Chart'!$B$4:$P$4,0)))</f>
        <v>0.5</v>
      </c>
      <c r="K45" s="21" t="n">
        <f aca="false">INDEX('Type Chart'!$B$5:$P$19,MATCH(K$4,'Type Chart'!$A$5:$A$19,0),MATCH($E45,'Type Chart'!$B$4:$P$4,0))*IF($F45="",1,INDEX('Type Chart'!$B$5:$P$19,MATCH(K$4,'Type Chart'!$A$5:$A$19,0),MATCH($F45,'Type Chart'!$B$4:$P$4,0)))</f>
        <v>0.5</v>
      </c>
      <c r="L45" s="21" t="n">
        <f aca="false">INDEX('Type Chart'!$B$5:$P$19,MATCH(L$4,'Type Chart'!$A$5:$A$19,0),MATCH($E45,'Type Chart'!$B$4:$P$4,0))*IF($F45="",1,INDEX('Type Chart'!$B$5:$P$19,MATCH(L$4,'Type Chart'!$A$5:$A$19,0),MATCH($F45,'Type Chart'!$B$4:$P$4,0)))</f>
        <v>0.5</v>
      </c>
      <c r="M45" s="21" t="n">
        <f aca="false">INDEX('Type Chart'!$B$5:$P$19,MATCH(M$4,'Type Chart'!$A$5:$A$19,0),MATCH($E45,'Type Chart'!$B$4:$P$4,0))*IF($F45="",1,INDEX('Type Chart'!$B$5:$P$19,MATCH(M$4,'Type Chart'!$A$5:$A$19,0),MATCH($F45,'Type Chart'!$B$4:$P$4,0)))</f>
        <v>2</v>
      </c>
      <c r="N45" s="21" t="n">
        <f aca="false">INDEX('Type Chart'!$B$5:$P$19,MATCH(N$4,'Type Chart'!$A$5:$A$19,0),MATCH($E45,'Type Chart'!$B$4:$P$4,0))*IF($F45="",1,INDEX('Type Chart'!$B$5:$P$19,MATCH(N$4,'Type Chart'!$A$5:$A$19,0),MATCH($F45,'Type Chart'!$B$4:$P$4,0)))</f>
        <v>1</v>
      </c>
      <c r="O45" s="21" t="n">
        <f aca="false">INDEX('Type Chart'!$B$5:$P$19,MATCH(O$4,'Type Chart'!$A$5:$A$19,0),MATCH($E45,'Type Chart'!$B$4:$P$4,0))*IF($F45="",1,INDEX('Type Chart'!$B$5:$P$19,MATCH(O$4,'Type Chart'!$A$5:$A$19,0),MATCH($F45,'Type Chart'!$B$4:$P$4,0)))</f>
        <v>1</v>
      </c>
      <c r="P45" s="21" t="n">
        <f aca="false">INDEX('Type Chart'!$B$5:$P$19,MATCH(P$4,'Type Chart'!$A$5:$A$19,0),MATCH($E45,'Type Chart'!$B$4:$P$4,0))*IF($F45="",1,INDEX('Type Chart'!$B$5:$P$19,MATCH(P$4,'Type Chart'!$A$5:$A$19,0),MATCH($F45,'Type Chart'!$B$4:$P$4,0)))</f>
        <v>1</v>
      </c>
      <c r="Q45" s="21" t="n">
        <f aca="false">INDEX('Type Chart'!$B$5:$P$19,MATCH(Q$4,'Type Chart'!$A$5:$A$19,0),MATCH($E45,'Type Chart'!$B$4:$P$4,0))*IF($F45="",1,INDEX('Type Chart'!$B$5:$P$19,MATCH(Q$4,'Type Chart'!$A$5:$A$19,0),MATCH($F45,'Type Chart'!$B$4:$P$4,0)))</f>
        <v>1</v>
      </c>
      <c r="R45" s="21" t="n">
        <f aca="false">INDEX('Type Chart'!$B$5:$P$19,MATCH(R$4,'Type Chart'!$A$5:$A$19,0),MATCH($E45,'Type Chart'!$B$4:$P$4,0))*IF($F45="",1,INDEX('Type Chart'!$B$5:$P$19,MATCH(R$4,'Type Chart'!$A$5:$A$19,0),MATCH($F45,'Type Chart'!$B$4:$P$4,0)))</f>
        <v>1</v>
      </c>
      <c r="S45" s="21" t="n">
        <f aca="false">INDEX('Type Chart'!$B$5:$P$19,MATCH(S$4,'Type Chart'!$A$5:$A$19,0),MATCH($E45,'Type Chart'!$B$4:$P$4,0))*IF($F45="",1,INDEX('Type Chart'!$B$5:$P$19,MATCH(S$4,'Type Chart'!$A$5:$A$19,0),MATCH($F45,'Type Chart'!$B$4:$P$4,0)))</f>
        <v>1</v>
      </c>
      <c r="T45" s="21" t="n">
        <f aca="false">INDEX('Type Chart'!$B$5:$P$19,MATCH(T$4,'Type Chart'!$A$5:$A$19,0),MATCH($E45,'Type Chart'!$B$4:$P$4,0))*IF($F45="",1,INDEX('Type Chart'!$B$5:$P$19,MATCH(T$4,'Type Chart'!$A$5:$A$19,0),MATCH($F45,'Type Chart'!$B$4:$P$4,0)))</f>
        <v>1</v>
      </c>
      <c r="U45" s="21" t="n">
        <f aca="false">INDEX('Type Chart'!$B$5:$P$19,MATCH(U$4,'Type Chart'!$A$5:$A$19,0),MATCH($E45,'Type Chart'!$B$4:$P$4,0))*IF($F45="",1,INDEX('Type Chart'!$B$5:$P$19,MATCH(U$4,'Type Chart'!$A$5:$A$19,0),MATCH($F45,'Type Chart'!$B$4:$P$4,0)))</f>
        <v>1</v>
      </c>
      <c r="V45" s="21" t="n">
        <f aca="false">INDEX('Type Chart'!$B$5:$P$19,MATCH(V$4,'Type Chart'!$A$5:$A$19,0),MATCH($E45,'Type Chart'!$B$4:$P$4,0))*IF($F45="",1,INDEX('Type Chart'!$B$5:$P$19,MATCH(V$4,'Type Chart'!$A$5:$A$19,0),MATCH($F45,'Type Chart'!$B$4:$P$4,0)))</f>
        <v>2</v>
      </c>
    </row>
    <row r="46" customFormat="false" ht="15" hidden="false" customHeight="false" outlineLevel="0" collapsed="false">
      <c r="A46" s="17" t="s">
        <v>273</v>
      </c>
      <c r="B46" s="17" t="s">
        <v>270</v>
      </c>
      <c r="C46" s="17" t="s">
        <v>233</v>
      </c>
      <c r="D46" s="17" t="n">
        <v>60</v>
      </c>
      <c r="E46" s="17" t="s">
        <v>52</v>
      </c>
      <c r="F46" s="17" t="s">
        <v>49</v>
      </c>
      <c r="G46" s="17"/>
      <c r="H46" s="21" t="n">
        <f aca="false">INDEX('Type Chart'!$B$5:$P$19,MATCH(H$4,'Type Chart'!$A$5:$A$19,0),MATCH($E46,'Type Chart'!$B$4:$P$4,0))*IF($F46="",1,INDEX('Type Chart'!$B$5:$P$19,MATCH(H$4,'Type Chart'!$A$5:$A$19,0),MATCH($F46,'Type Chart'!$B$4:$P$4,0)))</f>
        <v>0.5</v>
      </c>
      <c r="I46" s="21" t="n">
        <f aca="false">INDEX('Type Chart'!$B$5:$P$19,MATCH(I$4,'Type Chart'!$A$5:$A$19,0),MATCH($E46,'Type Chart'!$B$4:$P$4,0))*IF($F46="",1,INDEX('Type Chart'!$B$5:$P$19,MATCH(I$4,'Type Chart'!$A$5:$A$19,0),MATCH($F46,'Type Chart'!$B$4:$P$4,0)))</f>
        <v>0.5</v>
      </c>
      <c r="J46" s="21" t="n">
        <f aca="false">INDEX('Type Chart'!$B$5:$P$19,MATCH(J$4,'Type Chart'!$A$5:$A$19,0),MATCH($E46,'Type Chart'!$B$4:$P$4,0))*IF($F46="",1,INDEX('Type Chart'!$B$5:$P$19,MATCH(J$4,'Type Chart'!$A$5:$A$19,0),MATCH($F46,'Type Chart'!$B$4:$P$4,0)))</f>
        <v>2</v>
      </c>
      <c r="K46" s="21" t="n">
        <f aca="false">INDEX('Type Chart'!$B$5:$P$19,MATCH(K$4,'Type Chart'!$A$5:$A$19,0),MATCH($E46,'Type Chart'!$B$4:$P$4,0))*IF($F46="",1,INDEX('Type Chart'!$B$5:$P$19,MATCH(K$4,'Type Chart'!$A$5:$A$19,0),MATCH($F46,'Type Chart'!$B$4:$P$4,0)))</f>
        <v>2</v>
      </c>
      <c r="L46" s="21" t="n">
        <f aca="false">INDEX('Type Chart'!$B$5:$P$19,MATCH(L$4,'Type Chart'!$A$5:$A$19,0),MATCH($E46,'Type Chart'!$B$4:$P$4,0))*IF($F46="",1,INDEX('Type Chart'!$B$5:$P$19,MATCH(L$4,'Type Chart'!$A$5:$A$19,0),MATCH($F46,'Type Chart'!$B$4:$P$4,0)))</f>
        <v>1</v>
      </c>
      <c r="M46" s="21" t="n">
        <f aca="false">INDEX('Type Chart'!$B$5:$P$19,MATCH(M$4,'Type Chart'!$A$5:$A$19,0),MATCH($E46,'Type Chart'!$B$4:$P$4,0))*IF($F46="",1,INDEX('Type Chart'!$B$5:$P$19,MATCH(M$4,'Type Chart'!$A$5:$A$19,0),MATCH($F46,'Type Chart'!$B$4:$P$4,0)))</f>
        <v>2</v>
      </c>
      <c r="N46" s="21" t="n">
        <f aca="false">INDEX('Type Chart'!$B$5:$P$19,MATCH(N$4,'Type Chart'!$A$5:$A$19,0),MATCH($E46,'Type Chart'!$B$4:$P$4,0))*IF($F46="",1,INDEX('Type Chart'!$B$5:$P$19,MATCH(N$4,'Type Chart'!$A$5:$A$19,0),MATCH($F46,'Type Chart'!$B$4:$P$4,0)))</f>
        <v>1</v>
      </c>
      <c r="O46" s="21" t="n">
        <f aca="false">INDEX('Type Chart'!$B$5:$P$19,MATCH(O$4,'Type Chart'!$A$5:$A$19,0),MATCH($E46,'Type Chart'!$B$4:$P$4,0))*IF($F46="",1,INDEX('Type Chart'!$B$5:$P$19,MATCH(O$4,'Type Chart'!$A$5:$A$19,0),MATCH($F46,'Type Chart'!$B$4:$P$4,0)))</f>
        <v>0.5</v>
      </c>
      <c r="P46" s="21" t="n">
        <f aca="false">INDEX('Type Chart'!$B$5:$P$19,MATCH(P$4,'Type Chart'!$A$5:$A$19,0),MATCH($E46,'Type Chart'!$B$4:$P$4,0))*IF($F46="",1,INDEX('Type Chart'!$B$5:$P$19,MATCH(P$4,'Type Chart'!$A$5:$A$19,0),MATCH($F46,'Type Chart'!$B$4:$P$4,0)))</f>
        <v>0</v>
      </c>
      <c r="Q46" s="21" t="n">
        <f aca="false">INDEX('Type Chart'!$B$5:$P$19,MATCH(Q$4,'Type Chart'!$A$5:$A$19,0),MATCH($E46,'Type Chart'!$B$4:$P$4,0))*IF($F46="",1,INDEX('Type Chart'!$B$5:$P$19,MATCH(Q$4,'Type Chart'!$A$5:$A$19,0),MATCH($F46,'Type Chart'!$B$4:$P$4,0)))</f>
        <v>0.5</v>
      </c>
      <c r="R46" s="21" t="n">
        <f aca="false">INDEX('Type Chart'!$B$5:$P$19,MATCH(R$4,'Type Chart'!$A$5:$A$19,0),MATCH($E46,'Type Chart'!$B$4:$P$4,0))*IF($F46="",1,INDEX('Type Chart'!$B$5:$P$19,MATCH(R$4,'Type Chart'!$A$5:$A$19,0),MATCH($F46,'Type Chart'!$B$4:$P$4,0)))</f>
        <v>1</v>
      </c>
      <c r="S46" s="21" t="n">
        <f aca="false">INDEX('Type Chart'!$B$5:$P$19,MATCH(S$4,'Type Chart'!$A$5:$A$19,0),MATCH($E46,'Type Chart'!$B$4:$P$4,0))*IF($F46="",1,INDEX('Type Chart'!$B$5:$P$19,MATCH(S$4,'Type Chart'!$A$5:$A$19,0),MATCH($F46,'Type Chart'!$B$4:$P$4,0)))</f>
        <v>0.5</v>
      </c>
      <c r="T46" s="21" t="n">
        <f aca="false">INDEX('Type Chart'!$B$5:$P$19,MATCH(T$4,'Type Chart'!$A$5:$A$19,0),MATCH($E46,'Type Chart'!$B$4:$P$4,0))*IF($F46="",1,INDEX('Type Chart'!$B$5:$P$19,MATCH(T$4,'Type Chart'!$A$5:$A$19,0),MATCH($F46,'Type Chart'!$B$4:$P$4,0)))</f>
        <v>2</v>
      </c>
      <c r="U46" s="21" t="n">
        <f aca="false">INDEX('Type Chart'!$B$5:$P$19,MATCH(U$4,'Type Chart'!$A$5:$A$19,0),MATCH($E46,'Type Chart'!$B$4:$P$4,0))*IF($F46="",1,INDEX('Type Chart'!$B$5:$P$19,MATCH(U$4,'Type Chart'!$A$5:$A$19,0),MATCH($F46,'Type Chart'!$B$4:$P$4,0)))</f>
        <v>1</v>
      </c>
      <c r="V46" s="21" t="n">
        <f aca="false">INDEX('Type Chart'!$B$5:$P$19,MATCH(V$4,'Type Chart'!$A$5:$A$19,0),MATCH($E46,'Type Chart'!$B$4:$P$4,0))*IF($F46="",1,INDEX('Type Chart'!$B$5:$P$19,MATCH(V$4,'Type Chart'!$A$5:$A$19,0),MATCH($F46,'Type Chart'!$B$4:$P$4,0)))</f>
        <v>1</v>
      </c>
    </row>
    <row r="47" customFormat="false" ht="15" hidden="false" customHeight="false" outlineLevel="0" collapsed="false">
      <c r="A47" s="22" t="s">
        <v>273</v>
      </c>
      <c r="B47" s="22" t="s">
        <v>270</v>
      </c>
      <c r="C47" s="22" t="s">
        <v>240</v>
      </c>
      <c r="D47" s="17" t="n">
        <v>62</v>
      </c>
      <c r="E47" s="17" t="s">
        <v>54</v>
      </c>
      <c r="F47" s="17" t="s">
        <v>49</v>
      </c>
      <c r="G47" s="17" t="s">
        <v>254</v>
      </c>
      <c r="H47" s="21" t="n">
        <f aca="false">INDEX('Type Chart'!$B$5:$P$19,MATCH(H$4,'Type Chart'!$A$5:$A$19,0),MATCH($E47,'Type Chart'!$B$4:$P$4,0))*IF($F47="",1,INDEX('Type Chart'!$B$5:$P$19,MATCH(H$4,'Type Chart'!$A$5:$A$19,0),MATCH($F47,'Type Chart'!$B$4:$P$4,0)))</f>
        <v>1</v>
      </c>
      <c r="I47" s="21" t="n">
        <f aca="false">INDEX('Type Chart'!$B$5:$P$19,MATCH(I$4,'Type Chart'!$A$5:$A$19,0),MATCH($E47,'Type Chart'!$B$4:$P$4,0))*IF($F47="",1,INDEX('Type Chart'!$B$5:$P$19,MATCH(I$4,'Type Chart'!$A$5:$A$19,0),MATCH($F47,'Type Chart'!$B$4:$P$4,0)))</f>
        <v>0.5</v>
      </c>
      <c r="J47" s="21" t="n">
        <f aca="false">INDEX('Type Chart'!$B$5:$P$19,MATCH(J$4,'Type Chart'!$A$5:$A$19,0),MATCH($E47,'Type Chart'!$B$4:$P$4,0))*IF($F47="",1,INDEX('Type Chart'!$B$5:$P$19,MATCH(J$4,'Type Chart'!$A$5:$A$19,0),MATCH($F47,'Type Chart'!$B$4:$P$4,0)))</f>
        <v>0.5</v>
      </c>
      <c r="K47" s="21" t="n">
        <f aca="false">INDEX('Type Chart'!$B$5:$P$19,MATCH(K$4,'Type Chart'!$A$5:$A$19,0),MATCH($E47,'Type Chart'!$B$4:$P$4,0))*IF($F47="",1,INDEX('Type Chart'!$B$5:$P$19,MATCH(K$4,'Type Chart'!$A$5:$A$19,0),MATCH($F47,'Type Chart'!$B$4:$P$4,0)))</f>
        <v>1</v>
      </c>
      <c r="L47" s="21" t="n">
        <f aca="false">INDEX('Type Chart'!$B$5:$P$19,MATCH(L$4,'Type Chart'!$A$5:$A$19,0),MATCH($E47,'Type Chart'!$B$4:$P$4,0))*IF($F47="",1,INDEX('Type Chart'!$B$5:$P$19,MATCH(L$4,'Type Chart'!$A$5:$A$19,0),MATCH($F47,'Type Chart'!$B$4:$P$4,0)))</f>
        <v>0.25</v>
      </c>
      <c r="M47" s="21" t="n">
        <f aca="false">INDEX('Type Chart'!$B$5:$P$19,MATCH(M$4,'Type Chart'!$A$5:$A$19,0),MATCH($E47,'Type Chart'!$B$4:$P$4,0))*IF($F47="",1,INDEX('Type Chart'!$B$5:$P$19,MATCH(M$4,'Type Chart'!$A$5:$A$19,0),MATCH($F47,'Type Chart'!$B$4:$P$4,0)))</f>
        <v>4</v>
      </c>
      <c r="N47" s="21" t="n">
        <f aca="false">INDEX('Type Chart'!$B$5:$P$19,MATCH(N$4,'Type Chart'!$A$5:$A$19,0),MATCH($E47,'Type Chart'!$B$4:$P$4,0))*IF($F47="",1,INDEX('Type Chart'!$B$5:$P$19,MATCH(N$4,'Type Chart'!$A$5:$A$19,0),MATCH($F47,'Type Chart'!$B$4:$P$4,0)))</f>
        <v>0.5</v>
      </c>
      <c r="O47" s="21" t="n">
        <f aca="false">INDEX('Type Chart'!$B$5:$P$19,MATCH(O$4,'Type Chart'!$A$5:$A$19,0),MATCH($E47,'Type Chart'!$B$4:$P$4,0))*IF($F47="",1,INDEX('Type Chart'!$B$5:$P$19,MATCH(O$4,'Type Chart'!$A$5:$A$19,0),MATCH($F47,'Type Chart'!$B$4:$P$4,0)))</f>
        <v>1</v>
      </c>
      <c r="P47" s="21" t="n">
        <f aca="false">INDEX('Type Chart'!$B$5:$P$19,MATCH(P$4,'Type Chart'!$A$5:$A$19,0),MATCH($E47,'Type Chart'!$B$4:$P$4,0))*IF($F47="",1,INDEX('Type Chart'!$B$5:$P$19,MATCH(P$4,'Type Chart'!$A$5:$A$19,0),MATCH($F47,'Type Chart'!$B$4:$P$4,0)))</f>
        <v>0</v>
      </c>
      <c r="Q47" s="21" t="n">
        <f aca="false">INDEX('Type Chart'!$B$5:$P$19,MATCH(Q$4,'Type Chart'!$A$5:$A$19,0),MATCH($E47,'Type Chart'!$B$4:$P$4,0))*IF($F47="",1,INDEX('Type Chart'!$B$5:$P$19,MATCH(Q$4,'Type Chart'!$A$5:$A$19,0),MATCH($F47,'Type Chart'!$B$4:$P$4,0)))</f>
        <v>1</v>
      </c>
      <c r="R47" s="21" t="n">
        <f aca="false">INDEX('Type Chart'!$B$5:$P$19,MATCH(R$4,'Type Chart'!$A$5:$A$19,0),MATCH($E47,'Type Chart'!$B$4:$P$4,0))*IF($F47="",1,INDEX('Type Chart'!$B$5:$P$19,MATCH(R$4,'Type Chart'!$A$5:$A$19,0),MATCH($F47,'Type Chart'!$B$4:$P$4,0)))</f>
        <v>1</v>
      </c>
      <c r="S47" s="21" t="n">
        <f aca="false">INDEX('Type Chart'!$B$5:$P$19,MATCH(S$4,'Type Chart'!$A$5:$A$19,0),MATCH($E47,'Type Chart'!$B$4:$P$4,0))*IF($F47="",1,INDEX('Type Chart'!$B$5:$P$19,MATCH(S$4,'Type Chart'!$A$5:$A$19,0),MATCH($F47,'Type Chart'!$B$4:$P$4,0)))</f>
        <v>0.5</v>
      </c>
      <c r="T47" s="21" t="n">
        <f aca="false">INDEX('Type Chart'!$B$5:$P$19,MATCH(T$4,'Type Chart'!$A$5:$A$19,0),MATCH($E47,'Type Chart'!$B$4:$P$4,0))*IF($F47="",1,INDEX('Type Chart'!$B$5:$P$19,MATCH(T$4,'Type Chart'!$A$5:$A$19,0),MATCH($F47,'Type Chart'!$B$4:$P$4,0)))</f>
        <v>2</v>
      </c>
      <c r="U47" s="21" t="n">
        <f aca="false">INDEX('Type Chart'!$B$5:$P$19,MATCH(U$4,'Type Chart'!$A$5:$A$19,0),MATCH($E47,'Type Chart'!$B$4:$P$4,0))*IF($F47="",1,INDEX('Type Chart'!$B$5:$P$19,MATCH(U$4,'Type Chart'!$A$5:$A$19,0),MATCH($F47,'Type Chart'!$B$4:$P$4,0)))</f>
        <v>1</v>
      </c>
      <c r="V47" s="21" t="n">
        <f aca="false">INDEX('Type Chart'!$B$5:$P$19,MATCH(V$4,'Type Chart'!$A$5:$A$19,0),MATCH($E47,'Type Chart'!$B$4:$P$4,0))*IF($F47="",1,INDEX('Type Chart'!$B$5:$P$19,MATCH(V$4,'Type Chart'!$A$5:$A$19,0),MATCH($F47,'Type Chart'!$B$4:$P$4,0)))</f>
        <v>2</v>
      </c>
    </row>
    <row r="48" customFormat="false" ht="15" hidden="false" customHeight="false" outlineLevel="0" collapsed="false">
      <c r="A48" s="17" t="s">
        <v>274</v>
      </c>
      <c r="B48" s="17" t="s">
        <v>275</v>
      </c>
      <c r="C48" s="17" t="s">
        <v>119</v>
      </c>
      <c r="D48" s="17" t="n">
        <v>61</v>
      </c>
      <c r="E48" s="17" t="s">
        <v>48</v>
      </c>
      <c r="F48" s="17"/>
      <c r="G48" s="17"/>
      <c r="H48" s="21" t="n">
        <f aca="false">INDEX('Type Chart'!$B$5:$P$19,MATCH(H$4,'Type Chart'!$A$5:$A$19,0),MATCH($E48,'Type Chart'!$B$4:$P$4,0))*IF($F48="",1,INDEX('Type Chart'!$B$5:$P$19,MATCH(H$4,'Type Chart'!$A$5:$A$19,0),MATCH($F48,'Type Chart'!$B$4:$P$4,0)))</f>
        <v>1</v>
      </c>
      <c r="I48" s="21" t="n">
        <f aca="false">INDEX('Type Chart'!$B$5:$P$19,MATCH(I$4,'Type Chart'!$A$5:$A$19,0),MATCH($E48,'Type Chart'!$B$4:$P$4,0))*IF($F48="",1,INDEX('Type Chart'!$B$5:$P$19,MATCH(I$4,'Type Chart'!$A$5:$A$19,0),MATCH($F48,'Type Chart'!$B$4:$P$4,0)))</f>
        <v>1</v>
      </c>
      <c r="J48" s="21" t="n">
        <f aca="false">INDEX('Type Chart'!$B$5:$P$19,MATCH(J$4,'Type Chart'!$A$5:$A$19,0),MATCH($E48,'Type Chart'!$B$4:$P$4,0))*IF($F48="",1,INDEX('Type Chart'!$B$5:$P$19,MATCH(J$4,'Type Chart'!$A$5:$A$19,0),MATCH($F48,'Type Chart'!$B$4:$P$4,0)))</f>
        <v>2</v>
      </c>
      <c r="K48" s="21" t="n">
        <f aca="false">INDEX('Type Chart'!$B$5:$P$19,MATCH(K$4,'Type Chart'!$A$5:$A$19,0),MATCH($E48,'Type Chart'!$B$4:$P$4,0))*IF($F48="",1,INDEX('Type Chart'!$B$5:$P$19,MATCH(K$4,'Type Chart'!$A$5:$A$19,0),MATCH($F48,'Type Chart'!$B$4:$P$4,0)))</f>
        <v>0</v>
      </c>
      <c r="L48" s="21" t="n">
        <f aca="false">INDEX('Type Chart'!$B$5:$P$19,MATCH(L$4,'Type Chart'!$A$5:$A$19,0),MATCH($E48,'Type Chart'!$B$4:$P$4,0))*IF($F48="",1,INDEX('Type Chart'!$B$5:$P$19,MATCH(L$4,'Type Chart'!$A$5:$A$19,0),MATCH($F48,'Type Chart'!$B$4:$P$4,0)))</f>
        <v>2</v>
      </c>
      <c r="M48" s="21" t="n">
        <f aca="false">INDEX('Type Chart'!$B$5:$P$19,MATCH(M$4,'Type Chart'!$A$5:$A$19,0),MATCH($E48,'Type Chart'!$B$4:$P$4,0))*IF($F48="",1,INDEX('Type Chart'!$B$5:$P$19,MATCH(M$4,'Type Chart'!$A$5:$A$19,0),MATCH($F48,'Type Chart'!$B$4:$P$4,0)))</f>
        <v>2</v>
      </c>
      <c r="N48" s="21" t="n">
        <f aca="false">INDEX('Type Chart'!$B$5:$P$19,MATCH(N$4,'Type Chart'!$A$5:$A$19,0),MATCH($E48,'Type Chart'!$B$4:$P$4,0))*IF($F48="",1,INDEX('Type Chart'!$B$5:$P$19,MATCH(N$4,'Type Chart'!$A$5:$A$19,0),MATCH($F48,'Type Chart'!$B$4:$P$4,0)))</f>
        <v>1</v>
      </c>
      <c r="O48" s="21" t="n">
        <f aca="false">INDEX('Type Chart'!$B$5:$P$19,MATCH(O$4,'Type Chart'!$A$5:$A$19,0),MATCH($E48,'Type Chart'!$B$4:$P$4,0))*IF($F48="",1,INDEX('Type Chart'!$B$5:$P$19,MATCH(O$4,'Type Chart'!$A$5:$A$19,0),MATCH($F48,'Type Chart'!$B$4:$P$4,0)))</f>
        <v>0.5</v>
      </c>
      <c r="P48" s="21" t="n">
        <f aca="false">INDEX('Type Chart'!$B$5:$P$19,MATCH(P$4,'Type Chart'!$A$5:$A$19,0),MATCH($E48,'Type Chart'!$B$4:$P$4,0))*IF($F48="",1,INDEX('Type Chart'!$B$5:$P$19,MATCH(P$4,'Type Chart'!$A$5:$A$19,0),MATCH($F48,'Type Chart'!$B$4:$P$4,0)))</f>
        <v>1</v>
      </c>
      <c r="Q48" s="21" t="n">
        <f aca="false">INDEX('Type Chart'!$B$5:$P$19,MATCH(Q$4,'Type Chart'!$A$5:$A$19,0),MATCH($E48,'Type Chart'!$B$4:$P$4,0))*IF($F48="",1,INDEX('Type Chart'!$B$5:$P$19,MATCH(Q$4,'Type Chart'!$A$5:$A$19,0),MATCH($F48,'Type Chart'!$B$4:$P$4,0)))</f>
        <v>1</v>
      </c>
      <c r="R48" s="21" t="n">
        <f aca="false">INDEX('Type Chart'!$B$5:$P$19,MATCH(R$4,'Type Chart'!$A$5:$A$19,0),MATCH($E48,'Type Chart'!$B$4:$P$4,0))*IF($F48="",1,INDEX('Type Chart'!$B$5:$P$19,MATCH(R$4,'Type Chart'!$A$5:$A$19,0),MATCH($F48,'Type Chart'!$B$4:$P$4,0)))</f>
        <v>1</v>
      </c>
      <c r="S48" s="21" t="n">
        <f aca="false">INDEX('Type Chart'!$B$5:$P$19,MATCH(S$4,'Type Chart'!$A$5:$A$19,0),MATCH($E48,'Type Chart'!$B$4:$P$4,0))*IF($F48="",1,INDEX('Type Chart'!$B$5:$P$19,MATCH(S$4,'Type Chart'!$A$5:$A$19,0),MATCH($F48,'Type Chart'!$B$4:$P$4,0)))</f>
        <v>1</v>
      </c>
      <c r="T48" s="21" t="n">
        <f aca="false">INDEX('Type Chart'!$B$5:$P$19,MATCH(T$4,'Type Chart'!$A$5:$A$19,0),MATCH($E48,'Type Chart'!$B$4:$P$4,0))*IF($F48="",1,INDEX('Type Chart'!$B$5:$P$19,MATCH(T$4,'Type Chart'!$A$5:$A$19,0),MATCH($F48,'Type Chart'!$B$4:$P$4,0)))</f>
        <v>0.5</v>
      </c>
      <c r="U48" s="21" t="n">
        <f aca="false">INDEX('Type Chart'!$B$5:$P$19,MATCH(U$4,'Type Chart'!$A$5:$A$19,0),MATCH($E48,'Type Chart'!$B$4:$P$4,0))*IF($F48="",1,INDEX('Type Chart'!$B$5:$P$19,MATCH(U$4,'Type Chart'!$A$5:$A$19,0),MATCH($F48,'Type Chart'!$B$4:$P$4,0)))</f>
        <v>1</v>
      </c>
      <c r="V48" s="21" t="n">
        <f aca="false">INDEX('Type Chart'!$B$5:$P$19,MATCH(V$4,'Type Chart'!$A$5:$A$19,0),MATCH($E48,'Type Chart'!$B$4:$P$4,0))*IF($F48="",1,INDEX('Type Chart'!$B$5:$P$19,MATCH(V$4,'Type Chart'!$A$5:$A$19,0),MATCH($F48,'Type Chart'!$B$4:$P$4,0)))</f>
        <v>1</v>
      </c>
    </row>
    <row r="49" customFormat="false" ht="15" hidden="false" customHeight="false" outlineLevel="0" collapsed="false">
      <c r="A49" s="17" t="s">
        <v>274</v>
      </c>
      <c r="B49" s="17" t="s">
        <v>275</v>
      </c>
      <c r="C49" s="17" t="s">
        <v>156</v>
      </c>
      <c r="D49" s="17" t="n">
        <v>59</v>
      </c>
      <c r="E49" s="17" t="s">
        <v>50</v>
      </c>
      <c r="F49" s="17"/>
      <c r="G49" s="17"/>
      <c r="H49" s="21" t="n">
        <f aca="false">INDEX('Type Chart'!$B$5:$P$19,MATCH(H$4,'Type Chart'!$A$5:$A$19,0),MATCH($E49,'Type Chart'!$B$4:$P$4,0))*IF($F49="",1,INDEX('Type Chart'!$B$5:$P$19,MATCH(H$4,'Type Chart'!$A$5:$A$19,0),MATCH($F49,'Type Chart'!$B$4:$P$4,0)))</f>
        <v>1</v>
      </c>
      <c r="I49" s="21" t="n">
        <f aca="false">INDEX('Type Chart'!$B$5:$P$19,MATCH(I$4,'Type Chart'!$A$5:$A$19,0),MATCH($E49,'Type Chart'!$B$4:$P$4,0))*IF($F49="",1,INDEX('Type Chart'!$B$5:$P$19,MATCH(I$4,'Type Chart'!$A$5:$A$19,0),MATCH($F49,'Type Chart'!$B$4:$P$4,0)))</f>
        <v>1</v>
      </c>
      <c r="J49" s="21" t="n">
        <f aca="false">INDEX('Type Chart'!$B$5:$P$19,MATCH(J$4,'Type Chart'!$A$5:$A$19,0),MATCH($E49,'Type Chart'!$B$4:$P$4,0))*IF($F49="",1,INDEX('Type Chart'!$B$5:$P$19,MATCH(J$4,'Type Chart'!$A$5:$A$19,0),MATCH($F49,'Type Chart'!$B$4:$P$4,0)))</f>
        <v>1</v>
      </c>
      <c r="K49" s="21" t="n">
        <f aca="false">INDEX('Type Chart'!$B$5:$P$19,MATCH(K$4,'Type Chart'!$A$5:$A$19,0),MATCH($E49,'Type Chart'!$B$4:$P$4,0))*IF($F49="",1,INDEX('Type Chart'!$B$5:$P$19,MATCH(K$4,'Type Chart'!$A$5:$A$19,0),MATCH($F49,'Type Chart'!$B$4:$P$4,0)))</f>
        <v>1</v>
      </c>
      <c r="L49" s="21" t="n">
        <f aca="false">INDEX('Type Chart'!$B$5:$P$19,MATCH(L$4,'Type Chart'!$A$5:$A$19,0),MATCH($E49,'Type Chart'!$B$4:$P$4,0))*IF($F49="",1,INDEX('Type Chart'!$B$5:$P$19,MATCH(L$4,'Type Chart'!$A$5:$A$19,0),MATCH($F49,'Type Chart'!$B$4:$P$4,0)))</f>
        <v>1</v>
      </c>
      <c r="M49" s="21" t="n">
        <f aca="false">INDEX('Type Chart'!$B$5:$P$19,MATCH(M$4,'Type Chart'!$A$5:$A$19,0),MATCH($E49,'Type Chart'!$B$4:$P$4,0))*IF($F49="",1,INDEX('Type Chart'!$B$5:$P$19,MATCH(M$4,'Type Chart'!$A$5:$A$19,0),MATCH($F49,'Type Chart'!$B$4:$P$4,0)))</f>
        <v>1</v>
      </c>
      <c r="N49" s="21" t="n">
        <f aca="false">INDEX('Type Chart'!$B$5:$P$19,MATCH(N$4,'Type Chart'!$A$5:$A$19,0),MATCH($E49,'Type Chart'!$B$4:$P$4,0))*IF($F49="",1,INDEX('Type Chart'!$B$5:$P$19,MATCH(N$4,'Type Chart'!$A$5:$A$19,0),MATCH($F49,'Type Chart'!$B$4:$P$4,0)))</f>
        <v>0.5</v>
      </c>
      <c r="O49" s="21" t="n">
        <f aca="false">INDEX('Type Chart'!$B$5:$P$19,MATCH(O$4,'Type Chart'!$A$5:$A$19,0),MATCH($E49,'Type Chart'!$B$4:$P$4,0))*IF($F49="",1,INDEX('Type Chart'!$B$5:$P$19,MATCH(O$4,'Type Chart'!$A$5:$A$19,0),MATCH($F49,'Type Chart'!$B$4:$P$4,0)))</f>
        <v>1</v>
      </c>
      <c r="P49" s="21" t="n">
        <f aca="false">INDEX('Type Chart'!$B$5:$P$19,MATCH(P$4,'Type Chart'!$A$5:$A$19,0),MATCH($E49,'Type Chart'!$B$4:$P$4,0))*IF($F49="",1,INDEX('Type Chart'!$B$5:$P$19,MATCH(P$4,'Type Chart'!$A$5:$A$19,0),MATCH($F49,'Type Chart'!$B$4:$P$4,0)))</f>
        <v>1</v>
      </c>
      <c r="Q49" s="21" t="n">
        <f aca="false">INDEX('Type Chart'!$B$5:$P$19,MATCH(Q$4,'Type Chart'!$A$5:$A$19,0),MATCH($E49,'Type Chart'!$B$4:$P$4,0))*IF($F49="",1,INDEX('Type Chart'!$B$5:$P$19,MATCH(Q$4,'Type Chart'!$A$5:$A$19,0),MATCH($F49,'Type Chart'!$B$4:$P$4,0)))</f>
        <v>1</v>
      </c>
      <c r="R49" s="21" t="n">
        <f aca="false">INDEX('Type Chart'!$B$5:$P$19,MATCH(R$4,'Type Chart'!$A$5:$A$19,0),MATCH($E49,'Type Chart'!$B$4:$P$4,0))*IF($F49="",1,INDEX('Type Chart'!$B$5:$P$19,MATCH(R$4,'Type Chart'!$A$5:$A$19,0),MATCH($F49,'Type Chart'!$B$4:$P$4,0)))</f>
        <v>0.5</v>
      </c>
      <c r="S49" s="21" t="n">
        <f aca="false">INDEX('Type Chart'!$B$5:$P$19,MATCH(S$4,'Type Chart'!$A$5:$A$19,0),MATCH($E49,'Type Chart'!$B$4:$P$4,0))*IF($F49="",1,INDEX('Type Chart'!$B$5:$P$19,MATCH(S$4,'Type Chart'!$A$5:$A$19,0),MATCH($F49,'Type Chart'!$B$4:$P$4,0)))</f>
        <v>2</v>
      </c>
      <c r="T49" s="21" t="n">
        <f aca="false">INDEX('Type Chart'!$B$5:$P$19,MATCH(T$4,'Type Chart'!$A$5:$A$19,0),MATCH($E49,'Type Chart'!$B$4:$P$4,0))*IF($F49="",1,INDEX('Type Chart'!$B$5:$P$19,MATCH(T$4,'Type Chart'!$A$5:$A$19,0),MATCH($F49,'Type Chart'!$B$4:$P$4,0)))</f>
        <v>1</v>
      </c>
      <c r="U49" s="21" t="n">
        <f aca="false">INDEX('Type Chart'!$B$5:$P$19,MATCH(U$4,'Type Chart'!$A$5:$A$19,0),MATCH($E49,'Type Chart'!$B$4:$P$4,0))*IF($F49="",1,INDEX('Type Chart'!$B$5:$P$19,MATCH(U$4,'Type Chart'!$A$5:$A$19,0),MATCH($F49,'Type Chart'!$B$4:$P$4,0)))</f>
        <v>0</v>
      </c>
      <c r="V49" s="21" t="n">
        <f aca="false">INDEX('Type Chart'!$B$5:$P$19,MATCH(V$4,'Type Chart'!$A$5:$A$19,0),MATCH($E49,'Type Chart'!$B$4:$P$4,0))*IF($F49="",1,INDEX('Type Chart'!$B$5:$P$19,MATCH(V$4,'Type Chart'!$A$5:$A$19,0),MATCH($F49,'Type Chart'!$B$4:$P$4,0)))</f>
        <v>1</v>
      </c>
    </row>
    <row r="50" customFormat="false" ht="15" hidden="false" customHeight="false" outlineLevel="0" collapsed="false">
      <c r="A50" s="17" t="s">
        <v>274</v>
      </c>
      <c r="B50" s="17" t="s">
        <v>275</v>
      </c>
      <c r="C50" s="17" t="s">
        <v>194</v>
      </c>
      <c r="D50" s="17" t="n">
        <v>61</v>
      </c>
      <c r="E50" s="17" t="s">
        <v>44</v>
      </c>
      <c r="F50" s="17" t="s">
        <v>50</v>
      </c>
      <c r="G50" s="17"/>
      <c r="H50" s="21" t="n">
        <f aca="false">INDEX('Type Chart'!$B$5:$P$19,MATCH(H$4,'Type Chart'!$A$5:$A$19,0),MATCH($E50,'Type Chart'!$B$4:$P$4,0))*IF($F50="",1,INDEX('Type Chart'!$B$5:$P$19,MATCH(H$4,'Type Chart'!$A$5:$A$19,0),MATCH($F50,'Type Chart'!$B$4:$P$4,0)))</f>
        <v>1</v>
      </c>
      <c r="I50" s="21" t="n">
        <f aca="false">INDEX('Type Chart'!$B$5:$P$19,MATCH(I$4,'Type Chart'!$A$5:$A$19,0),MATCH($E50,'Type Chart'!$B$4:$P$4,0))*IF($F50="",1,INDEX('Type Chart'!$B$5:$P$19,MATCH(I$4,'Type Chart'!$A$5:$A$19,0),MATCH($F50,'Type Chart'!$B$4:$P$4,0)))</f>
        <v>2</v>
      </c>
      <c r="J50" s="21" t="n">
        <f aca="false">INDEX('Type Chart'!$B$5:$P$19,MATCH(J$4,'Type Chart'!$A$5:$A$19,0),MATCH($E50,'Type Chart'!$B$4:$P$4,0))*IF($F50="",1,INDEX('Type Chart'!$B$5:$P$19,MATCH(J$4,'Type Chart'!$A$5:$A$19,0),MATCH($F50,'Type Chart'!$B$4:$P$4,0)))</f>
        <v>0.5</v>
      </c>
      <c r="K50" s="21" t="n">
        <f aca="false">INDEX('Type Chart'!$B$5:$P$19,MATCH(K$4,'Type Chart'!$A$5:$A$19,0),MATCH($E50,'Type Chart'!$B$4:$P$4,0))*IF($F50="",1,INDEX('Type Chart'!$B$5:$P$19,MATCH(K$4,'Type Chart'!$A$5:$A$19,0),MATCH($F50,'Type Chart'!$B$4:$P$4,0)))</f>
        <v>0.5</v>
      </c>
      <c r="L50" s="21" t="n">
        <f aca="false">INDEX('Type Chart'!$B$5:$P$19,MATCH(L$4,'Type Chart'!$A$5:$A$19,0),MATCH($E50,'Type Chart'!$B$4:$P$4,0))*IF($F50="",1,INDEX('Type Chart'!$B$5:$P$19,MATCH(L$4,'Type Chart'!$A$5:$A$19,0),MATCH($F50,'Type Chart'!$B$4:$P$4,0)))</f>
        <v>0.5</v>
      </c>
      <c r="M50" s="21" t="n">
        <f aca="false">INDEX('Type Chart'!$B$5:$P$19,MATCH(M$4,'Type Chart'!$A$5:$A$19,0),MATCH($E50,'Type Chart'!$B$4:$P$4,0))*IF($F50="",1,INDEX('Type Chart'!$B$5:$P$19,MATCH(M$4,'Type Chart'!$A$5:$A$19,0),MATCH($F50,'Type Chart'!$B$4:$P$4,0)))</f>
        <v>2</v>
      </c>
      <c r="N50" s="21" t="n">
        <f aca="false">INDEX('Type Chart'!$B$5:$P$19,MATCH(N$4,'Type Chart'!$A$5:$A$19,0),MATCH($E50,'Type Chart'!$B$4:$P$4,0))*IF($F50="",1,INDEX('Type Chart'!$B$5:$P$19,MATCH(N$4,'Type Chart'!$A$5:$A$19,0),MATCH($F50,'Type Chart'!$B$4:$P$4,0)))</f>
        <v>0.5</v>
      </c>
      <c r="O50" s="21" t="n">
        <f aca="false">INDEX('Type Chart'!$B$5:$P$19,MATCH(O$4,'Type Chart'!$A$5:$A$19,0),MATCH($E50,'Type Chart'!$B$4:$P$4,0))*IF($F50="",1,INDEX('Type Chart'!$B$5:$P$19,MATCH(O$4,'Type Chart'!$A$5:$A$19,0),MATCH($F50,'Type Chart'!$B$4:$P$4,0)))</f>
        <v>2</v>
      </c>
      <c r="P50" s="21" t="n">
        <f aca="false">INDEX('Type Chart'!$B$5:$P$19,MATCH(P$4,'Type Chart'!$A$5:$A$19,0),MATCH($E50,'Type Chart'!$B$4:$P$4,0))*IF($F50="",1,INDEX('Type Chart'!$B$5:$P$19,MATCH(P$4,'Type Chart'!$A$5:$A$19,0),MATCH($F50,'Type Chart'!$B$4:$P$4,0)))</f>
        <v>0.5</v>
      </c>
      <c r="Q50" s="21" t="n">
        <f aca="false">INDEX('Type Chart'!$B$5:$P$19,MATCH(Q$4,'Type Chart'!$A$5:$A$19,0),MATCH($E50,'Type Chart'!$B$4:$P$4,0))*IF($F50="",1,INDEX('Type Chart'!$B$5:$P$19,MATCH(Q$4,'Type Chart'!$A$5:$A$19,0),MATCH($F50,'Type Chart'!$B$4:$P$4,0)))</f>
        <v>2</v>
      </c>
      <c r="R50" s="21" t="n">
        <f aca="false">INDEX('Type Chart'!$B$5:$P$19,MATCH(R$4,'Type Chart'!$A$5:$A$19,0),MATCH($E50,'Type Chart'!$B$4:$P$4,0))*IF($F50="",1,INDEX('Type Chart'!$B$5:$P$19,MATCH(R$4,'Type Chart'!$A$5:$A$19,0),MATCH($F50,'Type Chart'!$B$4:$P$4,0)))</f>
        <v>0.5</v>
      </c>
      <c r="S50" s="21" t="n">
        <f aca="false">INDEX('Type Chart'!$B$5:$P$19,MATCH(S$4,'Type Chart'!$A$5:$A$19,0),MATCH($E50,'Type Chart'!$B$4:$P$4,0))*IF($F50="",1,INDEX('Type Chart'!$B$5:$P$19,MATCH(S$4,'Type Chart'!$A$5:$A$19,0),MATCH($F50,'Type Chart'!$B$4:$P$4,0)))</f>
        <v>4</v>
      </c>
      <c r="T50" s="21" t="n">
        <f aca="false">INDEX('Type Chart'!$B$5:$P$19,MATCH(T$4,'Type Chart'!$A$5:$A$19,0),MATCH($E50,'Type Chart'!$B$4:$P$4,0))*IF($F50="",1,INDEX('Type Chart'!$B$5:$P$19,MATCH(T$4,'Type Chart'!$A$5:$A$19,0),MATCH($F50,'Type Chart'!$B$4:$P$4,0)))</f>
        <v>1</v>
      </c>
      <c r="U50" s="21" t="n">
        <f aca="false">INDEX('Type Chart'!$B$5:$P$19,MATCH(U$4,'Type Chart'!$A$5:$A$19,0),MATCH($E50,'Type Chart'!$B$4:$P$4,0))*IF($F50="",1,INDEX('Type Chart'!$B$5:$P$19,MATCH(U$4,'Type Chart'!$A$5:$A$19,0),MATCH($F50,'Type Chart'!$B$4:$P$4,0)))</f>
        <v>0</v>
      </c>
      <c r="V50" s="21" t="n">
        <f aca="false">INDEX('Type Chart'!$B$5:$P$19,MATCH(V$4,'Type Chart'!$A$5:$A$19,0),MATCH($E50,'Type Chart'!$B$4:$P$4,0))*IF($F50="",1,INDEX('Type Chart'!$B$5:$P$19,MATCH(V$4,'Type Chart'!$A$5:$A$19,0),MATCH($F50,'Type Chart'!$B$4:$P$4,0)))</f>
        <v>1</v>
      </c>
    </row>
    <row r="51" customFormat="false" ht="15" hidden="false" customHeight="false" outlineLevel="0" collapsed="false">
      <c r="A51" s="17" t="s">
        <v>274</v>
      </c>
      <c r="B51" s="17" t="s">
        <v>275</v>
      </c>
      <c r="C51" s="17" t="s">
        <v>129</v>
      </c>
      <c r="D51" s="17" t="n">
        <v>61</v>
      </c>
      <c r="E51" s="17" t="s">
        <v>41</v>
      </c>
      <c r="F51" s="17"/>
      <c r="G51" s="17"/>
      <c r="H51" s="21" t="n">
        <f aca="false">INDEX('Type Chart'!$B$5:$P$19,MATCH(H$4,'Type Chart'!$A$5:$A$19,0),MATCH($E51,'Type Chart'!$B$4:$P$4,0))*IF($F51="",1,INDEX('Type Chart'!$B$5:$P$19,MATCH(H$4,'Type Chart'!$A$5:$A$19,0),MATCH($F51,'Type Chart'!$B$4:$P$4,0)))</f>
        <v>1</v>
      </c>
      <c r="I51" s="21" t="n">
        <f aca="false">INDEX('Type Chart'!$B$5:$P$19,MATCH(I$4,'Type Chart'!$A$5:$A$19,0),MATCH($E51,'Type Chart'!$B$4:$P$4,0))*IF($F51="",1,INDEX('Type Chart'!$B$5:$P$19,MATCH(I$4,'Type Chart'!$A$5:$A$19,0),MATCH($F51,'Type Chart'!$B$4:$P$4,0)))</f>
        <v>0.5</v>
      </c>
      <c r="J51" s="21" t="n">
        <f aca="false">INDEX('Type Chart'!$B$5:$P$19,MATCH(J$4,'Type Chart'!$A$5:$A$19,0),MATCH($E51,'Type Chart'!$B$4:$P$4,0))*IF($F51="",1,INDEX('Type Chart'!$B$5:$P$19,MATCH(J$4,'Type Chart'!$A$5:$A$19,0),MATCH($F51,'Type Chart'!$B$4:$P$4,0)))</f>
        <v>2</v>
      </c>
      <c r="K51" s="21" t="n">
        <f aca="false">INDEX('Type Chart'!$B$5:$P$19,MATCH(K$4,'Type Chart'!$A$5:$A$19,0),MATCH($E51,'Type Chart'!$B$4:$P$4,0))*IF($F51="",1,INDEX('Type Chart'!$B$5:$P$19,MATCH(K$4,'Type Chart'!$A$5:$A$19,0),MATCH($F51,'Type Chart'!$B$4:$P$4,0)))</f>
        <v>1</v>
      </c>
      <c r="L51" s="21" t="n">
        <f aca="false">INDEX('Type Chart'!$B$5:$P$19,MATCH(L$4,'Type Chart'!$A$5:$A$19,0),MATCH($E51,'Type Chart'!$B$4:$P$4,0))*IF($F51="",1,INDEX('Type Chart'!$B$5:$P$19,MATCH(L$4,'Type Chart'!$A$5:$A$19,0),MATCH($F51,'Type Chart'!$B$4:$P$4,0)))</f>
        <v>0.5</v>
      </c>
      <c r="M51" s="21" t="n">
        <f aca="false">INDEX('Type Chart'!$B$5:$P$19,MATCH(M$4,'Type Chart'!$A$5:$A$19,0),MATCH($E51,'Type Chart'!$B$4:$P$4,0))*IF($F51="",1,INDEX('Type Chart'!$B$5:$P$19,MATCH(M$4,'Type Chart'!$A$5:$A$19,0),MATCH($F51,'Type Chart'!$B$4:$P$4,0)))</f>
        <v>1</v>
      </c>
      <c r="N51" s="21" t="n">
        <f aca="false">INDEX('Type Chart'!$B$5:$P$19,MATCH(N$4,'Type Chart'!$A$5:$A$19,0),MATCH($E51,'Type Chart'!$B$4:$P$4,0))*IF($F51="",1,INDEX('Type Chart'!$B$5:$P$19,MATCH(N$4,'Type Chart'!$A$5:$A$19,0),MATCH($F51,'Type Chart'!$B$4:$P$4,0)))</f>
        <v>1</v>
      </c>
      <c r="O51" s="21" t="n">
        <f aca="false">INDEX('Type Chart'!$B$5:$P$19,MATCH(O$4,'Type Chart'!$A$5:$A$19,0),MATCH($E51,'Type Chart'!$B$4:$P$4,0))*IF($F51="",1,INDEX('Type Chart'!$B$5:$P$19,MATCH(O$4,'Type Chart'!$A$5:$A$19,0),MATCH($F51,'Type Chart'!$B$4:$P$4,0)))</f>
        <v>1</v>
      </c>
      <c r="P51" s="21" t="n">
        <f aca="false">INDEX('Type Chart'!$B$5:$P$19,MATCH(P$4,'Type Chart'!$A$5:$A$19,0),MATCH($E51,'Type Chart'!$B$4:$P$4,0))*IF($F51="",1,INDEX('Type Chart'!$B$5:$P$19,MATCH(P$4,'Type Chart'!$A$5:$A$19,0),MATCH($F51,'Type Chart'!$B$4:$P$4,0)))</f>
        <v>2</v>
      </c>
      <c r="Q51" s="21" t="n">
        <f aca="false">INDEX('Type Chart'!$B$5:$P$19,MATCH(Q$4,'Type Chart'!$A$5:$A$19,0),MATCH($E51,'Type Chart'!$B$4:$P$4,0))*IF($F51="",1,INDEX('Type Chart'!$B$5:$P$19,MATCH(Q$4,'Type Chart'!$A$5:$A$19,0),MATCH($F51,'Type Chart'!$B$4:$P$4,0)))</f>
        <v>1</v>
      </c>
      <c r="R51" s="21" t="n">
        <f aca="false">INDEX('Type Chart'!$B$5:$P$19,MATCH(R$4,'Type Chart'!$A$5:$A$19,0),MATCH($E51,'Type Chart'!$B$4:$P$4,0))*IF($F51="",1,INDEX('Type Chart'!$B$5:$P$19,MATCH(R$4,'Type Chart'!$A$5:$A$19,0),MATCH($F51,'Type Chart'!$B$4:$P$4,0)))</f>
        <v>1</v>
      </c>
      <c r="S51" s="21" t="n">
        <f aca="false">INDEX('Type Chart'!$B$5:$P$19,MATCH(S$4,'Type Chart'!$A$5:$A$19,0),MATCH($E51,'Type Chart'!$B$4:$P$4,0))*IF($F51="",1,INDEX('Type Chart'!$B$5:$P$19,MATCH(S$4,'Type Chart'!$A$5:$A$19,0),MATCH($F51,'Type Chart'!$B$4:$P$4,0)))</f>
        <v>0.5</v>
      </c>
      <c r="T51" s="21" t="n">
        <f aca="false">INDEX('Type Chart'!$B$5:$P$19,MATCH(T$4,'Type Chart'!$A$5:$A$19,0),MATCH($E51,'Type Chart'!$B$4:$P$4,0))*IF($F51="",1,INDEX('Type Chart'!$B$5:$P$19,MATCH(T$4,'Type Chart'!$A$5:$A$19,0),MATCH($F51,'Type Chart'!$B$4:$P$4,0)))</f>
        <v>2</v>
      </c>
      <c r="U51" s="21" t="n">
        <f aca="false">INDEX('Type Chart'!$B$5:$P$19,MATCH(U$4,'Type Chart'!$A$5:$A$19,0),MATCH($E51,'Type Chart'!$B$4:$P$4,0))*IF($F51="",1,INDEX('Type Chart'!$B$5:$P$19,MATCH(U$4,'Type Chart'!$A$5:$A$19,0),MATCH($F51,'Type Chart'!$B$4:$P$4,0)))</f>
        <v>1</v>
      </c>
      <c r="V51" s="21" t="n">
        <f aca="false">INDEX('Type Chart'!$B$5:$P$19,MATCH(V$4,'Type Chart'!$A$5:$A$19,0),MATCH($E51,'Type Chart'!$B$4:$P$4,0))*IF($F51="",1,INDEX('Type Chart'!$B$5:$P$19,MATCH(V$4,'Type Chart'!$A$5:$A$19,0),MATCH($F51,'Type Chart'!$B$4:$P$4,0)))</f>
        <v>1</v>
      </c>
    </row>
    <row r="52" customFormat="false" ht="15" hidden="false" customHeight="false" outlineLevel="0" collapsed="false">
      <c r="A52" s="17" t="s">
        <v>274</v>
      </c>
      <c r="B52" s="17" t="s">
        <v>275</v>
      </c>
      <c r="C52" s="17" t="s">
        <v>173</v>
      </c>
      <c r="D52" s="17" t="n">
        <v>63</v>
      </c>
      <c r="E52" s="17" t="s">
        <v>43</v>
      </c>
      <c r="F52" s="17"/>
      <c r="G52" s="17"/>
      <c r="H52" s="21" t="n">
        <f aca="false">INDEX('Type Chart'!$B$5:$P$19,MATCH(H$4,'Type Chart'!$A$5:$A$19,0),MATCH($E52,'Type Chart'!$B$4:$P$4,0))*IF($F52="",1,INDEX('Type Chart'!$B$5:$P$19,MATCH(H$4,'Type Chart'!$A$5:$A$19,0),MATCH($F52,'Type Chart'!$B$4:$P$4,0)))</f>
        <v>1</v>
      </c>
      <c r="I52" s="21" t="n">
        <f aca="false">INDEX('Type Chart'!$B$5:$P$19,MATCH(I$4,'Type Chart'!$A$5:$A$19,0),MATCH($E52,'Type Chart'!$B$4:$P$4,0))*IF($F52="",1,INDEX('Type Chart'!$B$5:$P$19,MATCH(I$4,'Type Chart'!$A$5:$A$19,0),MATCH($F52,'Type Chart'!$B$4:$P$4,0)))</f>
        <v>1</v>
      </c>
      <c r="J52" s="21" t="n">
        <f aca="false">INDEX('Type Chart'!$B$5:$P$19,MATCH(J$4,'Type Chart'!$A$5:$A$19,0),MATCH($E52,'Type Chart'!$B$4:$P$4,0))*IF($F52="",1,INDEX('Type Chart'!$B$5:$P$19,MATCH(J$4,'Type Chart'!$A$5:$A$19,0),MATCH($F52,'Type Chart'!$B$4:$P$4,0)))</f>
        <v>1</v>
      </c>
      <c r="K52" s="21" t="n">
        <f aca="false">INDEX('Type Chart'!$B$5:$P$19,MATCH(K$4,'Type Chart'!$A$5:$A$19,0),MATCH($E52,'Type Chart'!$B$4:$P$4,0))*IF($F52="",1,INDEX('Type Chart'!$B$5:$P$19,MATCH(K$4,'Type Chart'!$A$5:$A$19,0),MATCH($F52,'Type Chart'!$B$4:$P$4,0)))</f>
        <v>0.5</v>
      </c>
      <c r="L52" s="21" t="n">
        <f aca="false">INDEX('Type Chart'!$B$5:$P$19,MATCH(L$4,'Type Chart'!$A$5:$A$19,0),MATCH($E52,'Type Chart'!$B$4:$P$4,0))*IF($F52="",1,INDEX('Type Chart'!$B$5:$P$19,MATCH(L$4,'Type Chart'!$A$5:$A$19,0),MATCH($F52,'Type Chart'!$B$4:$P$4,0)))</f>
        <v>1</v>
      </c>
      <c r="M52" s="21" t="n">
        <f aca="false">INDEX('Type Chart'!$B$5:$P$19,MATCH(M$4,'Type Chart'!$A$5:$A$19,0),MATCH($E52,'Type Chart'!$B$4:$P$4,0))*IF($F52="",1,INDEX('Type Chart'!$B$5:$P$19,MATCH(M$4,'Type Chart'!$A$5:$A$19,0),MATCH($F52,'Type Chart'!$B$4:$P$4,0)))</f>
        <v>1</v>
      </c>
      <c r="N52" s="21" t="n">
        <f aca="false">INDEX('Type Chart'!$B$5:$P$19,MATCH(N$4,'Type Chart'!$A$5:$A$19,0),MATCH($E52,'Type Chart'!$B$4:$P$4,0))*IF($F52="",1,INDEX('Type Chart'!$B$5:$P$19,MATCH(N$4,'Type Chart'!$A$5:$A$19,0),MATCH($F52,'Type Chart'!$B$4:$P$4,0)))</f>
        <v>1</v>
      </c>
      <c r="O52" s="21" t="n">
        <f aca="false">INDEX('Type Chart'!$B$5:$P$19,MATCH(O$4,'Type Chart'!$A$5:$A$19,0),MATCH($E52,'Type Chart'!$B$4:$P$4,0))*IF($F52="",1,INDEX('Type Chart'!$B$5:$P$19,MATCH(O$4,'Type Chart'!$A$5:$A$19,0),MATCH($F52,'Type Chart'!$B$4:$P$4,0)))</f>
        <v>1</v>
      </c>
      <c r="P52" s="21" t="n">
        <f aca="false">INDEX('Type Chart'!$B$5:$P$19,MATCH(P$4,'Type Chart'!$A$5:$A$19,0),MATCH($E52,'Type Chart'!$B$4:$P$4,0))*IF($F52="",1,INDEX('Type Chart'!$B$5:$P$19,MATCH(P$4,'Type Chart'!$A$5:$A$19,0),MATCH($F52,'Type Chart'!$B$4:$P$4,0)))</f>
        <v>2</v>
      </c>
      <c r="Q52" s="21" t="n">
        <f aca="false">INDEX('Type Chart'!$B$5:$P$19,MATCH(Q$4,'Type Chart'!$A$5:$A$19,0),MATCH($E52,'Type Chart'!$B$4:$P$4,0))*IF($F52="",1,INDEX('Type Chart'!$B$5:$P$19,MATCH(Q$4,'Type Chart'!$A$5:$A$19,0),MATCH($F52,'Type Chart'!$B$4:$P$4,0)))</f>
        <v>0.5</v>
      </c>
      <c r="R52" s="21" t="n">
        <f aca="false">INDEX('Type Chart'!$B$5:$P$19,MATCH(R$4,'Type Chart'!$A$5:$A$19,0),MATCH($E52,'Type Chart'!$B$4:$P$4,0))*IF($F52="",1,INDEX('Type Chart'!$B$5:$P$19,MATCH(R$4,'Type Chart'!$A$5:$A$19,0),MATCH($F52,'Type Chart'!$B$4:$P$4,0)))</f>
        <v>1</v>
      </c>
      <c r="S52" s="21" t="n">
        <f aca="false">INDEX('Type Chart'!$B$5:$P$19,MATCH(S$4,'Type Chart'!$A$5:$A$19,0),MATCH($E52,'Type Chart'!$B$4:$P$4,0))*IF($F52="",1,INDEX('Type Chart'!$B$5:$P$19,MATCH(S$4,'Type Chart'!$A$5:$A$19,0),MATCH($F52,'Type Chart'!$B$4:$P$4,0)))</f>
        <v>1</v>
      </c>
      <c r="T52" s="21" t="n">
        <f aca="false">INDEX('Type Chart'!$B$5:$P$19,MATCH(T$4,'Type Chart'!$A$5:$A$19,0),MATCH($E52,'Type Chart'!$B$4:$P$4,0))*IF($F52="",1,INDEX('Type Chart'!$B$5:$P$19,MATCH(T$4,'Type Chart'!$A$5:$A$19,0),MATCH($F52,'Type Chart'!$B$4:$P$4,0)))</f>
        <v>1</v>
      </c>
      <c r="U52" s="21" t="n">
        <f aca="false">INDEX('Type Chart'!$B$5:$P$19,MATCH(U$4,'Type Chart'!$A$5:$A$19,0),MATCH($E52,'Type Chart'!$B$4:$P$4,0))*IF($F52="",1,INDEX('Type Chart'!$B$5:$P$19,MATCH(U$4,'Type Chart'!$A$5:$A$19,0),MATCH($F52,'Type Chart'!$B$4:$P$4,0)))</f>
        <v>1</v>
      </c>
      <c r="V52" s="21" t="n">
        <f aca="false">INDEX('Type Chart'!$B$5:$P$19,MATCH(V$4,'Type Chart'!$A$5:$A$19,0),MATCH($E52,'Type Chart'!$B$4:$P$4,0))*IF($F52="",1,INDEX('Type Chart'!$B$5:$P$19,MATCH(V$4,'Type Chart'!$A$5:$A$19,0),MATCH($F52,'Type Chart'!$B$4:$P$4,0)))</f>
        <v>1</v>
      </c>
    </row>
    <row r="53" customFormat="false" ht="15" hidden="false" customHeight="false" outlineLevel="0" collapsed="false">
      <c r="A53" s="22" t="s">
        <v>274</v>
      </c>
      <c r="B53" s="22" t="s">
        <v>275</v>
      </c>
      <c r="C53" s="22" t="s">
        <v>225</v>
      </c>
      <c r="D53" s="17" t="n">
        <v>65</v>
      </c>
      <c r="E53" s="17" t="s">
        <v>42</v>
      </c>
      <c r="F53" s="17"/>
      <c r="G53" s="17" t="s">
        <v>254</v>
      </c>
      <c r="H53" s="21" t="n">
        <f aca="false">INDEX('Type Chart'!$B$5:$P$19,MATCH(H$4,'Type Chart'!$A$5:$A$19,0),MATCH($E53,'Type Chart'!$B$4:$P$4,0))*IF($F53="",1,INDEX('Type Chart'!$B$5:$P$19,MATCH(H$4,'Type Chart'!$A$5:$A$19,0),MATCH($F53,'Type Chart'!$B$4:$P$4,0)))</f>
        <v>1</v>
      </c>
      <c r="I53" s="21" t="n">
        <f aca="false">INDEX('Type Chart'!$B$5:$P$19,MATCH(I$4,'Type Chart'!$A$5:$A$19,0),MATCH($E53,'Type Chart'!$B$4:$P$4,0))*IF($F53="",1,INDEX('Type Chart'!$B$5:$P$19,MATCH(I$4,'Type Chart'!$A$5:$A$19,0),MATCH($F53,'Type Chart'!$B$4:$P$4,0)))</f>
        <v>0.5</v>
      </c>
      <c r="J53" s="21" t="n">
        <f aca="false">INDEX('Type Chart'!$B$5:$P$19,MATCH(J$4,'Type Chart'!$A$5:$A$19,0),MATCH($E53,'Type Chart'!$B$4:$P$4,0))*IF($F53="",1,INDEX('Type Chart'!$B$5:$P$19,MATCH(J$4,'Type Chart'!$A$5:$A$19,0),MATCH($F53,'Type Chart'!$B$4:$P$4,0)))</f>
        <v>0.5</v>
      </c>
      <c r="K53" s="21" t="n">
        <f aca="false">INDEX('Type Chart'!$B$5:$P$19,MATCH(K$4,'Type Chart'!$A$5:$A$19,0),MATCH($E53,'Type Chart'!$B$4:$P$4,0))*IF($F53="",1,INDEX('Type Chart'!$B$5:$P$19,MATCH(K$4,'Type Chart'!$A$5:$A$19,0),MATCH($F53,'Type Chart'!$B$4:$P$4,0)))</f>
        <v>2</v>
      </c>
      <c r="L53" s="21" t="n">
        <f aca="false">INDEX('Type Chart'!$B$5:$P$19,MATCH(L$4,'Type Chart'!$A$5:$A$19,0),MATCH($E53,'Type Chart'!$B$4:$P$4,0))*IF($F53="",1,INDEX('Type Chart'!$B$5:$P$19,MATCH(L$4,'Type Chart'!$A$5:$A$19,0),MATCH($F53,'Type Chart'!$B$4:$P$4,0)))</f>
        <v>2</v>
      </c>
      <c r="M53" s="21" t="n">
        <f aca="false">INDEX('Type Chart'!$B$5:$P$19,MATCH(M$4,'Type Chart'!$A$5:$A$19,0),MATCH($E53,'Type Chart'!$B$4:$P$4,0))*IF($F53="",1,INDEX('Type Chart'!$B$5:$P$19,MATCH(M$4,'Type Chart'!$A$5:$A$19,0),MATCH($F53,'Type Chart'!$B$4:$P$4,0)))</f>
        <v>0.5</v>
      </c>
      <c r="N53" s="21" t="n">
        <f aca="false">INDEX('Type Chart'!$B$5:$P$19,MATCH(N$4,'Type Chart'!$A$5:$A$19,0),MATCH($E53,'Type Chart'!$B$4:$P$4,0))*IF($F53="",1,INDEX('Type Chart'!$B$5:$P$19,MATCH(N$4,'Type Chart'!$A$5:$A$19,0),MATCH($F53,'Type Chart'!$B$4:$P$4,0)))</f>
        <v>1</v>
      </c>
      <c r="O53" s="21" t="n">
        <f aca="false">INDEX('Type Chart'!$B$5:$P$19,MATCH(O$4,'Type Chart'!$A$5:$A$19,0),MATCH($E53,'Type Chart'!$B$4:$P$4,0))*IF($F53="",1,INDEX('Type Chart'!$B$5:$P$19,MATCH(O$4,'Type Chart'!$A$5:$A$19,0),MATCH($F53,'Type Chart'!$B$4:$P$4,0)))</f>
        <v>1</v>
      </c>
      <c r="P53" s="21" t="n">
        <f aca="false">INDEX('Type Chart'!$B$5:$P$19,MATCH(P$4,'Type Chart'!$A$5:$A$19,0),MATCH($E53,'Type Chart'!$B$4:$P$4,0))*IF($F53="",1,INDEX('Type Chart'!$B$5:$P$19,MATCH(P$4,'Type Chart'!$A$5:$A$19,0),MATCH($F53,'Type Chart'!$B$4:$P$4,0)))</f>
        <v>1</v>
      </c>
      <c r="Q53" s="21" t="n">
        <f aca="false">INDEX('Type Chart'!$B$5:$P$19,MATCH(Q$4,'Type Chart'!$A$5:$A$19,0),MATCH($E53,'Type Chart'!$B$4:$P$4,0))*IF($F53="",1,INDEX('Type Chart'!$B$5:$P$19,MATCH(Q$4,'Type Chart'!$A$5:$A$19,0),MATCH($F53,'Type Chart'!$B$4:$P$4,0)))</f>
        <v>1</v>
      </c>
      <c r="R53" s="21" t="n">
        <f aca="false">INDEX('Type Chart'!$B$5:$P$19,MATCH(R$4,'Type Chart'!$A$5:$A$19,0),MATCH($E53,'Type Chart'!$B$4:$P$4,0))*IF($F53="",1,INDEX('Type Chart'!$B$5:$P$19,MATCH(R$4,'Type Chart'!$A$5:$A$19,0),MATCH($F53,'Type Chart'!$B$4:$P$4,0)))</f>
        <v>1</v>
      </c>
      <c r="S53" s="21" t="n">
        <f aca="false">INDEX('Type Chart'!$B$5:$P$19,MATCH(S$4,'Type Chart'!$A$5:$A$19,0),MATCH($E53,'Type Chart'!$B$4:$P$4,0))*IF($F53="",1,INDEX('Type Chart'!$B$5:$P$19,MATCH(S$4,'Type Chart'!$A$5:$A$19,0),MATCH($F53,'Type Chart'!$B$4:$P$4,0)))</f>
        <v>1</v>
      </c>
      <c r="T53" s="21" t="n">
        <f aca="false">INDEX('Type Chart'!$B$5:$P$19,MATCH(T$4,'Type Chart'!$A$5:$A$19,0),MATCH($E53,'Type Chart'!$B$4:$P$4,0))*IF($F53="",1,INDEX('Type Chart'!$B$5:$P$19,MATCH(T$4,'Type Chart'!$A$5:$A$19,0),MATCH($F53,'Type Chart'!$B$4:$P$4,0)))</f>
        <v>1</v>
      </c>
      <c r="U53" s="21" t="n">
        <f aca="false">INDEX('Type Chart'!$B$5:$P$19,MATCH(U$4,'Type Chart'!$A$5:$A$19,0),MATCH($E53,'Type Chart'!$B$4:$P$4,0))*IF($F53="",1,INDEX('Type Chart'!$B$5:$P$19,MATCH(U$4,'Type Chart'!$A$5:$A$19,0),MATCH($F53,'Type Chart'!$B$4:$P$4,0)))</f>
        <v>1</v>
      </c>
      <c r="V53" s="21" t="n">
        <f aca="false">INDEX('Type Chart'!$B$5:$P$19,MATCH(V$4,'Type Chart'!$A$5:$A$19,0),MATCH($E53,'Type Chart'!$B$4:$P$4,0))*IF($F53="",1,INDEX('Type Chart'!$B$5:$P$19,MATCH(V$4,'Type Chart'!$A$5:$A$19,0),MATCH($F53,'Type Chart'!$B$4:$P$4,0)))</f>
        <v>1</v>
      </c>
    </row>
    <row r="55" customFormat="false" ht="15" hidden="false" customHeight="false" outlineLevel="0" collapsed="false">
      <c r="A55" s="2" t="s">
        <v>276</v>
      </c>
    </row>
  </sheetData>
  <conditionalFormatting sqref="H5:V53">
    <cfRule type="cellIs" priority="2" operator="greaterThanOrEqual" aboveAverage="0" equalAverage="0" bottom="0" percent="0" rank="0" text="" dxfId="0">
      <formula>2</formula>
    </cfRule>
    <cfRule type="cellIs" priority="3" operator="equal" aboveAverage="0" equalAverage="0" bottom="0" percent="0" rank="0" text="" dxfId="1">
      <formula>0</formula>
    </cfRule>
    <cfRule type="cellIs" priority="4" operator="lessThan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88"/>
  </cols>
  <sheetData>
    <row r="1" customFormat="false" ht="17.35" hidden="false" customHeight="false" outlineLevel="0" collapsed="false">
      <c r="A1" s="1" t="s">
        <v>277</v>
      </c>
    </row>
    <row r="2" customFormat="false" ht="15" hidden="false" customHeight="false" outlineLevel="0" collapsed="false">
      <c r="A2" s="2" t="s">
        <v>278</v>
      </c>
    </row>
    <row r="4" customFormat="false" ht="23.85" hidden="false" customHeight="false" outlineLevel="0" collapsed="false">
      <c r="A4" s="14" t="s">
        <v>279</v>
      </c>
      <c r="B4" s="14" t="s">
        <v>280</v>
      </c>
      <c r="C4" s="14" t="s">
        <v>281</v>
      </c>
      <c r="D4" s="14" t="s">
        <v>282</v>
      </c>
      <c r="E4" s="14" t="s">
        <v>283</v>
      </c>
      <c r="F4" s="14" t="s">
        <v>284</v>
      </c>
      <c r="G4" s="14" t="s">
        <v>285</v>
      </c>
    </row>
    <row r="5" customFormat="false" ht="39.75" hidden="false" customHeight="true" outlineLevel="0" collapsed="false">
      <c r="A5" s="15" t="s">
        <v>40</v>
      </c>
      <c r="B5" s="16" t="s">
        <v>286</v>
      </c>
      <c r="C5" s="23" t="n">
        <v>85</v>
      </c>
      <c r="D5" s="16" t="s">
        <v>287</v>
      </c>
      <c r="E5" s="16" t="s">
        <v>288</v>
      </c>
      <c r="F5" s="23" t="n">
        <v>10</v>
      </c>
      <c r="G5" s="16" t="s">
        <v>289</v>
      </c>
    </row>
    <row r="6" customFormat="false" ht="39.75" hidden="false" customHeight="true" outlineLevel="0" collapsed="false">
      <c r="A6" s="15" t="s">
        <v>45</v>
      </c>
      <c r="B6" s="16" t="s">
        <v>290</v>
      </c>
      <c r="C6" s="23" t="n">
        <v>120</v>
      </c>
      <c r="D6" s="16" t="s">
        <v>291</v>
      </c>
      <c r="E6" s="16" t="s">
        <v>292</v>
      </c>
      <c r="F6" s="23" t="n">
        <v>10</v>
      </c>
      <c r="G6" s="16" t="s">
        <v>293</v>
      </c>
    </row>
    <row r="7" customFormat="false" ht="39.75" hidden="false" customHeight="true" outlineLevel="0" collapsed="false">
      <c r="A7" s="15" t="s">
        <v>50</v>
      </c>
      <c r="B7" s="16" t="s">
        <v>50</v>
      </c>
      <c r="C7" s="23" t="n">
        <v>90</v>
      </c>
      <c r="D7" s="16" t="s">
        <v>291</v>
      </c>
      <c r="E7" s="16" t="s">
        <v>294</v>
      </c>
      <c r="F7" s="23" t="n">
        <v>10</v>
      </c>
      <c r="G7" s="16" t="s">
        <v>295</v>
      </c>
    </row>
    <row r="8" customFormat="false" ht="39.75" hidden="false" customHeight="true" outlineLevel="0" collapsed="false">
      <c r="A8" s="15" t="s">
        <v>43</v>
      </c>
      <c r="B8" s="16" t="s">
        <v>296</v>
      </c>
      <c r="C8" s="23" t="n">
        <v>95</v>
      </c>
      <c r="D8" s="16" t="s">
        <v>291</v>
      </c>
      <c r="E8" s="16" t="s">
        <v>297</v>
      </c>
      <c r="F8" s="23" t="n">
        <v>9</v>
      </c>
      <c r="G8" s="16" t="s">
        <v>298</v>
      </c>
    </row>
    <row r="9" customFormat="false" ht="39.75" hidden="false" customHeight="true" outlineLevel="0" collapsed="false">
      <c r="A9" s="15" t="s">
        <v>48</v>
      </c>
      <c r="B9" s="16" t="s">
        <v>299</v>
      </c>
      <c r="C9" s="23" t="n">
        <v>100</v>
      </c>
      <c r="D9" s="16" t="s">
        <v>287</v>
      </c>
      <c r="E9" s="16" t="s">
        <v>300</v>
      </c>
      <c r="F9" s="23" t="n">
        <v>9</v>
      </c>
      <c r="G9" s="16" t="s">
        <v>301</v>
      </c>
    </row>
    <row r="10" customFormat="false" ht="39.75" hidden="false" customHeight="true" outlineLevel="0" collapsed="false">
      <c r="A10" s="15" t="s">
        <v>42</v>
      </c>
      <c r="B10" s="16" t="s">
        <v>302</v>
      </c>
      <c r="C10" s="23" t="n">
        <v>95</v>
      </c>
      <c r="D10" s="16" t="s">
        <v>291</v>
      </c>
      <c r="E10" s="16" t="s">
        <v>303</v>
      </c>
      <c r="F10" s="23" t="n">
        <v>9</v>
      </c>
      <c r="G10" s="16" t="s">
        <v>304</v>
      </c>
    </row>
    <row r="11" customFormat="false" ht="39.75" hidden="false" customHeight="true" outlineLevel="0" collapsed="false">
      <c r="A11" s="15" t="s">
        <v>41</v>
      </c>
      <c r="B11" s="16" t="s">
        <v>305</v>
      </c>
      <c r="C11" s="23" t="n">
        <v>120</v>
      </c>
      <c r="D11" s="16" t="s">
        <v>291</v>
      </c>
      <c r="E11" s="16" t="s">
        <v>306</v>
      </c>
      <c r="F11" s="23" t="n">
        <v>7</v>
      </c>
      <c r="G11" s="16" t="s">
        <v>307</v>
      </c>
    </row>
    <row r="12" customFormat="false" ht="39.75" hidden="false" customHeight="true" outlineLevel="0" collapsed="false">
      <c r="A12" s="15" t="s">
        <v>52</v>
      </c>
      <c r="B12" s="16" t="s">
        <v>308</v>
      </c>
      <c r="C12" s="23" t="n">
        <v>75</v>
      </c>
      <c r="D12" s="16" t="s">
        <v>287</v>
      </c>
      <c r="E12" s="16" t="s">
        <v>309</v>
      </c>
      <c r="F12" s="23" t="n">
        <v>6</v>
      </c>
      <c r="G12" s="16" t="s">
        <v>310</v>
      </c>
    </row>
    <row r="13" customFormat="false" ht="39.75" hidden="false" customHeight="true" outlineLevel="0" collapsed="false">
      <c r="A13" s="15" t="s">
        <v>46</v>
      </c>
      <c r="B13" s="16" t="s">
        <v>311</v>
      </c>
      <c r="C13" s="23" t="n">
        <v>80</v>
      </c>
      <c r="D13" s="16" t="s">
        <v>287</v>
      </c>
      <c r="E13" s="16" t="s">
        <v>312</v>
      </c>
      <c r="F13" s="23" t="n">
        <v>5</v>
      </c>
      <c r="G13" s="16" t="s">
        <v>313</v>
      </c>
    </row>
    <row r="14" customFormat="false" ht="39.75" hidden="false" customHeight="true" outlineLevel="0" collapsed="false">
      <c r="A14" s="15" t="s">
        <v>49</v>
      </c>
      <c r="B14" s="16" t="s">
        <v>314</v>
      </c>
      <c r="C14" s="23" t="n">
        <v>80</v>
      </c>
      <c r="D14" s="16" t="s">
        <v>287</v>
      </c>
      <c r="E14" s="16" t="s">
        <v>315</v>
      </c>
      <c r="F14" s="23" t="n">
        <v>5</v>
      </c>
      <c r="G14" s="16" t="s">
        <v>316</v>
      </c>
    </row>
    <row r="15" customFormat="false" ht="39.75" hidden="false" customHeight="true" outlineLevel="0" collapsed="false">
      <c r="A15" s="15" t="s">
        <v>44</v>
      </c>
      <c r="B15" s="16" t="s">
        <v>317</v>
      </c>
      <c r="C15" s="23" t="n">
        <v>55</v>
      </c>
      <c r="D15" s="16" t="s">
        <v>291</v>
      </c>
      <c r="E15" s="16" t="s">
        <v>318</v>
      </c>
      <c r="F15" s="23" t="n">
        <v>4</v>
      </c>
      <c r="G15" s="16" t="s">
        <v>319</v>
      </c>
    </row>
    <row r="16" customFormat="false" ht="39.75" hidden="false" customHeight="true" outlineLevel="0" collapsed="false">
      <c r="A16" s="15" t="s">
        <v>47</v>
      </c>
      <c r="B16" s="16" t="s">
        <v>320</v>
      </c>
      <c r="C16" s="23" t="n">
        <v>65</v>
      </c>
      <c r="D16" s="16" t="s">
        <v>287</v>
      </c>
      <c r="E16" s="16" t="s">
        <v>321</v>
      </c>
      <c r="F16" s="23" t="n">
        <v>2</v>
      </c>
      <c r="G16" s="16" t="s">
        <v>322</v>
      </c>
    </row>
    <row r="17" customFormat="false" ht="39.75" hidden="false" customHeight="true" outlineLevel="0" collapsed="false">
      <c r="A17" s="15" t="s">
        <v>51</v>
      </c>
      <c r="B17" s="16" t="s">
        <v>323</v>
      </c>
      <c r="C17" s="23" t="n">
        <v>25</v>
      </c>
      <c r="D17" s="16" t="s">
        <v>287</v>
      </c>
      <c r="E17" s="16" t="s">
        <v>324</v>
      </c>
      <c r="F17" s="23" t="n">
        <v>1</v>
      </c>
      <c r="G17" s="16" t="s">
        <v>325</v>
      </c>
    </row>
    <row r="18" customFormat="false" ht="39.75" hidden="false" customHeight="true" outlineLevel="0" collapsed="false">
      <c r="A18" s="15" t="s">
        <v>53</v>
      </c>
      <c r="B18" s="16" t="s">
        <v>326</v>
      </c>
      <c r="C18" s="23" t="s">
        <v>327</v>
      </c>
      <c r="D18" s="16" t="s">
        <v>287</v>
      </c>
      <c r="E18" s="16" t="s">
        <v>328</v>
      </c>
      <c r="F18" s="23" t="n">
        <v>1</v>
      </c>
      <c r="G18" s="16" t="s">
        <v>329</v>
      </c>
    </row>
    <row r="19" customFormat="false" ht="39.75" hidden="false" customHeight="true" outlineLevel="0" collapsed="false">
      <c r="A19" s="15" t="s">
        <v>54</v>
      </c>
      <c r="B19" s="16" t="s">
        <v>330</v>
      </c>
      <c r="C19" s="23" t="s">
        <v>327</v>
      </c>
      <c r="D19" s="16" t="s">
        <v>291</v>
      </c>
      <c r="E19" s="16" t="s">
        <v>331</v>
      </c>
      <c r="F19" s="23" t="n">
        <v>1</v>
      </c>
      <c r="G19" s="16" t="s">
        <v>332</v>
      </c>
    </row>
  </sheetData>
  <conditionalFormatting sqref="F5:F19">
    <cfRule type="cellIs" priority="2" operator="greaterThanOrEqual" aboveAverage="0" equalAverage="0" bottom="0" percent="0" rank="0" text="" dxfId="0">
      <formula>8</formula>
    </cfRule>
    <cfRule type="cellIs" priority="3" operator="lessThanOrEqual" aboveAverage="0" equalAverage="0" bottom="0" percent="0" rank="0" text="" dxfId="3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8" min="7" style="0" width="11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3" min="13" style="0" width="15"/>
  </cols>
  <sheetData>
    <row r="1" customFormat="false" ht="17.35" hidden="false" customHeight="false" outlineLevel="0" collapsed="false">
      <c r="A1" s="1" t="s">
        <v>333</v>
      </c>
    </row>
    <row r="2" customFormat="false" ht="15" hidden="false" customHeight="false" outlineLevel="0" collapsed="false">
      <c r="A2" s="2" t="s">
        <v>334</v>
      </c>
    </row>
    <row r="4" customFormat="false" ht="23.85" hidden="false" customHeight="false" outlineLevel="0" collapsed="false">
      <c r="A4" s="14" t="s">
        <v>279</v>
      </c>
      <c r="B4" s="14" t="s">
        <v>335</v>
      </c>
      <c r="C4" s="14" t="s">
        <v>281</v>
      </c>
      <c r="D4" s="14" t="s">
        <v>336</v>
      </c>
      <c r="E4" s="14" t="s">
        <v>337</v>
      </c>
      <c r="F4" s="14" t="s">
        <v>338</v>
      </c>
      <c r="G4" s="14" t="s">
        <v>339</v>
      </c>
      <c r="H4" s="14" t="s">
        <v>340</v>
      </c>
      <c r="I4" s="14" t="s">
        <v>341</v>
      </c>
      <c r="J4" s="14" t="s">
        <v>342</v>
      </c>
      <c r="K4" s="14" t="s">
        <v>343</v>
      </c>
      <c r="L4" s="14" t="s">
        <v>344</v>
      </c>
      <c r="M4" s="14" t="s">
        <v>345</v>
      </c>
    </row>
    <row r="5" customFormat="false" ht="15" hidden="false" customHeight="false" outlineLevel="0" collapsed="false">
      <c r="A5" s="22" t="s">
        <v>40</v>
      </c>
      <c r="B5" s="24" t="str">
        <f aca="false">INDEX('Move Reality'!$B$5:$B$19,MATCH($A5,'Move Reality'!$A$5:$A$19,0))</f>
        <v>Body Slam</v>
      </c>
      <c r="C5" s="24" t="n">
        <f aca="false">INDEX('Move Reality'!$C$5:$C$19,MATCH($A5,'Move Reality'!$A$5:$A$19,0))</f>
        <v>85</v>
      </c>
      <c r="D5" s="24" t="n">
        <f aca="false">INDEX('Move Reality'!$F$5:$F$19,MATCH($A5,'Move Reality'!$A$5:$A$19,0))</f>
        <v>10</v>
      </c>
      <c r="E5" s="25" t="n">
        <f aca="false">COUNTIF(Effectiveness!$E$5:$E$155,"&gt;=2")</f>
        <v>0</v>
      </c>
      <c r="F5" s="25" t="n">
        <f aca="false">COUNTIF(Effectiveness!$E$5:$E$155,"=4")</f>
        <v>0</v>
      </c>
      <c r="G5" s="25" t="n">
        <f aca="false">COUNTIFS(Effectiveness!$E$5:$E$155,"&gt;0",Effectiveness!$E$5:$E$155,"&lt;1")</f>
        <v>11</v>
      </c>
      <c r="H5" s="25" t="n">
        <f aca="false">COUNTIF(Effectiveness!$E$5:$E$155,"=0")</f>
        <v>3</v>
      </c>
      <c r="I5" s="25" t="n">
        <f aca="false">COUNTIF('Yellow Bosses'!$H$5:$H$53,"&gt;=2")</f>
        <v>0</v>
      </c>
      <c r="J5" s="26" t="n">
        <f aca="false">I5/49</f>
        <v>0</v>
      </c>
      <c r="K5" s="25" t="n">
        <f aca="false">COUNTIFS('Yellow Bosses'!$H$5:$H$53,"&gt;0",'Yellow Bosses'!$H$5:$H$53,"&lt;1")</f>
        <v>6</v>
      </c>
      <c r="L5" s="25" t="n">
        <f aca="false">COUNTIF('Yellow Bosses'!$H$5:$H$53,"=0")</f>
        <v>3</v>
      </c>
      <c r="M5" s="27" t="n">
        <f aca="false">J5*D5/10</f>
        <v>0</v>
      </c>
    </row>
    <row r="6" customFormat="false" ht="15" hidden="false" customHeight="false" outlineLevel="0" collapsed="false">
      <c r="A6" s="22" t="s">
        <v>41</v>
      </c>
      <c r="B6" s="24" t="str">
        <f aca="false">INDEX('Move Reality'!$B$5:$B$19,MATCH($A6,'Move Reality'!$A$5:$A$19,0))</f>
        <v>Fire Blast</v>
      </c>
      <c r="C6" s="24" t="n">
        <f aca="false">INDEX('Move Reality'!$C$5:$C$19,MATCH($A6,'Move Reality'!$A$5:$A$19,0))</f>
        <v>120</v>
      </c>
      <c r="D6" s="24" t="n">
        <f aca="false">INDEX('Move Reality'!$F$5:$F$19,MATCH($A6,'Move Reality'!$A$5:$A$19,0))</f>
        <v>7</v>
      </c>
      <c r="E6" s="25" t="n">
        <f aca="false">COUNTIF(Effectiveness!$F$5:$F$155,"&gt;=2")</f>
        <v>26</v>
      </c>
      <c r="F6" s="25" t="n">
        <f aca="false">COUNTIF(Effectiveness!$F$5:$F$155,"=4")</f>
        <v>2</v>
      </c>
      <c r="G6" s="25" t="n">
        <f aca="false">COUNTIFS(Effectiveness!$F$5:$F$155,"&gt;0",Effectiveness!$F$5:$F$155,"&lt;1")</f>
        <v>51</v>
      </c>
      <c r="H6" s="25" t="n">
        <f aca="false">COUNTIF(Effectiveness!$F$5:$F$155,"=0")</f>
        <v>0</v>
      </c>
      <c r="I6" s="25" t="n">
        <f aca="false">COUNTIF('Yellow Bosses'!$I$5:$I$53,"&gt;=2")</f>
        <v>9</v>
      </c>
      <c r="J6" s="26" t="n">
        <f aca="false">I6/49</f>
        <v>0.183673469387755</v>
      </c>
      <c r="K6" s="25" t="n">
        <f aca="false">COUNTIFS('Yellow Bosses'!$I$5:$I$53,"&gt;0",'Yellow Bosses'!$I$5:$I$53,"&lt;1")</f>
        <v>18</v>
      </c>
      <c r="L6" s="25" t="n">
        <f aca="false">COUNTIF('Yellow Bosses'!$I$5:$I$53,"=0")</f>
        <v>0</v>
      </c>
      <c r="M6" s="27" t="n">
        <f aca="false">J6*D6/10</f>
        <v>0.128571428571429</v>
      </c>
    </row>
    <row r="7" customFormat="false" ht="15" hidden="false" customHeight="false" outlineLevel="0" collapsed="false">
      <c r="A7" s="22" t="s">
        <v>42</v>
      </c>
      <c r="B7" s="24" t="str">
        <f aca="false">INDEX('Move Reality'!$B$5:$B$19,MATCH($A7,'Move Reality'!$A$5:$A$19,0))</f>
        <v>Surf</v>
      </c>
      <c r="C7" s="24" t="n">
        <f aca="false">INDEX('Move Reality'!$C$5:$C$19,MATCH($A7,'Move Reality'!$A$5:$A$19,0))</f>
        <v>95</v>
      </c>
      <c r="D7" s="24" t="n">
        <f aca="false">INDEX('Move Reality'!$F$5:$F$19,MATCH($A7,'Move Reality'!$A$5:$A$19,0))</f>
        <v>9</v>
      </c>
      <c r="E7" s="25" t="n">
        <f aca="false">COUNTIF(Effectiveness!$G$5:$G$155,"&gt;=2")</f>
        <v>27</v>
      </c>
      <c r="F7" s="25" t="n">
        <f aca="false">COUNTIF(Effectiveness!$G$5:$G$155,"=4")</f>
        <v>6</v>
      </c>
      <c r="G7" s="25" t="n">
        <f aca="false">COUNTIFS(Effectiveness!$G$5:$G$155,"&gt;0",Effectiveness!$G$5:$G$155,"&lt;1")</f>
        <v>45</v>
      </c>
      <c r="H7" s="25" t="n">
        <f aca="false">COUNTIF(Effectiveness!$G$5:$G$155,"=0")</f>
        <v>0</v>
      </c>
      <c r="I7" s="25" t="n">
        <f aca="false">COUNTIF('Yellow Bosses'!$J$5:$J$53,"&gt;=2")</f>
        <v>14</v>
      </c>
      <c r="J7" s="26" t="n">
        <f aca="false">I7/49</f>
        <v>0.285714285714286</v>
      </c>
      <c r="K7" s="25" t="n">
        <f aca="false">COUNTIFS('Yellow Bosses'!$J$5:$J$53,"&gt;0",'Yellow Bosses'!$J$5:$J$53,"&lt;1")</f>
        <v>15</v>
      </c>
      <c r="L7" s="25" t="n">
        <f aca="false">COUNTIF('Yellow Bosses'!$J$5:$J$53,"=0")</f>
        <v>0</v>
      </c>
      <c r="M7" s="27" t="n">
        <f aca="false">J7*D7/10</f>
        <v>0.257142857142857</v>
      </c>
    </row>
    <row r="8" customFormat="false" ht="15" hidden="false" customHeight="false" outlineLevel="0" collapsed="false">
      <c r="A8" s="22" t="s">
        <v>43</v>
      </c>
      <c r="B8" s="24" t="str">
        <f aca="false">INDEX('Move Reality'!$B$5:$B$19,MATCH($A8,'Move Reality'!$A$5:$A$19,0))</f>
        <v>Thunderbolt</v>
      </c>
      <c r="C8" s="24" t="n">
        <f aca="false">INDEX('Move Reality'!$C$5:$C$19,MATCH($A8,'Move Reality'!$A$5:$A$19,0))</f>
        <v>95</v>
      </c>
      <c r="D8" s="24" t="n">
        <f aca="false">INDEX('Move Reality'!$F$5:$F$19,MATCH($A8,'Move Reality'!$A$5:$A$19,0))</f>
        <v>9</v>
      </c>
      <c r="E8" s="25" t="n">
        <f aca="false">COUNTIF(Effectiveness!$H$5:$H$155,"&gt;=2")</f>
        <v>48</v>
      </c>
      <c r="F8" s="25" t="n">
        <f aca="false">COUNTIF(Effectiveness!$H$5:$H$155,"=4")</f>
        <v>1</v>
      </c>
      <c r="G8" s="25" t="n">
        <f aca="false">COUNTIFS(Effectiveness!$H$5:$H$155,"&gt;0",Effectiveness!$H$5:$H$155,"&lt;1")</f>
        <v>24</v>
      </c>
      <c r="H8" s="25" t="n">
        <f aca="false">COUNTIF(Effectiveness!$H$5:$H$155,"=0")</f>
        <v>14</v>
      </c>
      <c r="I8" s="25" t="n">
        <f aca="false">COUNTIF('Yellow Bosses'!$K$5:$K$53,"&gt;=2")</f>
        <v>10</v>
      </c>
      <c r="J8" s="26" t="n">
        <f aca="false">I8/49</f>
        <v>0.204081632653061</v>
      </c>
      <c r="K8" s="25" t="n">
        <f aca="false">COUNTIFS('Yellow Bosses'!$K$5:$K$53,"&gt;0",'Yellow Bosses'!$K$5:$K$53,"&lt;1")</f>
        <v>8</v>
      </c>
      <c r="L8" s="25" t="n">
        <f aca="false">COUNTIF('Yellow Bosses'!$K$5:$K$53,"=0")</f>
        <v>9</v>
      </c>
      <c r="M8" s="27" t="n">
        <f aca="false">J8*D8/10</f>
        <v>0.183673469387755</v>
      </c>
    </row>
    <row r="9" customFormat="false" ht="15" hidden="false" customHeight="false" outlineLevel="0" collapsed="false">
      <c r="A9" s="22" t="s">
        <v>44</v>
      </c>
      <c r="B9" s="24" t="str">
        <f aca="false">INDEX('Move Reality'!$B$5:$B$19,MATCH($A9,'Move Reality'!$A$5:$A$19,0))</f>
        <v>Razor Leaf</v>
      </c>
      <c r="C9" s="24" t="n">
        <f aca="false">INDEX('Move Reality'!$C$5:$C$19,MATCH($A9,'Move Reality'!$A$5:$A$19,0))</f>
        <v>55</v>
      </c>
      <c r="D9" s="24" t="n">
        <f aca="false">INDEX('Move Reality'!$F$5:$F$19,MATCH($A9,'Move Reality'!$A$5:$A$19,0))</f>
        <v>4</v>
      </c>
      <c r="E9" s="25" t="n">
        <f aca="false">COUNTIF(Effectiveness!$I$5:$I$155,"&gt;=2")</f>
        <v>41</v>
      </c>
      <c r="F9" s="25" t="n">
        <f aca="false">COUNTIF(Effectiveness!$I$5:$I$155,"=4")</f>
        <v>10</v>
      </c>
      <c r="G9" s="25" t="n">
        <f aca="false">COUNTIFS(Effectiveness!$I$5:$I$155,"&gt;0",Effectiveness!$I$5:$I$155,"&lt;1")</f>
        <v>64</v>
      </c>
      <c r="H9" s="25" t="n">
        <f aca="false">COUNTIF(Effectiveness!$I$5:$I$155,"=0")</f>
        <v>0</v>
      </c>
      <c r="I9" s="25" t="n">
        <f aca="false">COUNTIF('Yellow Bosses'!$L$5:$L$53,"&gt;=2")</f>
        <v>14</v>
      </c>
      <c r="J9" s="26" t="n">
        <f aca="false">I9/49</f>
        <v>0.285714285714286</v>
      </c>
      <c r="K9" s="25" t="n">
        <f aca="false">COUNTIFS('Yellow Bosses'!$L$5:$L$53,"&gt;0",'Yellow Bosses'!$L$5:$L$53,"&lt;1")</f>
        <v>20</v>
      </c>
      <c r="L9" s="25" t="n">
        <f aca="false">COUNTIF('Yellow Bosses'!$L$5:$L$53,"=0")</f>
        <v>0</v>
      </c>
      <c r="M9" s="27" t="n">
        <f aca="false">J9*D9/10</f>
        <v>0.114285714285714</v>
      </c>
    </row>
    <row r="10" customFormat="false" ht="15" hidden="false" customHeight="false" outlineLevel="0" collapsed="false">
      <c r="A10" s="22" t="s">
        <v>45</v>
      </c>
      <c r="B10" s="24" t="str">
        <f aca="false">INDEX('Move Reality'!$B$5:$B$19,MATCH($A10,'Move Reality'!$A$5:$A$19,0))</f>
        <v>Blizzard</v>
      </c>
      <c r="C10" s="24" t="n">
        <f aca="false">INDEX('Move Reality'!$C$5:$C$19,MATCH($A10,'Move Reality'!$A$5:$A$19,0))</f>
        <v>120</v>
      </c>
      <c r="D10" s="24" t="n">
        <f aca="false">INDEX('Move Reality'!$F$5:$F$19,MATCH($A10,'Move Reality'!$A$5:$A$19,0))</f>
        <v>10</v>
      </c>
      <c r="E10" s="25" t="n">
        <f aca="false">COUNTIF(Effectiveness!$J$5:$J$155,"&gt;=2")</f>
        <v>47</v>
      </c>
      <c r="F10" s="25" t="n">
        <f aca="false">COUNTIF(Effectiveness!$J$5:$J$155,"=4")</f>
        <v>1</v>
      </c>
      <c r="G10" s="25" t="n">
        <f aca="false">COUNTIFS(Effectiveness!$J$5:$J$155,"&gt;0",Effectiveness!$J$5:$J$155,"&lt;1")</f>
        <v>32</v>
      </c>
      <c r="H10" s="25" t="n">
        <f aca="false">COUNTIF(Effectiveness!$J$5:$J$155,"=0")</f>
        <v>0</v>
      </c>
      <c r="I10" s="25" t="n">
        <f aca="false">COUNTIF('Yellow Bosses'!$M$5:$M$53,"&gt;=2")</f>
        <v>18</v>
      </c>
      <c r="J10" s="26" t="n">
        <f aca="false">I10/49</f>
        <v>0.36734693877551</v>
      </c>
      <c r="K10" s="25" t="n">
        <f aca="false">COUNTIFS('Yellow Bosses'!$M$5:$M$53,"&gt;0",'Yellow Bosses'!$M$5:$M$53,"&lt;1")</f>
        <v>8</v>
      </c>
      <c r="L10" s="25" t="n">
        <f aca="false">COUNTIF('Yellow Bosses'!$M$5:$M$53,"=0")</f>
        <v>0</v>
      </c>
      <c r="M10" s="27" t="n">
        <f aca="false">J10*D10/10</f>
        <v>0.36734693877551</v>
      </c>
    </row>
    <row r="11" customFormat="false" ht="15" hidden="false" customHeight="false" outlineLevel="0" collapsed="false">
      <c r="A11" s="22" t="s">
        <v>46</v>
      </c>
      <c r="B11" s="24" t="str">
        <f aca="false">INDEX('Move Reality'!$B$5:$B$19,MATCH($A11,'Move Reality'!$A$5:$A$19,0))</f>
        <v>Submission</v>
      </c>
      <c r="C11" s="24" t="n">
        <f aca="false">INDEX('Move Reality'!$C$5:$C$19,MATCH($A11,'Move Reality'!$A$5:$A$19,0))</f>
        <v>80</v>
      </c>
      <c r="D11" s="24" t="n">
        <f aca="false">INDEX('Move Reality'!$F$5:$F$19,MATCH($A11,'Move Reality'!$A$5:$A$19,0))</f>
        <v>5</v>
      </c>
      <c r="E11" s="25" t="n">
        <f aca="false">COUNTIF(Effectiveness!$K$5:$K$155,"&gt;=2")</f>
        <v>29</v>
      </c>
      <c r="F11" s="25" t="n">
        <f aca="false">COUNTIF(Effectiveness!$K$5:$K$155,"=4")</f>
        <v>0</v>
      </c>
      <c r="G11" s="25" t="n">
        <f aca="false">COUNTIFS(Effectiveness!$K$5:$K$155,"&gt;0",Effectiveness!$K$5:$K$155,"&lt;1")</f>
        <v>55</v>
      </c>
      <c r="H11" s="25" t="n">
        <f aca="false">COUNTIF(Effectiveness!$K$5:$K$155,"=0")</f>
        <v>3</v>
      </c>
      <c r="I11" s="25" t="n">
        <f aca="false">COUNTIF('Yellow Bosses'!$N$5:$N$53,"&gt;=2")</f>
        <v>9</v>
      </c>
      <c r="J11" s="26" t="n">
        <f aca="false">I11/49</f>
        <v>0.183673469387755</v>
      </c>
      <c r="K11" s="25" t="n">
        <f aca="false">COUNTIFS('Yellow Bosses'!$N$5:$N$53,"&gt;0",'Yellow Bosses'!$N$5:$N$53,"&lt;1")</f>
        <v>19</v>
      </c>
      <c r="L11" s="25" t="n">
        <f aca="false">COUNTIF('Yellow Bosses'!$N$5:$N$53,"=0")</f>
        <v>3</v>
      </c>
      <c r="M11" s="27" t="n">
        <f aca="false">J11*D11/10</f>
        <v>0.0918367346938776</v>
      </c>
    </row>
    <row r="12" customFormat="false" ht="15" hidden="false" customHeight="false" outlineLevel="0" collapsed="false">
      <c r="A12" s="22" t="s">
        <v>47</v>
      </c>
      <c r="B12" s="24" t="str">
        <f aca="false">INDEX('Move Reality'!$B$5:$B$19,MATCH($A12,'Move Reality'!$A$5:$A$19,0))</f>
        <v>Sludge</v>
      </c>
      <c r="C12" s="24" t="n">
        <f aca="false">INDEX('Move Reality'!$C$5:$C$19,MATCH($A12,'Move Reality'!$A$5:$A$19,0))</f>
        <v>65</v>
      </c>
      <c r="D12" s="24" t="n">
        <f aca="false">INDEX('Move Reality'!$F$5:$F$19,MATCH($A12,'Move Reality'!$A$5:$A$19,0))</f>
        <v>2</v>
      </c>
      <c r="E12" s="25" t="n">
        <f aca="false">COUNTIF(Effectiveness!$L$5:$L$155,"&gt;=2")</f>
        <v>10</v>
      </c>
      <c r="F12" s="25" t="n">
        <f aca="false">COUNTIF(Effectiveness!$L$5:$L$155,"=4")</f>
        <v>2</v>
      </c>
      <c r="G12" s="25" t="n">
        <f aca="false">COUNTIFS(Effectiveness!$L$5:$L$155,"&gt;0",Effectiveness!$L$5:$L$155,"&lt;1")</f>
        <v>36</v>
      </c>
      <c r="H12" s="25" t="n">
        <f aca="false">COUNTIF(Effectiveness!$L$5:$L$155,"=0")</f>
        <v>0</v>
      </c>
      <c r="I12" s="25" t="n">
        <f aca="false">COUNTIF('Yellow Bosses'!$O$5:$O$53,"&gt;=2")</f>
        <v>2</v>
      </c>
      <c r="J12" s="26" t="n">
        <f aca="false">I12/49</f>
        <v>0.0408163265306122</v>
      </c>
      <c r="K12" s="25" t="n">
        <f aca="false">COUNTIFS('Yellow Bosses'!$O$5:$O$53,"&gt;0",'Yellow Bosses'!$O$5:$O$53,"&lt;1")</f>
        <v>15</v>
      </c>
      <c r="L12" s="25" t="n">
        <f aca="false">COUNTIF('Yellow Bosses'!$O$5:$O$53,"=0")</f>
        <v>0</v>
      </c>
      <c r="M12" s="27" t="n">
        <f aca="false">J12*D12/10</f>
        <v>0.00816326530612245</v>
      </c>
    </row>
    <row r="13" customFormat="false" ht="15" hidden="false" customHeight="false" outlineLevel="0" collapsed="false">
      <c r="A13" s="22" t="s">
        <v>48</v>
      </c>
      <c r="B13" s="24" t="str">
        <f aca="false">INDEX('Move Reality'!$B$5:$B$19,MATCH($A13,'Move Reality'!$A$5:$A$19,0))</f>
        <v>Earthquake</v>
      </c>
      <c r="C13" s="24" t="n">
        <f aca="false">INDEX('Move Reality'!$C$5:$C$19,MATCH($A13,'Move Reality'!$A$5:$A$19,0))</f>
        <v>100</v>
      </c>
      <c r="D13" s="24" t="n">
        <f aca="false">INDEX('Move Reality'!$F$5:$F$19,MATCH($A13,'Move Reality'!$A$5:$A$19,0))</f>
        <v>9</v>
      </c>
      <c r="E13" s="25" t="n">
        <f aca="false">COUNTIF(Effectiveness!$M$5:$M$155,"&gt;=2")</f>
        <v>45</v>
      </c>
      <c r="F13" s="25" t="n">
        <f aca="false">COUNTIF(Effectiveness!$M$5:$M$155,"=4")</f>
        <v>0</v>
      </c>
      <c r="G13" s="25" t="n">
        <f aca="false">COUNTIFS(Effectiveness!$M$5:$M$155,"&gt;0",Effectiveness!$M$5:$M$155,"&lt;1")</f>
        <v>8</v>
      </c>
      <c r="H13" s="25" t="n">
        <f aca="false">COUNTIF(Effectiveness!$M$5:$M$155,"=0")</f>
        <v>19</v>
      </c>
      <c r="I13" s="25" t="n">
        <f aca="false">COUNTIF('Yellow Bosses'!$P$5:$P$53,"&gt;=2")</f>
        <v>17</v>
      </c>
      <c r="J13" s="26" t="n">
        <f aca="false">I13/49</f>
        <v>0.346938775510204</v>
      </c>
      <c r="K13" s="25" t="n">
        <f aca="false">COUNTIFS('Yellow Bosses'!$P$5:$P$53,"&gt;0",'Yellow Bosses'!$P$5:$P$53,"&lt;1")</f>
        <v>2</v>
      </c>
      <c r="L13" s="25" t="n">
        <f aca="false">COUNTIF('Yellow Bosses'!$P$5:$P$53,"=0")</f>
        <v>4</v>
      </c>
      <c r="M13" s="27" t="n">
        <f aca="false">J13*D13/10</f>
        <v>0.312244897959184</v>
      </c>
    </row>
    <row r="14" customFormat="false" ht="15" hidden="false" customHeight="false" outlineLevel="0" collapsed="false">
      <c r="A14" s="22" t="s">
        <v>49</v>
      </c>
      <c r="B14" s="24" t="str">
        <f aca="false">INDEX('Move Reality'!$B$5:$B$19,MATCH($A14,'Move Reality'!$A$5:$A$19,0))</f>
        <v>Drill Peck</v>
      </c>
      <c r="C14" s="24" t="n">
        <f aca="false">INDEX('Move Reality'!$C$5:$C$19,MATCH($A14,'Move Reality'!$A$5:$A$19,0))</f>
        <v>80</v>
      </c>
      <c r="D14" s="24" t="n">
        <f aca="false">INDEX('Move Reality'!$F$5:$F$19,MATCH($A14,'Move Reality'!$A$5:$A$19,0))</f>
        <v>5</v>
      </c>
      <c r="E14" s="25" t="n">
        <f aca="false">COUNTIF(Effectiveness!$N$5:$N$155,"&gt;=2")</f>
        <v>32</v>
      </c>
      <c r="F14" s="25" t="n">
        <f aca="false">COUNTIF(Effectiveness!$N$5:$N$155,"=4")</f>
        <v>2</v>
      </c>
      <c r="G14" s="25" t="n">
        <f aca="false">COUNTIFS(Effectiveness!$N$5:$N$155,"&gt;0",Effectiveness!$N$5:$N$155,"&lt;1")</f>
        <v>20</v>
      </c>
      <c r="H14" s="25" t="n">
        <f aca="false">COUNTIF(Effectiveness!$N$5:$N$155,"=0")</f>
        <v>0</v>
      </c>
      <c r="I14" s="25" t="n">
        <f aca="false">COUNTIF('Yellow Bosses'!$Q$5:$Q$53,"&gt;=2")</f>
        <v>11</v>
      </c>
      <c r="J14" s="26" t="n">
        <f aca="false">I14/49</f>
        <v>0.224489795918367</v>
      </c>
      <c r="K14" s="25" t="n">
        <f aca="false">COUNTIFS('Yellow Bosses'!$Q$5:$Q$53,"&gt;0",'Yellow Bosses'!$Q$5:$Q$53,"&lt;1")</f>
        <v>8</v>
      </c>
      <c r="L14" s="25" t="n">
        <f aca="false">COUNTIF('Yellow Bosses'!$Q$5:$Q$53,"=0")</f>
        <v>0</v>
      </c>
      <c r="M14" s="27" t="n">
        <f aca="false">J14*D14/10</f>
        <v>0.112244897959184</v>
      </c>
    </row>
    <row r="15" customFormat="false" ht="15" hidden="false" customHeight="false" outlineLevel="0" collapsed="false">
      <c r="A15" s="22" t="s">
        <v>50</v>
      </c>
      <c r="B15" s="24" t="str">
        <f aca="false">INDEX('Move Reality'!$B$5:$B$19,MATCH($A15,'Move Reality'!$A$5:$A$19,0))</f>
        <v>Psychic</v>
      </c>
      <c r="C15" s="24" t="n">
        <f aca="false">INDEX('Move Reality'!$C$5:$C$19,MATCH($A15,'Move Reality'!$A$5:$A$19,0))</f>
        <v>90</v>
      </c>
      <c r="D15" s="24" t="n">
        <f aca="false">INDEX('Move Reality'!$F$5:$F$19,MATCH($A15,'Move Reality'!$A$5:$A$19,0))</f>
        <v>10</v>
      </c>
      <c r="E15" s="25" t="n">
        <f aca="false">COUNTIF(Effectiveness!$O$5:$O$155,"&gt;=2")</f>
        <v>41</v>
      </c>
      <c r="F15" s="25" t="n">
        <f aca="false">COUNTIF(Effectiveness!$O$5:$O$155,"=4")</f>
        <v>0</v>
      </c>
      <c r="G15" s="25" t="n">
        <f aca="false">COUNTIFS(Effectiveness!$O$5:$O$155,"&gt;0",Effectiveness!$O$5:$O$155,"&lt;1")</f>
        <v>14</v>
      </c>
      <c r="H15" s="25" t="n">
        <f aca="false">COUNTIF(Effectiveness!$O$5:$O$155,"=0")</f>
        <v>0</v>
      </c>
      <c r="I15" s="25" t="n">
        <f aca="false">COUNTIF('Yellow Bosses'!$R$5:$R$53,"&gt;=2")</f>
        <v>16</v>
      </c>
      <c r="J15" s="26" t="n">
        <f aca="false">I15/49</f>
        <v>0.326530612244898</v>
      </c>
      <c r="K15" s="25" t="n">
        <f aca="false">COUNTIFS('Yellow Bosses'!$R$5:$R$53,"&gt;0",'Yellow Bosses'!$R$5:$R$53,"&lt;1")</f>
        <v>8</v>
      </c>
      <c r="L15" s="25" t="n">
        <f aca="false">COUNTIF('Yellow Bosses'!$R$5:$R$53,"=0")</f>
        <v>0</v>
      </c>
      <c r="M15" s="27" t="n">
        <f aca="false">J15*D15/10</f>
        <v>0.326530612244898</v>
      </c>
    </row>
    <row r="16" customFormat="false" ht="15" hidden="false" customHeight="false" outlineLevel="0" collapsed="false">
      <c r="A16" s="22" t="s">
        <v>51</v>
      </c>
      <c r="B16" s="24" t="str">
        <f aca="false">INDEX('Move Reality'!$B$5:$B$19,MATCH($A16,'Move Reality'!$A$5:$A$19,0))</f>
        <v>Twineedle</v>
      </c>
      <c r="C16" s="24" t="n">
        <f aca="false">INDEX('Move Reality'!$C$5:$C$19,MATCH($A16,'Move Reality'!$A$5:$A$19,0))</f>
        <v>25</v>
      </c>
      <c r="D16" s="24" t="n">
        <f aca="false">INDEX('Move Reality'!$F$5:$F$19,MATCH($A16,'Move Reality'!$A$5:$A$19,0))</f>
        <v>1</v>
      </c>
      <c r="E16" s="25" t="n">
        <f aca="false">COUNTIF(Effectiveness!$P$5:$P$155,"&gt;=2")</f>
        <v>45</v>
      </c>
      <c r="F16" s="25" t="n">
        <f aca="false">COUNTIF(Effectiveness!$P$5:$P$155,"=4")</f>
        <v>11</v>
      </c>
      <c r="G16" s="25" t="n">
        <f aca="false">COUNTIFS(Effectiveness!$P$5:$P$155,"&gt;0",Effectiveness!$P$5:$P$155,"&lt;1")</f>
        <v>35</v>
      </c>
      <c r="H16" s="25" t="n">
        <f aca="false">COUNTIF(Effectiveness!$P$5:$P$155,"=0")</f>
        <v>0</v>
      </c>
      <c r="I16" s="25" t="n">
        <f aca="false">COUNTIF('Yellow Bosses'!$S$5:$S$53,"&gt;=2")</f>
        <v>18</v>
      </c>
      <c r="J16" s="26" t="n">
        <f aca="false">I16/49</f>
        <v>0.36734693877551</v>
      </c>
      <c r="K16" s="25" t="n">
        <f aca="false">COUNTIFS('Yellow Bosses'!$S$5:$S$53,"&gt;0",'Yellow Bosses'!$S$5:$S$53,"&lt;1")</f>
        <v>10</v>
      </c>
      <c r="L16" s="25" t="n">
        <f aca="false">COUNTIF('Yellow Bosses'!$S$5:$S$53,"=0")</f>
        <v>0</v>
      </c>
      <c r="M16" s="27" t="n">
        <f aca="false">J16*D16/10</f>
        <v>0.036734693877551</v>
      </c>
    </row>
    <row r="17" customFormat="false" ht="15" hidden="false" customHeight="false" outlineLevel="0" collapsed="false">
      <c r="A17" s="22" t="s">
        <v>52</v>
      </c>
      <c r="B17" s="24" t="str">
        <f aca="false">INDEX('Move Reality'!$B$5:$B$19,MATCH($A17,'Move Reality'!$A$5:$A$19,0))</f>
        <v>Rock Slide</v>
      </c>
      <c r="C17" s="24" t="n">
        <f aca="false">INDEX('Move Reality'!$C$5:$C$19,MATCH($A17,'Move Reality'!$A$5:$A$19,0))</f>
        <v>75</v>
      </c>
      <c r="D17" s="24" t="n">
        <f aca="false">INDEX('Move Reality'!$F$5:$F$19,MATCH($A17,'Move Reality'!$A$5:$A$19,0))</f>
        <v>6</v>
      </c>
      <c r="E17" s="25" t="n">
        <f aca="false">COUNTIF(Effectiveness!$Q$5:$Q$155,"&gt;=2")</f>
        <v>43</v>
      </c>
      <c r="F17" s="25" t="n">
        <f aca="false">COUNTIF(Effectiveness!$Q$5:$Q$155,"=4")</f>
        <v>5</v>
      </c>
      <c r="G17" s="25" t="n">
        <f aca="false">COUNTIFS(Effectiveness!$Q$5:$Q$155,"&gt;0",Effectiveness!$Q$5:$Q$155,"&lt;1")</f>
        <v>22</v>
      </c>
      <c r="H17" s="25" t="n">
        <f aca="false">COUNTIF(Effectiveness!$Q$5:$Q$155,"=0")</f>
        <v>0</v>
      </c>
      <c r="I17" s="25" t="n">
        <f aca="false">COUNTIF('Yellow Bosses'!$T$5:$T$53,"&gt;=2")</f>
        <v>16</v>
      </c>
      <c r="J17" s="26" t="n">
        <f aca="false">I17/49</f>
        <v>0.326530612244898</v>
      </c>
      <c r="K17" s="25" t="n">
        <f aca="false">COUNTIFS('Yellow Bosses'!$T$5:$T$53,"&gt;0",'Yellow Bosses'!$T$5:$T$53,"&lt;1")</f>
        <v>12</v>
      </c>
      <c r="L17" s="25" t="n">
        <f aca="false">COUNTIF('Yellow Bosses'!$T$5:$T$53,"=0")</f>
        <v>0</v>
      </c>
      <c r="M17" s="27" t="n">
        <f aca="false">J17*D17/10</f>
        <v>0.195918367346939</v>
      </c>
    </row>
    <row r="18" customFormat="false" ht="15" hidden="false" customHeight="false" outlineLevel="0" collapsed="false">
      <c r="A18" s="22" t="s">
        <v>53</v>
      </c>
      <c r="B18" s="24" t="str">
        <f aca="false">INDEX('Move Reality'!$B$5:$B$19,MATCH($A18,'Move Reality'!$A$5:$A$19,0))</f>
        <v>Night Shade</v>
      </c>
      <c r="C18" s="24" t="str">
        <f aca="false">INDEX('Move Reality'!$C$5:$C$19,MATCH($A18,'Move Reality'!$A$5:$A$19,0))</f>
        <v>fixed</v>
      </c>
      <c r="D18" s="24" t="n">
        <f aca="false">INDEX('Move Reality'!$F$5:$F$19,MATCH($A18,'Move Reality'!$A$5:$A$19,0))</f>
        <v>1</v>
      </c>
      <c r="E18" s="25" t="n">
        <f aca="false">COUNTIF(Effectiveness!$R$5:$R$155,"&gt;=2")</f>
        <v>3</v>
      </c>
      <c r="F18" s="25" t="n">
        <f aca="false">COUNTIF(Effectiveness!$R$5:$R$155,"=4")</f>
        <v>0</v>
      </c>
      <c r="G18" s="25" t="n">
        <f aca="false">COUNTIFS(Effectiveness!$R$5:$R$155,"&gt;0",Effectiveness!$R$5:$R$155,"&lt;1")</f>
        <v>0</v>
      </c>
      <c r="H18" s="25" t="n">
        <f aca="false">COUNTIF(Effectiveness!$R$5:$R$155,"=0")</f>
        <v>38</v>
      </c>
      <c r="I18" s="25" t="n">
        <f aca="false">COUNTIF('Yellow Bosses'!$U$5:$U$53,"&gt;=2")</f>
        <v>3</v>
      </c>
      <c r="J18" s="26" t="n">
        <f aca="false">I18/49</f>
        <v>0.0612244897959184</v>
      </c>
      <c r="K18" s="25" t="n">
        <f aca="false">COUNTIFS('Yellow Bosses'!$U$5:$U$53,"&gt;0",'Yellow Bosses'!$U$5:$U$53,"&lt;1")</f>
        <v>0</v>
      </c>
      <c r="L18" s="25" t="n">
        <f aca="false">COUNTIF('Yellow Bosses'!$U$5:$U$53,"=0")</f>
        <v>9</v>
      </c>
      <c r="M18" s="27" t="n">
        <f aca="false">J18*D18/10</f>
        <v>0.00612244897959184</v>
      </c>
    </row>
    <row r="19" customFormat="false" ht="15" hidden="false" customHeight="false" outlineLevel="0" collapsed="false">
      <c r="A19" s="22" t="s">
        <v>54</v>
      </c>
      <c r="B19" s="24" t="str">
        <f aca="false">INDEX('Move Reality'!$B$5:$B$19,MATCH($A19,'Move Reality'!$A$5:$A$19,0))</f>
        <v>Dragon Rage</v>
      </c>
      <c r="C19" s="24" t="str">
        <f aca="false">INDEX('Move Reality'!$C$5:$C$19,MATCH($A19,'Move Reality'!$A$5:$A$19,0))</f>
        <v>fixed</v>
      </c>
      <c r="D19" s="24" t="n">
        <f aca="false">INDEX('Move Reality'!$F$5:$F$19,MATCH($A19,'Move Reality'!$A$5:$A$19,0))</f>
        <v>1</v>
      </c>
      <c r="E19" s="25" t="n">
        <f aca="false">COUNTIF(Effectiveness!$S$5:$S$155,"&gt;=2")</f>
        <v>3</v>
      </c>
      <c r="F19" s="25" t="n">
        <f aca="false">COUNTIF(Effectiveness!$S$5:$S$155,"=4")</f>
        <v>0</v>
      </c>
      <c r="G19" s="25" t="n">
        <f aca="false">COUNTIFS(Effectiveness!$S$5:$S$155,"&gt;0",Effectiveness!$S$5:$S$155,"&lt;1")</f>
        <v>0</v>
      </c>
      <c r="H19" s="25" t="n">
        <f aca="false">COUNTIF(Effectiveness!$S$5:$S$155,"=0")</f>
        <v>0</v>
      </c>
      <c r="I19" s="25" t="n">
        <f aca="false">COUNTIF('Yellow Bosses'!$V$5:$V$53,"&gt;=2")</f>
        <v>3</v>
      </c>
      <c r="J19" s="26" t="n">
        <f aca="false">I19/49</f>
        <v>0.0612244897959184</v>
      </c>
      <c r="K19" s="25" t="n">
        <f aca="false">COUNTIFS('Yellow Bosses'!$V$5:$V$53,"&gt;0",'Yellow Bosses'!$V$5:$V$53,"&lt;1")</f>
        <v>0</v>
      </c>
      <c r="L19" s="25" t="n">
        <f aca="false">COUNTIF('Yellow Bosses'!$V$5:$V$53,"=0")</f>
        <v>0</v>
      </c>
      <c r="M19" s="27" t="n">
        <f aca="false">J19*D19/10</f>
        <v>0.00612244897959184</v>
      </c>
    </row>
    <row r="21" customFormat="false" ht="15" hidden="false" customHeight="false" outlineLevel="0" collapsed="false">
      <c r="A21" s="2" t="s">
        <v>346</v>
      </c>
    </row>
    <row r="22" customFormat="false" ht="15" hidden="false" customHeight="false" outlineLevel="0" collapsed="false">
      <c r="A22" s="2" t="s">
        <v>347</v>
      </c>
    </row>
    <row r="23" customFormat="false" ht="15" hidden="false" customHeight="false" outlineLevel="0" collapsed="false">
      <c r="A23" s="2" t="s">
        <v>348</v>
      </c>
    </row>
  </sheetData>
  <autoFilter ref="A4:M19"/>
  <conditionalFormatting sqref="M5:M19">
    <cfRule type="cellIs" priority="2" operator="greaterThanOrEqual" aboveAverage="0" equalAverage="0" bottom="0" percent="0" rank="0" text="" dxfId="0">
      <formula>0.25</formula>
    </cfRule>
    <cfRule type="cellIs" priority="3" operator="lessThan" aboveAverage="0" equalAverage="0" bottom="0" percent="0" rank="0" text="" dxfId="3">
      <formula>0.08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5" min="2" style="0" width="11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7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7"/>
    <col collapsed="false" customWidth="true" hidden="false" outlineLevel="0" max="13" min="13" style="0" width="16"/>
  </cols>
  <sheetData>
    <row r="1" customFormat="false" ht="17.35" hidden="false" customHeight="false" outlineLevel="0" collapsed="false">
      <c r="A1" s="1" t="s">
        <v>349</v>
      </c>
    </row>
    <row r="2" customFormat="false" ht="15" hidden="false" customHeight="false" outlineLevel="0" collapsed="false">
      <c r="A2" s="2" t="s">
        <v>350</v>
      </c>
    </row>
    <row r="4" customFormat="false" ht="23.85" hidden="false" customHeight="false" outlineLevel="0" collapsed="false">
      <c r="A4" s="14" t="s">
        <v>351</v>
      </c>
      <c r="B4" s="14" t="s">
        <v>90</v>
      </c>
      <c r="C4" s="14" t="s">
        <v>91</v>
      </c>
      <c r="D4" s="14" t="s">
        <v>352</v>
      </c>
      <c r="E4" s="14" t="s">
        <v>353</v>
      </c>
      <c r="F4" s="14" t="s">
        <v>341</v>
      </c>
      <c r="G4" s="14" t="s">
        <v>342</v>
      </c>
      <c r="H4" s="14" t="s">
        <v>354</v>
      </c>
      <c r="I4" s="14" t="s">
        <v>355</v>
      </c>
      <c r="J4" s="14" t="s">
        <v>356</v>
      </c>
      <c r="K4" s="14" t="s">
        <v>357</v>
      </c>
      <c r="L4" s="14" t="s">
        <v>358</v>
      </c>
      <c r="M4" s="14" t="s">
        <v>359</v>
      </c>
    </row>
    <row r="5" customFormat="false" ht="15" hidden="false" customHeight="false" outlineLevel="0" collapsed="false">
      <c r="A5" s="17" t="n">
        <v>1</v>
      </c>
      <c r="B5" s="17" t="s">
        <v>43</v>
      </c>
      <c r="C5" s="17" t="s">
        <v>45</v>
      </c>
      <c r="D5" s="17" t="s">
        <v>48</v>
      </c>
      <c r="E5" s="17" t="s">
        <v>51</v>
      </c>
      <c r="F5" s="25" t="n">
        <f aca="false">SUMPRODUCT(--((('Yellow Bosses'!$K$5:$K$53&gt;=2)+('Yellow Bosses'!$M$5:$M$53&gt;=2)+('Yellow Bosses'!$P$5:$P$53&gt;=2)+('Yellow Bosses'!$S$5:$S$53&gt;=2))&gt;0))</f>
        <v>45</v>
      </c>
      <c r="G5" s="26" t="n">
        <f aca="false">F5/49</f>
        <v>0.918367346938776</v>
      </c>
      <c r="H5" s="25" t="n">
        <f aca="false">49-SUMPRODUCT(--((('Yellow Bosses'!$K$5:$K$53&gt;=1)+('Yellow Bosses'!$M$5:$M$53&gt;=1)+('Yellow Bosses'!$P$5:$P$53&gt;=1)+('Yellow Bosses'!$S$5:$S$53&gt;=1))&gt;0))</f>
        <v>0</v>
      </c>
      <c r="I5" s="25" t="n">
        <f aca="false">SUMPRODUCT(--((('Yellow Bosses'!$K$5:$K$53&gt;0)+('Yellow Bosses'!$M$5:$M$53&gt;0)+('Yellow Bosses'!$P$5:$P$53&gt;0)+('Yellow Bosses'!$S$5:$S$53&gt;0))=0))</f>
        <v>0</v>
      </c>
      <c r="J5" s="25" t="n">
        <f aca="false">SUMPRODUCT(--(((Effectiveness!$H$5:$H$155&gt;=2)+(Effectiveness!$J$5:$J$155&gt;=2)+(Effectiveness!$M$5:$M$155&gt;=2)+(Effectiveness!$P$5:$P$155&gt;=2))&gt;0))</f>
        <v>125</v>
      </c>
      <c r="K5" s="26" t="n">
        <f aca="false">J5/151</f>
        <v>0.827814569536424</v>
      </c>
      <c r="L5" s="25" t="n">
        <f aca="false">MIN(INDEX('Move Reality'!$F$5:$F$19,MATCH(B5,'Move Reality'!$A$5:$A$19,0)),INDEX('Move Reality'!$F$5:$F$19,MATCH(C5,'Move Reality'!$A$5:$A$19,0)),INDEX('Move Reality'!$F$5:$F$19,MATCH(D5,'Move Reality'!$A$5:$A$19,0)),INDEX('Move Reality'!$F$5:$F$19,MATCH(E5,'Move Reality'!$A$5:$A$19,0)))</f>
        <v>1</v>
      </c>
      <c r="M5" s="28" t="str">
        <f aca="false">IF(L5&gt;=5,"YES","no - dead move")</f>
        <v>no - dead move</v>
      </c>
    </row>
    <row r="6" customFormat="false" ht="15" hidden="false" customHeight="false" outlineLevel="0" collapsed="false">
      <c r="A6" s="17" t="n">
        <v>2</v>
      </c>
      <c r="B6" s="17" t="s">
        <v>44</v>
      </c>
      <c r="C6" s="17" t="s">
        <v>50</v>
      </c>
      <c r="D6" s="17" t="s">
        <v>51</v>
      </c>
      <c r="E6" s="17" t="s">
        <v>52</v>
      </c>
      <c r="F6" s="25" t="n">
        <f aca="false">SUMPRODUCT(--((('Yellow Bosses'!$L$5:$L$53&gt;=2)+('Yellow Bosses'!$R$5:$R$53&gt;=2)+('Yellow Bosses'!$S$5:$S$53&gt;=2)+('Yellow Bosses'!$T$5:$T$53&gt;=2))&gt;0))</f>
        <v>44</v>
      </c>
      <c r="G6" s="26" t="n">
        <f aca="false">F6/49</f>
        <v>0.897959183673469</v>
      </c>
      <c r="H6" s="25" t="n">
        <f aca="false">49-SUMPRODUCT(--((('Yellow Bosses'!$L$5:$L$53&gt;=1)+('Yellow Bosses'!$R$5:$R$53&gt;=1)+('Yellow Bosses'!$S$5:$S$53&gt;=1)+('Yellow Bosses'!$T$5:$T$53&gt;=1))&gt;0))</f>
        <v>0</v>
      </c>
      <c r="I6" s="25" t="n">
        <f aca="false">SUMPRODUCT(--((('Yellow Bosses'!$L$5:$L$53&gt;0)+('Yellow Bosses'!$R$5:$R$53&gt;0)+('Yellow Bosses'!$S$5:$S$53&gt;0)+('Yellow Bosses'!$T$5:$T$53&gt;0))=0))</f>
        <v>0</v>
      </c>
      <c r="J6" s="25" t="n">
        <f aca="false">SUMPRODUCT(--(((Effectiveness!$I$5:$I$155&gt;=2)+(Effectiveness!$O$5:$O$155&gt;=2)+(Effectiveness!$P$5:$P$155&gt;=2)+(Effectiveness!$Q$5:$Q$155&gt;=2))&gt;0))</f>
        <v>125</v>
      </c>
      <c r="K6" s="26" t="n">
        <f aca="false">J6/151</f>
        <v>0.827814569536424</v>
      </c>
      <c r="L6" s="25" t="n">
        <f aca="false">MIN(INDEX('Move Reality'!$F$5:$F$19,MATCH(B6,'Move Reality'!$A$5:$A$19,0)),INDEX('Move Reality'!$F$5:$F$19,MATCH(C6,'Move Reality'!$A$5:$A$19,0)),INDEX('Move Reality'!$F$5:$F$19,MATCH(D6,'Move Reality'!$A$5:$A$19,0)),INDEX('Move Reality'!$F$5:$F$19,MATCH(E6,'Move Reality'!$A$5:$A$19,0)))</f>
        <v>1</v>
      </c>
      <c r="M6" s="28" t="str">
        <f aca="false">IF(L6&gt;=5,"YES","no - dead move")</f>
        <v>no - dead move</v>
      </c>
    </row>
    <row r="7" customFormat="false" ht="15" hidden="false" customHeight="false" outlineLevel="0" collapsed="false">
      <c r="A7" s="17" t="n">
        <v>3</v>
      </c>
      <c r="B7" s="17" t="s">
        <v>44</v>
      </c>
      <c r="C7" s="17" t="s">
        <v>45</v>
      </c>
      <c r="D7" s="17" t="s">
        <v>48</v>
      </c>
      <c r="E7" s="17" t="s">
        <v>51</v>
      </c>
      <c r="F7" s="25" t="n">
        <f aca="false">SUMPRODUCT(--((('Yellow Bosses'!$L$5:$L$53&gt;=2)+('Yellow Bosses'!$M$5:$M$53&gt;=2)+('Yellow Bosses'!$P$5:$P$53&gt;=2)+('Yellow Bosses'!$S$5:$S$53&gt;=2))&gt;0))</f>
        <v>44</v>
      </c>
      <c r="G7" s="26" t="n">
        <f aca="false">F7/49</f>
        <v>0.897959183673469</v>
      </c>
      <c r="H7" s="25" t="n">
        <f aca="false">49-SUMPRODUCT(--((('Yellow Bosses'!$L$5:$L$53&gt;=1)+('Yellow Bosses'!$M$5:$M$53&gt;=1)+('Yellow Bosses'!$P$5:$P$53&gt;=1)+('Yellow Bosses'!$S$5:$S$53&gt;=1))&gt;0))</f>
        <v>0</v>
      </c>
      <c r="I7" s="25" t="n">
        <f aca="false">SUMPRODUCT(--((('Yellow Bosses'!$L$5:$L$53&gt;0)+('Yellow Bosses'!$M$5:$M$53&gt;0)+('Yellow Bosses'!$P$5:$P$53&gt;0)+('Yellow Bosses'!$S$5:$S$53&gt;0))=0))</f>
        <v>0</v>
      </c>
      <c r="J7" s="25" t="n">
        <f aca="false">SUMPRODUCT(--(((Effectiveness!$I$5:$I$155&gt;=2)+(Effectiveness!$J$5:$J$155&gt;=2)+(Effectiveness!$M$5:$M$155&gt;=2)+(Effectiveness!$P$5:$P$155&gt;=2))&gt;0))</f>
        <v>123</v>
      </c>
      <c r="K7" s="26" t="n">
        <f aca="false">J7/151</f>
        <v>0.814569536423841</v>
      </c>
      <c r="L7" s="25" t="n">
        <f aca="false">MIN(INDEX('Move Reality'!$F$5:$F$19,MATCH(B7,'Move Reality'!$A$5:$A$19,0)),INDEX('Move Reality'!$F$5:$F$19,MATCH(C7,'Move Reality'!$A$5:$A$19,0)),INDEX('Move Reality'!$F$5:$F$19,MATCH(D7,'Move Reality'!$A$5:$A$19,0)),INDEX('Move Reality'!$F$5:$F$19,MATCH(E7,'Move Reality'!$A$5:$A$19,0)))</f>
        <v>1</v>
      </c>
      <c r="M7" s="28" t="str">
        <f aca="false">IF(L7&gt;=5,"YES","no - dead move")</f>
        <v>no - dead move</v>
      </c>
    </row>
    <row r="8" customFormat="false" ht="15" hidden="false" customHeight="false" outlineLevel="0" collapsed="false">
      <c r="A8" s="17" t="n">
        <v>4</v>
      </c>
      <c r="B8" s="17" t="s">
        <v>45</v>
      </c>
      <c r="C8" s="17" t="s">
        <v>50</v>
      </c>
      <c r="D8" s="17" t="s">
        <v>51</v>
      </c>
      <c r="E8" s="17" t="s">
        <v>52</v>
      </c>
      <c r="F8" s="25" t="n">
        <f aca="false">SUMPRODUCT(--((('Yellow Bosses'!$M$5:$M$53&gt;=2)+('Yellow Bosses'!$R$5:$R$53&gt;=2)+('Yellow Bosses'!$S$5:$S$53&gt;=2)+('Yellow Bosses'!$T$5:$T$53&gt;=2))&gt;0))</f>
        <v>44</v>
      </c>
      <c r="G8" s="26" t="n">
        <f aca="false">F8/49</f>
        <v>0.897959183673469</v>
      </c>
      <c r="H8" s="25" t="n">
        <f aca="false">49-SUMPRODUCT(--((('Yellow Bosses'!$M$5:$M$53&gt;=1)+('Yellow Bosses'!$R$5:$R$53&gt;=1)+('Yellow Bosses'!$S$5:$S$53&gt;=1)+('Yellow Bosses'!$T$5:$T$53&gt;=1))&gt;0))</f>
        <v>0</v>
      </c>
      <c r="I8" s="25" t="n">
        <f aca="false">SUMPRODUCT(--((('Yellow Bosses'!$M$5:$M$53&gt;0)+('Yellow Bosses'!$R$5:$R$53&gt;0)+('Yellow Bosses'!$S$5:$S$53&gt;0)+('Yellow Bosses'!$T$5:$T$53&gt;0))=0))</f>
        <v>0</v>
      </c>
      <c r="J8" s="25" t="n">
        <f aca="false">SUMPRODUCT(--(((Effectiveness!$J$5:$J$155&gt;=2)+(Effectiveness!$O$5:$O$155&gt;=2)+(Effectiveness!$P$5:$P$155&gt;=2)+(Effectiveness!$Q$5:$Q$155&gt;=2))&gt;0))</f>
        <v>105</v>
      </c>
      <c r="K8" s="26" t="n">
        <f aca="false">J8/151</f>
        <v>0.695364238410596</v>
      </c>
      <c r="L8" s="25" t="n">
        <f aca="false">MIN(INDEX('Move Reality'!$F$5:$F$19,MATCH(B8,'Move Reality'!$A$5:$A$19,0)),INDEX('Move Reality'!$F$5:$F$19,MATCH(C8,'Move Reality'!$A$5:$A$19,0)),INDEX('Move Reality'!$F$5:$F$19,MATCH(D8,'Move Reality'!$A$5:$A$19,0)),INDEX('Move Reality'!$F$5:$F$19,MATCH(E8,'Move Reality'!$A$5:$A$19,0)))</f>
        <v>1</v>
      </c>
      <c r="M8" s="28" t="str">
        <f aca="false">IF(L8&gt;=5,"YES","no - dead move")</f>
        <v>no - dead move</v>
      </c>
    </row>
    <row r="9" customFormat="false" ht="15" hidden="false" customHeight="false" outlineLevel="0" collapsed="false">
      <c r="A9" s="17" t="n">
        <v>5</v>
      </c>
      <c r="B9" s="17" t="s">
        <v>43</v>
      </c>
      <c r="C9" s="17" t="s">
        <v>45</v>
      </c>
      <c r="D9" s="17" t="s">
        <v>48</v>
      </c>
      <c r="E9" s="17" t="s">
        <v>49</v>
      </c>
      <c r="F9" s="25" t="n">
        <f aca="false">SUMPRODUCT(--((('Yellow Bosses'!$K$5:$K$53&gt;=2)+('Yellow Bosses'!$M$5:$M$53&gt;=2)+('Yellow Bosses'!$P$5:$P$53&gt;=2)+('Yellow Bosses'!$Q$5:$Q$53&gt;=2))&gt;0))</f>
        <v>43</v>
      </c>
      <c r="G9" s="26" t="n">
        <f aca="false">F9/49</f>
        <v>0.877551020408163</v>
      </c>
      <c r="H9" s="25" t="n">
        <f aca="false">49-SUMPRODUCT(--((('Yellow Bosses'!$K$5:$K$53&gt;=1)+('Yellow Bosses'!$M$5:$M$53&gt;=1)+('Yellow Bosses'!$P$5:$P$53&gt;=1)+('Yellow Bosses'!$Q$5:$Q$53&gt;=1))&gt;0))</f>
        <v>0</v>
      </c>
      <c r="I9" s="25" t="n">
        <f aca="false">SUMPRODUCT(--((('Yellow Bosses'!$K$5:$K$53&gt;0)+('Yellow Bosses'!$M$5:$M$53&gt;0)+('Yellow Bosses'!$P$5:$P$53&gt;0)+('Yellow Bosses'!$Q$5:$Q$53&gt;0))=0))</f>
        <v>0</v>
      </c>
      <c r="J9" s="25" t="n">
        <f aca="false">SUMPRODUCT(--(((Effectiveness!$H$5:$H$155&gt;=2)+(Effectiveness!$J$5:$J$155&gt;=2)+(Effectiveness!$M$5:$M$155&gt;=2)+(Effectiveness!$N$5:$N$155&gt;=2))&gt;0))</f>
        <v>126</v>
      </c>
      <c r="K9" s="26" t="n">
        <f aca="false">J9/151</f>
        <v>0.834437086092715</v>
      </c>
      <c r="L9" s="25" t="n">
        <f aca="false">MIN(INDEX('Move Reality'!$F$5:$F$19,MATCH(B9,'Move Reality'!$A$5:$A$19,0)),INDEX('Move Reality'!$F$5:$F$19,MATCH(C9,'Move Reality'!$A$5:$A$19,0)),INDEX('Move Reality'!$F$5:$F$19,MATCH(D9,'Move Reality'!$A$5:$A$19,0)),INDEX('Move Reality'!$F$5:$F$19,MATCH(E9,'Move Reality'!$A$5:$A$19,0)))</f>
        <v>5</v>
      </c>
      <c r="M9" s="28" t="str">
        <f aca="false">IF(L9&gt;=5,"YES","no - dead move")</f>
        <v>YES</v>
      </c>
    </row>
    <row r="10" customFormat="false" ht="15" hidden="false" customHeight="false" outlineLevel="0" collapsed="false">
      <c r="A10" s="17" t="n">
        <v>6</v>
      </c>
      <c r="B10" s="17" t="s">
        <v>44</v>
      </c>
      <c r="C10" s="17" t="s">
        <v>48</v>
      </c>
      <c r="D10" s="17" t="s">
        <v>51</v>
      </c>
      <c r="E10" s="17" t="s">
        <v>52</v>
      </c>
      <c r="F10" s="25" t="n">
        <f aca="false">SUMPRODUCT(--((('Yellow Bosses'!$L$5:$L$53&gt;=2)+('Yellow Bosses'!$P$5:$P$53&gt;=2)+('Yellow Bosses'!$S$5:$S$53&gt;=2)+('Yellow Bosses'!$T$5:$T$53&gt;=2))&gt;0))</f>
        <v>43</v>
      </c>
      <c r="G10" s="26" t="n">
        <f aca="false">F10/49</f>
        <v>0.877551020408163</v>
      </c>
      <c r="H10" s="25" t="n">
        <f aca="false">49-SUMPRODUCT(--((('Yellow Bosses'!$L$5:$L$53&gt;=1)+('Yellow Bosses'!$P$5:$P$53&gt;=1)+('Yellow Bosses'!$S$5:$S$53&gt;=1)+('Yellow Bosses'!$T$5:$T$53&gt;=1))&gt;0))</f>
        <v>0</v>
      </c>
      <c r="I10" s="25" t="n">
        <f aca="false">SUMPRODUCT(--((('Yellow Bosses'!$L$5:$L$53&gt;0)+('Yellow Bosses'!$P$5:$P$53&gt;0)+('Yellow Bosses'!$S$5:$S$53&gt;0)+('Yellow Bosses'!$T$5:$T$53&gt;0))=0))</f>
        <v>0</v>
      </c>
      <c r="J10" s="25" t="n">
        <f aca="false">SUMPRODUCT(--(((Effectiveness!$I$5:$I$155&gt;=2)+(Effectiveness!$M$5:$M$155&gt;=2)+(Effectiveness!$P$5:$P$155&gt;=2)+(Effectiveness!$Q$5:$Q$155&gt;=2))&gt;0))</f>
        <v>126</v>
      </c>
      <c r="K10" s="26" t="n">
        <f aca="false">J10/151</f>
        <v>0.834437086092715</v>
      </c>
      <c r="L10" s="25" t="n">
        <f aca="false">MIN(INDEX('Move Reality'!$F$5:$F$19,MATCH(B10,'Move Reality'!$A$5:$A$19,0)),INDEX('Move Reality'!$F$5:$F$19,MATCH(C10,'Move Reality'!$A$5:$A$19,0)),INDEX('Move Reality'!$F$5:$F$19,MATCH(D10,'Move Reality'!$A$5:$A$19,0)),INDEX('Move Reality'!$F$5:$F$19,MATCH(E10,'Move Reality'!$A$5:$A$19,0)))</f>
        <v>1</v>
      </c>
      <c r="M10" s="28" t="str">
        <f aca="false">IF(L10&gt;=5,"YES","no - dead move")</f>
        <v>no - dead move</v>
      </c>
    </row>
    <row r="11" customFormat="false" ht="15" hidden="false" customHeight="false" outlineLevel="0" collapsed="false">
      <c r="A11" s="17" t="n">
        <v>7</v>
      </c>
      <c r="B11" s="17" t="s">
        <v>43</v>
      </c>
      <c r="C11" s="17" t="s">
        <v>48</v>
      </c>
      <c r="D11" s="17" t="s">
        <v>49</v>
      </c>
      <c r="E11" s="17" t="s">
        <v>51</v>
      </c>
      <c r="F11" s="25" t="n">
        <f aca="false">SUMPRODUCT(--((('Yellow Bosses'!$K$5:$K$53&gt;=2)+('Yellow Bosses'!$P$5:$P$53&gt;=2)+('Yellow Bosses'!$Q$5:$Q$53&gt;=2)+('Yellow Bosses'!$S$5:$S$53&gt;=2))&gt;0))</f>
        <v>43</v>
      </c>
      <c r="G11" s="26" t="n">
        <f aca="false">F11/49</f>
        <v>0.877551020408163</v>
      </c>
      <c r="H11" s="25" t="n">
        <f aca="false">49-SUMPRODUCT(--((('Yellow Bosses'!$K$5:$K$53&gt;=1)+('Yellow Bosses'!$P$5:$P$53&gt;=1)+('Yellow Bosses'!$Q$5:$Q$53&gt;=1)+('Yellow Bosses'!$S$5:$S$53&gt;=1))&gt;0))</f>
        <v>0</v>
      </c>
      <c r="I11" s="25" t="n">
        <f aca="false">SUMPRODUCT(--((('Yellow Bosses'!$K$5:$K$53&gt;0)+('Yellow Bosses'!$P$5:$P$53&gt;0)+('Yellow Bosses'!$Q$5:$Q$53&gt;0)+('Yellow Bosses'!$S$5:$S$53&gt;0))=0))</f>
        <v>0</v>
      </c>
      <c r="J11" s="25" t="n">
        <f aca="false">SUMPRODUCT(--(((Effectiveness!$H$5:$H$155&gt;=2)+(Effectiveness!$M$5:$M$155&gt;=2)+(Effectiveness!$N$5:$N$155&gt;=2)+(Effectiveness!$P$5:$P$155&gt;=2))&gt;0))</f>
        <v>125</v>
      </c>
      <c r="K11" s="26" t="n">
        <f aca="false">J11/151</f>
        <v>0.827814569536424</v>
      </c>
      <c r="L11" s="25" t="n">
        <f aca="false">MIN(INDEX('Move Reality'!$F$5:$F$19,MATCH(B11,'Move Reality'!$A$5:$A$19,0)),INDEX('Move Reality'!$F$5:$F$19,MATCH(C11,'Move Reality'!$A$5:$A$19,0)),INDEX('Move Reality'!$F$5:$F$19,MATCH(D11,'Move Reality'!$A$5:$A$19,0)),INDEX('Move Reality'!$F$5:$F$19,MATCH(E11,'Move Reality'!$A$5:$A$19,0)))</f>
        <v>1</v>
      </c>
      <c r="M11" s="28" t="str">
        <f aca="false">IF(L11&gt;=5,"YES","no - dead move")</f>
        <v>no - dead move</v>
      </c>
    </row>
    <row r="12" customFormat="false" ht="15" hidden="false" customHeight="false" outlineLevel="0" collapsed="false">
      <c r="A12" s="17" t="n">
        <v>8</v>
      </c>
      <c r="B12" s="17" t="s">
        <v>43</v>
      </c>
      <c r="C12" s="17" t="s">
        <v>45</v>
      </c>
      <c r="D12" s="17" t="s">
        <v>48</v>
      </c>
      <c r="E12" s="17" t="s">
        <v>50</v>
      </c>
      <c r="F12" s="25" t="n">
        <f aca="false">SUMPRODUCT(--((('Yellow Bosses'!$K$5:$K$53&gt;=2)+('Yellow Bosses'!$M$5:$M$53&gt;=2)+('Yellow Bosses'!$P$5:$P$53&gt;=2)+('Yellow Bosses'!$R$5:$R$53&gt;=2))&gt;0))</f>
        <v>43</v>
      </c>
      <c r="G12" s="26" t="n">
        <f aca="false">F12/49</f>
        <v>0.877551020408163</v>
      </c>
      <c r="H12" s="25" t="n">
        <f aca="false">49-SUMPRODUCT(--((('Yellow Bosses'!$K$5:$K$53&gt;=1)+('Yellow Bosses'!$M$5:$M$53&gt;=1)+('Yellow Bosses'!$P$5:$P$53&gt;=1)+('Yellow Bosses'!$R$5:$R$53&gt;=1))&gt;0))</f>
        <v>0</v>
      </c>
      <c r="I12" s="25" t="n">
        <f aca="false">SUMPRODUCT(--((('Yellow Bosses'!$K$5:$K$53&gt;0)+('Yellow Bosses'!$M$5:$M$53&gt;0)+('Yellow Bosses'!$P$5:$P$53&gt;0)+('Yellow Bosses'!$R$5:$R$53&gt;0))=0))</f>
        <v>0</v>
      </c>
      <c r="J12" s="25" t="n">
        <f aca="false">SUMPRODUCT(--(((Effectiveness!$H$5:$H$155&gt;=2)+(Effectiveness!$J$5:$J$155&gt;=2)+(Effectiveness!$M$5:$M$155&gt;=2)+(Effectiveness!$O$5:$O$155&gt;=2))&gt;0))</f>
        <v>123</v>
      </c>
      <c r="K12" s="26" t="n">
        <f aca="false">J12/151</f>
        <v>0.814569536423841</v>
      </c>
      <c r="L12" s="25" t="n">
        <f aca="false">MIN(INDEX('Move Reality'!$F$5:$F$19,MATCH(B12,'Move Reality'!$A$5:$A$19,0)),INDEX('Move Reality'!$F$5:$F$19,MATCH(C12,'Move Reality'!$A$5:$A$19,0)),INDEX('Move Reality'!$F$5:$F$19,MATCH(D12,'Move Reality'!$A$5:$A$19,0)),INDEX('Move Reality'!$F$5:$F$19,MATCH(E12,'Move Reality'!$A$5:$A$19,0)))</f>
        <v>9</v>
      </c>
      <c r="M12" s="28" t="str">
        <f aca="false">IF(L12&gt;=5,"YES","no - dead move")</f>
        <v>YES</v>
      </c>
    </row>
    <row r="13" customFormat="false" ht="15" hidden="false" customHeight="false" outlineLevel="0" collapsed="false">
      <c r="A13" s="17" t="n">
        <v>9</v>
      </c>
      <c r="B13" s="17" t="s">
        <v>43</v>
      </c>
      <c r="C13" s="17" t="s">
        <v>48</v>
      </c>
      <c r="D13" s="17" t="s">
        <v>50</v>
      </c>
      <c r="E13" s="17" t="s">
        <v>51</v>
      </c>
      <c r="F13" s="25" t="n">
        <f aca="false">SUMPRODUCT(--((('Yellow Bosses'!$K$5:$K$53&gt;=2)+('Yellow Bosses'!$P$5:$P$53&gt;=2)+('Yellow Bosses'!$R$5:$R$53&gt;=2)+('Yellow Bosses'!$S$5:$S$53&gt;=2))&gt;0))</f>
        <v>43</v>
      </c>
      <c r="G13" s="26" t="n">
        <f aca="false">F13/49</f>
        <v>0.877551020408163</v>
      </c>
      <c r="H13" s="25" t="n">
        <f aca="false">49-SUMPRODUCT(--((('Yellow Bosses'!$K$5:$K$53&gt;=1)+('Yellow Bosses'!$P$5:$P$53&gt;=1)+('Yellow Bosses'!$R$5:$R$53&gt;=1)+('Yellow Bosses'!$S$5:$S$53&gt;=1))&gt;0))</f>
        <v>0</v>
      </c>
      <c r="I13" s="25" t="n">
        <f aca="false">SUMPRODUCT(--((('Yellow Bosses'!$K$5:$K$53&gt;0)+('Yellow Bosses'!$P$5:$P$53&gt;0)+('Yellow Bosses'!$R$5:$R$53&gt;0)+('Yellow Bosses'!$S$5:$S$53&gt;0))=0))</f>
        <v>0</v>
      </c>
      <c r="J13" s="25" t="n">
        <f aca="false">SUMPRODUCT(--(((Effectiveness!$H$5:$H$155&gt;=2)+(Effectiveness!$M$5:$M$155&gt;=2)+(Effectiveness!$O$5:$O$155&gt;=2)+(Effectiveness!$P$5:$P$155&gt;=2))&gt;0))</f>
        <v>122</v>
      </c>
      <c r="K13" s="26" t="n">
        <f aca="false">J13/151</f>
        <v>0.80794701986755</v>
      </c>
      <c r="L13" s="25" t="n">
        <f aca="false">MIN(INDEX('Move Reality'!$F$5:$F$19,MATCH(B13,'Move Reality'!$A$5:$A$19,0)),INDEX('Move Reality'!$F$5:$F$19,MATCH(C13,'Move Reality'!$A$5:$A$19,0)),INDEX('Move Reality'!$F$5:$F$19,MATCH(D13,'Move Reality'!$A$5:$A$19,0)),INDEX('Move Reality'!$F$5:$F$19,MATCH(E13,'Move Reality'!$A$5:$A$19,0)))</f>
        <v>1</v>
      </c>
      <c r="M13" s="28" t="str">
        <f aca="false">IF(L13&gt;=5,"YES","no - dead move")</f>
        <v>no - dead move</v>
      </c>
    </row>
    <row r="14" customFormat="false" ht="15" hidden="false" customHeight="false" outlineLevel="0" collapsed="false">
      <c r="A14" s="17" t="n">
        <v>10</v>
      </c>
      <c r="B14" s="17" t="s">
        <v>42</v>
      </c>
      <c r="C14" s="17" t="s">
        <v>43</v>
      </c>
      <c r="D14" s="17" t="s">
        <v>50</v>
      </c>
      <c r="E14" s="17" t="s">
        <v>51</v>
      </c>
      <c r="F14" s="25" t="n">
        <f aca="false">SUMPRODUCT(--((('Yellow Bosses'!$J$5:$J$53&gt;=2)+('Yellow Bosses'!$K$5:$K$53&gt;=2)+('Yellow Bosses'!$R$5:$R$53&gt;=2)+('Yellow Bosses'!$S$5:$S$53&gt;=2))&gt;0))</f>
        <v>43</v>
      </c>
      <c r="G14" s="26" t="n">
        <f aca="false">F14/49</f>
        <v>0.877551020408163</v>
      </c>
      <c r="H14" s="25" t="n">
        <f aca="false">49-SUMPRODUCT(--((('Yellow Bosses'!$J$5:$J$53&gt;=1)+('Yellow Bosses'!$K$5:$K$53&gt;=1)+('Yellow Bosses'!$R$5:$R$53&gt;=1)+('Yellow Bosses'!$S$5:$S$53&gt;=1))&gt;0))</f>
        <v>0</v>
      </c>
      <c r="I14" s="25" t="n">
        <f aca="false">SUMPRODUCT(--((('Yellow Bosses'!$J$5:$J$53&gt;0)+('Yellow Bosses'!$K$5:$K$53&gt;0)+('Yellow Bosses'!$R$5:$R$53&gt;0)+('Yellow Bosses'!$S$5:$S$53&gt;0))=0))</f>
        <v>0</v>
      </c>
      <c r="J14" s="25" t="n">
        <f aca="false">SUMPRODUCT(--(((Effectiveness!$G$5:$G$155&gt;=2)+(Effectiveness!$H$5:$H$155&gt;=2)+(Effectiveness!$O$5:$O$155&gt;=2)+(Effectiveness!$P$5:$P$155&gt;=2))&gt;0))</f>
        <v>120</v>
      </c>
      <c r="K14" s="26" t="n">
        <f aca="false">J14/151</f>
        <v>0.794701986754967</v>
      </c>
      <c r="L14" s="25" t="n">
        <f aca="false">MIN(INDEX('Move Reality'!$F$5:$F$19,MATCH(B14,'Move Reality'!$A$5:$A$19,0)),INDEX('Move Reality'!$F$5:$F$19,MATCH(C14,'Move Reality'!$A$5:$A$19,0)),INDEX('Move Reality'!$F$5:$F$19,MATCH(D14,'Move Reality'!$A$5:$A$19,0)),INDEX('Move Reality'!$F$5:$F$19,MATCH(E14,'Move Reality'!$A$5:$A$19,0)))</f>
        <v>1</v>
      </c>
      <c r="M14" s="28" t="str">
        <f aca="false">IF(L14&gt;=5,"YES","no - dead move")</f>
        <v>no - dead move</v>
      </c>
    </row>
    <row r="15" customFormat="false" ht="15" hidden="false" customHeight="false" outlineLevel="0" collapsed="false">
      <c r="A15" s="17" t="n">
        <v>11</v>
      </c>
      <c r="B15" s="17" t="s">
        <v>45</v>
      </c>
      <c r="C15" s="17" t="s">
        <v>46</v>
      </c>
      <c r="D15" s="17" t="s">
        <v>48</v>
      </c>
      <c r="E15" s="17" t="s">
        <v>51</v>
      </c>
      <c r="F15" s="25" t="n">
        <f aca="false">SUMPRODUCT(--((('Yellow Bosses'!$M$5:$M$53&gt;=2)+('Yellow Bosses'!$N$5:$N$53&gt;=2)+('Yellow Bosses'!$P$5:$P$53&gt;=2)+('Yellow Bosses'!$S$5:$S$53&gt;=2))&gt;0))</f>
        <v>43</v>
      </c>
      <c r="G15" s="26" t="n">
        <f aca="false">F15/49</f>
        <v>0.877551020408163</v>
      </c>
      <c r="H15" s="25" t="n">
        <f aca="false">49-SUMPRODUCT(--((('Yellow Bosses'!$M$5:$M$53&gt;=1)+('Yellow Bosses'!$N$5:$N$53&gt;=1)+('Yellow Bosses'!$P$5:$P$53&gt;=1)+('Yellow Bosses'!$S$5:$S$53&gt;=1))&gt;0))</f>
        <v>0</v>
      </c>
      <c r="I15" s="25" t="n">
        <f aca="false">SUMPRODUCT(--((('Yellow Bosses'!$M$5:$M$53&gt;0)+('Yellow Bosses'!$N$5:$N$53&gt;0)+('Yellow Bosses'!$P$5:$P$53&gt;0)+('Yellow Bosses'!$S$5:$S$53&gt;0))=0))</f>
        <v>0</v>
      </c>
      <c r="J15" s="25" t="n">
        <f aca="false">SUMPRODUCT(--(((Effectiveness!$J$5:$J$155&gt;=2)+(Effectiveness!$K$5:$K$155&gt;=2)+(Effectiveness!$M$5:$M$155&gt;=2)+(Effectiveness!$P$5:$P$155&gt;=2))&gt;0))</f>
        <v>120</v>
      </c>
      <c r="K15" s="26" t="n">
        <f aca="false">J15/151</f>
        <v>0.794701986754967</v>
      </c>
      <c r="L15" s="25" t="n">
        <f aca="false">MIN(INDEX('Move Reality'!$F$5:$F$19,MATCH(B15,'Move Reality'!$A$5:$A$19,0)),INDEX('Move Reality'!$F$5:$F$19,MATCH(C15,'Move Reality'!$A$5:$A$19,0)),INDEX('Move Reality'!$F$5:$F$19,MATCH(D15,'Move Reality'!$A$5:$A$19,0)),INDEX('Move Reality'!$F$5:$F$19,MATCH(E15,'Move Reality'!$A$5:$A$19,0)))</f>
        <v>1</v>
      </c>
      <c r="M15" s="28" t="str">
        <f aca="false">IF(L15&gt;=5,"YES","no - dead move")</f>
        <v>no - dead move</v>
      </c>
    </row>
    <row r="16" customFormat="false" ht="15" hidden="false" customHeight="false" outlineLevel="0" collapsed="false">
      <c r="A16" s="17" t="n">
        <v>12</v>
      </c>
      <c r="B16" s="17" t="s">
        <v>43</v>
      </c>
      <c r="C16" s="17" t="s">
        <v>48</v>
      </c>
      <c r="D16" s="17" t="s">
        <v>51</v>
      </c>
      <c r="E16" s="17" t="s">
        <v>54</v>
      </c>
      <c r="F16" s="25" t="n">
        <f aca="false">SUMPRODUCT(--((('Yellow Bosses'!$K$5:$K$53&gt;=2)+('Yellow Bosses'!$P$5:$P$53&gt;=2)+('Yellow Bosses'!$S$5:$S$53&gt;=2)+('Yellow Bosses'!$V$5:$V$53&gt;=2))&gt;0))</f>
        <v>43</v>
      </c>
      <c r="G16" s="26" t="n">
        <f aca="false">F16/49</f>
        <v>0.877551020408163</v>
      </c>
      <c r="H16" s="25" t="n">
        <f aca="false">49-SUMPRODUCT(--((('Yellow Bosses'!$K$5:$K$53&gt;=1)+('Yellow Bosses'!$P$5:$P$53&gt;=1)+('Yellow Bosses'!$S$5:$S$53&gt;=1)+('Yellow Bosses'!$V$5:$V$53&gt;=1))&gt;0))</f>
        <v>0</v>
      </c>
      <c r="I16" s="25" t="n">
        <f aca="false">SUMPRODUCT(--((('Yellow Bosses'!$K$5:$K$53&gt;0)+('Yellow Bosses'!$P$5:$P$53&gt;0)+('Yellow Bosses'!$S$5:$S$53&gt;0)+('Yellow Bosses'!$V$5:$V$53&gt;0))=0))</f>
        <v>0</v>
      </c>
      <c r="J16" s="25" t="n">
        <f aca="false">SUMPRODUCT(--(((Effectiveness!$H$5:$H$155&gt;=2)+(Effectiveness!$M$5:$M$155&gt;=2)+(Effectiveness!$P$5:$P$155&gt;=2)+(Effectiveness!$S$5:$S$155&gt;=2))&gt;0))</f>
        <v>118</v>
      </c>
      <c r="K16" s="26" t="n">
        <f aca="false">J16/151</f>
        <v>0.781456953642384</v>
      </c>
      <c r="L16" s="25" t="n">
        <f aca="false">MIN(INDEX('Move Reality'!$F$5:$F$19,MATCH(B16,'Move Reality'!$A$5:$A$19,0)),INDEX('Move Reality'!$F$5:$F$19,MATCH(C16,'Move Reality'!$A$5:$A$19,0)),INDEX('Move Reality'!$F$5:$F$19,MATCH(D16,'Move Reality'!$A$5:$A$19,0)),INDEX('Move Reality'!$F$5:$F$19,MATCH(E16,'Move Reality'!$A$5:$A$19,0)))</f>
        <v>1</v>
      </c>
      <c r="M16" s="28" t="str">
        <f aca="false">IF(L16&gt;=5,"YES","no - dead move")</f>
        <v>no - dead move</v>
      </c>
    </row>
    <row r="17" customFormat="false" ht="15" hidden="false" customHeight="false" outlineLevel="0" collapsed="false">
      <c r="A17" s="17" t="n">
        <v>13</v>
      </c>
      <c r="B17" s="17" t="s">
        <v>44</v>
      </c>
      <c r="C17" s="17" t="s">
        <v>48</v>
      </c>
      <c r="D17" s="17" t="s">
        <v>50</v>
      </c>
      <c r="E17" s="17" t="s">
        <v>51</v>
      </c>
      <c r="F17" s="25" t="n">
        <f aca="false">SUMPRODUCT(--((('Yellow Bosses'!$L$5:$L$53&gt;=2)+('Yellow Bosses'!$P$5:$P$53&gt;=2)+('Yellow Bosses'!$R$5:$R$53&gt;=2)+('Yellow Bosses'!$S$5:$S$53&gt;=2))&gt;0))</f>
        <v>43</v>
      </c>
      <c r="G17" s="26" t="n">
        <f aca="false">F17/49</f>
        <v>0.877551020408163</v>
      </c>
      <c r="H17" s="25" t="n">
        <f aca="false">49-SUMPRODUCT(--((('Yellow Bosses'!$L$5:$L$53&gt;=1)+('Yellow Bosses'!$P$5:$P$53&gt;=1)+('Yellow Bosses'!$R$5:$R$53&gt;=1)+('Yellow Bosses'!$S$5:$S$53&gt;=1))&gt;0))</f>
        <v>0</v>
      </c>
      <c r="I17" s="25" t="n">
        <f aca="false">SUMPRODUCT(--((('Yellow Bosses'!$L$5:$L$53&gt;0)+('Yellow Bosses'!$P$5:$P$53&gt;0)+('Yellow Bosses'!$R$5:$R$53&gt;0)+('Yellow Bosses'!$S$5:$S$53&gt;0))=0))</f>
        <v>0</v>
      </c>
      <c r="J17" s="25" t="n">
        <f aca="false">SUMPRODUCT(--(((Effectiveness!$I$5:$I$155&gt;=2)+(Effectiveness!$M$5:$M$155&gt;=2)+(Effectiveness!$O$5:$O$155&gt;=2)+(Effectiveness!$P$5:$P$155&gt;=2))&gt;0))</f>
        <v>113</v>
      </c>
      <c r="K17" s="26" t="n">
        <f aca="false">J17/151</f>
        <v>0.748344370860927</v>
      </c>
      <c r="L17" s="25" t="n">
        <f aca="false">MIN(INDEX('Move Reality'!$F$5:$F$19,MATCH(B17,'Move Reality'!$A$5:$A$19,0)),INDEX('Move Reality'!$F$5:$F$19,MATCH(C17,'Move Reality'!$A$5:$A$19,0)),INDEX('Move Reality'!$F$5:$F$19,MATCH(D17,'Move Reality'!$A$5:$A$19,0)),INDEX('Move Reality'!$F$5:$F$19,MATCH(E17,'Move Reality'!$A$5:$A$19,0)))</f>
        <v>1</v>
      </c>
      <c r="M17" s="28" t="str">
        <f aca="false">IF(L17&gt;=5,"YES","no - dead move")</f>
        <v>no - dead move</v>
      </c>
    </row>
    <row r="18" customFormat="false" ht="15" hidden="false" customHeight="false" outlineLevel="0" collapsed="false">
      <c r="A18" s="17" t="n">
        <v>14</v>
      </c>
      <c r="B18" s="17" t="s">
        <v>45</v>
      </c>
      <c r="C18" s="17" t="s">
        <v>48</v>
      </c>
      <c r="D18" s="17" t="s">
        <v>51</v>
      </c>
      <c r="E18" s="17" t="s">
        <v>52</v>
      </c>
      <c r="F18" s="25" t="n">
        <f aca="false">SUMPRODUCT(--((('Yellow Bosses'!$M$5:$M$53&gt;=2)+('Yellow Bosses'!$P$5:$P$53&gt;=2)+('Yellow Bosses'!$S$5:$S$53&gt;=2)+('Yellow Bosses'!$T$5:$T$53&gt;=2))&gt;0))</f>
        <v>43</v>
      </c>
      <c r="G18" s="26" t="n">
        <f aca="false">F18/49</f>
        <v>0.877551020408163</v>
      </c>
      <c r="H18" s="25" t="n">
        <f aca="false">49-SUMPRODUCT(--((('Yellow Bosses'!$M$5:$M$53&gt;=1)+('Yellow Bosses'!$P$5:$P$53&gt;=1)+('Yellow Bosses'!$S$5:$S$53&gt;=1)+('Yellow Bosses'!$T$5:$T$53&gt;=1))&gt;0))</f>
        <v>0</v>
      </c>
      <c r="I18" s="25" t="n">
        <f aca="false">SUMPRODUCT(--((('Yellow Bosses'!$M$5:$M$53&gt;0)+('Yellow Bosses'!$P$5:$P$53&gt;0)+('Yellow Bosses'!$S$5:$S$53&gt;0)+('Yellow Bosses'!$T$5:$T$53&gt;0))=0))</f>
        <v>0</v>
      </c>
      <c r="J18" s="25" t="n">
        <f aca="false">SUMPRODUCT(--(((Effectiveness!$J$5:$J$155&gt;=2)+(Effectiveness!$M$5:$M$155&gt;=2)+(Effectiveness!$P$5:$P$155&gt;=2)+(Effectiveness!$Q$5:$Q$155&gt;=2))&gt;0))</f>
        <v>109</v>
      </c>
      <c r="K18" s="26" t="n">
        <f aca="false">J18/151</f>
        <v>0.721854304635762</v>
      </c>
      <c r="L18" s="25" t="n">
        <f aca="false">MIN(INDEX('Move Reality'!$F$5:$F$19,MATCH(B18,'Move Reality'!$A$5:$A$19,0)),INDEX('Move Reality'!$F$5:$F$19,MATCH(C18,'Move Reality'!$A$5:$A$19,0)),INDEX('Move Reality'!$F$5:$F$19,MATCH(D18,'Move Reality'!$A$5:$A$19,0)),INDEX('Move Reality'!$F$5:$F$19,MATCH(E18,'Move Reality'!$A$5:$A$19,0)))</f>
        <v>1</v>
      </c>
      <c r="M18" s="28" t="str">
        <f aca="false">IF(L18&gt;=5,"YES","no - dead move")</f>
        <v>no - dead move</v>
      </c>
    </row>
    <row r="19" customFormat="false" ht="15" hidden="false" customHeight="false" outlineLevel="0" collapsed="false">
      <c r="A19" s="17" t="n">
        <v>15</v>
      </c>
      <c r="B19" s="17" t="s">
        <v>44</v>
      </c>
      <c r="C19" s="17" t="s">
        <v>48</v>
      </c>
      <c r="D19" s="17" t="s">
        <v>49</v>
      </c>
      <c r="E19" s="17" t="s">
        <v>52</v>
      </c>
      <c r="F19" s="25" t="n">
        <f aca="false">SUMPRODUCT(--((('Yellow Bosses'!$L$5:$L$53&gt;=2)+('Yellow Bosses'!$P$5:$P$53&gt;=2)+('Yellow Bosses'!$Q$5:$Q$53&gt;=2)+('Yellow Bosses'!$T$5:$T$53&gt;=2))&gt;0))</f>
        <v>42</v>
      </c>
      <c r="G19" s="26" t="n">
        <f aca="false">F19/49</f>
        <v>0.857142857142857</v>
      </c>
      <c r="H19" s="25" t="n">
        <f aca="false">49-SUMPRODUCT(--((('Yellow Bosses'!$L$5:$L$53&gt;=1)+('Yellow Bosses'!$P$5:$P$53&gt;=1)+('Yellow Bosses'!$Q$5:$Q$53&gt;=1)+('Yellow Bosses'!$T$5:$T$53&gt;=1))&gt;0))</f>
        <v>0</v>
      </c>
      <c r="I19" s="25" t="n">
        <f aca="false">SUMPRODUCT(--((('Yellow Bosses'!$L$5:$L$53&gt;0)+('Yellow Bosses'!$P$5:$P$53&gt;0)+('Yellow Bosses'!$Q$5:$Q$53&gt;0)+('Yellow Bosses'!$T$5:$T$53&gt;0))=0))</f>
        <v>0</v>
      </c>
      <c r="J19" s="25" t="n">
        <f aca="false">SUMPRODUCT(--(((Effectiveness!$I$5:$I$155&gt;=2)+(Effectiveness!$M$5:$M$155&gt;=2)+(Effectiveness!$N$5:$N$155&gt;=2)+(Effectiveness!$Q$5:$Q$155&gt;=2))&gt;0))</f>
        <v>125</v>
      </c>
      <c r="K19" s="26" t="n">
        <f aca="false">J19/151</f>
        <v>0.827814569536424</v>
      </c>
      <c r="L19" s="25" t="n">
        <f aca="false">MIN(INDEX('Move Reality'!$F$5:$F$19,MATCH(B19,'Move Reality'!$A$5:$A$19,0)),INDEX('Move Reality'!$F$5:$F$19,MATCH(C19,'Move Reality'!$A$5:$A$19,0)),INDEX('Move Reality'!$F$5:$F$19,MATCH(D19,'Move Reality'!$A$5:$A$19,0)),INDEX('Move Reality'!$F$5:$F$19,MATCH(E19,'Move Reality'!$A$5:$A$19,0)))</f>
        <v>4</v>
      </c>
      <c r="M19" s="28" t="str">
        <f aca="false">IF(L19&gt;=5,"YES","no - dead move")</f>
        <v>no - dead move</v>
      </c>
    </row>
    <row r="20" customFormat="false" ht="15" hidden="false" customHeight="false" outlineLevel="0" collapsed="false">
      <c r="A20" s="17" t="n">
        <v>16</v>
      </c>
      <c r="B20" s="17" t="s">
        <v>44</v>
      </c>
      <c r="C20" s="17" t="s">
        <v>45</v>
      </c>
      <c r="D20" s="17" t="s">
        <v>48</v>
      </c>
      <c r="E20" s="17" t="s">
        <v>49</v>
      </c>
      <c r="F20" s="25" t="n">
        <f aca="false">SUMPRODUCT(--((('Yellow Bosses'!$L$5:$L$53&gt;=2)+('Yellow Bosses'!$M$5:$M$53&gt;=2)+('Yellow Bosses'!$P$5:$P$53&gt;=2)+('Yellow Bosses'!$Q$5:$Q$53&gt;=2))&gt;0))</f>
        <v>42</v>
      </c>
      <c r="G20" s="26" t="n">
        <f aca="false">F20/49</f>
        <v>0.857142857142857</v>
      </c>
      <c r="H20" s="25" t="n">
        <f aca="false">49-SUMPRODUCT(--((('Yellow Bosses'!$L$5:$L$53&gt;=1)+('Yellow Bosses'!$M$5:$M$53&gt;=1)+('Yellow Bosses'!$P$5:$P$53&gt;=1)+('Yellow Bosses'!$Q$5:$Q$53&gt;=1))&gt;0))</f>
        <v>0</v>
      </c>
      <c r="I20" s="25" t="n">
        <f aca="false">SUMPRODUCT(--((('Yellow Bosses'!$L$5:$L$53&gt;0)+('Yellow Bosses'!$M$5:$M$53&gt;0)+('Yellow Bosses'!$P$5:$P$53&gt;0)+('Yellow Bosses'!$Q$5:$Q$53&gt;0))=0))</f>
        <v>0</v>
      </c>
      <c r="J20" s="25" t="n">
        <f aca="false">SUMPRODUCT(--(((Effectiveness!$I$5:$I$155&gt;=2)+(Effectiveness!$J$5:$J$155&gt;=2)+(Effectiveness!$M$5:$M$155&gt;=2)+(Effectiveness!$N$5:$N$155&gt;=2))&gt;0))</f>
        <v>124</v>
      </c>
      <c r="K20" s="26" t="n">
        <f aca="false">J20/151</f>
        <v>0.821192052980132</v>
      </c>
      <c r="L20" s="25" t="n">
        <f aca="false">MIN(INDEX('Move Reality'!$F$5:$F$19,MATCH(B20,'Move Reality'!$A$5:$A$19,0)),INDEX('Move Reality'!$F$5:$F$19,MATCH(C20,'Move Reality'!$A$5:$A$19,0)),INDEX('Move Reality'!$F$5:$F$19,MATCH(D20,'Move Reality'!$A$5:$A$19,0)),INDEX('Move Reality'!$F$5:$F$19,MATCH(E20,'Move Reality'!$A$5:$A$19,0)))</f>
        <v>4</v>
      </c>
      <c r="M20" s="28" t="str">
        <f aca="false">IF(L20&gt;=5,"YES","no - dead move")</f>
        <v>no - dead move</v>
      </c>
    </row>
    <row r="21" customFormat="false" ht="15" hidden="false" customHeight="false" outlineLevel="0" collapsed="false">
      <c r="A21" s="17" t="n">
        <v>17</v>
      </c>
      <c r="B21" s="17" t="s">
        <v>42</v>
      </c>
      <c r="C21" s="17" t="s">
        <v>43</v>
      </c>
      <c r="D21" s="17" t="s">
        <v>48</v>
      </c>
      <c r="E21" s="17" t="s">
        <v>51</v>
      </c>
      <c r="F21" s="25" t="n">
        <f aca="false">SUMPRODUCT(--((('Yellow Bosses'!$J$5:$J$53&gt;=2)+('Yellow Bosses'!$K$5:$K$53&gt;=2)+('Yellow Bosses'!$P$5:$P$53&gt;=2)+('Yellow Bosses'!$S$5:$S$53&gt;=2))&gt;0))</f>
        <v>42</v>
      </c>
      <c r="G21" s="26" t="n">
        <f aca="false">F21/49</f>
        <v>0.857142857142857</v>
      </c>
      <c r="H21" s="25" t="n">
        <f aca="false">49-SUMPRODUCT(--((('Yellow Bosses'!$J$5:$J$53&gt;=1)+('Yellow Bosses'!$K$5:$K$53&gt;=1)+('Yellow Bosses'!$P$5:$P$53&gt;=1)+('Yellow Bosses'!$S$5:$S$53&gt;=1))&gt;0))</f>
        <v>0</v>
      </c>
      <c r="I21" s="25" t="n">
        <f aca="false">SUMPRODUCT(--((('Yellow Bosses'!$J$5:$J$53&gt;0)+('Yellow Bosses'!$K$5:$K$53&gt;0)+('Yellow Bosses'!$P$5:$P$53&gt;0)+('Yellow Bosses'!$S$5:$S$53&gt;0))=0))</f>
        <v>0</v>
      </c>
      <c r="J21" s="25" t="n">
        <f aca="false">SUMPRODUCT(--(((Effectiveness!$G$5:$G$155&gt;=2)+(Effectiveness!$H$5:$H$155&gt;=2)+(Effectiveness!$M$5:$M$155&gt;=2)+(Effectiveness!$P$5:$P$155&gt;=2))&gt;0))</f>
        <v>121</v>
      </c>
      <c r="K21" s="26" t="n">
        <f aca="false">J21/151</f>
        <v>0.801324503311258</v>
      </c>
      <c r="L21" s="25" t="n">
        <f aca="false">MIN(INDEX('Move Reality'!$F$5:$F$19,MATCH(B21,'Move Reality'!$A$5:$A$19,0)),INDEX('Move Reality'!$F$5:$F$19,MATCH(C21,'Move Reality'!$A$5:$A$19,0)),INDEX('Move Reality'!$F$5:$F$19,MATCH(D21,'Move Reality'!$A$5:$A$19,0)),INDEX('Move Reality'!$F$5:$F$19,MATCH(E21,'Move Reality'!$A$5:$A$19,0)))</f>
        <v>1</v>
      </c>
      <c r="M21" s="28" t="str">
        <f aca="false">IF(L21&gt;=5,"YES","no - dead move")</f>
        <v>no - dead move</v>
      </c>
    </row>
    <row r="22" customFormat="false" ht="15" hidden="false" customHeight="false" outlineLevel="0" collapsed="false">
      <c r="A22" s="17" t="n">
        <v>18</v>
      </c>
      <c r="B22" s="17" t="s">
        <v>43</v>
      </c>
      <c r="C22" s="17" t="s">
        <v>44</v>
      </c>
      <c r="D22" s="17" t="s">
        <v>48</v>
      </c>
      <c r="E22" s="17" t="s">
        <v>51</v>
      </c>
      <c r="F22" s="25" t="n">
        <f aca="false">SUMPRODUCT(--((('Yellow Bosses'!$K$5:$K$53&gt;=2)+('Yellow Bosses'!$L$5:$L$53&gt;=2)+('Yellow Bosses'!$P$5:$P$53&gt;=2)+('Yellow Bosses'!$S$5:$S$53&gt;=2))&gt;0))</f>
        <v>42</v>
      </c>
      <c r="G22" s="26" t="n">
        <f aca="false">F22/49</f>
        <v>0.857142857142857</v>
      </c>
      <c r="H22" s="25" t="n">
        <f aca="false">49-SUMPRODUCT(--((('Yellow Bosses'!$K$5:$K$53&gt;=1)+('Yellow Bosses'!$L$5:$L$53&gt;=1)+('Yellow Bosses'!$P$5:$P$53&gt;=1)+('Yellow Bosses'!$S$5:$S$53&gt;=1))&gt;0))</f>
        <v>0</v>
      </c>
      <c r="I22" s="25" t="n">
        <f aca="false">SUMPRODUCT(--((('Yellow Bosses'!$K$5:$K$53&gt;0)+('Yellow Bosses'!$L$5:$L$53&gt;0)+('Yellow Bosses'!$P$5:$P$53&gt;0)+('Yellow Bosses'!$S$5:$S$53&gt;0))=0))</f>
        <v>0</v>
      </c>
      <c r="J22" s="25" t="n">
        <f aca="false">SUMPRODUCT(--(((Effectiveness!$H$5:$H$155&gt;=2)+(Effectiveness!$I$5:$I$155&gt;=2)+(Effectiveness!$M$5:$M$155&gt;=2)+(Effectiveness!$P$5:$P$155&gt;=2))&gt;0))</f>
        <v>121</v>
      </c>
      <c r="K22" s="26" t="n">
        <f aca="false">J22/151</f>
        <v>0.801324503311258</v>
      </c>
      <c r="L22" s="25" t="n">
        <f aca="false">MIN(INDEX('Move Reality'!$F$5:$F$19,MATCH(B22,'Move Reality'!$A$5:$A$19,0)),INDEX('Move Reality'!$F$5:$F$19,MATCH(C22,'Move Reality'!$A$5:$A$19,0)),INDEX('Move Reality'!$F$5:$F$19,MATCH(D22,'Move Reality'!$A$5:$A$19,0)),INDEX('Move Reality'!$F$5:$F$19,MATCH(E22,'Move Reality'!$A$5:$A$19,0)))</f>
        <v>1</v>
      </c>
      <c r="M22" s="28" t="str">
        <f aca="false">IF(L22&gt;=5,"YES","no - dead move")</f>
        <v>no - dead move</v>
      </c>
    </row>
    <row r="23" customFormat="false" ht="15" hidden="false" customHeight="false" outlineLevel="0" collapsed="false">
      <c r="A23" s="17" t="n">
        <v>19</v>
      </c>
      <c r="B23" s="17" t="s">
        <v>44</v>
      </c>
      <c r="C23" s="17" t="s">
        <v>45</v>
      </c>
      <c r="D23" s="17" t="s">
        <v>48</v>
      </c>
      <c r="E23" s="17" t="s">
        <v>50</v>
      </c>
      <c r="F23" s="25" t="n">
        <f aca="false">SUMPRODUCT(--((('Yellow Bosses'!$L$5:$L$53&gt;=2)+('Yellow Bosses'!$M$5:$M$53&gt;=2)+('Yellow Bosses'!$P$5:$P$53&gt;=2)+('Yellow Bosses'!$R$5:$R$53&gt;=2))&gt;0))</f>
        <v>42</v>
      </c>
      <c r="G23" s="26" t="n">
        <f aca="false">F23/49</f>
        <v>0.857142857142857</v>
      </c>
      <c r="H23" s="25" t="n">
        <f aca="false">49-SUMPRODUCT(--((('Yellow Bosses'!$L$5:$L$53&gt;=1)+('Yellow Bosses'!$M$5:$M$53&gt;=1)+('Yellow Bosses'!$P$5:$P$53&gt;=1)+('Yellow Bosses'!$R$5:$R$53&gt;=1))&gt;0))</f>
        <v>0</v>
      </c>
      <c r="I23" s="25" t="n">
        <f aca="false">SUMPRODUCT(--((('Yellow Bosses'!$L$5:$L$53&gt;0)+('Yellow Bosses'!$M$5:$M$53&gt;0)+('Yellow Bosses'!$P$5:$P$53&gt;0)+('Yellow Bosses'!$R$5:$R$53&gt;0))=0))</f>
        <v>0</v>
      </c>
      <c r="J23" s="25" t="n">
        <f aca="false">SUMPRODUCT(--(((Effectiveness!$I$5:$I$155&gt;=2)+(Effectiveness!$J$5:$J$155&gt;=2)+(Effectiveness!$M$5:$M$155&gt;=2)+(Effectiveness!$O$5:$O$155&gt;=2))&gt;0))</f>
        <v>121</v>
      </c>
      <c r="K23" s="26" t="n">
        <f aca="false">J23/151</f>
        <v>0.801324503311258</v>
      </c>
      <c r="L23" s="25" t="n">
        <f aca="false">MIN(INDEX('Move Reality'!$F$5:$F$19,MATCH(B23,'Move Reality'!$A$5:$A$19,0)),INDEX('Move Reality'!$F$5:$F$19,MATCH(C23,'Move Reality'!$A$5:$A$19,0)),INDEX('Move Reality'!$F$5:$F$19,MATCH(D23,'Move Reality'!$A$5:$A$19,0)),INDEX('Move Reality'!$F$5:$F$19,MATCH(E23,'Move Reality'!$A$5:$A$19,0)))</f>
        <v>4</v>
      </c>
      <c r="M23" s="28" t="str">
        <f aca="false">IF(L23&gt;=5,"YES","no - dead move")</f>
        <v>no - dead move</v>
      </c>
    </row>
    <row r="24" customFormat="false" ht="15" hidden="false" customHeight="false" outlineLevel="0" collapsed="false">
      <c r="A24" s="17" t="n">
        <v>20</v>
      </c>
      <c r="B24" s="17" t="s">
        <v>43</v>
      </c>
      <c r="C24" s="17" t="s">
        <v>45</v>
      </c>
      <c r="D24" s="17" t="s">
        <v>50</v>
      </c>
      <c r="E24" s="17" t="s">
        <v>52</v>
      </c>
      <c r="F24" s="25" t="n">
        <f aca="false">SUMPRODUCT(--((('Yellow Bosses'!$K$5:$K$53&gt;=2)+('Yellow Bosses'!$M$5:$M$53&gt;=2)+('Yellow Bosses'!$R$5:$R$53&gt;=2)+('Yellow Bosses'!$T$5:$T$53&gt;=2))&gt;0))</f>
        <v>42</v>
      </c>
      <c r="G24" s="26" t="n">
        <f aca="false">F24/49</f>
        <v>0.857142857142857</v>
      </c>
      <c r="H24" s="25" t="n">
        <f aca="false">49-SUMPRODUCT(--((('Yellow Bosses'!$K$5:$K$53&gt;=1)+('Yellow Bosses'!$M$5:$M$53&gt;=1)+('Yellow Bosses'!$R$5:$R$53&gt;=1)+('Yellow Bosses'!$T$5:$T$53&gt;=1))&gt;0))</f>
        <v>0</v>
      </c>
      <c r="I24" s="25" t="n">
        <f aca="false">SUMPRODUCT(--((('Yellow Bosses'!$K$5:$K$53&gt;0)+('Yellow Bosses'!$M$5:$M$53&gt;0)+('Yellow Bosses'!$R$5:$R$53&gt;0)+('Yellow Bosses'!$T$5:$T$53&gt;0))=0))</f>
        <v>0</v>
      </c>
      <c r="J24" s="25" t="n">
        <f aca="false">SUMPRODUCT(--(((Effectiveness!$H$5:$H$155&gt;=2)+(Effectiveness!$J$5:$J$155&gt;=2)+(Effectiveness!$O$5:$O$155&gt;=2)+(Effectiveness!$Q$5:$Q$155&gt;=2))&gt;0))</f>
        <v>119</v>
      </c>
      <c r="K24" s="26" t="n">
        <f aca="false">J24/151</f>
        <v>0.788079470198676</v>
      </c>
      <c r="L24" s="25" t="n">
        <f aca="false">MIN(INDEX('Move Reality'!$F$5:$F$19,MATCH(B24,'Move Reality'!$A$5:$A$19,0)),INDEX('Move Reality'!$F$5:$F$19,MATCH(C24,'Move Reality'!$A$5:$A$19,0)),INDEX('Move Reality'!$F$5:$F$19,MATCH(D24,'Move Reality'!$A$5:$A$19,0)),INDEX('Move Reality'!$F$5:$F$19,MATCH(E24,'Move Reality'!$A$5:$A$19,0)))</f>
        <v>6</v>
      </c>
      <c r="M24" s="28" t="str">
        <f aca="false">IF(L24&gt;=5,"YES","no - dead move")</f>
        <v>YES</v>
      </c>
    </row>
    <row r="25" customFormat="false" ht="15" hidden="false" customHeight="false" outlineLevel="0" collapsed="false">
      <c r="A25" s="17" t="n">
        <v>21</v>
      </c>
      <c r="B25" s="17" t="s">
        <v>44</v>
      </c>
      <c r="C25" s="17" t="s">
        <v>45</v>
      </c>
      <c r="D25" s="17" t="s">
        <v>50</v>
      </c>
      <c r="E25" s="17" t="s">
        <v>52</v>
      </c>
      <c r="F25" s="25" t="n">
        <f aca="false">SUMPRODUCT(--((('Yellow Bosses'!$L$5:$L$53&gt;=2)+('Yellow Bosses'!$M$5:$M$53&gt;=2)+('Yellow Bosses'!$R$5:$R$53&gt;=2)+('Yellow Bosses'!$T$5:$T$53&gt;=2))&gt;0))</f>
        <v>42</v>
      </c>
      <c r="G25" s="26" t="n">
        <f aca="false">F25/49</f>
        <v>0.857142857142857</v>
      </c>
      <c r="H25" s="25" t="n">
        <f aca="false">49-SUMPRODUCT(--((('Yellow Bosses'!$L$5:$L$53&gt;=1)+('Yellow Bosses'!$M$5:$M$53&gt;=1)+('Yellow Bosses'!$R$5:$R$53&gt;=1)+('Yellow Bosses'!$T$5:$T$53&gt;=1))&gt;0))</f>
        <v>0</v>
      </c>
      <c r="I25" s="25" t="n">
        <f aca="false">SUMPRODUCT(--((('Yellow Bosses'!$L$5:$L$53&gt;0)+('Yellow Bosses'!$M$5:$M$53&gt;0)+('Yellow Bosses'!$R$5:$R$53&gt;0)+('Yellow Bosses'!$T$5:$T$53&gt;0))=0))</f>
        <v>0</v>
      </c>
      <c r="J25" s="25" t="n">
        <f aca="false">SUMPRODUCT(--(((Effectiveness!$I$5:$I$155&gt;=2)+(Effectiveness!$J$5:$J$155&gt;=2)+(Effectiveness!$O$5:$O$155&gt;=2)+(Effectiveness!$Q$5:$Q$155&gt;=2))&gt;0))</f>
        <v>119</v>
      </c>
      <c r="K25" s="26" t="n">
        <f aca="false">J25/151</f>
        <v>0.788079470198676</v>
      </c>
      <c r="L25" s="25" t="n">
        <f aca="false">MIN(INDEX('Move Reality'!$F$5:$F$19,MATCH(B25,'Move Reality'!$A$5:$A$19,0)),INDEX('Move Reality'!$F$5:$F$19,MATCH(C25,'Move Reality'!$A$5:$A$19,0)),INDEX('Move Reality'!$F$5:$F$19,MATCH(D25,'Move Reality'!$A$5:$A$19,0)),INDEX('Move Reality'!$F$5:$F$19,MATCH(E25,'Move Reality'!$A$5:$A$19,0)))</f>
        <v>4</v>
      </c>
      <c r="M25" s="28" t="str">
        <f aca="false">IF(L25&gt;=5,"YES","no - dead move")</f>
        <v>no - dead move</v>
      </c>
    </row>
    <row r="26" customFormat="false" ht="15" hidden="false" customHeight="false" outlineLevel="0" collapsed="false">
      <c r="A26" s="17" t="n">
        <v>22</v>
      </c>
      <c r="B26" s="17" t="s">
        <v>44</v>
      </c>
      <c r="C26" s="17" t="s">
        <v>48</v>
      </c>
      <c r="D26" s="17" t="s">
        <v>49</v>
      </c>
      <c r="E26" s="17" t="s">
        <v>51</v>
      </c>
      <c r="F26" s="25" t="n">
        <f aca="false">SUMPRODUCT(--((('Yellow Bosses'!$L$5:$L$53&gt;=2)+('Yellow Bosses'!$P$5:$P$53&gt;=2)+('Yellow Bosses'!$Q$5:$Q$53&gt;=2)+('Yellow Bosses'!$S$5:$S$53&gt;=2))&gt;0))</f>
        <v>42</v>
      </c>
      <c r="G26" s="26" t="n">
        <f aca="false">F26/49</f>
        <v>0.857142857142857</v>
      </c>
      <c r="H26" s="25" t="n">
        <f aca="false">49-SUMPRODUCT(--((('Yellow Bosses'!$L$5:$L$53&gt;=1)+('Yellow Bosses'!$P$5:$P$53&gt;=1)+('Yellow Bosses'!$Q$5:$Q$53&gt;=1)+('Yellow Bosses'!$S$5:$S$53&gt;=1))&gt;0))</f>
        <v>0</v>
      </c>
      <c r="I26" s="25" t="n">
        <f aca="false">SUMPRODUCT(--((('Yellow Bosses'!$L$5:$L$53&gt;0)+('Yellow Bosses'!$P$5:$P$53&gt;0)+('Yellow Bosses'!$Q$5:$Q$53&gt;0)+('Yellow Bosses'!$S$5:$S$53&gt;0))=0))</f>
        <v>0</v>
      </c>
      <c r="J26" s="25" t="n">
        <f aca="false">SUMPRODUCT(--(((Effectiveness!$I$5:$I$155&gt;=2)+(Effectiveness!$M$5:$M$155&gt;=2)+(Effectiveness!$N$5:$N$155&gt;=2)+(Effectiveness!$P$5:$P$155&gt;=2))&gt;0))</f>
        <v>116</v>
      </c>
      <c r="K26" s="26" t="n">
        <f aca="false">J26/151</f>
        <v>0.768211920529801</v>
      </c>
      <c r="L26" s="25" t="n">
        <f aca="false">MIN(INDEX('Move Reality'!$F$5:$F$19,MATCH(B26,'Move Reality'!$A$5:$A$19,0)),INDEX('Move Reality'!$F$5:$F$19,MATCH(C26,'Move Reality'!$A$5:$A$19,0)),INDEX('Move Reality'!$F$5:$F$19,MATCH(D26,'Move Reality'!$A$5:$A$19,0)),INDEX('Move Reality'!$F$5:$F$19,MATCH(E26,'Move Reality'!$A$5:$A$19,0)))</f>
        <v>1</v>
      </c>
      <c r="M26" s="28" t="str">
        <f aca="false">IF(L26&gt;=5,"YES","no - dead move")</f>
        <v>no - dead move</v>
      </c>
    </row>
    <row r="27" customFormat="false" ht="15" hidden="false" customHeight="false" outlineLevel="0" collapsed="false">
      <c r="A27" s="17" t="n">
        <v>23</v>
      </c>
      <c r="B27" s="17" t="s">
        <v>43</v>
      </c>
      <c r="C27" s="17" t="s">
        <v>45</v>
      </c>
      <c r="D27" s="17" t="s">
        <v>50</v>
      </c>
      <c r="E27" s="17" t="s">
        <v>51</v>
      </c>
      <c r="F27" s="25" t="n">
        <f aca="false">SUMPRODUCT(--((('Yellow Bosses'!$K$5:$K$53&gt;=2)+('Yellow Bosses'!$M$5:$M$53&gt;=2)+('Yellow Bosses'!$R$5:$R$53&gt;=2)+('Yellow Bosses'!$S$5:$S$53&gt;=2))&gt;0))</f>
        <v>42</v>
      </c>
      <c r="G27" s="26" t="n">
        <f aca="false">F27/49</f>
        <v>0.857142857142857</v>
      </c>
      <c r="H27" s="25" t="n">
        <f aca="false">49-SUMPRODUCT(--((('Yellow Bosses'!$K$5:$K$53&gt;=1)+('Yellow Bosses'!$M$5:$M$53&gt;=1)+('Yellow Bosses'!$R$5:$R$53&gt;=1)+('Yellow Bosses'!$S$5:$S$53&gt;=1))&gt;0))</f>
        <v>0</v>
      </c>
      <c r="I27" s="25" t="n">
        <f aca="false">SUMPRODUCT(--((('Yellow Bosses'!$K$5:$K$53&gt;0)+('Yellow Bosses'!$M$5:$M$53&gt;0)+('Yellow Bosses'!$R$5:$R$53&gt;0)+('Yellow Bosses'!$S$5:$S$53&gt;0))=0))</f>
        <v>0</v>
      </c>
      <c r="J27" s="25" t="n">
        <f aca="false">SUMPRODUCT(--(((Effectiveness!$H$5:$H$155&gt;=2)+(Effectiveness!$J$5:$J$155&gt;=2)+(Effectiveness!$O$5:$O$155&gt;=2)+(Effectiveness!$P$5:$P$155&gt;=2))&gt;0))</f>
        <v>114</v>
      </c>
      <c r="K27" s="26" t="n">
        <f aca="false">J27/151</f>
        <v>0.754966887417219</v>
      </c>
      <c r="L27" s="25" t="n">
        <f aca="false">MIN(INDEX('Move Reality'!$F$5:$F$19,MATCH(B27,'Move Reality'!$A$5:$A$19,0)),INDEX('Move Reality'!$F$5:$F$19,MATCH(C27,'Move Reality'!$A$5:$A$19,0)),INDEX('Move Reality'!$F$5:$F$19,MATCH(D27,'Move Reality'!$A$5:$A$19,0)),INDEX('Move Reality'!$F$5:$F$19,MATCH(E27,'Move Reality'!$A$5:$A$19,0)))</f>
        <v>1</v>
      </c>
      <c r="M27" s="28" t="str">
        <f aca="false">IF(L27&gt;=5,"YES","no - dead move")</f>
        <v>no - dead move</v>
      </c>
    </row>
    <row r="28" customFormat="false" ht="15" hidden="false" customHeight="false" outlineLevel="0" collapsed="false">
      <c r="A28" s="17" t="n">
        <v>24</v>
      </c>
      <c r="B28" s="17" t="s">
        <v>45</v>
      </c>
      <c r="C28" s="17" t="s">
        <v>48</v>
      </c>
      <c r="D28" s="17" t="s">
        <v>49</v>
      </c>
      <c r="E28" s="17" t="s">
        <v>51</v>
      </c>
      <c r="F28" s="25" t="n">
        <f aca="false">SUMPRODUCT(--((('Yellow Bosses'!$M$5:$M$53&gt;=2)+('Yellow Bosses'!$P$5:$P$53&gt;=2)+('Yellow Bosses'!$Q$5:$Q$53&gt;=2)+('Yellow Bosses'!$S$5:$S$53&gt;=2))&gt;0))</f>
        <v>42</v>
      </c>
      <c r="G28" s="26" t="n">
        <f aca="false">F28/49</f>
        <v>0.857142857142857</v>
      </c>
      <c r="H28" s="25" t="n">
        <f aca="false">49-SUMPRODUCT(--((('Yellow Bosses'!$M$5:$M$53&gt;=1)+('Yellow Bosses'!$P$5:$P$53&gt;=1)+('Yellow Bosses'!$Q$5:$Q$53&gt;=1)+('Yellow Bosses'!$S$5:$S$53&gt;=1))&gt;0))</f>
        <v>0</v>
      </c>
      <c r="I28" s="25" t="n">
        <f aca="false">SUMPRODUCT(--((('Yellow Bosses'!$M$5:$M$53&gt;0)+('Yellow Bosses'!$P$5:$P$53&gt;0)+('Yellow Bosses'!$Q$5:$Q$53&gt;0)+('Yellow Bosses'!$S$5:$S$53&gt;0))=0))</f>
        <v>0</v>
      </c>
      <c r="J28" s="25" t="n">
        <f aca="false">SUMPRODUCT(--(((Effectiveness!$J$5:$J$155&gt;=2)+(Effectiveness!$M$5:$M$155&gt;=2)+(Effectiveness!$N$5:$N$155&gt;=2)+(Effectiveness!$P$5:$P$155&gt;=2))&gt;0))</f>
        <v>112</v>
      </c>
      <c r="K28" s="26" t="n">
        <f aca="false">J28/151</f>
        <v>0.741721854304636</v>
      </c>
      <c r="L28" s="25" t="n">
        <f aca="false">MIN(INDEX('Move Reality'!$F$5:$F$19,MATCH(B28,'Move Reality'!$A$5:$A$19,0)),INDEX('Move Reality'!$F$5:$F$19,MATCH(C28,'Move Reality'!$A$5:$A$19,0)),INDEX('Move Reality'!$F$5:$F$19,MATCH(D28,'Move Reality'!$A$5:$A$19,0)),INDEX('Move Reality'!$F$5:$F$19,MATCH(E28,'Move Reality'!$A$5:$A$19,0)))</f>
        <v>1</v>
      </c>
      <c r="M28" s="28" t="str">
        <f aca="false">IF(L28&gt;=5,"YES","no - dead move")</f>
        <v>no - dead move</v>
      </c>
    </row>
    <row r="29" customFormat="false" ht="15" hidden="false" customHeight="false" outlineLevel="0" collapsed="false">
      <c r="A29" s="17" t="n">
        <v>25</v>
      </c>
      <c r="B29" s="17" t="s">
        <v>45</v>
      </c>
      <c r="C29" s="17" t="s">
        <v>48</v>
      </c>
      <c r="D29" s="17" t="s">
        <v>50</v>
      </c>
      <c r="E29" s="17" t="s">
        <v>51</v>
      </c>
      <c r="F29" s="25" t="n">
        <f aca="false">SUMPRODUCT(--((('Yellow Bosses'!$M$5:$M$53&gt;=2)+('Yellow Bosses'!$P$5:$P$53&gt;=2)+('Yellow Bosses'!$R$5:$R$53&gt;=2)+('Yellow Bosses'!$S$5:$S$53&gt;=2))&gt;0))</f>
        <v>42</v>
      </c>
      <c r="G29" s="26" t="n">
        <f aca="false">F29/49</f>
        <v>0.857142857142857</v>
      </c>
      <c r="H29" s="25" t="n">
        <f aca="false">49-SUMPRODUCT(--((('Yellow Bosses'!$M$5:$M$53&gt;=1)+('Yellow Bosses'!$P$5:$P$53&gt;=1)+('Yellow Bosses'!$R$5:$R$53&gt;=1)+('Yellow Bosses'!$S$5:$S$53&gt;=1))&gt;0))</f>
        <v>0</v>
      </c>
      <c r="I29" s="25" t="n">
        <f aca="false">SUMPRODUCT(--((('Yellow Bosses'!$M$5:$M$53&gt;0)+('Yellow Bosses'!$P$5:$P$53&gt;0)+('Yellow Bosses'!$R$5:$R$53&gt;0)+('Yellow Bosses'!$S$5:$S$53&gt;0))=0))</f>
        <v>0</v>
      </c>
      <c r="J29" s="25" t="n">
        <f aca="false">SUMPRODUCT(--(((Effectiveness!$J$5:$J$155&gt;=2)+(Effectiveness!$M$5:$M$155&gt;=2)+(Effectiveness!$O$5:$O$155&gt;=2)+(Effectiveness!$P$5:$P$155&gt;=2))&gt;0))</f>
        <v>109</v>
      </c>
      <c r="K29" s="26" t="n">
        <f aca="false">J29/151</f>
        <v>0.721854304635762</v>
      </c>
      <c r="L29" s="25" t="n">
        <f aca="false">MIN(INDEX('Move Reality'!$F$5:$F$19,MATCH(B29,'Move Reality'!$A$5:$A$19,0)),INDEX('Move Reality'!$F$5:$F$19,MATCH(C29,'Move Reality'!$A$5:$A$19,0)),INDEX('Move Reality'!$F$5:$F$19,MATCH(D29,'Move Reality'!$A$5:$A$19,0)),INDEX('Move Reality'!$F$5:$F$19,MATCH(E29,'Move Reality'!$A$5:$A$19,0)))</f>
        <v>1</v>
      </c>
      <c r="M29" s="28" t="str">
        <f aca="false">IF(L29&gt;=5,"YES","no - dead move")</f>
        <v>no - dead move</v>
      </c>
    </row>
    <row r="30" customFormat="false" ht="15" hidden="false" customHeight="false" outlineLevel="0" collapsed="false">
      <c r="A30" s="17" t="n">
        <v>26</v>
      </c>
      <c r="B30" s="17" t="s">
        <v>48</v>
      </c>
      <c r="C30" s="17" t="s">
        <v>49</v>
      </c>
      <c r="D30" s="17" t="s">
        <v>51</v>
      </c>
      <c r="E30" s="17" t="s">
        <v>52</v>
      </c>
      <c r="F30" s="25" t="n">
        <f aca="false">SUMPRODUCT(--((('Yellow Bosses'!$P$5:$P$53&gt;=2)+('Yellow Bosses'!$Q$5:$Q$53&gt;=2)+('Yellow Bosses'!$S$5:$S$53&gt;=2)+('Yellow Bosses'!$T$5:$T$53&gt;=2))&gt;0))</f>
        <v>42</v>
      </c>
      <c r="G30" s="26" t="n">
        <f aca="false">F30/49</f>
        <v>0.857142857142857</v>
      </c>
      <c r="H30" s="25" t="n">
        <f aca="false">49-SUMPRODUCT(--((('Yellow Bosses'!$P$5:$P$53&gt;=1)+('Yellow Bosses'!$Q$5:$Q$53&gt;=1)+('Yellow Bosses'!$S$5:$S$53&gt;=1)+('Yellow Bosses'!$T$5:$T$53&gt;=1))&gt;0))</f>
        <v>0</v>
      </c>
      <c r="I30" s="25" t="n">
        <f aca="false">SUMPRODUCT(--((('Yellow Bosses'!$P$5:$P$53&gt;0)+('Yellow Bosses'!$Q$5:$Q$53&gt;0)+('Yellow Bosses'!$S$5:$S$53&gt;0)+('Yellow Bosses'!$T$5:$T$53&gt;0))=0))</f>
        <v>0</v>
      </c>
      <c r="J30" s="25" t="n">
        <f aca="false">SUMPRODUCT(--(((Effectiveness!$M$5:$M$155&gt;=2)+(Effectiveness!$N$5:$N$155&gt;=2)+(Effectiveness!$P$5:$P$155&gt;=2)+(Effectiveness!$Q$5:$Q$155&gt;=2))&gt;0))</f>
        <v>109</v>
      </c>
      <c r="K30" s="26" t="n">
        <f aca="false">J30/151</f>
        <v>0.721854304635762</v>
      </c>
      <c r="L30" s="25" t="n">
        <f aca="false">MIN(INDEX('Move Reality'!$F$5:$F$19,MATCH(B30,'Move Reality'!$A$5:$A$19,0)),INDEX('Move Reality'!$F$5:$F$19,MATCH(C30,'Move Reality'!$A$5:$A$19,0)),INDEX('Move Reality'!$F$5:$F$19,MATCH(D30,'Move Reality'!$A$5:$A$19,0)),INDEX('Move Reality'!$F$5:$F$19,MATCH(E30,'Move Reality'!$A$5:$A$19,0)))</f>
        <v>1</v>
      </c>
      <c r="M30" s="28" t="str">
        <f aca="false">IF(L30&gt;=5,"YES","no - dead move")</f>
        <v>no - dead move</v>
      </c>
    </row>
    <row r="31" customFormat="false" ht="15" hidden="false" customHeight="false" outlineLevel="0" collapsed="false">
      <c r="A31" s="17" t="n">
        <v>27</v>
      </c>
      <c r="B31" s="17" t="s">
        <v>48</v>
      </c>
      <c r="C31" s="17" t="s">
        <v>50</v>
      </c>
      <c r="D31" s="17" t="s">
        <v>51</v>
      </c>
      <c r="E31" s="17" t="s">
        <v>52</v>
      </c>
      <c r="F31" s="25" t="n">
        <f aca="false">SUMPRODUCT(--((('Yellow Bosses'!$P$5:$P$53&gt;=2)+('Yellow Bosses'!$R$5:$R$53&gt;=2)+('Yellow Bosses'!$S$5:$S$53&gt;=2)+('Yellow Bosses'!$T$5:$T$53&gt;=2))&gt;0))</f>
        <v>42</v>
      </c>
      <c r="G31" s="26" t="n">
        <f aca="false">F31/49</f>
        <v>0.857142857142857</v>
      </c>
      <c r="H31" s="25" t="n">
        <f aca="false">49-SUMPRODUCT(--((('Yellow Bosses'!$P$5:$P$53&gt;=1)+('Yellow Bosses'!$R$5:$R$53&gt;=1)+('Yellow Bosses'!$S$5:$S$53&gt;=1)+('Yellow Bosses'!$T$5:$T$53&gt;=1))&gt;0))</f>
        <v>0</v>
      </c>
      <c r="I31" s="25" t="n">
        <f aca="false">SUMPRODUCT(--((('Yellow Bosses'!$P$5:$P$53&gt;0)+('Yellow Bosses'!$R$5:$R$53&gt;0)+('Yellow Bosses'!$S$5:$S$53&gt;0)+('Yellow Bosses'!$T$5:$T$53&gt;0))=0))</f>
        <v>0</v>
      </c>
      <c r="J31" s="25" t="n">
        <f aca="false">SUMPRODUCT(--(((Effectiveness!$M$5:$M$155&gt;=2)+(Effectiveness!$O$5:$O$155&gt;=2)+(Effectiveness!$P$5:$P$155&gt;=2)+(Effectiveness!$Q$5:$Q$155&gt;=2))&gt;0))</f>
        <v>109</v>
      </c>
      <c r="K31" s="26" t="n">
        <f aca="false">J31/151</f>
        <v>0.721854304635762</v>
      </c>
      <c r="L31" s="25" t="n">
        <f aca="false">MIN(INDEX('Move Reality'!$F$5:$F$19,MATCH(B31,'Move Reality'!$A$5:$A$19,0)),INDEX('Move Reality'!$F$5:$F$19,MATCH(C31,'Move Reality'!$A$5:$A$19,0)),INDEX('Move Reality'!$F$5:$F$19,MATCH(D31,'Move Reality'!$A$5:$A$19,0)),INDEX('Move Reality'!$F$5:$F$19,MATCH(E31,'Move Reality'!$A$5:$A$19,0)))</f>
        <v>1</v>
      </c>
      <c r="M31" s="28" t="str">
        <f aca="false">IF(L31&gt;=5,"YES","no - dead move")</f>
        <v>no - dead move</v>
      </c>
    </row>
    <row r="32" customFormat="false" ht="15" hidden="false" customHeight="false" outlineLevel="0" collapsed="false">
      <c r="A32" s="17" t="n">
        <v>28</v>
      </c>
      <c r="B32" s="17" t="s">
        <v>42</v>
      </c>
      <c r="C32" s="17" t="s">
        <v>44</v>
      </c>
      <c r="D32" s="17" t="s">
        <v>50</v>
      </c>
      <c r="E32" s="17" t="s">
        <v>51</v>
      </c>
      <c r="F32" s="25" t="n">
        <f aca="false">SUMPRODUCT(--((('Yellow Bosses'!$J$5:$J$53&gt;=2)+('Yellow Bosses'!$L$5:$L$53&gt;=2)+('Yellow Bosses'!$R$5:$R$53&gt;=2)+('Yellow Bosses'!$S$5:$S$53&gt;=2))&gt;0))</f>
        <v>42</v>
      </c>
      <c r="G32" s="26" t="n">
        <f aca="false">F32/49</f>
        <v>0.857142857142857</v>
      </c>
      <c r="H32" s="25" t="n">
        <f aca="false">49-SUMPRODUCT(--((('Yellow Bosses'!$J$5:$J$53&gt;=1)+('Yellow Bosses'!$L$5:$L$53&gt;=1)+('Yellow Bosses'!$R$5:$R$53&gt;=1)+('Yellow Bosses'!$S$5:$S$53&gt;=1))&gt;0))</f>
        <v>0</v>
      </c>
      <c r="I32" s="25" t="n">
        <f aca="false">SUMPRODUCT(--((('Yellow Bosses'!$J$5:$J$53&gt;0)+('Yellow Bosses'!$L$5:$L$53&gt;0)+('Yellow Bosses'!$R$5:$R$53&gt;0)+('Yellow Bosses'!$S$5:$S$53&gt;0))=0))</f>
        <v>0</v>
      </c>
      <c r="J32" s="25" t="n">
        <f aca="false">SUMPRODUCT(--(((Effectiveness!$G$5:$G$155&gt;=2)+(Effectiveness!$I$5:$I$155&gt;=2)+(Effectiveness!$O$5:$O$155&gt;=2)+(Effectiveness!$P$5:$P$155&gt;=2))&gt;0))</f>
        <v>108</v>
      </c>
      <c r="K32" s="26" t="n">
        <f aca="false">J32/151</f>
        <v>0.71523178807947</v>
      </c>
      <c r="L32" s="25" t="n">
        <f aca="false">MIN(INDEX('Move Reality'!$F$5:$F$19,MATCH(B32,'Move Reality'!$A$5:$A$19,0)),INDEX('Move Reality'!$F$5:$F$19,MATCH(C32,'Move Reality'!$A$5:$A$19,0)),INDEX('Move Reality'!$F$5:$F$19,MATCH(D32,'Move Reality'!$A$5:$A$19,0)),INDEX('Move Reality'!$F$5:$F$19,MATCH(E32,'Move Reality'!$A$5:$A$19,0)))</f>
        <v>1</v>
      </c>
      <c r="M32" s="28" t="str">
        <f aca="false">IF(L32&gt;=5,"YES","no - dead move")</f>
        <v>no - dead move</v>
      </c>
    </row>
    <row r="33" customFormat="false" ht="15" hidden="false" customHeight="false" outlineLevel="0" collapsed="false">
      <c r="A33" s="17" t="n">
        <v>29</v>
      </c>
      <c r="B33" s="17" t="s">
        <v>44</v>
      </c>
      <c r="C33" s="17" t="s">
        <v>48</v>
      </c>
      <c r="D33" s="17" t="s">
        <v>51</v>
      </c>
      <c r="E33" s="17" t="s">
        <v>54</v>
      </c>
      <c r="F33" s="25" t="n">
        <f aca="false">SUMPRODUCT(--((('Yellow Bosses'!$L$5:$L$53&gt;=2)+('Yellow Bosses'!$P$5:$P$53&gt;=2)+('Yellow Bosses'!$S$5:$S$53&gt;=2)+('Yellow Bosses'!$V$5:$V$53&gt;=2))&gt;0))</f>
        <v>42</v>
      </c>
      <c r="G33" s="26" t="n">
        <f aca="false">F33/49</f>
        <v>0.857142857142857</v>
      </c>
      <c r="H33" s="25" t="n">
        <f aca="false">49-SUMPRODUCT(--((('Yellow Bosses'!$L$5:$L$53&gt;=1)+('Yellow Bosses'!$P$5:$P$53&gt;=1)+('Yellow Bosses'!$S$5:$S$53&gt;=1)+('Yellow Bosses'!$V$5:$V$53&gt;=1))&gt;0))</f>
        <v>0</v>
      </c>
      <c r="I33" s="25" t="n">
        <f aca="false">SUMPRODUCT(--((('Yellow Bosses'!$L$5:$L$53&gt;0)+('Yellow Bosses'!$P$5:$P$53&gt;0)+('Yellow Bosses'!$S$5:$S$53&gt;0)+('Yellow Bosses'!$V$5:$V$53&gt;0))=0))</f>
        <v>0</v>
      </c>
      <c r="J33" s="25" t="n">
        <f aca="false">SUMPRODUCT(--(((Effectiveness!$I$5:$I$155&gt;=2)+(Effectiveness!$M$5:$M$155&gt;=2)+(Effectiveness!$P$5:$P$155&gt;=2)+(Effectiveness!$S$5:$S$155&gt;=2))&gt;0))</f>
        <v>107</v>
      </c>
      <c r="K33" s="26" t="n">
        <f aca="false">J33/151</f>
        <v>0.708609271523179</v>
      </c>
      <c r="L33" s="25" t="n">
        <f aca="false">MIN(INDEX('Move Reality'!$F$5:$F$19,MATCH(B33,'Move Reality'!$A$5:$A$19,0)),INDEX('Move Reality'!$F$5:$F$19,MATCH(C33,'Move Reality'!$A$5:$A$19,0)),INDEX('Move Reality'!$F$5:$F$19,MATCH(D33,'Move Reality'!$A$5:$A$19,0)),INDEX('Move Reality'!$F$5:$F$19,MATCH(E33,'Move Reality'!$A$5:$A$19,0)))</f>
        <v>1</v>
      </c>
      <c r="M33" s="28" t="str">
        <f aca="false">IF(L33&gt;=5,"YES","no - dead move")</f>
        <v>no - dead move</v>
      </c>
    </row>
    <row r="34" customFormat="false" ht="15" hidden="false" customHeight="false" outlineLevel="0" collapsed="false">
      <c r="A34" s="17" t="n">
        <v>30</v>
      </c>
      <c r="B34" s="17" t="s">
        <v>42</v>
      </c>
      <c r="C34" s="17" t="s">
        <v>50</v>
      </c>
      <c r="D34" s="17" t="s">
        <v>51</v>
      </c>
      <c r="E34" s="17" t="s">
        <v>52</v>
      </c>
      <c r="F34" s="25" t="n">
        <f aca="false">SUMPRODUCT(--((('Yellow Bosses'!$J$5:$J$53&gt;=2)+('Yellow Bosses'!$R$5:$R$53&gt;=2)+('Yellow Bosses'!$S$5:$S$53&gt;=2)+('Yellow Bosses'!$T$5:$T$53&gt;=2))&gt;0))</f>
        <v>42</v>
      </c>
      <c r="G34" s="26" t="n">
        <f aca="false">F34/49</f>
        <v>0.857142857142857</v>
      </c>
      <c r="H34" s="25" t="n">
        <f aca="false">49-SUMPRODUCT(--((('Yellow Bosses'!$J$5:$J$53&gt;=1)+('Yellow Bosses'!$R$5:$R$53&gt;=1)+('Yellow Bosses'!$S$5:$S$53&gt;=1)+('Yellow Bosses'!$T$5:$T$53&gt;=1))&gt;0))</f>
        <v>0</v>
      </c>
      <c r="I34" s="25" t="n">
        <f aca="false">SUMPRODUCT(--((('Yellow Bosses'!$J$5:$J$53&gt;0)+('Yellow Bosses'!$R$5:$R$53&gt;0)+('Yellow Bosses'!$S$5:$S$53&gt;0)+('Yellow Bosses'!$T$5:$T$53&gt;0))=0))</f>
        <v>0</v>
      </c>
      <c r="J34" s="25" t="n">
        <f aca="false">SUMPRODUCT(--(((Effectiveness!$G$5:$G$155&gt;=2)+(Effectiveness!$O$5:$O$155&gt;=2)+(Effectiveness!$P$5:$P$155&gt;=2)+(Effectiveness!$Q$5:$Q$155&gt;=2))&gt;0))</f>
        <v>103</v>
      </c>
      <c r="K34" s="26" t="n">
        <f aca="false">J34/151</f>
        <v>0.682119205298013</v>
      </c>
      <c r="L34" s="25" t="n">
        <f aca="false">MIN(INDEX('Move Reality'!$F$5:$F$19,MATCH(B34,'Move Reality'!$A$5:$A$19,0)),INDEX('Move Reality'!$F$5:$F$19,MATCH(C34,'Move Reality'!$A$5:$A$19,0)),INDEX('Move Reality'!$F$5:$F$19,MATCH(D34,'Move Reality'!$A$5:$A$19,0)),INDEX('Move Reality'!$F$5:$F$19,MATCH(E34,'Move Reality'!$A$5:$A$19,0)))</f>
        <v>1</v>
      </c>
      <c r="M34" s="28" t="str">
        <f aca="false">IF(L34&gt;=5,"YES","no - dead move")</f>
        <v>no - dead move</v>
      </c>
    </row>
    <row r="35" customFormat="false" ht="15" hidden="false" customHeight="false" outlineLevel="0" collapsed="false">
      <c r="A35" s="17" t="n">
        <v>31</v>
      </c>
      <c r="B35" s="17" t="s">
        <v>43</v>
      </c>
      <c r="C35" s="17" t="s">
        <v>46</v>
      </c>
      <c r="D35" s="17" t="s">
        <v>48</v>
      </c>
      <c r="E35" s="17" t="s">
        <v>51</v>
      </c>
      <c r="F35" s="25" t="n">
        <f aca="false">SUMPRODUCT(--((('Yellow Bosses'!$K$5:$K$53&gt;=2)+('Yellow Bosses'!$N$5:$N$53&gt;=2)+('Yellow Bosses'!$P$5:$P$53&gt;=2)+('Yellow Bosses'!$S$5:$S$53&gt;=2))&gt;0))</f>
        <v>41</v>
      </c>
      <c r="G35" s="26" t="n">
        <f aca="false">F35/49</f>
        <v>0.836734693877551</v>
      </c>
      <c r="H35" s="25" t="n">
        <f aca="false">49-SUMPRODUCT(--((('Yellow Bosses'!$K$5:$K$53&gt;=1)+('Yellow Bosses'!$N$5:$N$53&gt;=1)+('Yellow Bosses'!$P$5:$P$53&gt;=1)+('Yellow Bosses'!$S$5:$S$53&gt;=1))&gt;0))</f>
        <v>0</v>
      </c>
      <c r="I35" s="25" t="n">
        <f aca="false">SUMPRODUCT(--((('Yellow Bosses'!$K$5:$K$53&gt;0)+('Yellow Bosses'!$N$5:$N$53&gt;0)+('Yellow Bosses'!$P$5:$P$53&gt;0)+('Yellow Bosses'!$S$5:$S$53&gt;0))=0))</f>
        <v>0</v>
      </c>
      <c r="J35" s="25" t="n">
        <f aca="false">SUMPRODUCT(--(((Effectiveness!$H$5:$H$155&gt;=2)+(Effectiveness!$K$5:$K$155&gt;=2)+(Effectiveness!$M$5:$M$155&gt;=2)+(Effectiveness!$P$5:$P$155&gt;=2))&gt;0))</f>
        <v>131</v>
      </c>
      <c r="K35" s="26" t="n">
        <f aca="false">J35/151</f>
        <v>0.867549668874172</v>
      </c>
      <c r="L35" s="25" t="n">
        <f aca="false">MIN(INDEX('Move Reality'!$F$5:$F$19,MATCH(B35,'Move Reality'!$A$5:$A$19,0)),INDEX('Move Reality'!$F$5:$F$19,MATCH(C35,'Move Reality'!$A$5:$A$19,0)),INDEX('Move Reality'!$F$5:$F$19,MATCH(D35,'Move Reality'!$A$5:$A$19,0)),INDEX('Move Reality'!$F$5:$F$19,MATCH(E35,'Move Reality'!$A$5:$A$19,0)))</f>
        <v>1</v>
      </c>
      <c r="M35" s="28" t="str">
        <f aca="false">IF(L35&gt;=5,"YES","no - dead move")</f>
        <v>no - dead move</v>
      </c>
    </row>
    <row r="36" customFormat="false" ht="15" hidden="false" customHeight="false" outlineLevel="0" collapsed="false">
      <c r="A36" s="17" t="n">
        <v>32</v>
      </c>
      <c r="B36" s="17" t="s">
        <v>44</v>
      </c>
      <c r="C36" s="17" t="s">
        <v>49</v>
      </c>
      <c r="D36" s="17" t="s">
        <v>51</v>
      </c>
      <c r="E36" s="17" t="s">
        <v>52</v>
      </c>
      <c r="F36" s="25" t="n">
        <f aca="false">SUMPRODUCT(--((('Yellow Bosses'!$L$5:$L$53&gt;=2)+('Yellow Bosses'!$Q$5:$Q$53&gt;=2)+('Yellow Bosses'!$S$5:$S$53&gt;=2)+('Yellow Bosses'!$T$5:$T$53&gt;=2))&gt;0))</f>
        <v>41</v>
      </c>
      <c r="G36" s="26" t="n">
        <f aca="false">F36/49</f>
        <v>0.836734693877551</v>
      </c>
      <c r="H36" s="25" t="n">
        <f aca="false">49-SUMPRODUCT(--((('Yellow Bosses'!$L$5:$L$53&gt;=1)+('Yellow Bosses'!$Q$5:$Q$53&gt;=1)+('Yellow Bosses'!$S$5:$S$53&gt;=1)+('Yellow Bosses'!$T$5:$T$53&gt;=1))&gt;0))</f>
        <v>0</v>
      </c>
      <c r="I36" s="25" t="n">
        <f aca="false">SUMPRODUCT(--((('Yellow Bosses'!$L$5:$L$53&gt;0)+('Yellow Bosses'!$Q$5:$Q$53&gt;0)+('Yellow Bosses'!$S$5:$S$53&gt;0)+('Yellow Bosses'!$T$5:$T$53&gt;0))=0))</f>
        <v>0</v>
      </c>
      <c r="J36" s="25" t="n">
        <f aca="false">SUMPRODUCT(--(((Effectiveness!$I$5:$I$155&gt;=2)+(Effectiveness!$N$5:$N$155&gt;=2)+(Effectiveness!$P$5:$P$155&gt;=2)+(Effectiveness!$Q$5:$Q$155&gt;=2))&gt;0))</f>
        <v>122</v>
      </c>
      <c r="K36" s="26" t="n">
        <f aca="false">J36/151</f>
        <v>0.80794701986755</v>
      </c>
      <c r="L36" s="25" t="n">
        <f aca="false">MIN(INDEX('Move Reality'!$F$5:$F$19,MATCH(B36,'Move Reality'!$A$5:$A$19,0)),INDEX('Move Reality'!$F$5:$F$19,MATCH(C36,'Move Reality'!$A$5:$A$19,0)),INDEX('Move Reality'!$F$5:$F$19,MATCH(D36,'Move Reality'!$A$5:$A$19,0)),INDEX('Move Reality'!$F$5:$F$19,MATCH(E36,'Move Reality'!$A$5:$A$19,0)))</f>
        <v>1</v>
      </c>
      <c r="M36" s="28" t="str">
        <f aca="false">IF(L36&gt;=5,"YES","no - dead move")</f>
        <v>no - dead move</v>
      </c>
    </row>
    <row r="37" customFormat="false" ht="15" hidden="false" customHeight="false" outlineLevel="0" collapsed="false">
      <c r="A37" s="17" t="n">
        <v>33</v>
      </c>
      <c r="B37" s="17" t="s">
        <v>41</v>
      </c>
      <c r="C37" s="17" t="s">
        <v>43</v>
      </c>
      <c r="D37" s="17" t="s">
        <v>45</v>
      </c>
      <c r="E37" s="17" t="s">
        <v>48</v>
      </c>
      <c r="F37" s="25" t="n">
        <f aca="false">SUMPRODUCT(--((('Yellow Bosses'!$I$5:$I$53&gt;=2)+('Yellow Bosses'!$K$5:$K$53&gt;=2)+('Yellow Bosses'!$M$5:$M$53&gt;=2)+('Yellow Bosses'!$P$5:$P$53&gt;=2))&gt;0))</f>
        <v>41</v>
      </c>
      <c r="G37" s="26" t="n">
        <f aca="false">F37/49</f>
        <v>0.836734693877551</v>
      </c>
      <c r="H37" s="25" t="n">
        <f aca="false">49-SUMPRODUCT(--((('Yellow Bosses'!$I$5:$I$53&gt;=1)+('Yellow Bosses'!$K$5:$K$53&gt;=1)+('Yellow Bosses'!$M$5:$M$53&gt;=1)+('Yellow Bosses'!$P$5:$P$53&gt;=1))&gt;0))</f>
        <v>0</v>
      </c>
      <c r="I37" s="25" t="n">
        <f aca="false">SUMPRODUCT(--((('Yellow Bosses'!$I$5:$I$53&gt;0)+('Yellow Bosses'!$K$5:$K$53&gt;0)+('Yellow Bosses'!$M$5:$M$53&gt;0)+('Yellow Bosses'!$P$5:$P$53&gt;0))=0))</f>
        <v>0</v>
      </c>
      <c r="J37" s="25" t="n">
        <f aca="false">SUMPRODUCT(--(((Effectiveness!$F$5:$F$155&gt;=2)+(Effectiveness!$H$5:$H$155&gt;=2)+(Effectiveness!$J$5:$J$155&gt;=2)+(Effectiveness!$M$5:$M$155&gt;=2))&gt;0))</f>
        <v>120</v>
      </c>
      <c r="K37" s="26" t="n">
        <f aca="false">J37/151</f>
        <v>0.794701986754967</v>
      </c>
      <c r="L37" s="25" t="n">
        <f aca="false">MIN(INDEX('Move Reality'!$F$5:$F$19,MATCH(B37,'Move Reality'!$A$5:$A$19,0)),INDEX('Move Reality'!$F$5:$F$19,MATCH(C37,'Move Reality'!$A$5:$A$19,0)),INDEX('Move Reality'!$F$5:$F$19,MATCH(D37,'Move Reality'!$A$5:$A$19,0)),INDEX('Move Reality'!$F$5:$F$19,MATCH(E37,'Move Reality'!$A$5:$A$19,0)))</f>
        <v>7</v>
      </c>
      <c r="M37" s="28" t="str">
        <f aca="false">IF(L37&gt;=5,"YES","no - dead move")</f>
        <v>YES</v>
      </c>
    </row>
    <row r="38" customFormat="false" ht="15" hidden="false" customHeight="false" outlineLevel="0" collapsed="false">
      <c r="A38" s="17" t="n">
        <v>34</v>
      </c>
      <c r="B38" s="17" t="s">
        <v>43</v>
      </c>
      <c r="C38" s="17" t="s">
        <v>45</v>
      </c>
      <c r="D38" s="17" t="s">
        <v>48</v>
      </c>
      <c r="E38" s="17" t="s">
        <v>52</v>
      </c>
      <c r="F38" s="25" t="n">
        <f aca="false">SUMPRODUCT(--((('Yellow Bosses'!$K$5:$K$53&gt;=2)+('Yellow Bosses'!$M$5:$M$53&gt;=2)+('Yellow Bosses'!$P$5:$P$53&gt;=2)+('Yellow Bosses'!$T$5:$T$53&gt;=2))&gt;0))</f>
        <v>41</v>
      </c>
      <c r="G38" s="26" t="n">
        <f aca="false">F38/49</f>
        <v>0.836734693877551</v>
      </c>
      <c r="H38" s="25" t="n">
        <f aca="false">49-SUMPRODUCT(--((('Yellow Bosses'!$K$5:$K$53&gt;=1)+('Yellow Bosses'!$M$5:$M$53&gt;=1)+('Yellow Bosses'!$P$5:$P$53&gt;=1)+('Yellow Bosses'!$T$5:$T$53&gt;=1))&gt;0))</f>
        <v>0</v>
      </c>
      <c r="I38" s="25" t="n">
        <f aca="false">SUMPRODUCT(--((('Yellow Bosses'!$K$5:$K$53&gt;0)+('Yellow Bosses'!$M$5:$M$53&gt;0)+('Yellow Bosses'!$P$5:$P$53&gt;0)+('Yellow Bosses'!$T$5:$T$53&gt;0))=0))</f>
        <v>0</v>
      </c>
      <c r="J38" s="25" t="n">
        <f aca="false">SUMPRODUCT(--(((Effectiveness!$H$5:$H$155&gt;=2)+(Effectiveness!$J$5:$J$155&gt;=2)+(Effectiveness!$M$5:$M$155&gt;=2)+(Effectiveness!$Q$5:$Q$155&gt;=2))&gt;0))</f>
        <v>120</v>
      </c>
      <c r="K38" s="26" t="n">
        <f aca="false">J38/151</f>
        <v>0.794701986754967</v>
      </c>
      <c r="L38" s="25" t="n">
        <f aca="false">MIN(INDEX('Move Reality'!$F$5:$F$19,MATCH(B38,'Move Reality'!$A$5:$A$19,0)),INDEX('Move Reality'!$F$5:$F$19,MATCH(C38,'Move Reality'!$A$5:$A$19,0)),INDEX('Move Reality'!$F$5:$F$19,MATCH(D38,'Move Reality'!$A$5:$A$19,0)),INDEX('Move Reality'!$F$5:$F$19,MATCH(E38,'Move Reality'!$A$5:$A$19,0)))</f>
        <v>6</v>
      </c>
      <c r="M38" s="28" t="str">
        <f aca="false">IF(L38&gt;=5,"YES","no - dead move")</f>
        <v>YES</v>
      </c>
    </row>
    <row r="39" customFormat="false" ht="15" hidden="false" customHeight="false" outlineLevel="0" collapsed="false">
      <c r="A39" s="17" t="n">
        <v>35</v>
      </c>
      <c r="B39" s="17" t="s">
        <v>43</v>
      </c>
      <c r="C39" s="17" t="s">
        <v>48</v>
      </c>
      <c r="D39" s="17" t="s">
        <v>51</v>
      </c>
      <c r="E39" s="17" t="s">
        <v>52</v>
      </c>
      <c r="F39" s="25" t="n">
        <f aca="false">SUMPRODUCT(--((('Yellow Bosses'!$K$5:$K$53&gt;=2)+('Yellow Bosses'!$P$5:$P$53&gt;=2)+('Yellow Bosses'!$S$5:$S$53&gt;=2)+('Yellow Bosses'!$T$5:$T$53&gt;=2))&gt;0))</f>
        <v>41</v>
      </c>
      <c r="G39" s="26" t="n">
        <f aca="false">F39/49</f>
        <v>0.836734693877551</v>
      </c>
      <c r="H39" s="25" t="n">
        <f aca="false">49-SUMPRODUCT(--((('Yellow Bosses'!$K$5:$K$53&gt;=1)+('Yellow Bosses'!$P$5:$P$53&gt;=1)+('Yellow Bosses'!$S$5:$S$53&gt;=1)+('Yellow Bosses'!$T$5:$T$53&gt;=1))&gt;0))</f>
        <v>0</v>
      </c>
      <c r="I39" s="25" t="n">
        <f aca="false">SUMPRODUCT(--((('Yellow Bosses'!$K$5:$K$53&gt;0)+('Yellow Bosses'!$P$5:$P$53&gt;0)+('Yellow Bosses'!$S$5:$S$53&gt;0)+('Yellow Bosses'!$T$5:$T$53&gt;0))=0))</f>
        <v>0</v>
      </c>
      <c r="J39" s="25" t="n">
        <f aca="false">SUMPRODUCT(--(((Effectiveness!$H$5:$H$155&gt;=2)+(Effectiveness!$M$5:$M$155&gt;=2)+(Effectiveness!$P$5:$P$155&gt;=2)+(Effectiveness!$Q$5:$Q$155&gt;=2))&gt;0))</f>
        <v>120</v>
      </c>
      <c r="K39" s="26" t="n">
        <f aca="false">J39/151</f>
        <v>0.794701986754967</v>
      </c>
      <c r="L39" s="25" t="n">
        <f aca="false">MIN(INDEX('Move Reality'!$F$5:$F$19,MATCH(B39,'Move Reality'!$A$5:$A$19,0)),INDEX('Move Reality'!$F$5:$F$19,MATCH(C39,'Move Reality'!$A$5:$A$19,0)),INDEX('Move Reality'!$F$5:$F$19,MATCH(D39,'Move Reality'!$A$5:$A$19,0)),INDEX('Move Reality'!$F$5:$F$19,MATCH(E39,'Move Reality'!$A$5:$A$19,0)))</f>
        <v>1</v>
      </c>
      <c r="M39" s="28" t="str">
        <f aca="false">IF(L39&gt;=5,"YES","no - dead move")</f>
        <v>no - dead move</v>
      </c>
    </row>
    <row r="40" customFormat="false" ht="15" hidden="false" customHeight="false" outlineLevel="0" collapsed="false">
      <c r="A40" s="17" t="n">
        <v>36</v>
      </c>
      <c r="B40" s="17" t="s">
        <v>44</v>
      </c>
      <c r="C40" s="17" t="s">
        <v>45</v>
      </c>
      <c r="D40" s="17" t="s">
        <v>48</v>
      </c>
      <c r="E40" s="17" t="s">
        <v>52</v>
      </c>
      <c r="F40" s="25" t="n">
        <f aca="false">SUMPRODUCT(--((('Yellow Bosses'!$L$5:$L$53&gt;=2)+('Yellow Bosses'!$M$5:$M$53&gt;=2)+('Yellow Bosses'!$P$5:$P$53&gt;=2)+('Yellow Bosses'!$T$5:$T$53&gt;=2))&gt;0))</f>
        <v>41</v>
      </c>
      <c r="G40" s="26" t="n">
        <f aca="false">F40/49</f>
        <v>0.836734693877551</v>
      </c>
      <c r="H40" s="25" t="n">
        <f aca="false">49-SUMPRODUCT(--((('Yellow Bosses'!$L$5:$L$53&gt;=1)+('Yellow Bosses'!$M$5:$M$53&gt;=1)+('Yellow Bosses'!$P$5:$P$53&gt;=1)+('Yellow Bosses'!$T$5:$T$53&gt;=1))&gt;0))</f>
        <v>0</v>
      </c>
      <c r="I40" s="25" t="n">
        <f aca="false">SUMPRODUCT(--((('Yellow Bosses'!$L$5:$L$53&gt;0)+('Yellow Bosses'!$M$5:$M$53&gt;0)+('Yellow Bosses'!$P$5:$P$53&gt;0)+('Yellow Bosses'!$T$5:$T$53&gt;0))=0))</f>
        <v>0</v>
      </c>
      <c r="J40" s="25" t="n">
        <f aca="false">SUMPRODUCT(--(((Effectiveness!$I$5:$I$155&gt;=2)+(Effectiveness!$J$5:$J$155&gt;=2)+(Effectiveness!$M$5:$M$155&gt;=2)+(Effectiveness!$Q$5:$Q$155&gt;=2))&gt;0))</f>
        <v>120</v>
      </c>
      <c r="K40" s="26" t="n">
        <f aca="false">J40/151</f>
        <v>0.794701986754967</v>
      </c>
      <c r="L40" s="25" t="n">
        <f aca="false">MIN(INDEX('Move Reality'!$F$5:$F$19,MATCH(B40,'Move Reality'!$A$5:$A$19,0)),INDEX('Move Reality'!$F$5:$F$19,MATCH(C40,'Move Reality'!$A$5:$A$19,0)),INDEX('Move Reality'!$F$5:$F$19,MATCH(D40,'Move Reality'!$A$5:$A$19,0)),INDEX('Move Reality'!$F$5:$F$19,MATCH(E40,'Move Reality'!$A$5:$A$19,0)))</f>
        <v>4</v>
      </c>
      <c r="M40" s="28" t="str">
        <f aca="false">IF(L40&gt;=5,"YES","no - dead move")</f>
        <v>no - dead move</v>
      </c>
    </row>
    <row r="41" customFormat="false" ht="15" hidden="false" customHeight="false" outlineLevel="0" collapsed="false">
      <c r="A41" s="17" t="n">
        <v>37</v>
      </c>
      <c r="B41" s="17" t="s">
        <v>43</v>
      </c>
      <c r="C41" s="17" t="s">
        <v>48</v>
      </c>
      <c r="D41" s="17" t="s">
        <v>49</v>
      </c>
      <c r="E41" s="17" t="s">
        <v>54</v>
      </c>
      <c r="F41" s="25" t="n">
        <f aca="false">SUMPRODUCT(--((('Yellow Bosses'!$K$5:$K$53&gt;=2)+('Yellow Bosses'!$P$5:$P$53&gt;=2)+('Yellow Bosses'!$Q$5:$Q$53&gt;=2)+('Yellow Bosses'!$V$5:$V$53&gt;=2))&gt;0))</f>
        <v>41</v>
      </c>
      <c r="G41" s="26" t="n">
        <f aca="false">F41/49</f>
        <v>0.836734693877551</v>
      </c>
      <c r="H41" s="25" t="n">
        <f aca="false">49-SUMPRODUCT(--((('Yellow Bosses'!$K$5:$K$53&gt;=1)+('Yellow Bosses'!$P$5:$P$53&gt;=1)+('Yellow Bosses'!$Q$5:$Q$53&gt;=1)+('Yellow Bosses'!$V$5:$V$53&gt;=1))&gt;0))</f>
        <v>0</v>
      </c>
      <c r="I41" s="25" t="n">
        <f aca="false">SUMPRODUCT(--((('Yellow Bosses'!$K$5:$K$53&gt;0)+('Yellow Bosses'!$P$5:$P$53&gt;0)+('Yellow Bosses'!$Q$5:$Q$53&gt;0)+('Yellow Bosses'!$V$5:$V$53&gt;0))=0))</f>
        <v>0</v>
      </c>
      <c r="J41" s="25" t="n">
        <f aca="false">SUMPRODUCT(--(((Effectiveness!$H$5:$H$155&gt;=2)+(Effectiveness!$M$5:$M$155&gt;=2)+(Effectiveness!$N$5:$N$155&gt;=2)+(Effectiveness!$S$5:$S$155&gt;=2))&gt;0))</f>
        <v>119</v>
      </c>
      <c r="K41" s="26" t="n">
        <f aca="false">J41/151</f>
        <v>0.788079470198676</v>
      </c>
      <c r="L41" s="25" t="n">
        <f aca="false">MIN(INDEX('Move Reality'!$F$5:$F$19,MATCH(B41,'Move Reality'!$A$5:$A$19,0)),INDEX('Move Reality'!$F$5:$F$19,MATCH(C41,'Move Reality'!$A$5:$A$19,0)),INDEX('Move Reality'!$F$5:$F$19,MATCH(D41,'Move Reality'!$A$5:$A$19,0)),INDEX('Move Reality'!$F$5:$F$19,MATCH(E41,'Move Reality'!$A$5:$A$19,0)))</f>
        <v>1</v>
      </c>
      <c r="M41" s="28" t="str">
        <f aca="false">IF(L41&gt;=5,"YES","no - dead move")</f>
        <v>no - dead move</v>
      </c>
    </row>
    <row r="42" customFormat="false" ht="15" hidden="false" customHeight="false" outlineLevel="0" collapsed="false">
      <c r="A42" s="17" t="n">
        <v>38</v>
      </c>
      <c r="B42" s="17" t="s">
        <v>44</v>
      </c>
      <c r="C42" s="17" t="s">
        <v>51</v>
      </c>
      <c r="D42" s="17" t="s">
        <v>52</v>
      </c>
      <c r="E42" s="17" t="s">
        <v>53</v>
      </c>
      <c r="F42" s="25" t="n">
        <f aca="false">SUMPRODUCT(--((('Yellow Bosses'!$L$5:$L$53&gt;=2)+('Yellow Bosses'!$S$5:$S$53&gt;=2)+('Yellow Bosses'!$T$5:$T$53&gt;=2)+('Yellow Bosses'!$U$5:$U$53&gt;=2))&gt;0))</f>
        <v>41</v>
      </c>
      <c r="G42" s="26" t="n">
        <f aca="false">F42/49</f>
        <v>0.836734693877551</v>
      </c>
      <c r="H42" s="25" t="n">
        <f aca="false">49-SUMPRODUCT(--((('Yellow Bosses'!$L$5:$L$53&gt;=1)+('Yellow Bosses'!$S$5:$S$53&gt;=1)+('Yellow Bosses'!$T$5:$T$53&gt;=1)+('Yellow Bosses'!$U$5:$U$53&gt;=1))&gt;0))</f>
        <v>0</v>
      </c>
      <c r="I42" s="25" t="n">
        <f aca="false">SUMPRODUCT(--((('Yellow Bosses'!$L$5:$L$53&gt;0)+('Yellow Bosses'!$S$5:$S$53&gt;0)+('Yellow Bosses'!$T$5:$T$53&gt;0)+('Yellow Bosses'!$U$5:$U$53&gt;0))=0))</f>
        <v>0</v>
      </c>
      <c r="J42" s="25" t="n">
        <f aca="false">SUMPRODUCT(--(((Effectiveness!$I$5:$I$155&gt;=2)+(Effectiveness!$P$5:$P$155&gt;=2)+(Effectiveness!$Q$5:$Q$155&gt;=2)+(Effectiveness!$R$5:$R$155&gt;=2))&gt;0))</f>
        <v>118</v>
      </c>
      <c r="K42" s="26" t="n">
        <f aca="false">J42/151</f>
        <v>0.781456953642384</v>
      </c>
      <c r="L42" s="25" t="n">
        <f aca="false">MIN(INDEX('Move Reality'!$F$5:$F$19,MATCH(B42,'Move Reality'!$A$5:$A$19,0)),INDEX('Move Reality'!$F$5:$F$19,MATCH(C42,'Move Reality'!$A$5:$A$19,0)),INDEX('Move Reality'!$F$5:$F$19,MATCH(D42,'Move Reality'!$A$5:$A$19,0)),INDEX('Move Reality'!$F$5:$F$19,MATCH(E42,'Move Reality'!$A$5:$A$19,0)))</f>
        <v>1</v>
      </c>
      <c r="M42" s="28" t="str">
        <f aca="false">IF(L42&gt;=5,"YES","no - dead move")</f>
        <v>no - dead move</v>
      </c>
    </row>
    <row r="43" customFormat="false" ht="15" hidden="false" customHeight="false" outlineLevel="0" collapsed="false">
      <c r="A43" s="17" t="n">
        <v>39</v>
      </c>
      <c r="B43" s="17" t="s">
        <v>46</v>
      </c>
      <c r="C43" s="17" t="s">
        <v>50</v>
      </c>
      <c r="D43" s="17" t="s">
        <v>51</v>
      </c>
      <c r="E43" s="17" t="s">
        <v>52</v>
      </c>
      <c r="F43" s="25" t="n">
        <f aca="false">SUMPRODUCT(--((('Yellow Bosses'!$N$5:$N$53&gt;=2)+('Yellow Bosses'!$R$5:$R$53&gt;=2)+('Yellow Bosses'!$S$5:$S$53&gt;=2)+('Yellow Bosses'!$T$5:$T$53&gt;=2))&gt;0))</f>
        <v>41</v>
      </c>
      <c r="G43" s="26" t="n">
        <f aca="false">F43/49</f>
        <v>0.836734693877551</v>
      </c>
      <c r="H43" s="25" t="n">
        <f aca="false">49-SUMPRODUCT(--((('Yellow Bosses'!$N$5:$N$53&gt;=1)+('Yellow Bosses'!$R$5:$R$53&gt;=1)+('Yellow Bosses'!$S$5:$S$53&gt;=1)+('Yellow Bosses'!$T$5:$T$53&gt;=1))&gt;0))</f>
        <v>0</v>
      </c>
      <c r="I43" s="25" t="n">
        <f aca="false">SUMPRODUCT(--((('Yellow Bosses'!$N$5:$N$53&gt;0)+('Yellow Bosses'!$R$5:$R$53&gt;0)+('Yellow Bosses'!$S$5:$S$53&gt;0)+('Yellow Bosses'!$T$5:$T$53&gt;0))=0))</f>
        <v>0</v>
      </c>
      <c r="J43" s="25" t="n">
        <f aca="false">SUMPRODUCT(--(((Effectiveness!$K$5:$K$155&gt;=2)+(Effectiveness!$O$5:$O$155&gt;=2)+(Effectiveness!$P$5:$P$155&gt;=2)+(Effectiveness!$Q$5:$Q$155&gt;=2))&gt;0))</f>
        <v>117</v>
      </c>
      <c r="K43" s="26" t="n">
        <f aca="false">J43/151</f>
        <v>0.774834437086093</v>
      </c>
      <c r="L43" s="25" t="n">
        <f aca="false">MIN(INDEX('Move Reality'!$F$5:$F$19,MATCH(B43,'Move Reality'!$A$5:$A$19,0)),INDEX('Move Reality'!$F$5:$F$19,MATCH(C43,'Move Reality'!$A$5:$A$19,0)),INDEX('Move Reality'!$F$5:$F$19,MATCH(D43,'Move Reality'!$A$5:$A$19,0)),INDEX('Move Reality'!$F$5:$F$19,MATCH(E43,'Move Reality'!$A$5:$A$19,0)))</f>
        <v>1</v>
      </c>
      <c r="M43" s="28" t="str">
        <f aca="false">IF(L43&gt;=5,"YES","no - dead move")</f>
        <v>no - dead move</v>
      </c>
    </row>
    <row r="44" customFormat="false" ht="15" hidden="false" customHeight="false" outlineLevel="0" collapsed="false">
      <c r="A44" s="17" t="n">
        <v>40</v>
      </c>
      <c r="B44" s="17" t="s">
        <v>42</v>
      </c>
      <c r="C44" s="17" t="s">
        <v>43</v>
      </c>
      <c r="D44" s="17" t="s">
        <v>45</v>
      </c>
      <c r="E44" s="17" t="s">
        <v>50</v>
      </c>
      <c r="F44" s="25" t="n">
        <f aca="false">SUMPRODUCT(--((('Yellow Bosses'!$J$5:$J$53&gt;=2)+('Yellow Bosses'!$K$5:$K$53&gt;=2)+('Yellow Bosses'!$M$5:$M$53&gt;=2)+('Yellow Bosses'!$R$5:$R$53&gt;=2))&gt;0))</f>
        <v>41</v>
      </c>
      <c r="G44" s="26" t="n">
        <f aca="false">F44/49</f>
        <v>0.836734693877551</v>
      </c>
      <c r="H44" s="25" t="n">
        <f aca="false">49-SUMPRODUCT(--((('Yellow Bosses'!$J$5:$J$53&gt;=1)+('Yellow Bosses'!$K$5:$K$53&gt;=1)+('Yellow Bosses'!$M$5:$M$53&gt;=1)+('Yellow Bosses'!$R$5:$R$53&gt;=1))&gt;0))</f>
        <v>0</v>
      </c>
      <c r="I44" s="25" t="n">
        <f aca="false">SUMPRODUCT(--((('Yellow Bosses'!$J$5:$J$53&gt;0)+('Yellow Bosses'!$K$5:$K$53&gt;0)+('Yellow Bosses'!$M$5:$M$53&gt;0)+('Yellow Bosses'!$R$5:$R$53&gt;0))=0))</f>
        <v>0</v>
      </c>
      <c r="J44" s="25" t="n">
        <f aca="false">SUMPRODUCT(--(((Effectiveness!$G$5:$G$155&gt;=2)+(Effectiveness!$H$5:$H$155&gt;=2)+(Effectiveness!$J$5:$J$155&gt;=2)+(Effectiveness!$O$5:$O$155&gt;=2))&gt;0))</f>
        <v>115</v>
      </c>
      <c r="K44" s="26" t="n">
        <f aca="false">J44/151</f>
        <v>0.76158940397351</v>
      </c>
      <c r="L44" s="25" t="n">
        <f aca="false">MIN(INDEX('Move Reality'!$F$5:$F$19,MATCH(B44,'Move Reality'!$A$5:$A$19,0)),INDEX('Move Reality'!$F$5:$F$19,MATCH(C44,'Move Reality'!$A$5:$A$19,0)),INDEX('Move Reality'!$F$5:$F$19,MATCH(D44,'Move Reality'!$A$5:$A$19,0)),INDEX('Move Reality'!$F$5:$F$19,MATCH(E44,'Move Reality'!$A$5:$A$19,0)))</f>
        <v>9</v>
      </c>
      <c r="M44" s="28" t="str">
        <f aca="false">IF(L44&gt;=5,"YES","no - dead move")</f>
        <v>YES</v>
      </c>
    </row>
    <row r="45" customFormat="false" ht="15" hidden="false" customHeight="false" outlineLevel="0" collapsed="false">
      <c r="A45" s="17" t="n">
        <v>41</v>
      </c>
      <c r="B45" s="17" t="s">
        <v>44</v>
      </c>
      <c r="C45" s="17" t="s">
        <v>45</v>
      </c>
      <c r="D45" s="17" t="s">
        <v>50</v>
      </c>
      <c r="E45" s="17" t="s">
        <v>51</v>
      </c>
      <c r="F45" s="25" t="n">
        <f aca="false">SUMPRODUCT(--((('Yellow Bosses'!$L$5:$L$53&gt;=2)+('Yellow Bosses'!$M$5:$M$53&gt;=2)+('Yellow Bosses'!$R$5:$R$53&gt;=2)+('Yellow Bosses'!$S$5:$S$53&gt;=2))&gt;0))</f>
        <v>41</v>
      </c>
      <c r="G45" s="26" t="n">
        <f aca="false">F45/49</f>
        <v>0.836734693877551</v>
      </c>
      <c r="H45" s="25" t="n">
        <f aca="false">49-SUMPRODUCT(--((('Yellow Bosses'!$L$5:$L$53&gt;=1)+('Yellow Bosses'!$M$5:$M$53&gt;=1)+('Yellow Bosses'!$R$5:$R$53&gt;=1)+('Yellow Bosses'!$S$5:$S$53&gt;=1))&gt;0))</f>
        <v>0</v>
      </c>
      <c r="I45" s="25" t="n">
        <f aca="false">SUMPRODUCT(--((('Yellow Bosses'!$L$5:$L$53&gt;0)+('Yellow Bosses'!$M$5:$M$53&gt;0)+('Yellow Bosses'!$R$5:$R$53&gt;0)+('Yellow Bosses'!$S$5:$S$53&gt;0))=0))</f>
        <v>0</v>
      </c>
      <c r="J45" s="25" t="n">
        <f aca="false">SUMPRODUCT(--(((Effectiveness!$I$5:$I$155&gt;=2)+(Effectiveness!$J$5:$J$155&gt;=2)+(Effectiveness!$O$5:$O$155&gt;=2)+(Effectiveness!$P$5:$P$155&gt;=2))&gt;0))</f>
        <v>112</v>
      </c>
      <c r="K45" s="26" t="n">
        <f aca="false">J45/151</f>
        <v>0.741721854304636</v>
      </c>
      <c r="L45" s="25" t="n">
        <f aca="false">MIN(INDEX('Move Reality'!$F$5:$F$19,MATCH(B45,'Move Reality'!$A$5:$A$19,0)),INDEX('Move Reality'!$F$5:$F$19,MATCH(C45,'Move Reality'!$A$5:$A$19,0)),INDEX('Move Reality'!$F$5:$F$19,MATCH(D45,'Move Reality'!$A$5:$A$19,0)),INDEX('Move Reality'!$F$5:$F$19,MATCH(E45,'Move Reality'!$A$5:$A$19,0)))</f>
        <v>1</v>
      </c>
      <c r="M45" s="28" t="str">
        <f aca="false">IF(L45&gt;=5,"YES","no - dead move")</f>
        <v>no - dead move</v>
      </c>
    </row>
    <row r="46" customFormat="false" ht="15" hidden="false" customHeight="false" outlineLevel="0" collapsed="false">
      <c r="A46" s="17" t="n">
        <v>42</v>
      </c>
      <c r="B46" s="17" t="s">
        <v>42</v>
      </c>
      <c r="C46" s="17" t="s">
        <v>48</v>
      </c>
      <c r="D46" s="17" t="s">
        <v>51</v>
      </c>
      <c r="E46" s="17" t="s">
        <v>52</v>
      </c>
      <c r="F46" s="25" t="n">
        <f aca="false">SUMPRODUCT(--((('Yellow Bosses'!$J$5:$J$53&gt;=2)+('Yellow Bosses'!$P$5:$P$53&gt;=2)+('Yellow Bosses'!$S$5:$S$53&gt;=2)+('Yellow Bosses'!$T$5:$T$53&gt;=2))&gt;0))</f>
        <v>41</v>
      </c>
      <c r="G46" s="26" t="n">
        <f aca="false">F46/49</f>
        <v>0.836734693877551</v>
      </c>
      <c r="H46" s="25" t="n">
        <f aca="false">49-SUMPRODUCT(--((('Yellow Bosses'!$J$5:$J$53&gt;=1)+('Yellow Bosses'!$P$5:$P$53&gt;=1)+('Yellow Bosses'!$S$5:$S$53&gt;=1)+('Yellow Bosses'!$T$5:$T$53&gt;=1))&gt;0))</f>
        <v>0</v>
      </c>
      <c r="I46" s="25" t="n">
        <f aca="false">SUMPRODUCT(--((('Yellow Bosses'!$J$5:$J$53&gt;0)+('Yellow Bosses'!$P$5:$P$53&gt;0)+('Yellow Bosses'!$S$5:$S$53&gt;0)+('Yellow Bosses'!$T$5:$T$53&gt;0))=0))</f>
        <v>0</v>
      </c>
      <c r="J46" s="25" t="n">
        <f aca="false">SUMPRODUCT(--(((Effectiveness!$G$5:$G$155&gt;=2)+(Effectiveness!$M$5:$M$155&gt;=2)+(Effectiveness!$P$5:$P$155&gt;=2)+(Effectiveness!$Q$5:$Q$155&gt;=2))&gt;0))</f>
        <v>107</v>
      </c>
      <c r="K46" s="26" t="n">
        <f aca="false">J46/151</f>
        <v>0.708609271523179</v>
      </c>
      <c r="L46" s="25" t="n">
        <f aca="false">MIN(INDEX('Move Reality'!$F$5:$F$19,MATCH(B46,'Move Reality'!$A$5:$A$19,0)),INDEX('Move Reality'!$F$5:$F$19,MATCH(C46,'Move Reality'!$A$5:$A$19,0)),INDEX('Move Reality'!$F$5:$F$19,MATCH(D46,'Move Reality'!$A$5:$A$19,0)),INDEX('Move Reality'!$F$5:$F$19,MATCH(E46,'Move Reality'!$A$5:$A$19,0)))</f>
        <v>1</v>
      </c>
      <c r="M46" s="28" t="str">
        <f aca="false">IF(L46&gt;=5,"YES","no - dead move")</f>
        <v>no - dead move</v>
      </c>
    </row>
    <row r="47" customFormat="false" ht="15" hidden="false" customHeight="false" outlineLevel="0" collapsed="false">
      <c r="A47" s="17" t="n">
        <v>43</v>
      </c>
      <c r="B47" s="17" t="s">
        <v>42</v>
      </c>
      <c r="C47" s="17" t="s">
        <v>46</v>
      </c>
      <c r="D47" s="17" t="s">
        <v>50</v>
      </c>
      <c r="E47" s="17" t="s">
        <v>51</v>
      </c>
      <c r="F47" s="25" t="n">
        <f aca="false">SUMPRODUCT(--((('Yellow Bosses'!$J$5:$J$53&gt;=2)+('Yellow Bosses'!$N$5:$N$53&gt;=2)+('Yellow Bosses'!$R$5:$R$53&gt;=2)+('Yellow Bosses'!$S$5:$S$53&gt;=2))&gt;0))</f>
        <v>41</v>
      </c>
      <c r="G47" s="26" t="n">
        <f aca="false">F47/49</f>
        <v>0.836734693877551</v>
      </c>
      <c r="H47" s="25" t="n">
        <f aca="false">49-SUMPRODUCT(--((('Yellow Bosses'!$J$5:$J$53&gt;=1)+('Yellow Bosses'!$N$5:$N$53&gt;=1)+('Yellow Bosses'!$R$5:$R$53&gt;=1)+('Yellow Bosses'!$S$5:$S$53&gt;=1))&gt;0))</f>
        <v>0</v>
      </c>
      <c r="I47" s="25" t="n">
        <f aca="false">SUMPRODUCT(--((('Yellow Bosses'!$J$5:$J$53&gt;0)+('Yellow Bosses'!$N$5:$N$53&gt;0)+('Yellow Bosses'!$R$5:$R$53&gt;0)+('Yellow Bosses'!$S$5:$S$53&gt;0))=0))</f>
        <v>0</v>
      </c>
      <c r="J47" s="25" t="n">
        <f aca="false">SUMPRODUCT(--(((Effectiveness!$G$5:$G$155&gt;=2)+(Effectiveness!$K$5:$K$155&gt;=2)+(Effectiveness!$O$5:$O$155&gt;=2)+(Effectiveness!$P$5:$P$155&gt;=2))&gt;0))</f>
        <v>106</v>
      </c>
      <c r="K47" s="26" t="n">
        <f aca="false">J47/151</f>
        <v>0.701986754966887</v>
      </c>
      <c r="L47" s="25" t="n">
        <f aca="false">MIN(INDEX('Move Reality'!$F$5:$F$19,MATCH(B47,'Move Reality'!$A$5:$A$19,0)),INDEX('Move Reality'!$F$5:$F$19,MATCH(C47,'Move Reality'!$A$5:$A$19,0)),INDEX('Move Reality'!$F$5:$F$19,MATCH(D47,'Move Reality'!$A$5:$A$19,0)),INDEX('Move Reality'!$F$5:$F$19,MATCH(E47,'Move Reality'!$A$5:$A$19,0)))</f>
        <v>1</v>
      </c>
      <c r="M47" s="28" t="str">
        <f aca="false">IF(L47&gt;=5,"YES","no - dead move")</f>
        <v>no - dead move</v>
      </c>
    </row>
    <row r="48" customFormat="false" ht="15" hidden="false" customHeight="false" outlineLevel="0" collapsed="false">
      <c r="A48" s="17" t="n">
        <v>44</v>
      </c>
      <c r="B48" s="17" t="s">
        <v>48</v>
      </c>
      <c r="C48" s="17" t="s">
        <v>51</v>
      </c>
      <c r="D48" s="17" t="s">
        <v>52</v>
      </c>
      <c r="E48" s="17" t="s">
        <v>54</v>
      </c>
      <c r="F48" s="25" t="n">
        <f aca="false">SUMPRODUCT(--((('Yellow Bosses'!$P$5:$P$53&gt;=2)+('Yellow Bosses'!$S$5:$S$53&gt;=2)+('Yellow Bosses'!$T$5:$T$53&gt;=2)+('Yellow Bosses'!$V$5:$V$53&gt;=2))&gt;0))</f>
        <v>41</v>
      </c>
      <c r="G48" s="26" t="n">
        <f aca="false">F48/49</f>
        <v>0.836734693877551</v>
      </c>
      <c r="H48" s="25" t="n">
        <f aca="false">49-SUMPRODUCT(--((('Yellow Bosses'!$P$5:$P$53&gt;=1)+('Yellow Bosses'!$S$5:$S$53&gt;=1)+('Yellow Bosses'!$T$5:$T$53&gt;=1)+('Yellow Bosses'!$V$5:$V$53&gt;=1))&gt;0))</f>
        <v>0</v>
      </c>
      <c r="I48" s="25" t="n">
        <f aca="false">SUMPRODUCT(--((('Yellow Bosses'!$P$5:$P$53&gt;0)+('Yellow Bosses'!$S$5:$S$53&gt;0)+('Yellow Bosses'!$T$5:$T$53&gt;0)+('Yellow Bosses'!$V$5:$V$53&gt;0))=0))</f>
        <v>0</v>
      </c>
      <c r="J48" s="25" t="n">
        <f aca="false">SUMPRODUCT(--(((Effectiveness!$M$5:$M$155&gt;=2)+(Effectiveness!$P$5:$P$155&gt;=2)+(Effectiveness!$Q$5:$Q$155&gt;=2)+(Effectiveness!$S$5:$S$155&gt;=2))&gt;0))</f>
        <v>103</v>
      </c>
      <c r="K48" s="26" t="n">
        <f aca="false">J48/151</f>
        <v>0.682119205298013</v>
      </c>
      <c r="L48" s="25" t="n">
        <f aca="false">MIN(INDEX('Move Reality'!$F$5:$F$19,MATCH(B48,'Move Reality'!$A$5:$A$19,0)),INDEX('Move Reality'!$F$5:$F$19,MATCH(C48,'Move Reality'!$A$5:$A$19,0)),INDEX('Move Reality'!$F$5:$F$19,MATCH(D48,'Move Reality'!$A$5:$A$19,0)),INDEX('Move Reality'!$F$5:$F$19,MATCH(E48,'Move Reality'!$A$5:$A$19,0)))</f>
        <v>1</v>
      </c>
      <c r="M48" s="28" t="str">
        <f aca="false">IF(L48&gt;=5,"YES","no - dead move")</f>
        <v>no - dead move</v>
      </c>
    </row>
    <row r="49" customFormat="false" ht="15" hidden="false" customHeight="false" outlineLevel="0" collapsed="false">
      <c r="A49" s="17" t="n">
        <v>45</v>
      </c>
      <c r="B49" s="17" t="s">
        <v>45</v>
      </c>
      <c r="C49" s="17" t="s">
        <v>49</v>
      </c>
      <c r="D49" s="17" t="s">
        <v>51</v>
      </c>
      <c r="E49" s="17" t="s">
        <v>52</v>
      </c>
      <c r="F49" s="25" t="n">
        <f aca="false">SUMPRODUCT(--((('Yellow Bosses'!$M$5:$M$53&gt;=2)+('Yellow Bosses'!$Q$5:$Q$53&gt;=2)+('Yellow Bosses'!$S$5:$S$53&gt;=2)+('Yellow Bosses'!$T$5:$T$53&gt;=2))&gt;0))</f>
        <v>41</v>
      </c>
      <c r="G49" s="26" t="n">
        <f aca="false">F49/49</f>
        <v>0.836734693877551</v>
      </c>
      <c r="H49" s="25" t="n">
        <f aca="false">49-SUMPRODUCT(--((('Yellow Bosses'!$M$5:$M$53&gt;=1)+('Yellow Bosses'!$Q$5:$Q$53&gt;=1)+('Yellow Bosses'!$S$5:$S$53&gt;=1)+('Yellow Bosses'!$T$5:$T$53&gt;=1))&gt;0))</f>
        <v>0</v>
      </c>
      <c r="I49" s="25" t="n">
        <f aca="false">SUMPRODUCT(--((('Yellow Bosses'!$M$5:$M$53&gt;0)+('Yellow Bosses'!$Q$5:$Q$53&gt;0)+('Yellow Bosses'!$S$5:$S$53&gt;0)+('Yellow Bosses'!$T$5:$T$53&gt;0))=0))</f>
        <v>0</v>
      </c>
      <c r="J49" s="25" t="n">
        <f aca="false">SUMPRODUCT(--(((Effectiveness!$J$5:$J$155&gt;=2)+(Effectiveness!$N$5:$N$155&gt;=2)+(Effectiveness!$P$5:$P$155&gt;=2)+(Effectiveness!$Q$5:$Q$155&gt;=2))&gt;0))</f>
        <v>102</v>
      </c>
      <c r="K49" s="26" t="n">
        <f aca="false">J49/151</f>
        <v>0.675496688741722</v>
      </c>
      <c r="L49" s="25" t="n">
        <f aca="false">MIN(INDEX('Move Reality'!$F$5:$F$19,MATCH(B49,'Move Reality'!$A$5:$A$19,0)),INDEX('Move Reality'!$F$5:$F$19,MATCH(C49,'Move Reality'!$A$5:$A$19,0)),INDEX('Move Reality'!$F$5:$F$19,MATCH(D49,'Move Reality'!$A$5:$A$19,0)),INDEX('Move Reality'!$F$5:$F$19,MATCH(E49,'Move Reality'!$A$5:$A$19,0)))</f>
        <v>1</v>
      </c>
      <c r="M49" s="28" t="str">
        <f aca="false">IF(L49&gt;=5,"YES","no - dead move")</f>
        <v>no - dead move</v>
      </c>
    </row>
    <row r="50" customFormat="false" ht="15" hidden="false" customHeight="false" outlineLevel="0" collapsed="false">
      <c r="A50" s="17" t="n">
        <v>46</v>
      </c>
      <c r="B50" s="17" t="s">
        <v>45</v>
      </c>
      <c r="C50" s="17" t="s">
        <v>51</v>
      </c>
      <c r="D50" s="17" t="s">
        <v>52</v>
      </c>
      <c r="E50" s="17" t="s">
        <v>53</v>
      </c>
      <c r="F50" s="25" t="n">
        <f aca="false">SUMPRODUCT(--((('Yellow Bosses'!$M$5:$M$53&gt;=2)+('Yellow Bosses'!$S$5:$S$53&gt;=2)+('Yellow Bosses'!$T$5:$T$53&gt;=2)+('Yellow Bosses'!$U$5:$U$53&gt;=2))&gt;0))</f>
        <v>41</v>
      </c>
      <c r="G50" s="26" t="n">
        <f aca="false">F50/49</f>
        <v>0.836734693877551</v>
      </c>
      <c r="H50" s="25" t="n">
        <f aca="false">49-SUMPRODUCT(--((('Yellow Bosses'!$M$5:$M$53&gt;=1)+('Yellow Bosses'!$S$5:$S$53&gt;=1)+('Yellow Bosses'!$T$5:$T$53&gt;=1)+('Yellow Bosses'!$U$5:$U$53&gt;=1))&gt;0))</f>
        <v>0</v>
      </c>
      <c r="I50" s="25" t="n">
        <f aca="false">SUMPRODUCT(--((('Yellow Bosses'!$M$5:$M$53&gt;0)+('Yellow Bosses'!$S$5:$S$53&gt;0)+('Yellow Bosses'!$T$5:$T$53&gt;0)+('Yellow Bosses'!$U$5:$U$53&gt;0))=0))</f>
        <v>0</v>
      </c>
      <c r="J50" s="25" t="n">
        <f aca="false">SUMPRODUCT(--(((Effectiveness!$J$5:$J$155&gt;=2)+(Effectiveness!$P$5:$P$155&gt;=2)+(Effectiveness!$Q$5:$Q$155&gt;=2)+(Effectiveness!$R$5:$R$155&gt;=2))&gt;0))</f>
        <v>97</v>
      </c>
      <c r="K50" s="26" t="n">
        <f aca="false">J50/151</f>
        <v>0.642384105960265</v>
      </c>
      <c r="L50" s="25" t="n">
        <f aca="false">MIN(INDEX('Move Reality'!$F$5:$F$19,MATCH(B50,'Move Reality'!$A$5:$A$19,0)),INDEX('Move Reality'!$F$5:$F$19,MATCH(C50,'Move Reality'!$A$5:$A$19,0)),INDEX('Move Reality'!$F$5:$F$19,MATCH(D50,'Move Reality'!$A$5:$A$19,0)),INDEX('Move Reality'!$F$5:$F$19,MATCH(E50,'Move Reality'!$A$5:$A$19,0)))</f>
        <v>1</v>
      </c>
      <c r="M50" s="28" t="str">
        <f aca="false">IF(L50&gt;=5,"YES","no - dead move")</f>
        <v>no - dead move</v>
      </c>
    </row>
    <row r="51" customFormat="false" ht="15" hidden="false" customHeight="false" outlineLevel="0" collapsed="false">
      <c r="A51" s="17" t="n">
        <v>47</v>
      </c>
      <c r="B51" s="17" t="s">
        <v>42</v>
      </c>
      <c r="C51" s="17" t="s">
        <v>43</v>
      </c>
      <c r="D51" s="17" t="s">
        <v>48</v>
      </c>
      <c r="E51" s="17" t="s">
        <v>49</v>
      </c>
      <c r="F51" s="25" t="n">
        <f aca="false">SUMPRODUCT(--((('Yellow Bosses'!$J$5:$J$53&gt;=2)+('Yellow Bosses'!$K$5:$K$53&gt;=2)+('Yellow Bosses'!$P$5:$P$53&gt;=2)+('Yellow Bosses'!$Q$5:$Q$53&gt;=2))&gt;0))</f>
        <v>40</v>
      </c>
      <c r="G51" s="26" t="n">
        <f aca="false">F51/49</f>
        <v>0.816326530612245</v>
      </c>
      <c r="H51" s="25" t="n">
        <f aca="false">49-SUMPRODUCT(--((('Yellow Bosses'!$J$5:$J$53&gt;=1)+('Yellow Bosses'!$K$5:$K$53&gt;=1)+('Yellow Bosses'!$P$5:$P$53&gt;=1)+('Yellow Bosses'!$Q$5:$Q$53&gt;=1))&gt;0))</f>
        <v>0</v>
      </c>
      <c r="I51" s="25" t="n">
        <f aca="false">SUMPRODUCT(--((('Yellow Bosses'!$J$5:$J$53&gt;0)+('Yellow Bosses'!$K$5:$K$53&gt;0)+('Yellow Bosses'!$P$5:$P$53&gt;0)+('Yellow Bosses'!$Q$5:$Q$53&gt;0))=0))</f>
        <v>0</v>
      </c>
      <c r="J51" s="25" t="n">
        <f aca="false">SUMPRODUCT(--(((Effectiveness!$G$5:$G$155&gt;=2)+(Effectiveness!$H$5:$H$155&gt;=2)+(Effectiveness!$M$5:$M$155&gt;=2)+(Effectiveness!$N$5:$N$155&gt;=2))&gt;0))</f>
        <v>122</v>
      </c>
      <c r="K51" s="26" t="n">
        <f aca="false">J51/151</f>
        <v>0.80794701986755</v>
      </c>
      <c r="L51" s="25" t="n">
        <f aca="false">MIN(INDEX('Move Reality'!$F$5:$F$19,MATCH(B51,'Move Reality'!$A$5:$A$19,0)),INDEX('Move Reality'!$F$5:$F$19,MATCH(C51,'Move Reality'!$A$5:$A$19,0)),INDEX('Move Reality'!$F$5:$F$19,MATCH(D51,'Move Reality'!$A$5:$A$19,0)),INDEX('Move Reality'!$F$5:$F$19,MATCH(E51,'Move Reality'!$A$5:$A$19,0)))</f>
        <v>5</v>
      </c>
      <c r="M51" s="28" t="str">
        <f aca="false">IF(L51&gt;=5,"YES","no - dead move")</f>
        <v>YES</v>
      </c>
    </row>
    <row r="52" customFormat="false" ht="15" hidden="false" customHeight="false" outlineLevel="0" collapsed="false">
      <c r="A52" s="17" t="n">
        <v>48</v>
      </c>
      <c r="B52" s="17" t="s">
        <v>43</v>
      </c>
      <c r="C52" s="17" t="s">
        <v>44</v>
      </c>
      <c r="D52" s="17" t="s">
        <v>48</v>
      </c>
      <c r="E52" s="17" t="s">
        <v>49</v>
      </c>
      <c r="F52" s="25" t="n">
        <f aca="false">SUMPRODUCT(--((('Yellow Bosses'!$K$5:$K$53&gt;=2)+('Yellow Bosses'!$L$5:$L$53&gt;=2)+('Yellow Bosses'!$P$5:$P$53&gt;=2)+('Yellow Bosses'!$Q$5:$Q$53&gt;=2))&gt;0))</f>
        <v>40</v>
      </c>
      <c r="G52" s="26" t="n">
        <f aca="false">F52/49</f>
        <v>0.816326530612245</v>
      </c>
      <c r="H52" s="25" t="n">
        <f aca="false">49-SUMPRODUCT(--((('Yellow Bosses'!$K$5:$K$53&gt;=1)+('Yellow Bosses'!$L$5:$L$53&gt;=1)+('Yellow Bosses'!$P$5:$P$53&gt;=1)+('Yellow Bosses'!$Q$5:$Q$53&gt;=1))&gt;0))</f>
        <v>0</v>
      </c>
      <c r="I52" s="25" t="n">
        <f aca="false">SUMPRODUCT(--((('Yellow Bosses'!$K$5:$K$53&gt;0)+('Yellow Bosses'!$L$5:$L$53&gt;0)+('Yellow Bosses'!$P$5:$P$53&gt;0)+('Yellow Bosses'!$Q$5:$Q$53&gt;0))=0))</f>
        <v>0</v>
      </c>
      <c r="J52" s="25" t="n">
        <f aca="false">SUMPRODUCT(--(((Effectiveness!$H$5:$H$155&gt;=2)+(Effectiveness!$I$5:$I$155&gt;=2)+(Effectiveness!$M$5:$M$155&gt;=2)+(Effectiveness!$N$5:$N$155&gt;=2))&gt;0))</f>
        <v>122</v>
      </c>
      <c r="K52" s="26" t="n">
        <f aca="false">J52/151</f>
        <v>0.80794701986755</v>
      </c>
      <c r="L52" s="25" t="n">
        <f aca="false">MIN(INDEX('Move Reality'!$F$5:$F$19,MATCH(B52,'Move Reality'!$A$5:$A$19,0)),INDEX('Move Reality'!$F$5:$F$19,MATCH(C52,'Move Reality'!$A$5:$A$19,0)),INDEX('Move Reality'!$F$5:$F$19,MATCH(D52,'Move Reality'!$A$5:$A$19,0)),INDEX('Move Reality'!$F$5:$F$19,MATCH(E52,'Move Reality'!$A$5:$A$19,0)))</f>
        <v>4</v>
      </c>
      <c r="M52" s="28" t="str">
        <f aca="false">IF(L52&gt;=5,"YES","no - dead move")</f>
        <v>no - dead move</v>
      </c>
    </row>
    <row r="53" customFormat="false" ht="15" hidden="false" customHeight="false" outlineLevel="0" collapsed="false">
      <c r="A53" s="17" t="n">
        <v>49</v>
      </c>
      <c r="B53" s="17" t="s">
        <v>44</v>
      </c>
      <c r="C53" s="17" t="s">
        <v>48</v>
      </c>
      <c r="D53" s="17" t="s">
        <v>50</v>
      </c>
      <c r="E53" s="17" t="s">
        <v>52</v>
      </c>
      <c r="F53" s="25" t="n">
        <f aca="false">SUMPRODUCT(--((('Yellow Bosses'!$L$5:$L$53&gt;=2)+('Yellow Bosses'!$P$5:$P$53&gt;=2)+('Yellow Bosses'!$R$5:$R$53&gt;=2)+('Yellow Bosses'!$T$5:$T$53&gt;=2))&gt;0))</f>
        <v>40</v>
      </c>
      <c r="G53" s="26" t="n">
        <f aca="false">F53/49</f>
        <v>0.816326530612245</v>
      </c>
      <c r="H53" s="25" t="n">
        <f aca="false">49-SUMPRODUCT(--((('Yellow Bosses'!$L$5:$L$53&gt;=1)+('Yellow Bosses'!$P$5:$P$53&gt;=1)+('Yellow Bosses'!$R$5:$R$53&gt;=1)+('Yellow Bosses'!$T$5:$T$53&gt;=1))&gt;0))</f>
        <v>0</v>
      </c>
      <c r="I53" s="25" t="n">
        <f aca="false">SUMPRODUCT(--((('Yellow Bosses'!$L$5:$L$53&gt;0)+('Yellow Bosses'!$P$5:$P$53&gt;0)+('Yellow Bosses'!$R$5:$R$53&gt;0)+('Yellow Bosses'!$T$5:$T$53&gt;0))=0))</f>
        <v>0</v>
      </c>
      <c r="J53" s="25" t="n">
        <f aca="false">SUMPRODUCT(--(((Effectiveness!$I$5:$I$155&gt;=2)+(Effectiveness!$M$5:$M$155&gt;=2)+(Effectiveness!$O$5:$O$155&gt;=2)+(Effectiveness!$Q$5:$Q$155&gt;=2))&gt;0))</f>
        <v>122</v>
      </c>
      <c r="K53" s="26" t="n">
        <f aca="false">J53/151</f>
        <v>0.80794701986755</v>
      </c>
      <c r="L53" s="25" t="n">
        <f aca="false">MIN(INDEX('Move Reality'!$F$5:$F$19,MATCH(B53,'Move Reality'!$A$5:$A$19,0)),INDEX('Move Reality'!$F$5:$F$19,MATCH(C53,'Move Reality'!$A$5:$A$19,0)),INDEX('Move Reality'!$F$5:$F$19,MATCH(D53,'Move Reality'!$A$5:$A$19,0)),INDEX('Move Reality'!$F$5:$F$19,MATCH(E53,'Move Reality'!$A$5:$A$19,0)))</f>
        <v>4</v>
      </c>
      <c r="M53" s="28" t="str">
        <f aca="false">IF(L53&gt;=5,"YES","no - dead move")</f>
        <v>no - dead move</v>
      </c>
    </row>
    <row r="54" customFormat="false" ht="15" hidden="false" customHeight="false" outlineLevel="0" collapsed="false">
      <c r="A54" s="17" t="n">
        <v>50</v>
      </c>
      <c r="B54" s="17" t="s">
        <v>42</v>
      </c>
      <c r="C54" s="17" t="s">
        <v>43</v>
      </c>
      <c r="D54" s="17" t="s">
        <v>49</v>
      </c>
      <c r="E54" s="17" t="s">
        <v>51</v>
      </c>
      <c r="F54" s="25" t="n">
        <f aca="false">SUMPRODUCT(--((('Yellow Bosses'!$J$5:$J$53&gt;=2)+('Yellow Bosses'!$K$5:$K$53&gt;=2)+('Yellow Bosses'!$Q$5:$Q$53&gt;=2)+('Yellow Bosses'!$S$5:$S$53&gt;=2))&gt;0))</f>
        <v>40</v>
      </c>
      <c r="G54" s="26" t="n">
        <f aca="false">F54/49</f>
        <v>0.816326530612245</v>
      </c>
      <c r="H54" s="25" t="n">
        <f aca="false">49-SUMPRODUCT(--((('Yellow Bosses'!$J$5:$J$53&gt;=1)+('Yellow Bosses'!$K$5:$K$53&gt;=1)+('Yellow Bosses'!$Q$5:$Q$53&gt;=1)+('Yellow Bosses'!$S$5:$S$53&gt;=1))&gt;0))</f>
        <v>0</v>
      </c>
      <c r="I54" s="25" t="n">
        <f aca="false">SUMPRODUCT(--((('Yellow Bosses'!$J$5:$J$53&gt;0)+('Yellow Bosses'!$K$5:$K$53&gt;0)+('Yellow Bosses'!$Q$5:$Q$53&gt;0)+('Yellow Bosses'!$S$5:$S$53&gt;0))=0))</f>
        <v>0</v>
      </c>
      <c r="J54" s="25" t="n">
        <f aca="false">SUMPRODUCT(--(((Effectiveness!$G$5:$G$155&gt;=2)+(Effectiveness!$H$5:$H$155&gt;=2)+(Effectiveness!$N$5:$N$155&gt;=2)+(Effectiveness!$P$5:$P$155&gt;=2))&gt;0))</f>
        <v>120</v>
      </c>
      <c r="K54" s="26" t="n">
        <f aca="false">J54/151</f>
        <v>0.794701986754967</v>
      </c>
      <c r="L54" s="25" t="n">
        <f aca="false">MIN(INDEX('Move Reality'!$F$5:$F$19,MATCH(B54,'Move Reality'!$A$5:$A$19,0)),INDEX('Move Reality'!$F$5:$F$19,MATCH(C54,'Move Reality'!$A$5:$A$19,0)),INDEX('Move Reality'!$F$5:$F$19,MATCH(D54,'Move Reality'!$A$5:$A$19,0)),INDEX('Move Reality'!$F$5:$F$19,MATCH(E54,'Move Reality'!$A$5:$A$19,0)))</f>
        <v>1</v>
      </c>
      <c r="M54" s="28" t="str">
        <f aca="false">IF(L54&gt;=5,"YES","no - dead move")</f>
        <v>no - dead move</v>
      </c>
    </row>
    <row r="55" customFormat="false" ht="15" hidden="false" customHeight="false" outlineLevel="0" collapsed="false">
      <c r="A55" s="17" t="n">
        <v>51</v>
      </c>
      <c r="B55" s="17" t="s">
        <v>44</v>
      </c>
      <c r="C55" s="17" t="s">
        <v>46</v>
      </c>
      <c r="D55" s="17" t="s">
        <v>48</v>
      </c>
      <c r="E55" s="17" t="s">
        <v>51</v>
      </c>
      <c r="F55" s="25" t="n">
        <f aca="false">SUMPRODUCT(--((('Yellow Bosses'!$L$5:$L$53&gt;=2)+('Yellow Bosses'!$N$5:$N$53&gt;=2)+('Yellow Bosses'!$P$5:$P$53&gt;=2)+('Yellow Bosses'!$S$5:$S$53&gt;=2))&gt;0))</f>
        <v>40</v>
      </c>
      <c r="G55" s="26" t="n">
        <f aca="false">F55/49</f>
        <v>0.816326530612245</v>
      </c>
      <c r="H55" s="25" t="n">
        <f aca="false">49-SUMPRODUCT(--((('Yellow Bosses'!$L$5:$L$53&gt;=1)+('Yellow Bosses'!$N$5:$N$53&gt;=1)+('Yellow Bosses'!$P$5:$P$53&gt;=1)+('Yellow Bosses'!$S$5:$S$53&gt;=1))&gt;0))</f>
        <v>1</v>
      </c>
      <c r="I55" s="25" t="n">
        <f aca="false">SUMPRODUCT(--((('Yellow Bosses'!$L$5:$L$53&gt;0)+('Yellow Bosses'!$N$5:$N$53&gt;0)+('Yellow Bosses'!$P$5:$P$53&gt;0)+('Yellow Bosses'!$S$5:$S$53&gt;0))=0))</f>
        <v>0</v>
      </c>
      <c r="J55" s="25" t="n">
        <f aca="false">SUMPRODUCT(--(((Effectiveness!$I$5:$I$155&gt;=2)+(Effectiveness!$K$5:$K$155&gt;=2)+(Effectiveness!$M$5:$M$155&gt;=2)+(Effectiveness!$P$5:$P$155&gt;=2))&gt;0))</f>
        <v>120</v>
      </c>
      <c r="K55" s="26" t="n">
        <f aca="false">J55/151</f>
        <v>0.794701986754967</v>
      </c>
      <c r="L55" s="25" t="n">
        <f aca="false">MIN(INDEX('Move Reality'!$F$5:$F$19,MATCH(B55,'Move Reality'!$A$5:$A$19,0)),INDEX('Move Reality'!$F$5:$F$19,MATCH(C55,'Move Reality'!$A$5:$A$19,0)),INDEX('Move Reality'!$F$5:$F$19,MATCH(D55,'Move Reality'!$A$5:$A$19,0)),INDEX('Move Reality'!$F$5:$F$19,MATCH(E55,'Move Reality'!$A$5:$A$19,0)))</f>
        <v>1</v>
      </c>
      <c r="M55" s="28" t="str">
        <f aca="false">IF(L55&gt;=5,"YES","no - dead move")</f>
        <v>no - dead move</v>
      </c>
    </row>
    <row r="56" customFormat="false" ht="15" hidden="false" customHeight="false" outlineLevel="0" collapsed="false">
      <c r="A56" s="17" t="n">
        <v>52</v>
      </c>
      <c r="B56" s="17" t="s">
        <v>41</v>
      </c>
      <c r="C56" s="17" t="s">
        <v>44</v>
      </c>
      <c r="D56" s="17" t="s">
        <v>45</v>
      </c>
      <c r="E56" s="17" t="s">
        <v>48</v>
      </c>
      <c r="F56" s="25" t="n">
        <f aca="false">SUMPRODUCT(--((('Yellow Bosses'!$I$5:$I$53&gt;=2)+('Yellow Bosses'!$L$5:$L$53&gt;=2)+('Yellow Bosses'!$M$5:$M$53&gt;=2)+('Yellow Bosses'!$P$5:$P$53&gt;=2))&gt;0))</f>
        <v>40</v>
      </c>
      <c r="G56" s="26" t="n">
        <f aca="false">F56/49</f>
        <v>0.816326530612245</v>
      </c>
      <c r="H56" s="25" t="n">
        <f aca="false">49-SUMPRODUCT(--((('Yellow Bosses'!$I$5:$I$53&gt;=1)+('Yellow Bosses'!$L$5:$L$53&gt;=1)+('Yellow Bosses'!$M$5:$M$53&gt;=1)+('Yellow Bosses'!$P$5:$P$53&gt;=1))&gt;0))</f>
        <v>0</v>
      </c>
      <c r="I56" s="25" t="n">
        <f aca="false">SUMPRODUCT(--((('Yellow Bosses'!$I$5:$I$53&gt;0)+('Yellow Bosses'!$L$5:$L$53&gt;0)+('Yellow Bosses'!$M$5:$M$53&gt;0)+('Yellow Bosses'!$P$5:$P$53&gt;0))=0))</f>
        <v>0</v>
      </c>
      <c r="J56" s="25" t="n">
        <f aca="false">SUMPRODUCT(--(((Effectiveness!$F$5:$F$155&gt;=2)+(Effectiveness!$I$5:$I$155&gt;=2)+(Effectiveness!$J$5:$J$155&gt;=2)+(Effectiveness!$M$5:$M$155&gt;=2))&gt;0))</f>
        <v>119</v>
      </c>
      <c r="K56" s="26" t="n">
        <f aca="false">J56/151</f>
        <v>0.788079470198676</v>
      </c>
      <c r="L56" s="25" t="n">
        <f aca="false">MIN(INDEX('Move Reality'!$F$5:$F$19,MATCH(B56,'Move Reality'!$A$5:$A$19,0)),INDEX('Move Reality'!$F$5:$F$19,MATCH(C56,'Move Reality'!$A$5:$A$19,0)),INDEX('Move Reality'!$F$5:$F$19,MATCH(D56,'Move Reality'!$A$5:$A$19,0)),INDEX('Move Reality'!$F$5:$F$19,MATCH(E56,'Move Reality'!$A$5:$A$19,0)))</f>
        <v>4</v>
      </c>
      <c r="M56" s="28" t="str">
        <f aca="false">IF(L56&gt;=5,"YES","no - dead move")</f>
        <v>no - dead move</v>
      </c>
    </row>
    <row r="57" customFormat="false" ht="15" hidden="false" customHeight="false" outlineLevel="0" collapsed="false">
      <c r="A57" s="17" t="n">
        <v>53</v>
      </c>
      <c r="B57" s="17" t="s">
        <v>43</v>
      </c>
      <c r="C57" s="17" t="s">
        <v>48</v>
      </c>
      <c r="D57" s="17" t="s">
        <v>49</v>
      </c>
      <c r="E57" s="17" t="s">
        <v>52</v>
      </c>
      <c r="F57" s="25" t="n">
        <f aca="false">SUMPRODUCT(--((('Yellow Bosses'!$K$5:$K$53&gt;=2)+('Yellow Bosses'!$P$5:$P$53&gt;=2)+('Yellow Bosses'!$Q$5:$Q$53&gt;=2)+('Yellow Bosses'!$T$5:$T$53&gt;=2))&gt;0))</f>
        <v>40</v>
      </c>
      <c r="G57" s="26" t="n">
        <f aca="false">F57/49</f>
        <v>0.816326530612245</v>
      </c>
      <c r="H57" s="25" t="n">
        <f aca="false">49-SUMPRODUCT(--((('Yellow Bosses'!$K$5:$K$53&gt;=1)+('Yellow Bosses'!$P$5:$P$53&gt;=1)+('Yellow Bosses'!$Q$5:$Q$53&gt;=1)+('Yellow Bosses'!$T$5:$T$53&gt;=1))&gt;0))</f>
        <v>0</v>
      </c>
      <c r="I57" s="25" t="n">
        <f aca="false">SUMPRODUCT(--((('Yellow Bosses'!$K$5:$K$53&gt;0)+('Yellow Bosses'!$P$5:$P$53&gt;0)+('Yellow Bosses'!$Q$5:$Q$53&gt;0)+('Yellow Bosses'!$T$5:$T$53&gt;0))=0))</f>
        <v>0</v>
      </c>
      <c r="J57" s="25" t="n">
        <f aca="false">SUMPRODUCT(--(((Effectiveness!$H$5:$H$155&gt;=2)+(Effectiveness!$M$5:$M$155&gt;=2)+(Effectiveness!$N$5:$N$155&gt;=2)+(Effectiveness!$Q$5:$Q$155&gt;=2))&gt;0))</f>
        <v>119</v>
      </c>
      <c r="K57" s="26" t="n">
        <f aca="false">J57/151</f>
        <v>0.788079470198676</v>
      </c>
      <c r="L57" s="25" t="n">
        <f aca="false">MIN(INDEX('Move Reality'!$F$5:$F$19,MATCH(B57,'Move Reality'!$A$5:$A$19,0)),INDEX('Move Reality'!$F$5:$F$19,MATCH(C57,'Move Reality'!$A$5:$A$19,0)),INDEX('Move Reality'!$F$5:$F$19,MATCH(D57,'Move Reality'!$A$5:$A$19,0)),INDEX('Move Reality'!$F$5:$F$19,MATCH(E57,'Move Reality'!$A$5:$A$19,0)))</f>
        <v>5</v>
      </c>
      <c r="M57" s="28" t="str">
        <f aca="false">IF(L57&gt;=5,"YES","no - dead move")</f>
        <v>YES</v>
      </c>
    </row>
    <row r="58" customFormat="false" ht="15" hidden="false" customHeight="false" outlineLevel="0" collapsed="false">
      <c r="A58" s="17" t="n">
        <v>54</v>
      </c>
      <c r="B58" s="17" t="s">
        <v>41</v>
      </c>
      <c r="C58" s="17" t="s">
        <v>43</v>
      </c>
      <c r="D58" s="17" t="s">
        <v>48</v>
      </c>
      <c r="E58" s="17" t="s">
        <v>51</v>
      </c>
      <c r="F58" s="25" t="n">
        <f aca="false">SUMPRODUCT(--((('Yellow Bosses'!$I$5:$I$53&gt;=2)+('Yellow Bosses'!$K$5:$K$53&gt;=2)+('Yellow Bosses'!$P$5:$P$53&gt;=2)+('Yellow Bosses'!$S$5:$S$53&gt;=2))&gt;0))</f>
        <v>40</v>
      </c>
      <c r="G58" s="26" t="n">
        <f aca="false">F58/49</f>
        <v>0.816326530612245</v>
      </c>
      <c r="H58" s="25" t="n">
        <f aca="false">49-SUMPRODUCT(--((('Yellow Bosses'!$I$5:$I$53&gt;=1)+('Yellow Bosses'!$K$5:$K$53&gt;=1)+('Yellow Bosses'!$P$5:$P$53&gt;=1)+('Yellow Bosses'!$S$5:$S$53&gt;=1))&gt;0))</f>
        <v>0</v>
      </c>
      <c r="I58" s="25" t="n">
        <f aca="false">SUMPRODUCT(--((('Yellow Bosses'!$I$5:$I$53&gt;0)+('Yellow Bosses'!$K$5:$K$53&gt;0)+('Yellow Bosses'!$P$5:$P$53&gt;0)+('Yellow Bosses'!$S$5:$S$53&gt;0))=0))</f>
        <v>0</v>
      </c>
      <c r="J58" s="25" t="n">
        <f aca="false">SUMPRODUCT(--(((Effectiveness!$F$5:$F$155&gt;=2)+(Effectiveness!$H$5:$H$155&gt;=2)+(Effectiveness!$M$5:$M$155&gt;=2)+(Effectiveness!$P$5:$P$155&gt;=2))&gt;0))</f>
        <v>118</v>
      </c>
      <c r="K58" s="26" t="n">
        <f aca="false">J58/151</f>
        <v>0.781456953642384</v>
      </c>
      <c r="L58" s="25" t="n">
        <f aca="false">MIN(INDEX('Move Reality'!$F$5:$F$19,MATCH(B58,'Move Reality'!$A$5:$A$19,0)),INDEX('Move Reality'!$F$5:$F$19,MATCH(C58,'Move Reality'!$A$5:$A$19,0)),INDEX('Move Reality'!$F$5:$F$19,MATCH(D58,'Move Reality'!$A$5:$A$19,0)),INDEX('Move Reality'!$F$5:$F$19,MATCH(E58,'Move Reality'!$A$5:$A$19,0)))</f>
        <v>1</v>
      </c>
      <c r="M58" s="28" t="str">
        <f aca="false">IF(L58&gt;=5,"YES","no - dead move")</f>
        <v>no - dead move</v>
      </c>
    </row>
    <row r="59" customFormat="false" ht="15" hidden="false" customHeight="false" outlineLevel="0" collapsed="false">
      <c r="A59" s="17" t="n">
        <v>55</v>
      </c>
      <c r="B59" s="17" t="s">
        <v>43</v>
      </c>
      <c r="C59" s="17" t="s">
        <v>47</v>
      </c>
      <c r="D59" s="17" t="s">
        <v>48</v>
      </c>
      <c r="E59" s="17" t="s">
        <v>51</v>
      </c>
      <c r="F59" s="25" t="n">
        <f aca="false">SUMPRODUCT(--((('Yellow Bosses'!$K$5:$K$53&gt;=2)+('Yellow Bosses'!$O$5:$O$53&gt;=2)+('Yellow Bosses'!$P$5:$P$53&gt;=2)+('Yellow Bosses'!$S$5:$S$53&gt;=2))&gt;0))</f>
        <v>40</v>
      </c>
      <c r="G59" s="26" t="n">
        <f aca="false">F59/49</f>
        <v>0.816326530612245</v>
      </c>
      <c r="H59" s="25" t="n">
        <f aca="false">49-SUMPRODUCT(--((('Yellow Bosses'!$K$5:$K$53&gt;=1)+('Yellow Bosses'!$O$5:$O$53&gt;=1)+('Yellow Bosses'!$P$5:$P$53&gt;=1)+('Yellow Bosses'!$S$5:$S$53&gt;=1))&gt;0))</f>
        <v>0</v>
      </c>
      <c r="I59" s="25" t="n">
        <f aca="false">SUMPRODUCT(--((('Yellow Bosses'!$K$5:$K$53&gt;0)+('Yellow Bosses'!$O$5:$O$53&gt;0)+('Yellow Bosses'!$P$5:$P$53&gt;0)+('Yellow Bosses'!$S$5:$S$53&gt;0))=0))</f>
        <v>0</v>
      </c>
      <c r="J59" s="25" t="n">
        <f aca="false">SUMPRODUCT(--(((Effectiveness!$H$5:$H$155&gt;=2)+(Effectiveness!$L$5:$L$155&gt;=2)+(Effectiveness!$M$5:$M$155&gt;=2)+(Effectiveness!$P$5:$P$155&gt;=2))&gt;0))</f>
        <v>118</v>
      </c>
      <c r="K59" s="26" t="n">
        <f aca="false">J59/151</f>
        <v>0.781456953642384</v>
      </c>
      <c r="L59" s="25" t="n">
        <f aca="false">MIN(INDEX('Move Reality'!$F$5:$F$19,MATCH(B59,'Move Reality'!$A$5:$A$19,0)),INDEX('Move Reality'!$F$5:$F$19,MATCH(C59,'Move Reality'!$A$5:$A$19,0)),INDEX('Move Reality'!$F$5:$F$19,MATCH(D59,'Move Reality'!$A$5:$A$19,0)),INDEX('Move Reality'!$F$5:$F$19,MATCH(E59,'Move Reality'!$A$5:$A$19,0)))</f>
        <v>1</v>
      </c>
      <c r="M59" s="28" t="str">
        <f aca="false">IF(L59&gt;=5,"YES","no - dead move")</f>
        <v>no - dead move</v>
      </c>
    </row>
    <row r="60" customFormat="false" ht="15" hidden="false" customHeight="false" outlineLevel="0" collapsed="false">
      <c r="A60" s="17" t="n">
        <v>56</v>
      </c>
      <c r="B60" s="17" t="s">
        <v>41</v>
      </c>
      <c r="C60" s="17" t="s">
        <v>44</v>
      </c>
      <c r="D60" s="17" t="s">
        <v>50</v>
      </c>
      <c r="E60" s="17" t="s">
        <v>52</v>
      </c>
      <c r="F60" s="25" t="n">
        <f aca="false">SUMPRODUCT(--((('Yellow Bosses'!$I$5:$I$53&gt;=2)+('Yellow Bosses'!$L$5:$L$53&gt;=2)+('Yellow Bosses'!$R$5:$R$53&gt;=2)+('Yellow Bosses'!$T$5:$T$53&gt;=2))&gt;0))</f>
        <v>40</v>
      </c>
      <c r="G60" s="26" t="n">
        <f aca="false">F60/49</f>
        <v>0.816326530612245</v>
      </c>
      <c r="H60" s="25" t="n">
        <f aca="false">49-SUMPRODUCT(--((('Yellow Bosses'!$I$5:$I$53&gt;=1)+('Yellow Bosses'!$L$5:$L$53&gt;=1)+('Yellow Bosses'!$R$5:$R$53&gt;=1)+('Yellow Bosses'!$T$5:$T$53&gt;=1))&gt;0))</f>
        <v>0</v>
      </c>
      <c r="I60" s="25" t="n">
        <f aca="false">SUMPRODUCT(--((('Yellow Bosses'!$I$5:$I$53&gt;0)+('Yellow Bosses'!$L$5:$L$53&gt;0)+('Yellow Bosses'!$R$5:$R$53&gt;0)+('Yellow Bosses'!$T$5:$T$53&gt;0))=0))</f>
        <v>0</v>
      </c>
      <c r="J60" s="25" t="n">
        <f aca="false">SUMPRODUCT(--(((Effectiveness!$F$5:$F$155&gt;=2)+(Effectiveness!$I$5:$I$155&gt;=2)+(Effectiveness!$O$5:$O$155&gt;=2)+(Effectiveness!$Q$5:$Q$155&gt;=2))&gt;0))</f>
        <v>117</v>
      </c>
      <c r="K60" s="26" t="n">
        <f aca="false">J60/151</f>
        <v>0.774834437086093</v>
      </c>
      <c r="L60" s="25" t="n">
        <f aca="false">MIN(INDEX('Move Reality'!$F$5:$F$19,MATCH(B60,'Move Reality'!$A$5:$A$19,0)),INDEX('Move Reality'!$F$5:$F$19,MATCH(C60,'Move Reality'!$A$5:$A$19,0)),INDEX('Move Reality'!$F$5:$F$19,MATCH(D60,'Move Reality'!$A$5:$A$19,0)),INDEX('Move Reality'!$F$5:$F$19,MATCH(E60,'Move Reality'!$A$5:$A$19,0)))</f>
        <v>4</v>
      </c>
      <c r="M60" s="28" t="str">
        <f aca="false">IF(L60&gt;=5,"YES","no - dead move")</f>
        <v>no - dead move</v>
      </c>
    </row>
    <row r="61" customFormat="false" ht="15" hidden="false" customHeight="false" outlineLevel="0" collapsed="false">
      <c r="A61" s="17" t="n">
        <v>57</v>
      </c>
      <c r="B61" s="17" t="s">
        <v>43</v>
      </c>
      <c r="C61" s="17" t="s">
        <v>45</v>
      </c>
      <c r="D61" s="17" t="s">
        <v>51</v>
      </c>
      <c r="E61" s="17" t="s">
        <v>52</v>
      </c>
      <c r="F61" s="25" t="n">
        <f aca="false">SUMPRODUCT(--((('Yellow Bosses'!$K$5:$K$53&gt;=2)+('Yellow Bosses'!$M$5:$M$53&gt;=2)+('Yellow Bosses'!$S$5:$S$53&gt;=2)+('Yellow Bosses'!$T$5:$T$53&gt;=2))&gt;0))</f>
        <v>40</v>
      </c>
      <c r="G61" s="26" t="n">
        <f aca="false">F61/49</f>
        <v>0.816326530612245</v>
      </c>
      <c r="H61" s="25" t="n">
        <f aca="false">49-SUMPRODUCT(--((('Yellow Bosses'!$K$5:$K$53&gt;=1)+('Yellow Bosses'!$M$5:$M$53&gt;=1)+('Yellow Bosses'!$S$5:$S$53&gt;=1)+('Yellow Bosses'!$T$5:$T$53&gt;=1))&gt;0))</f>
        <v>0</v>
      </c>
      <c r="I61" s="25" t="n">
        <f aca="false">SUMPRODUCT(--((('Yellow Bosses'!$K$5:$K$53&gt;0)+('Yellow Bosses'!$M$5:$M$53&gt;0)+('Yellow Bosses'!$S$5:$S$53&gt;0)+('Yellow Bosses'!$T$5:$T$53&gt;0))=0))</f>
        <v>0</v>
      </c>
      <c r="J61" s="25" t="n">
        <f aca="false">SUMPRODUCT(--(((Effectiveness!$H$5:$H$155&gt;=2)+(Effectiveness!$J$5:$J$155&gt;=2)+(Effectiveness!$P$5:$P$155&gt;=2)+(Effectiveness!$Q$5:$Q$155&gt;=2))&gt;0))</f>
        <v>117</v>
      </c>
      <c r="K61" s="26" t="n">
        <f aca="false">J61/151</f>
        <v>0.774834437086093</v>
      </c>
      <c r="L61" s="25" t="n">
        <f aca="false">MIN(INDEX('Move Reality'!$F$5:$F$19,MATCH(B61,'Move Reality'!$A$5:$A$19,0)),INDEX('Move Reality'!$F$5:$F$19,MATCH(C61,'Move Reality'!$A$5:$A$19,0)),INDEX('Move Reality'!$F$5:$F$19,MATCH(D61,'Move Reality'!$A$5:$A$19,0)),INDEX('Move Reality'!$F$5:$F$19,MATCH(E61,'Move Reality'!$A$5:$A$19,0)))</f>
        <v>1</v>
      </c>
      <c r="M61" s="28" t="str">
        <f aca="false">IF(L61&gt;=5,"YES","no - dead move")</f>
        <v>no - dead move</v>
      </c>
    </row>
    <row r="62" customFormat="false" ht="15" hidden="false" customHeight="false" outlineLevel="0" collapsed="false">
      <c r="A62" s="17" t="n">
        <v>58</v>
      </c>
      <c r="B62" s="17" t="s">
        <v>44</v>
      </c>
      <c r="C62" s="17" t="s">
        <v>45</v>
      </c>
      <c r="D62" s="17" t="s">
        <v>51</v>
      </c>
      <c r="E62" s="17" t="s">
        <v>52</v>
      </c>
      <c r="F62" s="25" t="n">
        <f aca="false">SUMPRODUCT(--((('Yellow Bosses'!$L$5:$L$53&gt;=2)+('Yellow Bosses'!$M$5:$M$53&gt;=2)+('Yellow Bosses'!$S$5:$S$53&gt;=2)+('Yellow Bosses'!$T$5:$T$53&gt;=2))&gt;0))</f>
        <v>40</v>
      </c>
      <c r="G62" s="26" t="n">
        <f aca="false">F62/49</f>
        <v>0.816326530612245</v>
      </c>
      <c r="H62" s="25" t="n">
        <f aca="false">49-SUMPRODUCT(--((('Yellow Bosses'!$L$5:$L$53&gt;=1)+('Yellow Bosses'!$M$5:$M$53&gt;=1)+('Yellow Bosses'!$S$5:$S$53&gt;=1)+('Yellow Bosses'!$T$5:$T$53&gt;=1))&gt;0))</f>
        <v>0</v>
      </c>
      <c r="I62" s="25" t="n">
        <f aca="false">SUMPRODUCT(--((('Yellow Bosses'!$L$5:$L$53&gt;0)+('Yellow Bosses'!$M$5:$M$53&gt;0)+('Yellow Bosses'!$S$5:$S$53&gt;0)+('Yellow Bosses'!$T$5:$T$53&gt;0))=0))</f>
        <v>0</v>
      </c>
      <c r="J62" s="25" t="n">
        <f aca="false">SUMPRODUCT(--(((Effectiveness!$I$5:$I$155&gt;=2)+(Effectiveness!$J$5:$J$155&gt;=2)+(Effectiveness!$P$5:$P$155&gt;=2)+(Effectiveness!$Q$5:$Q$155&gt;=2))&gt;0))</f>
        <v>117</v>
      </c>
      <c r="K62" s="26" t="n">
        <f aca="false">J62/151</f>
        <v>0.774834437086093</v>
      </c>
      <c r="L62" s="25" t="n">
        <f aca="false">MIN(INDEX('Move Reality'!$F$5:$F$19,MATCH(B62,'Move Reality'!$A$5:$A$19,0)),INDEX('Move Reality'!$F$5:$F$19,MATCH(C62,'Move Reality'!$A$5:$A$19,0)),INDEX('Move Reality'!$F$5:$F$19,MATCH(D62,'Move Reality'!$A$5:$A$19,0)),INDEX('Move Reality'!$F$5:$F$19,MATCH(E62,'Move Reality'!$A$5:$A$19,0)))</f>
        <v>1</v>
      </c>
      <c r="M62" s="28" t="str">
        <f aca="false">IF(L62&gt;=5,"YES","no - dead move")</f>
        <v>no - dead move</v>
      </c>
    </row>
    <row r="63" customFormat="false" ht="15" hidden="false" customHeight="false" outlineLevel="0" collapsed="false">
      <c r="A63" s="17" t="n">
        <v>59</v>
      </c>
      <c r="B63" s="17" t="s">
        <v>44</v>
      </c>
      <c r="C63" s="17" t="s">
        <v>47</v>
      </c>
      <c r="D63" s="17" t="s">
        <v>50</v>
      </c>
      <c r="E63" s="17" t="s">
        <v>52</v>
      </c>
      <c r="F63" s="25" t="n">
        <f aca="false">SUMPRODUCT(--((('Yellow Bosses'!$L$5:$L$53&gt;=2)+('Yellow Bosses'!$O$5:$O$53&gt;=2)+('Yellow Bosses'!$R$5:$R$53&gt;=2)+('Yellow Bosses'!$T$5:$T$53&gt;=2))&gt;0))</f>
        <v>40</v>
      </c>
      <c r="G63" s="26" t="n">
        <f aca="false">F63/49</f>
        <v>0.816326530612245</v>
      </c>
      <c r="H63" s="25" t="n">
        <f aca="false">49-SUMPRODUCT(--((('Yellow Bosses'!$L$5:$L$53&gt;=1)+('Yellow Bosses'!$O$5:$O$53&gt;=1)+('Yellow Bosses'!$R$5:$R$53&gt;=1)+('Yellow Bosses'!$T$5:$T$53&gt;=1))&gt;0))</f>
        <v>0</v>
      </c>
      <c r="I63" s="25" t="n">
        <f aca="false">SUMPRODUCT(--((('Yellow Bosses'!$L$5:$L$53&gt;0)+('Yellow Bosses'!$O$5:$O$53&gt;0)+('Yellow Bosses'!$R$5:$R$53&gt;0)+('Yellow Bosses'!$T$5:$T$53&gt;0))=0))</f>
        <v>0</v>
      </c>
      <c r="J63" s="25" t="n">
        <f aca="false">SUMPRODUCT(--(((Effectiveness!$I$5:$I$155&gt;=2)+(Effectiveness!$L$5:$L$155&gt;=2)+(Effectiveness!$O$5:$O$155&gt;=2)+(Effectiveness!$Q$5:$Q$155&gt;=2))&gt;0))</f>
        <v>117</v>
      </c>
      <c r="K63" s="26" t="n">
        <f aca="false">J63/151</f>
        <v>0.774834437086093</v>
      </c>
      <c r="L63" s="25" t="n">
        <f aca="false">MIN(INDEX('Move Reality'!$F$5:$F$19,MATCH(B63,'Move Reality'!$A$5:$A$19,0)),INDEX('Move Reality'!$F$5:$F$19,MATCH(C63,'Move Reality'!$A$5:$A$19,0)),INDEX('Move Reality'!$F$5:$F$19,MATCH(D63,'Move Reality'!$A$5:$A$19,0)),INDEX('Move Reality'!$F$5:$F$19,MATCH(E63,'Move Reality'!$A$5:$A$19,0)))</f>
        <v>2</v>
      </c>
      <c r="M63" s="28" t="str">
        <f aca="false">IF(L63&gt;=5,"YES","no - dead move")</f>
        <v>no - dead move</v>
      </c>
    </row>
    <row r="64" customFormat="false" ht="15" hidden="false" customHeight="false" outlineLevel="0" collapsed="false">
      <c r="A64" s="17" t="n">
        <v>60</v>
      </c>
      <c r="B64" s="17" t="s">
        <v>44</v>
      </c>
      <c r="C64" s="17" t="s">
        <v>49</v>
      </c>
      <c r="D64" s="17" t="s">
        <v>50</v>
      </c>
      <c r="E64" s="17" t="s">
        <v>52</v>
      </c>
      <c r="F64" s="25" t="n">
        <f aca="false">SUMPRODUCT(--((('Yellow Bosses'!$L$5:$L$53&gt;=2)+('Yellow Bosses'!$Q$5:$Q$53&gt;=2)+('Yellow Bosses'!$R$5:$R$53&gt;=2)+('Yellow Bosses'!$T$5:$T$53&gt;=2))&gt;0))</f>
        <v>40</v>
      </c>
      <c r="G64" s="26" t="n">
        <f aca="false">F64/49</f>
        <v>0.816326530612245</v>
      </c>
      <c r="H64" s="25" t="n">
        <f aca="false">49-SUMPRODUCT(--((('Yellow Bosses'!$L$5:$L$53&gt;=1)+('Yellow Bosses'!$Q$5:$Q$53&gt;=1)+('Yellow Bosses'!$R$5:$R$53&gt;=1)+('Yellow Bosses'!$T$5:$T$53&gt;=1))&gt;0))</f>
        <v>0</v>
      </c>
      <c r="I64" s="25" t="n">
        <f aca="false">SUMPRODUCT(--((('Yellow Bosses'!$L$5:$L$53&gt;0)+('Yellow Bosses'!$Q$5:$Q$53&gt;0)+('Yellow Bosses'!$R$5:$R$53&gt;0)+('Yellow Bosses'!$T$5:$T$53&gt;0))=0))</f>
        <v>0</v>
      </c>
      <c r="J64" s="25" t="n">
        <f aca="false">SUMPRODUCT(--(((Effectiveness!$I$5:$I$155&gt;=2)+(Effectiveness!$N$5:$N$155&gt;=2)+(Effectiveness!$O$5:$O$155&gt;=2)+(Effectiveness!$Q$5:$Q$155&gt;=2))&gt;0))</f>
        <v>117</v>
      </c>
      <c r="K64" s="26" t="n">
        <f aca="false">J64/151</f>
        <v>0.774834437086093</v>
      </c>
      <c r="L64" s="25" t="n">
        <f aca="false">MIN(INDEX('Move Reality'!$F$5:$F$19,MATCH(B64,'Move Reality'!$A$5:$A$19,0)),INDEX('Move Reality'!$F$5:$F$19,MATCH(C64,'Move Reality'!$A$5:$A$19,0)),INDEX('Move Reality'!$F$5:$F$19,MATCH(D64,'Move Reality'!$A$5:$A$19,0)),INDEX('Move Reality'!$F$5:$F$19,MATCH(E64,'Move Reality'!$A$5:$A$19,0)))</f>
        <v>4</v>
      </c>
      <c r="M64" s="28" t="str">
        <f aca="false">IF(L64&gt;=5,"YES","no - dead move")</f>
        <v>no - dead move</v>
      </c>
    </row>
    <row r="65" customFormat="false" ht="15" hidden="false" customHeight="false" outlineLevel="0" collapsed="false">
      <c r="A65" s="17" t="n">
        <v>61</v>
      </c>
      <c r="B65" s="17" t="s">
        <v>44</v>
      </c>
      <c r="C65" s="17" t="s">
        <v>51</v>
      </c>
      <c r="D65" s="17" t="s">
        <v>52</v>
      </c>
      <c r="E65" s="17" t="s">
        <v>54</v>
      </c>
      <c r="F65" s="25" t="n">
        <f aca="false">SUMPRODUCT(--((('Yellow Bosses'!$L$5:$L$53&gt;=2)+('Yellow Bosses'!$S$5:$S$53&gt;=2)+('Yellow Bosses'!$T$5:$T$53&gt;=2)+('Yellow Bosses'!$V$5:$V$53&gt;=2))&gt;0))</f>
        <v>40</v>
      </c>
      <c r="G65" s="26" t="n">
        <f aca="false">F65/49</f>
        <v>0.816326530612245</v>
      </c>
      <c r="H65" s="25" t="n">
        <f aca="false">49-SUMPRODUCT(--((('Yellow Bosses'!$L$5:$L$53&gt;=1)+('Yellow Bosses'!$S$5:$S$53&gt;=1)+('Yellow Bosses'!$T$5:$T$53&gt;=1)+('Yellow Bosses'!$V$5:$V$53&gt;=1))&gt;0))</f>
        <v>0</v>
      </c>
      <c r="I65" s="25" t="n">
        <f aca="false">SUMPRODUCT(--((('Yellow Bosses'!$L$5:$L$53&gt;0)+('Yellow Bosses'!$S$5:$S$53&gt;0)+('Yellow Bosses'!$T$5:$T$53&gt;0)+('Yellow Bosses'!$V$5:$V$53&gt;0))=0))</f>
        <v>0</v>
      </c>
      <c r="J65" s="25" t="n">
        <f aca="false">SUMPRODUCT(--(((Effectiveness!$I$5:$I$155&gt;=2)+(Effectiveness!$P$5:$P$155&gt;=2)+(Effectiveness!$Q$5:$Q$155&gt;=2)+(Effectiveness!$S$5:$S$155&gt;=2))&gt;0))</f>
        <v>117</v>
      </c>
      <c r="K65" s="26" t="n">
        <f aca="false">J65/151</f>
        <v>0.774834437086093</v>
      </c>
      <c r="L65" s="25" t="n">
        <f aca="false">MIN(INDEX('Move Reality'!$F$5:$F$19,MATCH(B65,'Move Reality'!$A$5:$A$19,0)),INDEX('Move Reality'!$F$5:$F$19,MATCH(C65,'Move Reality'!$A$5:$A$19,0)),INDEX('Move Reality'!$F$5:$F$19,MATCH(D65,'Move Reality'!$A$5:$A$19,0)),INDEX('Move Reality'!$F$5:$F$19,MATCH(E65,'Move Reality'!$A$5:$A$19,0)))</f>
        <v>1</v>
      </c>
      <c r="M65" s="28" t="str">
        <f aca="false">IF(L65&gt;=5,"YES","no - dead move")</f>
        <v>no - dead move</v>
      </c>
    </row>
    <row r="66" customFormat="false" ht="15" hidden="false" customHeight="false" outlineLevel="0" collapsed="false">
      <c r="A66" s="17" t="n">
        <v>62</v>
      </c>
      <c r="B66" s="17" t="s">
        <v>46</v>
      </c>
      <c r="C66" s="17" t="s">
        <v>48</v>
      </c>
      <c r="D66" s="17" t="s">
        <v>51</v>
      </c>
      <c r="E66" s="17" t="s">
        <v>52</v>
      </c>
      <c r="F66" s="25" t="n">
        <f aca="false">SUMPRODUCT(--((('Yellow Bosses'!$N$5:$N$53&gt;=2)+('Yellow Bosses'!$P$5:$P$53&gt;=2)+('Yellow Bosses'!$S$5:$S$53&gt;=2)+('Yellow Bosses'!$T$5:$T$53&gt;=2))&gt;0))</f>
        <v>40</v>
      </c>
      <c r="G66" s="26" t="n">
        <f aca="false">F66/49</f>
        <v>0.816326530612245</v>
      </c>
      <c r="H66" s="25" t="n">
        <f aca="false">49-SUMPRODUCT(--((('Yellow Bosses'!$N$5:$N$53&gt;=1)+('Yellow Bosses'!$P$5:$P$53&gt;=1)+('Yellow Bosses'!$S$5:$S$53&gt;=1)+('Yellow Bosses'!$T$5:$T$53&gt;=1))&gt;0))</f>
        <v>0</v>
      </c>
      <c r="I66" s="25" t="n">
        <f aca="false">SUMPRODUCT(--((('Yellow Bosses'!$N$5:$N$53&gt;0)+('Yellow Bosses'!$P$5:$P$53&gt;0)+('Yellow Bosses'!$S$5:$S$53&gt;0)+('Yellow Bosses'!$T$5:$T$53&gt;0))=0))</f>
        <v>0</v>
      </c>
      <c r="J66" s="25" t="n">
        <f aca="false">SUMPRODUCT(--(((Effectiveness!$K$5:$K$155&gt;=2)+(Effectiveness!$M$5:$M$155&gt;=2)+(Effectiveness!$P$5:$P$155&gt;=2)+(Effectiveness!$Q$5:$Q$155&gt;=2))&gt;0))</f>
        <v>117</v>
      </c>
      <c r="K66" s="26" t="n">
        <f aca="false">J66/151</f>
        <v>0.774834437086093</v>
      </c>
      <c r="L66" s="25" t="n">
        <f aca="false">MIN(INDEX('Move Reality'!$F$5:$F$19,MATCH(B66,'Move Reality'!$A$5:$A$19,0)),INDEX('Move Reality'!$F$5:$F$19,MATCH(C66,'Move Reality'!$A$5:$A$19,0)),INDEX('Move Reality'!$F$5:$F$19,MATCH(D66,'Move Reality'!$A$5:$A$19,0)),INDEX('Move Reality'!$F$5:$F$19,MATCH(E66,'Move Reality'!$A$5:$A$19,0)))</f>
        <v>1</v>
      </c>
      <c r="M66" s="28" t="str">
        <f aca="false">IF(L66&gt;=5,"YES","no - dead move")</f>
        <v>no - dead move</v>
      </c>
    </row>
    <row r="67" customFormat="false" ht="15" hidden="false" customHeight="false" outlineLevel="0" collapsed="false">
      <c r="A67" s="17" t="n">
        <v>63</v>
      </c>
      <c r="B67" s="17" t="s">
        <v>44</v>
      </c>
      <c r="C67" s="17" t="s">
        <v>50</v>
      </c>
      <c r="D67" s="17" t="s">
        <v>52</v>
      </c>
      <c r="E67" s="17" t="s">
        <v>54</v>
      </c>
      <c r="F67" s="25" t="n">
        <f aca="false">SUMPRODUCT(--((('Yellow Bosses'!$L$5:$L$53&gt;=2)+('Yellow Bosses'!$R$5:$R$53&gt;=2)+('Yellow Bosses'!$T$5:$T$53&gt;=2)+('Yellow Bosses'!$V$5:$V$53&gt;=2))&gt;0))</f>
        <v>40</v>
      </c>
      <c r="G67" s="26" t="n">
        <f aca="false">F67/49</f>
        <v>0.816326530612245</v>
      </c>
      <c r="H67" s="25" t="n">
        <f aca="false">49-SUMPRODUCT(--((('Yellow Bosses'!$L$5:$L$53&gt;=1)+('Yellow Bosses'!$R$5:$R$53&gt;=1)+('Yellow Bosses'!$T$5:$T$53&gt;=1)+('Yellow Bosses'!$V$5:$V$53&gt;=1))&gt;0))</f>
        <v>0</v>
      </c>
      <c r="I67" s="25" t="n">
        <f aca="false">SUMPRODUCT(--((('Yellow Bosses'!$L$5:$L$53&gt;0)+('Yellow Bosses'!$R$5:$R$53&gt;0)+('Yellow Bosses'!$T$5:$T$53&gt;0)+('Yellow Bosses'!$V$5:$V$53&gt;0))=0))</f>
        <v>0</v>
      </c>
      <c r="J67" s="25" t="n">
        <f aca="false">SUMPRODUCT(--(((Effectiveness!$I$5:$I$155&gt;=2)+(Effectiveness!$O$5:$O$155&gt;=2)+(Effectiveness!$Q$5:$Q$155&gt;=2)+(Effectiveness!$S$5:$S$155&gt;=2))&gt;0))</f>
        <v>116</v>
      </c>
      <c r="K67" s="26" t="n">
        <f aca="false">J67/151</f>
        <v>0.768211920529801</v>
      </c>
      <c r="L67" s="25" t="n">
        <f aca="false">MIN(INDEX('Move Reality'!$F$5:$F$19,MATCH(B67,'Move Reality'!$A$5:$A$19,0)),INDEX('Move Reality'!$F$5:$F$19,MATCH(C67,'Move Reality'!$A$5:$A$19,0)),INDEX('Move Reality'!$F$5:$F$19,MATCH(D67,'Move Reality'!$A$5:$A$19,0)),INDEX('Move Reality'!$F$5:$F$19,MATCH(E67,'Move Reality'!$A$5:$A$19,0)))</f>
        <v>1</v>
      </c>
      <c r="M67" s="28" t="str">
        <f aca="false">IF(L67&gt;=5,"YES","no - dead move")</f>
        <v>no - dead move</v>
      </c>
    </row>
    <row r="68" customFormat="false" ht="15" hidden="false" customHeight="false" outlineLevel="0" collapsed="false">
      <c r="A68" s="17" t="n">
        <v>64</v>
      </c>
      <c r="B68" s="17" t="s">
        <v>40</v>
      </c>
      <c r="C68" s="17" t="s">
        <v>43</v>
      </c>
      <c r="D68" s="17" t="s">
        <v>48</v>
      </c>
      <c r="E68" s="17" t="s">
        <v>51</v>
      </c>
      <c r="F68" s="25" t="n">
        <f aca="false">SUMPRODUCT(--((('Yellow Bosses'!$H$5:$H$53&gt;=2)+('Yellow Bosses'!$K$5:$K$53&gt;=2)+('Yellow Bosses'!$P$5:$P$53&gt;=2)+('Yellow Bosses'!$S$5:$S$53&gt;=2))&gt;0))</f>
        <v>40</v>
      </c>
      <c r="G68" s="26" t="n">
        <f aca="false">F68/49</f>
        <v>0.816326530612245</v>
      </c>
      <c r="H68" s="25" t="n">
        <f aca="false">49-SUMPRODUCT(--((('Yellow Bosses'!$H$5:$H$53&gt;=1)+('Yellow Bosses'!$K$5:$K$53&gt;=1)+('Yellow Bosses'!$P$5:$P$53&gt;=1)+('Yellow Bosses'!$S$5:$S$53&gt;=1))&gt;0))</f>
        <v>0</v>
      </c>
      <c r="I68" s="25" t="n">
        <f aca="false">SUMPRODUCT(--((('Yellow Bosses'!$H$5:$H$53&gt;0)+('Yellow Bosses'!$K$5:$K$53&gt;0)+('Yellow Bosses'!$P$5:$P$53&gt;0)+('Yellow Bosses'!$S$5:$S$53&gt;0))=0))</f>
        <v>0</v>
      </c>
      <c r="J68" s="25" t="n">
        <f aca="false">SUMPRODUCT(--(((Effectiveness!$E$5:$E$155&gt;=2)+(Effectiveness!$H$5:$H$155&gt;=2)+(Effectiveness!$M$5:$M$155&gt;=2)+(Effectiveness!$P$5:$P$155&gt;=2))&gt;0))</f>
        <v>115</v>
      </c>
      <c r="K68" s="26" t="n">
        <f aca="false">J68/151</f>
        <v>0.76158940397351</v>
      </c>
      <c r="L68" s="25" t="n">
        <f aca="false">MIN(INDEX('Move Reality'!$F$5:$F$19,MATCH(B68,'Move Reality'!$A$5:$A$19,0)),INDEX('Move Reality'!$F$5:$F$19,MATCH(C68,'Move Reality'!$A$5:$A$19,0)),INDEX('Move Reality'!$F$5:$F$19,MATCH(D68,'Move Reality'!$A$5:$A$19,0)),INDEX('Move Reality'!$F$5:$F$19,MATCH(E68,'Move Reality'!$A$5:$A$19,0)))</f>
        <v>1</v>
      </c>
      <c r="M68" s="28" t="str">
        <f aca="false">IF(L68&gt;=5,"YES","no - dead move")</f>
        <v>no - dead move</v>
      </c>
    </row>
    <row r="69" customFormat="false" ht="15" hidden="false" customHeight="false" outlineLevel="0" collapsed="false">
      <c r="A69" s="17" t="n">
        <v>65</v>
      </c>
      <c r="B69" s="17" t="s">
        <v>43</v>
      </c>
      <c r="C69" s="17" t="s">
        <v>48</v>
      </c>
      <c r="D69" s="17" t="s">
        <v>51</v>
      </c>
      <c r="E69" s="17" t="s">
        <v>53</v>
      </c>
      <c r="F69" s="25" t="n">
        <f aca="false">SUMPRODUCT(--((('Yellow Bosses'!$K$5:$K$53&gt;=2)+('Yellow Bosses'!$P$5:$P$53&gt;=2)+('Yellow Bosses'!$S$5:$S$53&gt;=2)+('Yellow Bosses'!$U$5:$U$53&gt;=2))&gt;0))</f>
        <v>40</v>
      </c>
      <c r="G69" s="26" t="n">
        <f aca="false">F69/49</f>
        <v>0.816326530612245</v>
      </c>
      <c r="H69" s="25" t="n">
        <f aca="false">49-SUMPRODUCT(--((('Yellow Bosses'!$K$5:$K$53&gt;=1)+('Yellow Bosses'!$P$5:$P$53&gt;=1)+('Yellow Bosses'!$S$5:$S$53&gt;=1)+('Yellow Bosses'!$U$5:$U$53&gt;=1))&gt;0))</f>
        <v>0</v>
      </c>
      <c r="I69" s="25" t="n">
        <f aca="false">SUMPRODUCT(--((('Yellow Bosses'!$K$5:$K$53&gt;0)+('Yellow Bosses'!$P$5:$P$53&gt;0)+('Yellow Bosses'!$S$5:$S$53&gt;0)+('Yellow Bosses'!$U$5:$U$53&gt;0))=0))</f>
        <v>0</v>
      </c>
      <c r="J69" s="25" t="n">
        <f aca="false">SUMPRODUCT(--(((Effectiveness!$H$5:$H$155&gt;=2)+(Effectiveness!$M$5:$M$155&gt;=2)+(Effectiveness!$P$5:$P$155&gt;=2)+(Effectiveness!$R$5:$R$155&gt;=2))&gt;0))</f>
        <v>115</v>
      </c>
      <c r="K69" s="26" t="n">
        <f aca="false">J69/151</f>
        <v>0.76158940397351</v>
      </c>
      <c r="L69" s="25" t="n">
        <f aca="false">MIN(INDEX('Move Reality'!$F$5:$F$19,MATCH(B69,'Move Reality'!$A$5:$A$19,0)),INDEX('Move Reality'!$F$5:$F$19,MATCH(C69,'Move Reality'!$A$5:$A$19,0)),INDEX('Move Reality'!$F$5:$F$19,MATCH(D69,'Move Reality'!$A$5:$A$19,0)),INDEX('Move Reality'!$F$5:$F$19,MATCH(E69,'Move Reality'!$A$5:$A$19,0)))</f>
        <v>1</v>
      </c>
      <c r="M69" s="28" t="str">
        <f aca="false">IF(L69&gt;=5,"YES","no - dead move")</f>
        <v>no - dead move</v>
      </c>
    </row>
    <row r="70" customFormat="false" ht="15" hidden="false" customHeight="false" outlineLevel="0" collapsed="false">
      <c r="A70" s="17" t="n">
        <v>66</v>
      </c>
      <c r="B70" s="17" t="s">
        <v>42</v>
      </c>
      <c r="C70" s="17" t="s">
        <v>43</v>
      </c>
      <c r="D70" s="17" t="s">
        <v>45</v>
      </c>
      <c r="E70" s="17" t="s">
        <v>51</v>
      </c>
      <c r="F70" s="25" t="n">
        <f aca="false">SUMPRODUCT(--((('Yellow Bosses'!$J$5:$J$53&gt;=2)+('Yellow Bosses'!$K$5:$K$53&gt;=2)+('Yellow Bosses'!$M$5:$M$53&gt;=2)+('Yellow Bosses'!$S$5:$S$53&gt;=2))&gt;0))</f>
        <v>40</v>
      </c>
      <c r="G70" s="26" t="n">
        <f aca="false">F70/49</f>
        <v>0.816326530612245</v>
      </c>
      <c r="H70" s="25" t="n">
        <f aca="false">49-SUMPRODUCT(--((('Yellow Bosses'!$J$5:$J$53&gt;=1)+('Yellow Bosses'!$K$5:$K$53&gt;=1)+('Yellow Bosses'!$M$5:$M$53&gt;=1)+('Yellow Bosses'!$S$5:$S$53&gt;=1))&gt;0))</f>
        <v>0</v>
      </c>
      <c r="I70" s="25" t="n">
        <f aca="false">SUMPRODUCT(--((('Yellow Bosses'!$J$5:$J$53&gt;0)+('Yellow Bosses'!$K$5:$K$53&gt;0)+('Yellow Bosses'!$M$5:$M$53&gt;0)+('Yellow Bosses'!$S$5:$S$53&gt;0))=0))</f>
        <v>0</v>
      </c>
      <c r="J70" s="25" t="n">
        <f aca="false">SUMPRODUCT(--(((Effectiveness!$G$5:$G$155&gt;=2)+(Effectiveness!$H$5:$H$155&gt;=2)+(Effectiveness!$J$5:$J$155&gt;=2)+(Effectiveness!$P$5:$P$155&gt;=2))&gt;0))</f>
        <v>114</v>
      </c>
      <c r="K70" s="26" t="n">
        <f aca="false">J70/151</f>
        <v>0.754966887417219</v>
      </c>
      <c r="L70" s="25" t="n">
        <f aca="false">MIN(INDEX('Move Reality'!$F$5:$F$19,MATCH(B70,'Move Reality'!$A$5:$A$19,0)),INDEX('Move Reality'!$F$5:$F$19,MATCH(C70,'Move Reality'!$A$5:$A$19,0)),INDEX('Move Reality'!$F$5:$F$19,MATCH(D70,'Move Reality'!$A$5:$A$19,0)),INDEX('Move Reality'!$F$5:$F$19,MATCH(E70,'Move Reality'!$A$5:$A$19,0)))</f>
        <v>1</v>
      </c>
      <c r="M70" s="28" t="str">
        <f aca="false">IF(L70&gt;=5,"YES","no - dead move")</f>
        <v>no - dead move</v>
      </c>
    </row>
    <row r="71" customFormat="false" ht="15" hidden="false" customHeight="false" outlineLevel="0" collapsed="false">
      <c r="A71" s="17" t="n">
        <v>67</v>
      </c>
      <c r="B71" s="17" t="s">
        <v>42</v>
      </c>
      <c r="C71" s="17" t="s">
        <v>43</v>
      </c>
      <c r="D71" s="17" t="s">
        <v>51</v>
      </c>
      <c r="E71" s="17" t="s">
        <v>53</v>
      </c>
      <c r="F71" s="25" t="n">
        <f aca="false">SUMPRODUCT(--((('Yellow Bosses'!$J$5:$J$53&gt;=2)+('Yellow Bosses'!$K$5:$K$53&gt;=2)+('Yellow Bosses'!$S$5:$S$53&gt;=2)+('Yellow Bosses'!$U$5:$U$53&gt;=2))&gt;0))</f>
        <v>40</v>
      </c>
      <c r="G71" s="26" t="n">
        <f aca="false">F71/49</f>
        <v>0.816326530612245</v>
      </c>
      <c r="H71" s="25" t="n">
        <f aca="false">49-SUMPRODUCT(--((('Yellow Bosses'!$J$5:$J$53&gt;=1)+('Yellow Bosses'!$K$5:$K$53&gt;=1)+('Yellow Bosses'!$S$5:$S$53&gt;=1)+('Yellow Bosses'!$U$5:$U$53&gt;=1))&gt;0))</f>
        <v>0</v>
      </c>
      <c r="I71" s="25" t="n">
        <f aca="false">SUMPRODUCT(--((('Yellow Bosses'!$J$5:$J$53&gt;0)+('Yellow Bosses'!$K$5:$K$53&gt;0)+('Yellow Bosses'!$S$5:$S$53&gt;0)+('Yellow Bosses'!$U$5:$U$53&gt;0))=0))</f>
        <v>0</v>
      </c>
      <c r="J71" s="25" t="n">
        <f aca="false">SUMPRODUCT(--(((Effectiveness!$G$5:$G$155&gt;=2)+(Effectiveness!$H$5:$H$155&gt;=2)+(Effectiveness!$P$5:$P$155&gt;=2)+(Effectiveness!$R$5:$R$155&gt;=2))&gt;0))</f>
        <v>113</v>
      </c>
      <c r="K71" s="26" t="n">
        <f aca="false">J71/151</f>
        <v>0.748344370860927</v>
      </c>
      <c r="L71" s="25" t="n">
        <f aca="false">MIN(INDEX('Move Reality'!$F$5:$F$19,MATCH(B71,'Move Reality'!$A$5:$A$19,0)),INDEX('Move Reality'!$F$5:$F$19,MATCH(C71,'Move Reality'!$A$5:$A$19,0)),INDEX('Move Reality'!$F$5:$F$19,MATCH(D71,'Move Reality'!$A$5:$A$19,0)),INDEX('Move Reality'!$F$5:$F$19,MATCH(E71,'Move Reality'!$A$5:$A$19,0)))</f>
        <v>1</v>
      </c>
      <c r="M71" s="28" t="str">
        <f aca="false">IF(L71&gt;=5,"YES","no - dead move")</f>
        <v>no - dead move</v>
      </c>
    </row>
    <row r="72" customFormat="false" ht="15" hidden="false" customHeight="false" outlineLevel="0" collapsed="false">
      <c r="A72" s="17" t="n">
        <v>68</v>
      </c>
      <c r="B72" s="17" t="s">
        <v>42</v>
      </c>
      <c r="C72" s="17" t="s">
        <v>43</v>
      </c>
      <c r="D72" s="17" t="s">
        <v>51</v>
      </c>
      <c r="E72" s="17" t="s">
        <v>54</v>
      </c>
      <c r="F72" s="25" t="n">
        <f aca="false">SUMPRODUCT(--((('Yellow Bosses'!$J$5:$J$53&gt;=2)+('Yellow Bosses'!$K$5:$K$53&gt;=2)+('Yellow Bosses'!$S$5:$S$53&gt;=2)+('Yellow Bosses'!$V$5:$V$53&gt;=2))&gt;0))</f>
        <v>40</v>
      </c>
      <c r="G72" s="26" t="n">
        <f aca="false">F72/49</f>
        <v>0.816326530612245</v>
      </c>
      <c r="H72" s="25" t="n">
        <f aca="false">49-SUMPRODUCT(--((('Yellow Bosses'!$J$5:$J$53&gt;=1)+('Yellow Bosses'!$K$5:$K$53&gt;=1)+('Yellow Bosses'!$S$5:$S$53&gt;=1)+('Yellow Bosses'!$V$5:$V$53&gt;=1))&gt;0))</f>
        <v>0</v>
      </c>
      <c r="I72" s="25" t="n">
        <f aca="false">SUMPRODUCT(--((('Yellow Bosses'!$J$5:$J$53&gt;0)+('Yellow Bosses'!$K$5:$K$53&gt;0)+('Yellow Bosses'!$S$5:$S$53&gt;0)+('Yellow Bosses'!$V$5:$V$53&gt;0))=0))</f>
        <v>0</v>
      </c>
      <c r="J72" s="25" t="n">
        <f aca="false">SUMPRODUCT(--(((Effectiveness!$G$5:$G$155&gt;=2)+(Effectiveness!$H$5:$H$155&gt;=2)+(Effectiveness!$P$5:$P$155&gt;=2)+(Effectiveness!$S$5:$S$155&gt;=2))&gt;0))</f>
        <v>113</v>
      </c>
      <c r="K72" s="26" t="n">
        <f aca="false">J72/151</f>
        <v>0.748344370860927</v>
      </c>
      <c r="L72" s="25" t="n">
        <f aca="false">MIN(INDEX('Move Reality'!$F$5:$F$19,MATCH(B72,'Move Reality'!$A$5:$A$19,0)),INDEX('Move Reality'!$F$5:$F$19,MATCH(C72,'Move Reality'!$A$5:$A$19,0)),INDEX('Move Reality'!$F$5:$F$19,MATCH(D72,'Move Reality'!$A$5:$A$19,0)),INDEX('Move Reality'!$F$5:$F$19,MATCH(E72,'Move Reality'!$A$5:$A$19,0)))</f>
        <v>1</v>
      </c>
      <c r="M72" s="28" t="str">
        <f aca="false">IF(L72&gt;=5,"YES","no - dead move")</f>
        <v>no - dead move</v>
      </c>
    </row>
    <row r="73" customFormat="false" ht="15" hidden="false" customHeight="false" outlineLevel="0" collapsed="false">
      <c r="A73" s="17" t="n">
        <v>69</v>
      </c>
      <c r="B73" s="17" t="s">
        <v>42</v>
      </c>
      <c r="C73" s="17" t="s">
        <v>44</v>
      </c>
      <c r="D73" s="17" t="s">
        <v>45</v>
      </c>
      <c r="E73" s="17" t="s">
        <v>50</v>
      </c>
      <c r="F73" s="25" t="n">
        <f aca="false">SUMPRODUCT(--((('Yellow Bosses'!$J$5:$J$53&gt;=2)+('Yellow Bosses'!$L$5:$L$53&gt;=2)+('Yellow Bosses'!$M$5:$M$53&gt;=2)+('Yellow Bosses'!$R$5:$R$53&gt;=2))&gt;0))</f>
        <v>40</v>
      </c>
      <c r="G73" s="26" t="n">
        <f aca="false">F73/49</f>
        <v>0.816326530612245</v>
      </c>
      <c r="H73" s="25" t="n">
        <f aca="false">49-SUMPRODUCT(--((('Yellow Bosses'!$J$5:$J$53&gt;=1)+('Yellow Bosses'!$L$5:$L$53&gt;=1)+('Yellow Bosses'!$M$5:$M$53&gt;=1)+('Yellow Bosses'!$R$5:$R$53&gt;=1))&gt;0))</f>
        <v>0</v>
      </c>
      <c r="I73" s="25" t="n">
        <f aca="false">SUMPRODUCT(--((('Yellow Bosses'!$J$5:$J$53&gt;0)+('Yellow Bosses'!$L$5:$L$53&gt;0)+('Yellow Bosses'!$M$5:$M$53&gt;0)+('Yellow Bosses'!$R$5:$R$53&gt;0))=0))</f>
        <v>0</v>
      </c>
      <c r="J73" s="25" t="n">
        <f aca="false">SUMPRODUCT(--(((Effectiveness!$G$5:$G$155&gt;=2)+(Effectiveness!$I$5:$I$155&gt;=2)+(Effectiveness!$J$5:$J$155&gt;=2)+(Effectiveness!$O$5:$O$155&gt;=2))&gt;0))</f>
        <v>113</v>
      </c>
      <c r="K73" s="26" t="n">
        <f aca="false">J73/151</f>
        <v>0.748344370860927</v>
      </c>
      <c r="L73" s="25" t="n">
        <f aca="false">MIN(INDEX('Move Reality'!$F$5:$F$19,MATCH(B73,'Move Reality'!$A$5:$A$19,0)),INDEX('Move Reality'!$F$5:$F$19,MATCH(C73,'Move Reality'!$A$5:$A$19,0)),INDEX('Move Reality'!$F$5:$F$19,MATCH(D73,'Move Reality'!$A$5:$A$19,0)),INDEX('Move Reality'!$F$5:$F$19,MATCH(E73,'Move Reality'!$A$5:$A$19,0)))</f>
        <v>4</v>
      </c>
      <c r="M73" s="28" t="str">
        <f aca="false">IF(L73&gt;=5,"YES","no - dead move")</f>
        <v>no - dead move</v>
      </c>
    </row>
    <row r="74" customFormat="false" ht="15" hidden="false" customHeight="false" outlineLevel="0" collapsed="false">
      <c r="A74" s="17" t="n">
        <v>70</v>
      </c>
      <c r="B74" s="17" t="s">
        <v>44</v>
      </c>
      <c r="C74" s="17" t="s">
        <v>48</v>
      </c>
      <c r="D74" s="17" t="s">
        <v>49</v>
      </c>
      <c r="E74" s="17" t="s">
        <v>54</v>
      </c>
      <c r="F74" s="25" t="n">
        <f aca="false">SUMPRODUCT(--((('Yellow Bosses'!$L$5:$L$53&gt;=2)+('Yellow Bosses'!$P$5:$P$53&gt;=2)+('Yellow Bosses'!$Q$5:$Q$53&gt;=2)+('Yellow Bosses'!$V$5:$V$53&gt;=2))&gt;0))</f>
        <v>40</v>
      </c>
      <c r="G74" s="26" t="n">
        <f aca="false">F74/49</f>
        <v>0.816326530612245</v>
      </c>
      <c r="H74" s="25" t="n">
        <f aca="false">49-SUMPRODUCT(--((('Yellow Bosses'!$L$5:$L$53&gt;=1)+('Yellow Bosses'!$P$5:$P$53&gt;=1)+('Yellow Bosses'!$Q$5:$Q$53&gt;=1)+('Yellow Bosses'!$V$5:$V$53&gt;=1))&gt;0))</f>
        <v>0</v>
      </c>
      <c r="I74" s="25" t="n">
        <f aca="false">SUMPRODUCT(--((('Yellow Bosses'!$L$5:$L$53&gt;0)+('Yellow Bosses'!$P$5:$P$53&gt;0)+('Yellow Bosses'!$Q$5:$Q$53&gt;0)+('Yellow Bosses'!$V$5:$V$53&gt;0))=0))</f>
        <v>0</v>
      </c>
      <c r="J74" s="25" t="n">
        <f aca="false">SUMPRODUCT(--(((Effectiveness!$I$5:$I$155&gt;=2)+(Effectiveness!$M$5:$M$155&gt;=2)+(Effectiveness!$N$5:$N$155&gt;=2)+(Effectiveness!$S$5:$S$155&gt;=2))&gt;0))</f>
        <v>110</v>
      </c>
      <c r="K74" s="26" t="n">
        <f aca="false">J74/151</f>
        <v>0.728476821192053</v>
      </c>
      <c r="L74" s="25" t="n">
        <f aca="false">MIN(INDEX('Move Reality'!$F$5:$F$19,MATCH(B74,'Move Reality'!$A$5:$A$19,0)),INDEX('Move Reality'!$F$5:$F$19,MATCH(C74,'Move Reality'!$A$5:$A$19,0)),INDEX('Move Reality'!$F$5:$F$19,MATCH(D74,'Move Reality'!$A$5:$A$19,0)),INDEX('Move Reality'!$F$5:$F$19,MATCH(E74,'Move Reality'!$A$5:$A$19,0)))</f>
        <v>1</v>
      </c>
      <c r="M74" s="28" t="str">
        <f aca="false">IF(L74&gt;=5,"YES","no - dead move")</f>
        <v>no - dead move</v>
      </c>
    </row>
    <row r="75" customFormat="false" ht="15" hidden="false" customHeight="false" outlineLevel="0" collapsed="false">
      <c r="A75" s="17" t="n">
        <v>71</v>
      </c>
      <c r="B75" s="17" t="s">
        <v>45</v>
      </c>
      <c r="C75" s="17" t="s">
        <v>46</v>
      </c>
      <c r="D75" s="17" t="s">
        <v>50</v>
      </c>
      <c r="E75" s="17" t="s">
        <v>51</v>
      </c>
      <c r="F75" s="25" t="n">
        <f aca="false">SUMPRODUCT(--((('Yellow Bosses'!$M$5:$M$53&gt;=2)+('Yellow Bosses'!$N$5:$N$53&gt;=2)+('Yellow Bosses'!$R$5:$R$53&gt;=2)+('Yellow Bosses'!$S$5:$S$53&gt;=2))&gt;0))</f>
        <v>40</v>
      </c>
      <c r="G75" s="26" t="n">
        <f aca="false">F75/49</f>
        <v>0.816326530612245</v>
      </c>
      <c r="H75" s="25" t="n">
        <f aca="false">49-SUMPRODUCT(--((('Yellow Bosses'!$M$5:$M$53&gt;=1)+('Yellow Bosses'!$N$5:$N$53&gt;=1)+('Yellow Bosses'!$R$5:$R$53&gt;=1)+('Yellow Bosses'!$S$5:$S$53&gt;=1))&gt;0))</f>
        <v>0</v>
      </c>
      <c r="I75" s="25" t="n">
        <f aca="false">SUMPRODUCT(--((('Yellow Bosses'!$M$5:$M$53&gt;0)+('Yellow Bosses'!$N$5:$N$53&gt;0)+('Yellow Bosses'!$R$5:$R$53&gt;0)+('Yellow Bosses'!$S$5:$S$53&gt;0))=0))</f>
        <v>0</v>
      </c>
      <c r="J75" s="25" t="n">
        <f aca="false">SUMPRODUCT(--(((Effectiveness!$J$5:$J$155&gt;=2)+(Effectiveness!$K$5:$K$155&gt;=2)+(Effectiveness!$O$5:$O$155&gt;=2)+(Effectiveness!$P$5:$P$155&gt;=2))&gt;0))</f>
        <v>110</v>
      </c>
      <c r="K75" s="26" t="n">
        <f aca="false">J75/151</f>
        <v>0.728476821192053</v>
      </c>
      <c r="L75" s="25" t="n">
        <f aca="false">MIN(INDEX('Move Reality'!$F$5:$F$19,MATCH(B75,'Move Reality'!$A$5:$A$19,0)),INDEX('Move Reality'!$F$5:$F$19,MATCH(C75,'Move Reality'!$A$5:$A$19,0)),INDEX('Move Reality'!$F$5:$F$19,MATCH(D75,'Move Reality'!$A$5:$A$19,0)),INDEX('Move Reality'!$F$5:$F$19,MATCH(E75,'Move Reality'!$A$5:$A$19,0)))</f>
        <v>1</v>
      </c>
      <c r="M75" s="28" t="str">
        <f aca="false">IF(L75&gt;=5,"YES","no - dead move")</f>
        <v>no - dead move</v>
      </c>
    </row>
    <row r="76" customFormat="false" ht="15" hidden="false" customHeight="false" outlineLevel="0" collapsed="false">
      <c r="A76" s="17" t="n">
        <v>72</v>
      </c>
      <c r="B76" s="17" t="s">
        <v>42</v>
      </c>
      <c r="C76" s="17" t="s">
        <v>44</v>
      </c>
      <c r="D76" s="17" t="s">
        <v>48</v>
      </c>
      <c r="E76" s="17" t="s">
        <v>51</v>
      </c>
      <c r="F76" s="25" t="n">
        <f aca="false">SUMPRODUCT(--((('Yellow Bosses'!$J$5:$J$53&gt;=2)+('Yellow Bosses'!$L$5:$L$53&gt;=2)+('Yellow Bosses'!$P$5:$P$53&gt;=2)+('Yellow Bosses'!$S$5:$S$53&gt;=2))&gt;0))</f>
        <v>40</v>
      </c>
      <c r="G76" s="26" t="n">
        <f aca="false">F76/49</f>
        <v>0.816326530612245</v>
      </c>
      <c r="H76" s="25" t="n">
        <f aca="false">49-SUMPRODUCT(--((('Yellow Bosses'!$J$5:$J$53&gt;=1)+('Yellow Bosses'!$L$5:$L$53&gt;=1)+('Yellow Bosses'!$P$5:$P$53&gt;=1)+('Yellow Bosses'!$S$5:$S$53&gt;=1))&gt;0))</f>
        <v>1</v>
      </c>
      <c r="I76" s="25" t="n">
        <f aca="false">SUMPRODUCT(--((('Yellow Bosses'!$J$5:$J$53&gt;0)+('Yellow Bosses'!$L$5:$L$53&gt;0)+('Yellow Bosses'!$P$5:$P$53&gt;0)+('Yellow Bosses'!$S$5:$S$53&gt;0))=0))</f>
        <v>0</v>
      </c>
      <c r="J76" s="25" t="n">
        <f aca="false">SUMPRODUCT(--(((Effectiveness!$G$5:$G$155&gt;=2)+(Effectiveness!$I$5:$I$155&gt;=2)+(Effectiveness!$M$5:$M$155&gt;=2)+(Effectiveness!$P$5:$P$155&gt;=2))&gt;0))</f>
        <v>107</v>
      </c>
      <c r="K76" s="26" t="n">
        <f aca="false">J76/151</f>
        <v>0.708609271523179</v>
      </c>
      <c r="L76" s="25" t="n">
        <f aca="false">MIN(INDEX('Move Reality'!$F$5:$F$19,MATCH(B76,'Move Reality'!$A$5:$A$19,0)),INDEX('Move Reality'!$F$5:$F$19,MATCH(C76,'Move Reality'!$A$5:$A$19,0)),INDEX('Move Reality'!$F$5:$F$19,MATCH(D76,'Move Reality'!$A$5:$A$19,0)),INDEX('Move Reality'!$F$5:$F$19,MATCH(E76,'Move Reality'!$A$5:$A$19,0)))</f>
        <v>1</v>
      </c>
      <c r="M76" s="28" t="str">
        <f aca="false">IF(L76&gt;=5,"YES","no - dead move")</f>
        <v>no - dead move</v>
      </c>
    </row>
    <row r="77" customFormat="false" ht="15" hidden="false" customHeight="false" outlineLevel="0" collapsed="false">
      <c r="A77" s="17" t="n">
        <v>73</v>
      </c>
      <c r="B77" s="17" t="s">
        <v>45</v>
      </c>
      <c r="C77" s="17" t="s">
        <v>48</v>
      </c>
      <c r="D77" s="17" t="s">
        <v>49</v>
      </c>
      <c r="E77" s="17" t="s">
        <v>52</v>
      </c>
      <c r="F77" s="25" t="n">
        <f aca="false">SUMPRODUCT(--((('Yellow Bosses'!$M$5:$M$53&gt;=2)+('Yellow Bosses'!$P$5:$P$53&gt;=2)+('Yellow Bosses'!$Q$5:$Q$53&gt;=2)+('Yellow Bosses'!$T$5:$T$53&gt;=2))&gt;0))</f>
        <v>40</v>
      </c>
      <c r="G77" s="26" t="n">
        <f aca="false">F77/49</f>
        <v>0.816326530612245</v>
      </c>
      <c r="H77" s="25" t="n">
        <f aca="false">49-SUMPRODUCT(--((('Yellow Bosses'!$M$5:$M$53&gt;=1)+('Yellow Bosses'!$P$5:$P$53&gt;=1)+('Yellow Bosses'!$Q$5:$Q$53&gt;=1)+('Yellow Bosses'!$T$5:$T$53&gt;=1))&gt;0))</f>
        <v>0</v>
      </c>
      <c r="I77" s="25" t="n">
        <f aca="false">SUMPRODUCT(--((('Yellow Bosses'!$M$5:$M$53&gt;0)+('Yellow Bosses'!$P$5:$P$53&gt;0)+('Yellow Bosses'!$Q$5:$Q$53&gt;0)+('Yellow Bosses'!$T$5:$T$53&gt;0))=0))</f>
        <v>0</v>
      </c>
      <c r="J77" s="25" t="n">
        <f aca="false">SUMPRODUCT(--(((Effectiveness!$J$5:$J$155&gt;=2)+(Effectiveness!$M$5:$M$155&gt;=2)+(Effectiveness!$N$5:$N$155&gt;=2)+(Effectiveness!$Q$5:$Q$155&gt;=2))&gt;0))</f>
        <v>106</v>
      </c>
      <c r="K77" s="26" t="n">
        <f aca="false">J77/151</f>
        <v>0.701986754966887</v>
      </c>
      <c r="L77" s="25" t="n">
        <f aca="false">MIN(INDEX('Move Reality'!$F$5:$F$19,MATCH(B77,'Move Reality'!$A$5:$A$19,0)),INDEX('Move Reality'!$F$5:$F$19,MATCH(C77,'Move Reality'!$A$5:$A$19,0)),INDEX('Move Reality'!$F$5:$F$19,MATCH(D77,'Move Reality'!$A$5:$A$19,0)),INDEX('Move Reality'!$F$5:$F$19,MATCH(E77,'Move Reality'!$A$5:$A$19,0)))</f>
        <v>5</v>
      </c>
      <c r="M77" s="28" t="str">
        <f aca="false">IF(L77&gt;=5,"YES","no - dead move")</f>
        <v>YES</v>
      </c>
    </row>
    <row r="78" customFormat="false" ht="15" hidden="false" customHeight="false" outlineLevel="0" collapsed="false">
      <c r="A78" s="17" t="n">
        <v>74</v>
      </c>
      <c r="B78" s="17" t="s">
        <v>45</v>
      </c>
      <c r="C78" s="17" t="s">
        <v>48</v>
      </c>
      <c r="D78" s="17" t="s">
        <v>50</v>
      </c>
      <c r="E78" s="17" t="s">
        <v>52</v>
      </c>
      <c r="F78" s="25" t="n">
        <f aca="false">SUMPRODUCT(--((('Yellow Bosses'!$M$5:$M$53&gt;=2)+('Yellow Bosses'!$P$5:$P$53&gt;=2)+('Yellow Bosses'!$R$5:$R$53&gt;=2)+('Yellow Bosses'!$T$5:$T$53&gt;=2))&gt;0))</f>
        <v>40</v>
      </c>
      <c r="G78" s="26" t="n">
        <f aca="false">F78/49</f>
        <v>0.816326530612245</v>
      </c>
      <c r="H78" s="25" t="n">
        <f aca="false">49-SUMPRODUCT(--((('Yellow Bosses'!$M$5:$M$53&gt;=1)+('Yellow Bosses'!$P$5:$P$53&gt;=1)+('Yellow Bosses'!$R$5:$R$53&gt;=1)+('Yellow Bosses'!$T$5:$T$53&gt;=1))&gt;0))</f>
        <v>0</v>
      </c>
      <c r="I78" s="25" t="n">
        <f aca="false">SUMPRODUCT(--((('Yellow Bosses'!$M$5:$M$53&gt;0)+('Yellow Bosses'!$P$5:$P$53&gt;0)+('Yellow Bosses'!$R$5:$R$53&gt;0)+('Yellow Bosses'!$T$5:$T$53&gt;0))=0))</f>
        <v>0</v>
      </c>
      <c r="J78" s="25" t="n">
        <f aca="false">SUMPRODUCT(--(((Effectiveness!$J$5:$J$155&gt;=2)+(Effectiveness!$M$5:$M$155&gt;=2)+(Effectiveness!$O$5:$O$155&gt;=2)+(Effectiveness!$Q$5:$Q$155&gt;=2))&gt;0))</f>
        <v>106</v>
      </c>
      <c r="K78" s="26" t="n">
        <f aca="false">J78/151</f>
        <v>0.701986754966887</v>
      </c>
      <c r="L78" s="25" t="n">
        <f aca="false">MIN(INDEX('Move Reality'!$F$5:$F$19,MATCH(B78,'Move Reality'!$A$5:$A$19,0)),INDEX('Move Reality'!$F$5:$F$19,MATCH(C78,'Move Reality'!$A$5:$A$19,0)),INDEX('Move Reality'!$F$5:$F$19,MATCH(D78,'Move Reality'!$A$5:$A$19,0)),INDEX('Move Reality'!$F$5:$F$19,MATCH(E78,'Move Reality'!$A$5:$A$19,0)))</f>
        <v>6</v>
      </c>
      <c r="M78" s="28" t="str">
        <f aca="false">IF(L78&gt;=5,"YES","no - dead move")</f>
        <v>YES</v>
      </c>
    </row>
    <row r="79" customFormat="false" ht="15" hidden="false" customHeight="false" outlineLevel="0" collapsed="false">
      <c r="A79" s="17" t="n">
        <v>75</v>
      </c>
      <c r="B79" s="17" t="s">
        <v>46</v>
      </c>
      <c r="C79" s="17" t="s">
        <v>48</v>
      </c>
      <c r="D79" s="17" t="s">
        <v>50</v>
      </c>
      <c r="E79" s="17" t="s">
        <v>51</v>
      </c>
      <c r="F79" s="25" t="n">
        <f aca="false">SUMPRODUCT(--((('Yellow Bosses'!$N$5:$N$53&gt;=2)+('Yellow Bosses'!$P$5:$P$53&gt;=2)+('Yellow Bosses'!$R$5:$R$53&gt;=2)+('Yellow Bosses'!$S$5:$S$53&gt;=2))&gt;0))</f>
        <v>40</v>
      </c>
      <c r="G79" s="26" t="n">
        <f aca="false">F79/49</f>
        <v>0.816326530612245</v>
      </c>
      <c r="H79" s="25" t="n">
        <f aca="false">49-SUMPRODUCT(--((('Yellow Bosses'!$N$5:$N$53&gt;=1)+('Yellow Bosses'!$P$5:$P$53&gt;=1)+('Yellow Bosses'!$R$5:$R$53&gt;=1)+('Yellow Bosses'!$S$5:$S$53&gt;=1))&gt;0))</f>
        <v>0</v>
      </c>
      <c r="I79" s="25" t="n">
        <f aca="false">SUMPRODUCT(--((('Yellow Bosses'!$N$5:$N$53&gt;0)+('Yellow Bosses'!$P$5:$P$53&gt;0)+('Yellow Bosses'!$R$5:$R$53&gt;0)+('Yellow Bosses'!$S$5:$S$53&gt;0))=0))</f>
        <v>0</v>
      </c>
      <c r="J79" s="25" t="n">
        <f aca="false">SUMPRODUCT(--(((Effectiveness!$K$5:$K$155&gt;=2)+(Effectiveness!$M$5:$M$155&gt;=2)+(Effectiveness!$O$5:$O$155&gt;=2)+(Effectiveness!$P$5:$P$155&gt;=2))&gt;0))</f>
        <v>105</v>
      </c>
      <c r="K79" s="26" t="n">
        <f aca="false">J79/151</f>
        <v>0.695364238410596</v>
      </c>
      <c r="L79" s="25" t="n">
        <f aca="false">MIN(INDEX('Move Reality'!$F$5:$F$19,MATCH(B79,'Move Reality'!$A$5:$A$19,0)),INDEX('Move Reality'!$F$5:$F$19,MATCH(C79,'Move Reality'!$A$5:$A$19,0)),INDEX('Move Reality'!$F$5:$F$19,MATCH(D79,'Move Reality'!$A$5:$A$19,0)),INDEX('Move Reality'!$F$5:$F$19,MATCH(E79,'Move Reality'!$A$5:$A$19,0)))</f>
        <v>1</v>
      </c>
      <c r="M79" s="28" t="str">
        <f aca="false">IF(L79&gt;=5,"YES","no - dead move")</f>
        <v>no - dead move</v>
      </c>
    </row>
    <row r="80" customFormat="false" ht="15" hidden="false" customHeight="false" outlineLevel="0" collapsed="false">
      <c r="A80" s="17" t="n">
        <v>76</v>
      </c>
      <c r="B80" s="17" t="s">
        <v>44</v>
      </c>
      <c r="C80" s="17" t="s">
        <v>50</v>
      </c>
      <c r="D80" s="17" t="s">
        <v>51</v>
      </c>
      <c r="E80" s="17" t="s">
        <v>54</v>
      </c>
      <c r="F80" s="25" t="n">
        <f aca="false">SUMPRODUCT(--((('Yellow Bosses'!$L$5:$L$53&gt;=2)+('Yellow Bosses'!$R$5:$R$53&gt;=2)+('Yellow Bosses'!$S$5:$S$53&gt;=2)+('Yellow Bosses'!$V$5:$V$53&gt;=2))&gt;0))</f>
        <v>40</v>
      </c>
      <c r="G80" s="26" t="n">
        <f aca="false">F80/49</f>
        <v>0.816326530612245</v>
      </c>
      <c r="H80" s="25" t="n">
        <f aca="false">49-SUMPRODUCT(--((('Yellow Bosses'!$L$5:$L$53&gt;=1)+('Yellow Bosses'!$R$5:$R$53&gt;=1)+('Yellow Bosses'!$S$5:$S$53&gt;=1)+('Yellow Bosses'!$V$5:$V$53&gt;=1))&gt;0))</f>
        <v>0</v>
      </c>
      <c r="I80" s="25" t="n">
        <f aca="false">SUMPRODUCT(--((('Yellow Bosses'!$L$5:$L$53&gt;0)+('Yellow Bosses'!$R$5:$R$53&gt;0)+('Yellow Bosses'!$S$5:$S$53&gt;0)+('Yellow Bosses'!$V$5:$V$53&gt;0))=0))</f>
        <v>0</v>
      </c>
      <c r="J80" s="25" t="n">
        <f aca="false">SUMPRODUCT(--(((Effectiveness!$I$5:$I$155&gt;=2)+(Effectiveness!$O$5:$O$155&gt;=2)+(Effectiveness!$P$5:$P$155&gt;=2)+(Effectiveness!$S$5:$S$155&gt;=2))&gt;0))</f>
        <v>98</v>
      </c>
      <c r="K80" s="26" t="n">
        <f aca="false">J80/151</f>
        <v>0.649006622516556</v>
      </c>
      <c r="L80" s="25" t="n">
        <f aca="false">MIN(INDEX('Move Reality'!$F$5:$F$19,MATCH(B80,'Move Reality'!$A$5:$A$19,0)),INDEX('Move Reality'!$F$5:$F$19,MATCH(C80,'Move Reality'!$A$5:$A$19,0)),INDEX('Move Reality'!$F$5:$F$19,MATCH(D80,'Move Reality'!$A$5:$A$19,0)),INDEX('Move Reality'!$F$5:$F$19,MATCH(E80,'Move Reality'!$A$5:$A$19,0)))</f>
        <v>1</v>
      </c>
      <c r="M80" s="28" t="str">
        <f aca="false">IF(L80&gt;=5,"YES","no - dead move")</f>
        <v>no - dead move</v>
      </c>
    </row>
    <row r="81" customFormat="false" ht="15" hidden="false" customHeight="false" outlineLevel="0" collapsed="false">
      <c r="A81" s="17" t="n">
        <v>77</v>
      </c>
      <c r="B81" s="17" t="s">
        <v>42</v>
      </c>
      <c r="C81" s="17" t="s">
        <v>45</v>
      </c>
      <c r="D81" s="17" t="s">
        <v>50</v>
      </c>
      <c r="E81" s="17" t="s">
        <v>51</v>
      </c>
      <c r="F81" s="25" t="n">
        <f aca="false">SUMPRODUCT(--((('Yellow Bosses'!$J$5:$J$53&gt;=2)+('Yellow Bosses'!$M$5:$M$53&gt;=2)+('Yellow Bosses'!$R$5:$R$53&gt;=2)+('Yellow Bosses'!$S$5:$S$53&gt;=2))&gt;0))</f>
        <v>40</v>
      </c>
      <c r="G81" s="26" t="n">
        <f aca="false">F81/49</f>
        <v>0.816326530612245</v>
      </c>
      <c r="H81" s="25" t="n">
        <f aca="false">49-SUMPRODUCT(--((('Yellow Bosses'!$J$5:$J$53&gt;=1)+('Yellow Bosses'!$M$5:$M$53&gt;=1)+('Yellow Bosses'!$R$5:$R$53&gt;=1)+('Yellow Bosses'!$S$5:$S$53&gt;=1))&gt;0))</f>
        <v>0</v>
      </c>
      <c r="I81" s="25" t="n">
        <f aca="false">SUMPRODUCT(--((('Yellow Bosses'!$J$5:$J$53&gt;0)+('Yellow Bosses'!$M$5:$M$53&gt;0)+('Yellow Bosses'!$R$5:$R$53&gt;0)+('Yellow Bosses'!$S$5:$S$53&gt;0))=0))</f>
        <v>0</v>
      </c>
      <c r="J81" s="25" t="n">
        <f aca="false">SUMPRODUCT(--(((Effectiveness!$G$5:$G$155&gt;=2)+(Effectiveness!$J$5:$J$155&gt;=2)+(Effectiveness!$O$5:$O$155&gt;=2)+(Effectiveness!$P$5:$P$155&gt;=2))&gt;0))</f>
        <v>97</v>
      </c>
      <c r="K81" s="26" t="n">
        <f aca="false">J81/151</f>
        <v>0.642384105960265</v>
      </c>
      <c r="L81" s="25" t="n">
        <f aca="false">MIN(INDEX('Move Reality'!$F$5:$F$19,MATCH(B81,'Move Reality'!$A$5:$A$19,0)),INDEX('Move Reality'!$F$5:$F$19,MATCH(C81,'Move Reality'!$A$5:$A$19,0)),INDEX('Move Reality'!$F$5:$F$19,MATCH(D81,'Move Reality'!$A$5:$A$19,0)),INDEX('Move Reality'!$F$5:$F$19,MATCH(E81,'Move Reality'!$A$5:$A$19,0)))</f>
        <v>1</v>
      </c>
      <c r="M81" s="28" t="str">
        <f aca="false">IF(L81&gt;=5,"YES","no - dead move")</f>
        <v>no - dead move</v>
      </c>
    </row>
    <row r="82" customFormat="false" ht="15" hidden="false" customHeight="false" outlineLevel="0" collapsed="false">
      <c r="A82" s="17" t="n">
        <v>78</v>
      </c>
      <c r="B82" s="17" t="s">
        <v>42</v>
      </c>
      <c r="C82" s="17" t="s">
        <v>50</v>
      </c>
      <c r="D82" s="17" t="s">
        <v>51</v>
      </c>
      <c r="E82" s="17" t="s">
        <v>54</v>
      </c>
      <c r="F82" s="25" t="n">
        <f aca="false">SUMPRODUCT(--((('Yellow Bosses'!$J$5:$J$53&gt;=2)+('Yellow Bosses'!$R$5:$R$53&gt;=2)+('Yellow Bosses'!$S$5:$S$53&gt;=2)+('Yellow Bosses'!$V$5:$V$53&gt;=2))&gt;0))</f>
        <v>40</v>
      </c>
      <c r="G82" s="26" t="n">
        <f aca="false">F82/49</f>
        <v>0.816326530612245</v>
      </c>
      <c r="H82" s="25" t="n">
        <f aca="false">49-SUMPRODUCT(--((('Yellow Bosses'!$J$5:$J$53&gt;=1)+('Yellow Bosses'!$R$5:$R$53&gt;=1)+('Yellow Bosses'!$S$5:$S$53&gt;=1)+('Yellow Bosses'!$V$5:$V$53&gt;=1))&gt;0))</f>
        <v>0</v>
      </c>
      <c r="I82" s="25" t="n">
        <f aca="false">SUMPRODUCT(--((('Yellow Bosses'!$J$5:$J$53&gt;0)+('Yellow Bosses'!$R$5:$R$53&gt;0)+('Yellow Bosses'!$S$5:$S$53&gt;0)+('Yellow Bosses'!$V$5:$V$53&gt;0))=0))</f>
        <v>0</v>
      </c>
      <c r="J82" s="25" t="n">
        <f aca="false">SUMPRODUCT(--(((Effectiveness!$G$5:$G$155&gt;=2)+(Effectiveness!$O$5:$O$155&gt;=2)+(Effectiveness!$P$5:$P$155&gt;=2)+(Effectiveness!$S$5:$S$155&gt;=2))&gt;0))</f>
        <v>86</v>
      </c>
      <c r="K82" s="26" t="n">
        <f aca="false">J82/151</f>
        <v>0.56953642384106</v>
      </c>
      <c r="L82" s="25" t="n">
        <f aca="false">MIN(INDEX('Move Reality'!$F$5:$F$19,MATCH(B82,'Move Reality'!$A$5:$A$19,0)),INDEX('Move Reality'!$F$5:$F$19,MATCH(C82,'Move Reality'!$A$5:$A$19,0)),INDEX('Move Reality'!$F$5:$F$19,MATCH(D82,'Move Reality'!$A$5:$A$19,0)),INDEX('Move Reality'!$F$5:$F$19,MATCH(E82,'Move Reality'!$A$5:$A$19,0)))</f>
        <v>1</v>
      </c>
      <c r="M82" s="28" t="str">
        <f aca="false">IF(L82&gt;=5,"YES","no - dead move")</f>
        <v>no - dead move</v>
      </c>
    </row>
    <row r="83" customFormat="false" ht="15" hidden="false" customHeight="false" outlineLevel="0" collapsed="false">
      <c r="A83" s="17" t="n">
        <v>79</v>
      </c>
      <c r="B83" s="17" t="s">
        <v>43</v>
      </c>
      <c r="C83" s="17" t="s">
        <v>46</v>
      </c>
      <c r="D83" s="17" t="s">
        <v>48</v>
      </c>
      <c r="E83" s="17" t="s">
        <v>49</v>
      </c>
      <c r="F83" s="25" t="n">
        <f aca="false">SUMPRODUCT(--((('Yellow Bosses'!$K$5:$K$53&gt;=2)+('Yellow Bosses'!$N$5:$N$53&gt;=2)+('Yellow Bosses'!$P$5:$P$53&gt;=2)+('Yellow Bosses'!$Q$5:$Q$53&gt;=2))&gt;0))</f>
        <v>39</v>
      </c>
      <c r="G83" s="26" t="n">
        <f aca="false">F83/49</f>
        <v>0.795918367346939</v>
      </c>
      <c r="H83" s="25" t="n">
        <f aca="false">49-SUMPRODUCT(--((('Yellow Bosses'!$K$5:$K$53&gt;=1)+('Yellow Bosses'!$N$5:$N$53&gt;=1)+('Yellow Bosses'!$P$5:$P$53&gt;=1)+('Yellow Bosses'!$Q$5:$Q$53&gt;=1))&gt;0))</f>
        <v>0</v>
      </c>
      <c r="I83" s="25" t="n">
        <f aca="false">SUMPRODUCT(--((('Yellow Bosses'!$K$5:$K$53&gt;0)+('Yellow Bosses'!$N$5:$N$53&gt;0)+('Yellow Bosses'!$P$5:$P$53&gt;0)+('Yellow Bosses'!$Q$5:$Q$53&gt;0))=0))</f>
        <v>0</v>
      </c>
      <c r="J83" s="25" t="n">
        <f aca="false">SUMPRODUCT(--(((Effectiveness!$H$5:$H$155&gt;=2)+(Effectiveness!$K$5:$K$155&gt;=2)+(Effectiveness!$M$5:$M$155&gt;=2)+(Effectiveness!$N$5:$N$155&gt;=2))&gt;0))</f>
        <v>132</v>
      </c>
      <c r="K83" s="26" t="n">
        <f aca="false">J83/151</f>
        <v>0.874172185430464</v>
      </c>
      <c r="L83" s="25" t="n">
        <f aca="false">MIN(INDEX('Move Reality'!$F$5:$F$19,MATCH(B83,'Move Reality'!$A$5:$A$19,0)),INDEX('Move Reality'!$F$5:$F$19,MATCH(C83,'Move Reality'!$A$5:$A$19,0)),INDEX('Move Reality'!$F$5:$F$19,MATCH(D83,'Move Reality'!$A$5:$A$19,0)),INDEX('Move Reality'!$F$5:$F$19,MATCH(E83,'Move Reality'!$A$5:$A$19,0)))</f>
        <v>5</v>
      </c>
      <c r="M83" s="28" t="str">
        <f aca="false">IF(L83&gt;=5,"YES","no - dead move")</f>
        <v>YES</v>
      </c>
    </row>
    <row r="84" customFormat="false" ht="15" hidden="false" customHeight="false" outlineLevel="0" collapsed="false">
      <c r="A84" s="17" t="n">
        <v>80</v>
      </c>
      <c r="B84" s="17" t="s">
        <v>44</v>
      </c>
      <c r="C84" s="17" t="s">
        <v>46</v>
      </c>
      <c r="D84" s="17" t="s">
        <v>51</v>
      </c>
      <c r="E84" s="17" t="s">
        <v>52</v>
      </c>
      <c r="F84" s="25" t="n">
        <f aca="false">SUMPRODUCT(--((('Yellow Bosses'!$L$5:$L$53&gt;=2)+('Yellow Bosses'!$N$5:$N$53&gt;=2)+('Yellow Bosses'!$S$5:$S$53&gt;=2)+('Yellow Bosses'!$T$5:$T$53&gt;=2))&gt;0))</f>
        <v>39</v>
      </c>
      <c r="G84" s="26" t="n">
        <f aca="false">F84/49</f>
        <v>0.795918367346939</v>
      </c>
      <c r="H84" s="25" t="n">
        <f aca="false">49-SUMPRODUCT(--((('Yellow Bosses'!$L$5:$L$53&gt;=1)+('Yellow Bosses'!$N$5:$N$53&gt;=1)+('Yellow Bosses'!$S$5:$S$53&gt;=1)+('Yellow Bosses'!$T$5:$T$53&gt;=1))&gt;0))</f>
        <v>0</v>
      </c>
      <c r="I84" s="25" t="n">
        <f aca="false">SUMPRODUCT(--((('Yellow Bosses'!$L$5:$L$53&gt;0)+('Yellow Bosses'!$N$5:$N$53&gt;0)+('Yellow Bosses'!$S$5:$S$53&gt;0)+('Yellow Bosses'!$T$5:$T$53&gt;0))=0))</f>
        <v>0</v>
      </c>
      <c r="J84" s="25" t="n">
        <f aca="false">SUMPRODUCT(--(((Effectiveness!$I$5:$I$155&gt;=2)+(Effectiveness!$K$5:$K$155&gt;=2)+(Effectiveness!$P$5:$P$155&gt;=2)+(Effectiveness!$Q$5:$Q$155&gt;=2))&gt;0))</f>
        <v>131</v>
      </c>
      <c r="K84" s="26" t="n">
        <f aca="false">J84/151</f>
        <v>0.867549668874172</v>
      </c>
      <c r="L84" s="25" t="n">
        <f aca="false">MIN(INDEX('Move Reality'!$F$5:$F$19,MATCH(B84,'Move Reality'!$A$5:$A$19,0)),INDEX('Move Reality'!$F$5:$F$19,MATCH(C84,'Move Reality'!$A$5:$A$19,0)),INDEX('Move Reality'!$F$5:$F$19,MATCH(D84,'Move Reality'!$A$5:$A$19,0)),INDEX('Move Reality'!$F$5:$F$19,MATCH(E84,'Move Reality'!$A$5:$A$19,0)))</f>
        <v>1</v>
      </c>
      <c r="M84" s="28" t="str">
        <f aca="false">IF(L84&gt;=5,"YES","no - dead move")</f>
        <v>no - dead move</v>
      </c>
    </row>
    <row r="85" customFormat="false" ht="15" hidden="false" customHeight="false" outlineLevel="0" collapsed="false">
      <c r="A85" s="17" t="n">
        <v>81</v>
      </c>
      <c r="B85" s="17" t="s">
        <v>44</v>
      </c>
      <c r="C85" s="17" t="s">
        <v>46</v>
      </c>
      <c r="D85" s="17" t="s">
        <v>50</v>
      </c>
      <c r="E85" s="17" t="s">
        <v>52</v>
      </c>
      <c r="F85" s="25" t="n">
        <f aca="false">SUMPRODUCT(--((('Yellow Bosses'!$L$5:$L$53&gt;=2)+('Yellow Bosses'!$N$5:$N$53&gt;=2)+('Yellow Bosses'!$R$5:$R$53&gt;=2)+('Yellow Bosses'!$T$5:$T$53&gt;=2))&gt;0))</f>
        <v>39</v>
      </c>
      <c r="G85" s="26" t="n">
        <f aca="false">F85/49</f>
        <v>0.795918367346939</v>
      </c>
      <c r="H85" s="25" t="n">
        <f aca="false">49-SUMPRODUCT(--((('Yellow Bosses'!$L$5:$L$53&gt;=1)+('Yellow Bosses'!$N$5:$N$53&gt;=1)+('Yellow Bosses'!$R$5:$R$53&gt;=1)+('Yellow Bosses'!$T$5:$T$53&gt;=1))&gt;0))</f>
        <v>0</v>
      </c>
      <c r="I85" s="25" t="n">
        <f aca="false">SUMPRODUCT(--((('Yellow Bosses'!$L$5:$L$53&gt;0)+('Yellow Bosses'!$N$5:$N$53&gt;0)+('Yellow Bosses'!$R$5:$R$53&gt;0)+('Yellow Bosses'!$T$5:$T$53&gt;0))=0))</f>
        <v>0</v>
      </c>
      <c r="J85" s="25" t="n">
        <f aca="false">SUMPRODUCT(--(((Effectiveness!$I$5:$I$155&gt;=2)+(Effectiveness!$K$5:$K$155&gt;=2)+(Effectiveness!$O$5:$O$155&gt;=2)+(Effectiveness!$Q$5:$Q$155&gt;=2))&gt;0))</f>
        <v>130</v>
      </c>
      <c r="K85" s="26" t="n">
        <f aca="false">J85/151</f>
        <v>0.860927152317881</v>
      </c>
      <c r="L85" s="25" t="n">
        <f aca="false">MIN(INDEX('Move Reality'!$F$5:$F$19,MATCH(B85,'Move Reality'!$A$5:$A$19,0)),INDEX('Move Reality'!$F$5:$F$19,MATCH(C85,'Move Reality'!$A$5:$A$19,0)),INDEX('Move Reality'!$F$5:$F$19,MATCH(D85,'Move Reality'!$A$5:$A$19,0)),INDEX('Move Reality'!$F$5:$F$19,MATCH(E85,'Move Reality'!$A$5:$A$19,0)))</f>
        <v>4</v>
      </c>
      <c r="M85" s="28" t="str">
        <f aca="false">IF(L85&gt;=5,"YES","no - dead move")</f>
        <v>no - dead move</v>
      </c>
    </row>
    <row r="86" customFormat="false" ht="15" hidden="false" customHeight="false" outlineLevel="0" collapsed="false">
      <c r="A86" s="17" t="n">
        <v>82</v>
      </c>
      <c r="B86" s="17" t="s">
        <v>45</v>
      </c>
      <c r="C86" s="17" t="s">
        <v>46</v>
      </c>
      <c r="D86" s="17" t="s">
        <v>48</v>
      </c>
      <c r="E86" s="17" t="s">
        <v>49</v>
      </c>
      <c r="F86" s="25" t="n">
        <f aca="false">SUMPRODUCT(--((('Yellow Bosses'!$M$5:$M$53&gt;=2)+('Yellow Bosses'!$N$5:$N$53&gt;=2)+('Yellow Bosses'!$P$5:$P$53&gt;=2)+('Yellow Bosses'!$Q$5:$Q$53&gt;=2))&gt;0))</f>
        <v>39</v>
      </c>
      <c r="G86" s="26" t="n">
        <f aca="false">F86/49</f>
        <v>0.795918367346939</v>
      </c>
      <c r="H86" s="25" t="n">
        <f aca="false">49-SUMPRODUCT(--((('Yellow Bosses'!$M$5:$M$53&gt;=1)+('Yellow Bosses'!$N$5:$N$53&gt;=1)+('Yellow Bosses'!$P$5:$P$53&gt;=1)+('Yellow Bosses'!$Q$5:$Q$53&gt;=1))&gt;0))</f>
        <v>0</v>
      </c>
      <c r="I86" s="25" t="n">
        <f aca="false">SUMPRODUCT(--((('Yellow Bosses'!$M$5:$M$53&gt;0)+('Yellow Bosses'!$N$5:$N$53&gt;0)+('Yellow Bosses'!$P$5:$P$53&gt;0)+('Yellow Bosses'!$Q$5:$Q$53&gt;0))=0))</f>
        <v>0</v>
      </c>
      <c r="J86" s="25" t="n">
        <f aca="false">SUMPRODUCT(--(((Effectiveness!$J$5:$J$155&gt;=2)+(Effectiveness!$K$5:$K$155&gt;=2)+(Effectiveness!$M$5:$M$155&gt;=2)+(Effectiveness!$N$5:$N$155&gt;=2))&gt;0))</f>
        <v>119</v>
      </c>
      <c r="K86" s="26" t="n">
        <f aca="false">J86/151</f>
        <v>0.788079470198676</v>
      </c>
      <c r="L86" s="25" t="n">
        <f aca="false">MIN(INDEX('Move Reality'!$F$5:$F$19,MATCH(B86,'Move Reality'!$A$5:$A$19,0)),INDEX('Move Reality'!$F$5:$F$19,MATCH(C86,'Move Reality'!$A$5:$A$19,0)),INDEX('Move Reality'!$F$5:$F$19,MATCH(D86,'Move Reality'!$A$5:$A$19,0)),INDEX('Move Reality'!$F$5:$F$19,MATCH(E86,'Move Reality'!$A$5:$A$19,0)))</f>
        <v>5</v>
      </c>
      <c r="M86" s="28" t="str">
        <f aca="false">IF(L86&gt;=5,"YES","no - dead move")</f>
        <v>YES</v>
      </c>
    </row>
    <row r="87" customFormat="false" ht="15" hidden="false" customHeight="false" outlineLevel="0" collapsed="false">
      <c r="A87" s="17" t="n">
        <v>83</v>
      </c>
      <c r="B87" s="17" t="s">
        <v>41</v>
      </c>
      <c r="C87" s="17" t="s">
        <v>44</v>
      </c>
      <c r="D87" s="17" t="s">
        <v>48</v>
      </c>
      <c r="E87" s="17" t="s">
        <v>52</v>
      </c>
      <c r="F87" s="25" t="n">
        <f aca="false">SUMPRODUCT(--((('Yellow Bosses'!$I$5:$I$53&gt;=2)+('Yellow Bosses'!$L$5:$L$53&gt;=2)+('Yellow Bosses'!$P$5:$P$53&gt;=2)+('Yellow Bosses'!$T$5:$T$53&gt;=2))&gt;0))</f>
        <v>39</v>
      </c>
      <c r="G87" s="26" t="n">
        <f aca="false">F87/49</f>
        <v>0.795918367346939</v>
      </c>
      <c r="H87" s="25" t="n">
        <f aca="false">49-SUMPRODUCT(--((('Yellow Bosses'!$I$5:$I$53&gt;=1)+('Yellow Bosses'!$L$5:$L$53&gt;=1)+('Yellow Bosses'!$P$5:$P$53&gt;=1)+('Yellow Bosses'!$T$5:$T$53&gt;=1))&gt;0))</f>
        <v>0</v>
      </c>
      <c r="I87" s="25" t="n">
        <f aca="false">SUMPRODUCT(--((('Yellow Bosses'!$I$5:$I$53&gt;0)+('Yellow Bosses'!$L$5:$L$53&gt;0)+('Yellow Bosses'!$P$5:$P$53&gt;0)+('Yellow Bosses'!$T$5:$T$53&gt;0))=0))</f>
        <v>0</v>
      </c>
      <c r="J87" s="25" t="n">
        <f aca="false">SUMPRODUCT(--(((Effectiveness!$F$5:$F$155&gt;=2)+(Effectiveness!$I$5:$I$155&gt;=2)+(Effectiveness!$M$5:$M$155&gt;=2)+(Effectiveness!$Q$5:$Q$155&gt;=2))&gt;0))</f>
        <v>118</v>
      </c>
      <c r="K87" s="26" t="n">
        <f aca="false">J87/151</f>
        <v>0.781456953642384</v>
      </c>
      <c r="L87" s="25" t="n">
        <f aca="false">MIN(INDEX('Move Reality'!$F$5:$F$19,MATCH(B87,'Move Reality'!$A$5:$A$19,0)),INDEX('Move Reality'!$F$5:$F$19,MATCH(C87,'Move Reality'!$A$5:$A$19,0)),INDEX('Move Reality'!$F$5:$F$19,MATCH(D87,'Move Reality'!$A$5:$A$19,0)),INDEX('Move Reality'!$F$5:$F$19,MATCH(E87,'Move Reality'!$A$5:$A$19,0)))</f>
        <v>4</v>
      </c>
      <c r="M87" s="28" t="str">
        <f aca="false">IF(L87&gt;=5,"YES","no - dead move")</f>
        <v>no - dead move</v>
      </c>
    </row>
    <row r="88" customFormat="false" ht="15" hidden="false" customHeight="false" outlineLevel="0" collapsed="false">
      <c r="A88" s="17" t="n">
        <v>84</v>
      </c>
      <c r="B88" s="17" t="s">
        <v>41</v>
      </c>
      <c r="C88" s="17" t="s">
        <v>43</v>
      </c>
      <c r="D88" s="17" t="s">
        <v>48</v>
      </c>
      <c r="E88" s="17" t="s">
        <v>49</v>
      </c>
      <c r="F88" s="25" t="n">
        <f aca="false">SUMPRODUCT(--((('Yellow Bosses'!$I$5:$I$53&gt;=2)+('Yellow Bosses'!$K$5:$K$53&gt;=2)+('Yellow Bosses'!$P$5:$P$53&gt;=2)+('Yellow Bosses'!$Q$5:$Q$53&gt;=2))&gt;0))</f>
        <v>39</v>
      </c>
      <c r="G88" s="26" t="n">
        <f aca="false">F88/49</f>
        <v>0.795918367346939</v>
      </c>
      <c r="H88" s="25" t="n">
        <f aca="false">49-SUMPRODUCT(--((('Yellow Bosses'!$I$5:$I$53&gt;=1)+('Yellow Bosses'!$K$5:$K$53&gt;=1)+('Yellow Bosses'!$P$5:$P$53&gt;=1)+('Yellow Bosses'!$Q$5:$Q$53&gt;=1))&gt;0))</f>
        <v>0</v>
      </c>
      <c r="I88" s="25" t="n">
        <f aca="false">SUMPRODUCT(--((('Yellow Bosses'!$I$5:$I$53&gt;0)+('Yellow Bosses'!$K$5:$K$53&gt;0)+('Yellow Bosses'!$P$5:$P$53&gt;0)+('Yellow Bosses'!$Q$5:$Q$53&gt;0))=0))</f>
        <v>0</v>
      </c>
      <c r="J88" s="25" t="n">
        <f aca="false">SUMPRODUCT(--(((Effectiveness!$F$5:$F$155&gt;=2)+(Effectiveness!$H$5:$H$155&gt;=2)+(Effectiveness!$M$5:$M$155&gt;=2)+(Effectiveness!$N$5:$N$155&gt;=2))&gt;0))</f>
        <v>117</v>
      </c>
      <c r="K88" s="26" t="n">
        <f aca="false">J88/151</f>
        <v>0.774834437086093</v>
      </c>
      <c r="L88" s="25" t="n">
        <f aca="false">MIN(INDEX('Move Reality'!$F$5:$F$19,MATCH(B88,'Move Reality'!$A$5:$A$19,0)),INDEX('Move Reality'!$F$5:$F$19,MATCH(C88,'Move Reality'!$A$5:$A$19,0)),INDEX('Move Reality'!$F$5:$F$19,MATCH(D88,'Move Reality'!$A$5:$A$19,0)),INDEX('Move Reality'!$F$5:$F$19,MATCH(E88,'Move Reality'!$A$5:$A$19,0)))</f>
        <v>5</v>
      </c>
      <c r="M88" s="28" t="str">
        <f aca="false">IF(L88&gt;=5,"YES","no - dead move")</f>
        <v>YES</v>
      </c>
    </row>
    <row r="89" customFormat="false" ht="15" hidden="false" customHeight="false" outlineLevel="0" collapsed="false">
      <c r="A89" s="17" t="n">
        <v>85</v>
      </c>
      <c r="B89" s="17" t="s">
        <v>41</v>
      </c>
      <c r="C89" s="17" t="s">
        <v>43</v>
      </c>
      <c r="D89" s="17" t="s">
        <v>48</v>
      </c>
      <c r="E89" s="17" t="s">
        <v>50</v>
      </c>
      <c r="F89" s="25" t="n">
        <f aca="false">SUMPRODUCT(--((('Yellow Bosses'!$I$5:$I$53&gt;=2)+('Yellow Bosses'!$K$5:$K$53&gt;=2)+('Yellow Bosses'!$P$5:$P$53&gt;=2)+('Yellow Bosses'!$R$5:$R$53&gt;=2))&gt;0))</f>
        <v>39</v>
      </c>
      <c r="G89" s="26" t="n">
        <f aca="false">F89/49</f>
        <v>0.795918367346939</v>
      </c>
      <c r="H89" s="25" t="n">
        <f aca="false">49-SUMPRODUCT(--((('Yellow Bosses'!$I$5:$I$53&gt;=1)+('Yellow Bosses'!$K$5:$K$53&gt;=1)+('Yellow Bosses'!$P$5:$P$53&gt;=1)+('Yellow Bosses'!$R$5:$R$53&gt;=1))&gt;0))</f>
        <v>0</v>
      </c>
      <c r="I89" s="25" t="n">
        <f aca="false">SUMPRODUCT(--((('Yellow Bosses'!$I$5:$I$53&gt;0)+('Yellow Bosses'!$K$5:$K$53&gt;0)+('Yellow Bosses'!$P$5:$P$53&gt;0)+('Yellow Bosses'!$R$5:$R$53&gt;0))=0))</f>
        <v>0</v>
      </c>
      <c r="J89" s="25" t="n">
        <f aca="false">SUMPRODUCT(--(((Effectiveness!$F$5:$F$155&gt;=2)+(Effectiveness!$H$5:$H$155&gt;=2)+(Effectiveness!$M$5:$M$155&gt;=2)+(Effectiveness!$O$5:$O$155&gt;=2))&gt;0))</f>
        <v>117</v>
      </c>
      <c r="K89" s="26" t="n">
        <f aca="false">J89/151</f>
        <v>0.774834437086093</v>
      </c>
      <c r="L89" s="25" t="n">
        <f aca="false">MIN(INDEX('Move Reality'!$F$5:$F$19,MATCH(B89,'Move Reality'!$A$5:$A$19,0)),INDEX('Move Reality'!$F$5:$F$19,MATCH(C89,'Move Reality'!$A$5:$A$19,0)),INDEX('Move Reality'!$F$5:$F$19,MATCH(D89,'Move Reality'!$A$5:$A$19,0)),INDEX('Move Reality'!$F$5:$F$19,MATCH(E89,'Move Reality'!$A$5:$A$19,0)))</f>
        <v>7</v>
      </c>
      <c r="M89" s="28" t="str">
        <f aca="false">IF(L89&gt;=5,"YES","no - dead move")</f>
        <v>YES</v>
      </c>
    </row>
    <row r="90" customFormat="false" ht="15" hidden="false" customHeight="false" outlineLevel="0" collapsed="false">
      <c r="A90" s="17" t="n">
        <v>86</v>
      </c>
      <c r="B90" s="17" t="s">
        <v>45</v>
      </c>
      <c r="C90" s="17" t="s">
        <v>46</v>
      </c>
      <c r="D90" s="17" t="s">
        <v>48</v>
      </c>
      <c r="E90" s="17" t="s">
        <v>50</v>
      </c>
      <c r="F90" s="25" t="n">
        <f aca="false">SUMPRODUCT(--((('Yellow Bosses'!$M$5:$M$53&gt;=2)+('Yellow Bosses'!$N$5:$N$53&gt;=2)+('Yellow Bosses'!$P$5:$P$53&gt;=2)+('Yellow Bosses'!$R$5:$R$53&gt;=2))&gt;0))</f>
        <v>39</v>
      </c>
      <c r="G90" s="26" t="n">
        <f aca="false">F90/49</f>
        <v>0.795918367346939</v>
      </c>
      <c r="H90" s="25" t="n">
        <f aca="false">49-SUMPRODUCT(--((('Yellow Bosses'!$M$5:$M$53&gt;=1)+('Yellow Bosses'!$N$5:$N$53&gt;=1)+('Yellow Bosses'!$P$5:$P$53&gt;=1)+('Yellow Bosses'!$R$5:$R$53&gt;=1))&gt;0))</f>
        <v>0</v>
      </c>
      <c r="I90" s="25" t="n">
        <f aca="false">SUMPRODUCT(--((('Yellow Bosses'!$M$5:$M$53&gt;0)+('Yellow Bosses'!$N$5:$N$53&gt;0)+('Yellow Bosses'!$P$5:$P$53&gt;0)+('Yellow Bosses'!$R$5:$R$53&gt;0))=0))</f>
        <v>0</v>
      </c>
      <c r="J90" s="25" t="n">
        <f aca="false">SUMPRODUCT(--(((Effectiveness!$J$5:$J$155&gt;=2)+(Effectiveness!$K$5:$K$155&gt;=2)+(Effectiveness!$M$5:$M$155&gt;=2)+(Effectiveness!$O$5:$O$155&gt;=2))&gt;0))</f>
        <v>116</v>
      </c>
      <c r="K90" s="26" t="n">
        <f aca="false">J90/151</f>
        <v>0.768211920529801</v>
      </c>
      <c r="L90" s="25" t="n">
        <f aca="false">MIN(INDEX('Move Reality'!$F$5:$F$19,MATCH(B90,'Move Reality'!$A$5:$A$19,0)),INDEX('Move Reality'!$F$5:$F$19,MATCH(C90,'Move Reality'!$A$5:$A$19,0)),INDEX('Move Reality'!$F$5:$F$19,MATCH(D90,'Move Reality'!$A$5:$A$19,0)),INDEX('Move Reality'!$F$5:$F$19,MATCH(E90,'Move Reality'!$A$5:$A$19,0)))</f>
        <v>5</v>
      </c>
      <c r="M90" s="28" t="str">
        <f aca="false">IF(L90&gt;=5,"YES","no - dead move")</f>
        <v>YES</v>
      </c>
    </row>
    <row r="91" customFormat="false" ht="15" hidden="false" customHeight="false" outlineLevel="0" collapsed="false">
      <c r="A91" s="17" t="n">
        <v>87</v>
      </c>
      <c r="B91" s="17" t="s">
        <v>41</v>
      </c>
      <c r="C91" s="17" t="s">
        <v>42</v>
      </c>
      <c r="D91" s="17" t="s">
        <v>43</v>
      </c>
      <c r="E91" s="17" t="s">
        <v>50</v>
      </c>
      <c r="F91" s="25" t="n">
        <f aca="false">SUMPRODUCT(--((('Yellow Bosses'!$I$5:$I$53&gt;=2)+('Yellow Bosses'!$J$5:$J$53&gt;=2)+('Yellow Bosses'!$K$5:$K$53&gt;=2)+('Yellow Bosses'!$R$5:$R$53&gt;=2))&gt;0))</f>
        <v>39</v>
      </c>
      <c r="G91" s="26" t="n">
        <f aca="false">F91/49</f>
        <v>0.795918367346939</v>
      </c>
      <c r="H91" s="25" t="n">
        <f aca="false">49-SUMPRODUCT(--((('Yellow Bosses'!$I$5:$I$53&gt;=1)+('Yellow Bosses'!$J$5:$J$53&gt;=1)+('Yellow Bosses'!$K$5:$K$53&gt;=1)+('Yellow Bosses'!$R$5:$R$53&gt;=1))&gt;0))</f>
        <v>0</v>
      </c>
      <c r="I91" s="25" t="n">
        <f aca="false">SUMPRODUCT(--((('Yellow Bosses'!$I$5:$I$53&gt;0)+('Yellow Bosses'!$J$5:$J$53&gt;0)+('Yellow Bosses'!$K$5:$K$53&gt;0)+('Yellow Bosses'!$R$5:$R$53&gt;0))=0))</f>
        <v>0</v>
      </c>
      <c r="J91" s="25" t="n">
        <f aca="false">SUMPRODUCT(--(((Effectiveness!$F$5:$F$155&gt;=2)+(Effectiveness!$G$5:$G$155&gt;=2)+(Effectiveness!$H$5:$H$155&gt;=2)+(Effectiveness!$O$5:$O$155&gt;=2))&gt;0))</f>
        <v>115</v>
      </c>
      <c r="K91" s="26" t="n">
        <f aca="false">J91/151</f>
        <v>0.76158940397351</v>
      </c>
      <c r="L91" s="25" t="n">
        <f aca="false">MIN(INDEX('Move Reality'!$F$5:$F$19,MATCH(B91,'Move Reality'!$A$5:$A$19,0)),INDEX('Move Reality'!$F$5:$F$19,MATCH(C91,'Move Reality'!$A$5:$A$19,0)),INDEX('Move Reality'!$F$5:$F$19,MATCH(D91,'Move Reality'!$A$5:$A$19,0)),INDEX('Move Reality'!$F$5:$F$19,MATCH(E91,'Move Reality'!$A$5:$A$19,0)))</f>
        <v>7</v>
      </c>
      <c r="M91" s="28" t="str">
        <f aca="false">IF(L91&gt;=5,"YES","no - dead move")</f>
        <v>YES</v>
      </c>
    </row>
    <row r="92" customFormat="false" ht="15" hidden="false" customHeight="false" outlineLevel="0" collapsed="false">
      <c r="A92" s="17" t="n">
        <v>88</v>
      </c>
      <c r="B92" s="17" t="s">
        <v>43</v>
      </c>
      <c r="C92" s="17" t="s">
        <v>45</v>
      </c>
      <c r="D92" s="17" t="s">
        <v>49</v>
      </c>
      <c r="E92" s="17" t="s">
        <v>51</v>
      </c>
      <c r="F92" s="25" t="n">
        <f aca="false">SUMPRODUCT(--((('Yellow Bosses'!$K$5:$K$53&gt;=2)+('Yellow Bosses'!$M$5:$M$53&gt;=2)+('Yellow Bosses'!$Q$5:$Q$53&gt;=2)+('Yellow Bosses'!$S$5:$S$53&gt;=2))&gt;0))</f>
        <v>39</v>
      </c>
      <c r="G92" s="26" t="n">
        <f aca="false">F92/49</f>
        <v>0.795918367346939</v>
      </c>
      <c r="H92" s="25" t="n">
        <f aca="false">49-SUMPRODUCT(--((('Yellow Bosses'!$K$5:$K$53&gt;=1)+('Yellow Bosses'!$M$5:$M$53&gt;=1)+('Yellow Bosses'!$Q$5:$Q$53&gt;=1)+('Yellow Bosses'!$S$5:$S$53&gt;=1))&gt;0))</f>
        <v>0</v>
      </c>
      <c r="I92" s="25" t="n">
        <f aca="false">SUMPRODUCT(--((('Yellow Bosses'!$K$5:$K$53&gt;0)+('Yellow Bosses'!$M$5:$M$53&gt;0)+('Yellow Bosses'!$Q$5:$Q$53&gt;0)+('Yellow Bosses'!$S$5:$S$53&gt;0))=0))</f>
        <v>0</v>
      </c>
      <c r="J92" s="25" t="n">
        <f aca="false">SUMPRODUCT(--(((Effectiveness!$H$5:$H$155&gt;=2)+(Effectiveness!$J$5:$J$155&gt;=2)+(Effectiveness!$N$5:$N$155&gt;=2)+(Effectiveness!$P$5:$P$155&gt;=2))&gt;0))</f>
        <v>114</v>
      </c>
      <c r="K92" s="26" t="n">
        <f aca="false">J92/151</f>
        <v>0.754966887417219</v>
      </c>
      <c r="L92" s="25" t="n">
        <f aca="false">MIN(INDEX('Move Reality'!$F$5:$F$19,MATCH(B92,'Move Reality'!$A$5:$A$19,0)),INDEX('Move Reality'!$F$5:$F$19,MATCH(C92,'Move Reality'!$A$5:$A$19,0)),INDEX('Move Reality'!$F$5:$F$19,MATCH(D92,'Move Reality'!$A$5:$A$19,0)),INDEX('Move Reality'!$F$5:$F$19,MATCH(E92,'Move Reality'!$A$5:$A$19,0)))</f>
        <v>1</v>
      </c>
      <c r="M92" s="28" t="str">
        <f aca="false">IF(L92&gt;=5,"YES","no - dead move")</f>
        <v>no - dead move</v>
      </c>
    </row>
    <row r="93" customFormat="false" ht="15" hidden="false" customHeight="false" outlineLevel="0" collapsed="false">
      <c r="A93" s="17" t="n">
        <v>89</v>
      </c>
      <c r="B93" s="17" t="s">
        <v>45</v>
      </c>
      <c r="C93" s="17" t="s">
        <v>46</v>
      </c>
      <c r="D93" s="17" t="s">
        <v>50</v>
      </c>
      <c r="E93" s="17" t="s">
        <v>52</v>
      </c>
      <c r="F93" s="25" t="n">
        <f aca="false">SUMPRODUCT(--((('Yellow Bosses'!$M$5:$M$53&gt;=2)+('Yellow Bosses'!$N$5:$N$53&gt;=2)+('Yellow Bosses'!$R$5:$R$53&gt;=2)+('Yellow Bosses'!$T$5:$T$53&gt;=2))&gt;0))</f>
        <v>39</v>
      </c>
      <c r="G93" s="26" t="n">
        <f aca="false">F93/49</f>
        <v>0.795918367346939</v>
      </c>
      <c r="H93" s="25" t="n">
        <f aca="false">49-SUMPRODUCT(--((('Yellow Bosses'!$M$5:$M$53&gt;=1)+('Yellow Bosses'!$N$5:$N$53&gt;=1)+('Yellow Bosses'!$R$5:$R$53&gt;=1)+('Yellow Bosses'!$T$5:$T$53&gt;=1))&gt;0))</f>
        <v>0</v>
      </c>
      <c r="I93" s="25" t="n">
        <f aca="false">SUMPRODUCT(--((('Yellow Bosses'!$M$5:$M$53&gt;0)+('Yellow Bosses'!$N$5:$N$53&gt;0)+('Yellow Bosses'!$R$5:$R$53&gt;0)+('Yellow Bosses'!$T$5:$T$53&gt;0))=0))</f>
        <v>0</v>
      </c>
      <c r="J93" s="25" t="n">
        <f aca="false">SUMPRODUCT(--(((Effectiveness!$J$5:$J$155&gt;=2)+(Effectiveness!$K$5:$K$155&gt;=2)+(Effectiveness!$O$5:$O$155&gt;=2)+(Effectiveness!$Q$5:$Q$155&gt;=2))&gt;0))</f>
        <v>114</v>
      </c>
      <c r="K93" s="26" t="n">
        <f aca="false">J93/151</f>
        <v>0.754966887417219</v>
      </c>
      <c r="L93" s="25" t="n">
        <f aca="false">MIN(INDEX('Move Reality'!$F$5:$F$19,MATCH(B93,'Move Reality'!$A$5:$A$19,0)),INDEX('Move Reality'!$F$5:$F$19,MATCH(C93,'Move Reality'!$A$5:$A$19,0)),INDEX('Move Reality'!$F$5:$F$19,MATCH(D93,'Move Reality'!$A$5:$A$19,0)),INDEX('Move Reality'!$F$5:$F$19,MATCH(E93,'Move Reality'!$A$5:$A$19,0)))</f>
        <v>5</v>
      </c>
      <c r="M93" s="28" t="str">
        <f aca="false">IF(L93&gt;=5,"YES","no - dead move")</f>
        <v>YES</v>
      </c>
    </row>
    <row r="94" customFormat="false" ht="15" hidden="false" customHeight="false" outlineLevel="0" collapsed="false">
      <c r="A94" s="17" t="n">
        <v>90</v>
      </c>
      <c r="B94" s="17" t="s">
        <v>45</v>
      </c>
      <c r="C94" s="17" t="s">
        <v>46</v>
      </c>
      <c r="D94" s="17" t="s">
        <v>51</v>
      </c>
      <c r="E94" s="17" t="s">
        <v>52</v>
      </c>
      <c r="F94" s="25" t="n">
        <f aca="false">SUMPRODUCT(--((('Yellow Bosses'!$M$5:$M$53&gt;=2)+('Yellow Bosses'!$N$5:$N$53&gt;=2)+('Yellow Bosses'!$S$5:$S$53&gt;=2)+('Yellow Bosses'!$T$5:$T$53&gt;=2))&gt;0))</f>
        <v>39</v>
      </c>
      <c r="G94" s="26" t="n">
        <f aca="false">F94/49</f>
        <v>0.795918367346939</v>
      </c>
      <c r="H94" s="25" t="n">
        <f aca="false">49-SUMPRODUCT(--((('Yellow Bosses'!$M$5:$M$53&gt;=1)+('Yellow Bosses'!$N$5:$N$53&gt;=1)+('Yellow Bosses'!$S$5:$S$53&gt;=1)+('Yellow Bosses'!$T$5:$T$53&gt;=1))&gt;0))</f>
        <v>0</v>
      </c>
      <c r="I94" s="25" t="n">
        <f aca="false">SUMPRODUCT(--((('Yellow Bosses'!$M$5:$M$53&gt;0)+('Yellow Bosses'!$N$5:$N$53&gt;0)+('Yellow Bosses'!$S$5:$S$53&gt;0)+('Yellow Bosses'!$T$5:$T$53&gt;0))=0))</f>
        <v>0</v>
      </c>
      <c r="J94" s="25" t="n">
        <f aca="false">SUMPRODUCT(--(((Effectiveness!$J$5:$J$155&gt;=2)+(Effectiveness!$K$5:$K$155&gt;=2)+(Effectiveness!$P$5:$P$155&gt;=2)+(Effectiveness!$Q$5:$Q$155&gt;=2))&gt;0))</f>
        <v>114</v>
      </c>
      <c r="K94" s="26" t="n">
        <f aca="false">J94/151</f>
        <v>0.754966887417219</v>
      </c>
      <c r="L94" s="25" t="n">
        <f aca="false">MIN(INDEX('Move Reality'!$F$5:$F$19,MATCH(B94,'Move Reality'!$A$5:$A$19,0)),INDEX('Move Reality'!$F$5:$F$19,MATCH(C94,'Move Reality'!$A$5:$A$19,0)),INDEX('Move Reality'!$F$5:$F$19,MATCH(D94,'Move Reality'!$A$5:$A$19,0)),INDEX('Move Reality'!$F$5:$F$19,MATCH(E94,'Move Reality'!$A$5:$A$19,0)))</f>
        <v>1</v>
      </c>
      <c r="M94" s="28" t="str">
        <f aca="false">IF(L94&gt;=5,"YES","no - dead move")</f>
        <v>no - dead move</v>
      </c>
    </row>
    <row r="95" customFormat="false" ht="15" hidden="false" customHeight="false" outlineLevel="0" collapsed="false">
      <c r="A95" s="17" t="n">
        <v>91</v>
      </c>
      <c r="B95" s="17" t="s">
        <v>41</v>
      </c>
      <c r="C95" s="17" t="s">
        <v>43</v>
      </c>
      <c r="D95" s="17" t="s">
        <v>48</v>
      </c>
      <c r="E95" s="17" t="s">
        <v>54</v>
      </c>
      <c r="F95" s="25" t="n">
        <f aca="false">SUMPRODUCT(--((('Yellow Bosses'!$I$5:$I$53&gt;=2)+('Yellow Bosses'!$K$5:$K$53&gt;=2)+('Yellow Bosses'!$P$5:$P$53&gt;=2)+('Yellow Bosses'!$V$5:$V$53&gt;=2))&gt;0))</f>
        <v>39</v>
      </c>
      <c r="G95" s="26" t="n">
        <f aca="false">F95/49</f>
        <v>0.795918367346939</v>
      </c>
      <c r="H95" s="25" t="n">
        <f aca="false">49-SUMPRODUCT(--((('Yellow Bosses'!$I$5:$I$53&gt;=1)+('Yellow Bosses'!$K$5:$K$53&gt;=1)+('Yellow Bosses'!$P$5:$P$53&gt;=1)+('Yellow Bosses'!$V$5:$V$53&gt;=1))&gt;0))</f>
        <v>0</v>
      </c>
      <c r="I95" s="25" t="n">
        <f aca="false">SUMPRODUCT(--((('Yellow Bosses'!$I$5:$I$53&gt;0)+('Yellow Bosses'!$K$5:$K$53&gt;0)+('Yellow Bosses'!$P$5:$P$53&gt;0)+('Yellow Bosses'!$V$5:$V$53&gt;0))=0))</f>
        <v>0</v>
      </c>
      <c r="J95" s="25" t="n">
        <f aca="false">SUMPRODUCT(--(((Effectiveness!$F$5:$F$155&gt;=2)+(Effectiveness!$H$5:$H$155&gt;=2)+(Effectiveness!$M$5:$M$155&gt;=2)+(Effectiveness!$S$5:$S$155&gt;=2))&gt;0))</f>
        <v>113</v>
      </c>
      <c r="K95" s="26" t="n">
        <f aca="false">J95/151</f>
        <v>0.748344370860927</v>
      </c>
      <c r="L95" s="25" t="n">
        <f aca="false">MIN(INDEX('Move Reality'!$F$5:$F$19,MATCH(B95,'Move Reality'!$A$5:$A$19,0)),INDEX('Move Reality'!$F$5:$F$19,MATCH(C95,'Move Reality'!$A$5:$A$19,0)),INDEX('Move Reality'!$F$5:$F$19,MATCH(D95,'Move Reality'!$A$5:$A$19,0)),INDEX('Move Reality'!$F$5:$F$19,MATCH(E95,'Move Reality'!$A$5:$A$19,0)))</f>
        <v>1</v>
      </c>
      <c r="M95" s="28" t="str">
        <f aca="false">IF(L95&gt;=5,"YES","no - dead move")</f>
        <v>no - dead move</v>
      </c>
    </row>
    <row r="96" customFormat="false" ht="15" hidden="false" customHeight="false" outlineLevel="0" collapsed="false">
      <c r="A96" s="17" t="n">
        <v>92</v>
      </c>
      <c r="B96" s="17" t="s">
        <v>42</v>
      </c>
      <c r="C96" s="17" t="s">
        <v>44</v>
      </c>
      <c r="D96" s="17" t="s">
        <v>45</v>
      </c>
      <c r="E96" s="17" t="s">
        <v>51</v>
      </c>
      <c r="F96" s="25" t="n">
        <f aca="false">SUMPRODUCT(--((('Yellow Bosses'!$J$5:$J$53&gt;=2)+('Yellow Bosses'!$L$5:$L$53&gt;=2)+('Yellow Bosses'!$M$5:$M$53&gt;=2)+('Yellow Bosses'!$S$5:$S$53&gt;=2))&gt;0))</f>
        <v>39</v>
      </c>
      <c r="G96" s="26" t="n">
        <f aca="false">F96/49</f>
        <v>0.795918367346939</v>
      </c>
      <c r="H96" s="25" t="n">
        <f aca="false">49-SUMPRODUCT(--((('Yellow Bosses'!$J$5:$J$53&gt;=1)+('Yellow Bosses'!$L$5:$L$53&gt;=1)+('Yellow Bosses'!$M$5:$M$53&gt;=1)+('Yellow Bosses'!$S$5:$S$53&gt;=1))&gt;0))</f>
        <v>0</v>
      </c>
      <c r="I96" s="25" t="n">
        <f aca="false">SUMPRODUCT(--((('Yellow Bosses'!$J$5:$J$53&gt;0)+('Yellow Bosses'!$L$5:$L$53&gt;0)+('Yellow Bosses'!$M$5:$M$53&gt;0)+('Yellow Bosses'!$S$5:$S$53&gt;0))=0))</f>
        <v>0</v>
      </c>
      <c r="J96" s="25" t="n">
        <f aca="false">SUMPRODUCT(--(((Effectiveness!$G$5:$G$155&gt;=2)+(Effectiveness!$I$5:$I$155&gt;=2)+(Effectiveness!$J$5:$J$155&gt;=2)+(Effectiveness!$P$5:$P$155&gt;=2))&gt;0))</f>
        <v>112</v>
      </c>
      <c r="K96" s="26" t="n">
        <f aca="false">J96/151</f>
        <v>0.741721854304636</v>
      </c>
      <c r="L96" s="25" t="n">
        <f aca="false">MIN(INDEX('Move Reality'!$F$5:$F$19,MATCH(B96,'Move Reality'!$A$5:$A$19,0)),INDEX('Move Reality'!$F$5:$F$19,MATCH(C96,'Move Reality'!$A$5:$A$19,0)),INDEX('Move Reality'!$F$5:$F$19,MATCH(D96,'Move Reality'!$A$5:$A$19,0)),INDEX('Move Reality'!$F$5:$F$19,MATCH(E96,'Move Reality'!$A$5:$A$19,0)))</f>
        <v>1</v>
      </c>
      <c r="M96" s="28" t="str">
        <f aca="false">IF(L96&gt;=5,"YES","no - dead move")</f>
        <v>no - dead move</v>
      </c>
    </row>
    <row r="97" customFormat="false" ht="15" hidden="false" customHeight="false" outlineLevel="0" collapsed="false">
      <c r="A97" s="17" t="n">
        <v>93</v>
      </c>
      <c r="B97" s="17" t="s">
        <v>41</v>
      </c>
      <c r="C97" s="17" t="s">
        <v>44</v>
      </c>
      <c r="D97" s="17" t="s">
        <v>48</v>
      </c>
      <c r="E97" s="17" t="s">
        <v>50</v>
      </c>
      <c r="F97" s="25" t="n">
        <f aca="false">SUMPRODUCT(--((('Yellow Bosses'!$I$5:$I$53&gt;=2)+('Yellow Bosses'!$L$5:$L$53&gt;=2)+('Yellow Bosses'!$P$5:$P$53&gt;=2)+('Yellow Bosses'!$R$5:$R$53&gt;=2))&gt;0))</f>
        <v>39</v>
      </c>
      <c r="G97" s="26" t="n">
        <f aca="false">F97/49</f>
        <v>0.795918367346939</v>
      </c>
      <c r="H97" s="25" t="n">
        <f aca="false">49-SUMPRODUCT(--((('Yellow Bosses'!$I$5:$I$53&gt;=1)+('Yellow Bosses'!$L$5:$L$53&gt;=1)+('Yellow Bosses'!$P$5:$P$53&gt;=1)+('Yellow Bosses'!$R$5:$R$53&gt;=1))&gt;0))</f>
        <v>0</v>
      </c>
      <c r="I97" s="25" t="n">
        <f aca="false">SUMPRODUCT(--((('Yellow Bosses'!$I$5:$I$53&gt;0)+('Yellow Bosses'!$L$5:$L$53&gt;0)+('Yellow Bosses'!$P$5:$P$53&gt;0)+('Yellow Bosses'!$R$5:$R$53&gt;0))=0))</f>
        <v>0</v>
      </c>
      <c r="J97" s="25" t="n">
        <f aca="false">SUMPRODUCT(--(((Effectiveness!$F$5:$F$155&gt;=2)+(Effectiveness!$I$5:$I$155&gt;=2)+(Effectiveness!$M$5:$M$155&gt;=2)+(Effectiveness!$O$5:$O$155&gt;=2))&gt;0))</f>
        <v>111</v>
      </c>
      <c r="K97" s="26" t="n">
        <f aca="false">J97/151</f>
        <v>0.735099337748344</v>
      </c>
      <c r="L97" s="25" t="n">
        <f aca="false">MIN(INDEX('Move Reality'!$F$5:$F$19,MATCH(B97,'Move Reality'!$A$5:$A$19,0)),INDEX('Move Reality'!$F$5:$F$19,MATCH(C97,'Move Reality'!$A$5:$A$19,0)),INDEX('Move Reality'!$F$5:$F$19,MATCH(D97,'Move Reality'!$A$5:$A$19,0)),INDEX('Move Reality'!$F$5:$F$19,MATCH(E97,'Move Reality'!$A$5:$A$19,0)))</f>
        <v>4</v>
      </c>
      <c r="M97" s="28" t="str">
        <f aca="false">IF(L97&gt;=5,"YES","no - dead move")</f>
        <v>no - dead move</v>
      </c>
    </row>
    <row r="98" customFormat="false" ht="15" hidden="false" customHeight="false" outlineLevel="0" collapsed="false">
      <c r="A98" s="17" t="n">
        <v>94</v>
      </c>
      <c r="B98" s="17" t="s">
        <v>43</v>
      </c>
      <c r="C98" s="17" t="s">
        <v>48</v>
      </c>
      <c r="D98" s="17" t="s">
        <v>50</v>
      </c>
      <c r="E98" s="17" t="s">
        <v>54</v>
      </c>
      <c r="F98" s="25" t="n">
        <f aca="false">SUMPRODUCT(--((('Yellow Bosses'!$K$5:$K$53&gt;=2)+('Yellow Bosses'!$P$5:$P$53&gt;=2)+('Yellow Bosses'!$R$5:$R$53&gt;=2)+('Yellow Bosses'!$V$5:$V$53&gt;=2))&gt;0))</f>
        <v>39</v>
      </c>
      <c r="G98" s="26" t="n">
        <f aca="false">F98/49</f>
        <v>0.795918367346939</v>
      </c>
      <c r="H98" s="25" t="n">
        <f aca="false">49-SUMPRODUCT(--((('Yellow Bosses'!$K$5:$K$53&gt;=1)+('Yellow Bosses'!$P$5:$P$53&gt;=1)+('Yellow Bosses'!$R$5:$R$53&gt;=1)+('Yellow Bosses'!$V$5:$V$53&gt;=1))&gt;0))</f>
        <v>0</v>
      </c>
      <c r="I98" s="25" t="n">
        <f aca="false">SUMPRODUCT(--((('Yellow Bosses'!$K$5:$K$53&gt;0)+('Yellow Bosses'!$P$5:$P$53&gt;0)+('Yellow Bosses'!$R$5:$R$53&gt;0)+('Yellow Bosses'!$V$5:$V$53&gt;0))=0))</f>
        <v>0</v>
      </c>
      <c r="J98" s="25" t="n">
        <f aca="false">SUMPRODUCT(--(((Effectiveness!$H$5:$H$155&gt;=2)+(Effectiveness!$M$5:$M$155&gt;=2)+(Effectiveness!$O$5:$O$155&gt;=2)+(Effectiveness!$S$5:$S$155&gt;=2))&gt;0))</f>
        <v>111</v>
      </c>
      <c r="K98" s="26" t="n">
        <f aca="false">J98/151</f>
        <v>0.735099337748344</v>
      </c>
      <c r="L98" s="25" t="n">
        <f aca="false">MIN(INDEX('Move Reality'!$F$5:$F$19,MATCH(B98,'Move Reality'!$A$5:$A$19,0)),INDEX('Move Reality'!$F$5:$F$19,MATCH(C98,'Move Reality'!$A$5:$A$19,0)),INDEX('Move Reality'!$F$5:$F$19,MATCH(D98,'Move Reality'!$A$5:$A$19,0)),INDEX('Move Reality'!$F$5:$F$19,MATCH(E98,'Move Reality'!$A$5:$A$19,0)))</f>
        <v>1</v>
      </c>
      <c r="M98" s="28" t="str">
        <f aca="false">IF(L98&gt;=5,"YES","no - dead move")</f>
        <v>no - dead move</v>
      </c>
    </row>
    <row r="99" customFormat="false" ht="15" hidden="false" customHeight="false" outlineLevel="0" collapsed="false">
      <c r="A99" s="17" t="n">
        <v>95</v>
      </c>
      <c r="B99" s="17" t="s">
        <v>41</v>
      </c>
      <c r="C99" s="17" t="s">
        <v>44</v>
      </c>
      <c r="D99" s="17" t="s">
        <v>48</v>
      </c>
      <c r="E99" s="17" t="s">
        <v>51</v>
      </c>
      <c r="F99" s="25" t="n">
        <f aca="false">SUMPRODUCT(--((('Yellow Bosses'!$I$5:$I$53&gt;=2)+('Yellow Bosses'!$L$5:$L$53&gt;=2)+('Yellow Bosses'!$P$5:$P$53&gt;=2)+('Yellow Bosses'!$S$5:$S$53&gt;=2))&gt;0))</f>
        <v>39</v>
      </c>
      <c r="G99" s="26" t="n">
        <f aca="false">F99/49</f>
        <v>0.795918367346939</v>
      </c>
      <c r="H99" s="25" t="n">
        <f aca="false">49-SUMPRODUCT(--((('Yellow Bosses'!$I$5:$I$53&gt;=1)+('Yellow Bosses'!$L$5:$L$53&gt;=1)+('Yellow Bosses'!$P$5:$P$53&gt;=1)+('Yellow Bosses'!$S$5:$S$53&gt;=1))&gt;0))</f>
        <v>1</v>
      </c>
      <c r="I99" s="25" t="n">
        <f aca="false">SUMPRODUCT(--((('Yellow Bosses'!$I$5:$I$53&gt;0)+('Yellow Bosses'!$L$5:$L$53&gt;0)+('Yellow Bosses'!$P$5:$P$53&gt;0)+('Yellow Bosses'!$S$5:$S$53&gt;0))=0))</f>
        <v>0</v>
      </c>
      <c r="J99" s="25" t="n">
        <f aca="false">SUMPRODUCT(--(((Effectiveness!$F$5:$F$155&gt;=2)+(Effectiveness!$I$5:$I$155&gt;=2)+(Effectiveness!$M$5:$M$155&gt;=2)+(Effectiveness!$P$5:$P$155&gt;=2))&gt;0))</f>
        <v>110</v>
      </c>
      <c r="K99" s="26" t="n">
        <f aca="false">J99/151</f>
        <v>0.728476821192053</v>
      </c>
      <c r="L99" s="25" t="n">
        <f aca="false">MIN(INDEX('Move Reality'!$F$5:$F$19,MATCH(B99,'Move Reality'!$A$5:$A$19,0)),INDEX('Move Reality'!$F$5:$F$19,MATCH(C99,'Move Reality'!$A$5:$A$19,0)),INDEX('Move Reality'!$F$5:$F$19,MATCH(D99,'Move Reality'!$A$5:$A$19,0)),INDEX('Move Reality'!$F$5:$F$19,MATCH(E99,'Move Reality'!$A$5:$A$19,0)))</f>
        <v>1</v>
      </c>
      <c r="M99" s="28" t="str">
        <f aca="false">IF(L99&gt;=5,"YES","no - dead move")</f>
        <v>no - dead move</v>
      </c>
    </row>
    <row r="100" customFormat="false" ht="15" hidden="false" customHeight="false" outlineLevel="0" collapsed="false">
      <c r="A100" s="17" t="n">
        <v>96</v>
      </c>
      <c r="B100" s="17" t="s">
        <v>43</v>
      </c>
      <c r="C100" s="17" t="s">
        <v>44</v>
      </c>
      <c r="D100" s="17" t="s">
        <v>50</v>
      </c>
      <c r="E100" s="17" t="s">
        <v>51</v>
      </c>
      <c r="F100" s="25" t="n">
        <f aca="false">SUMPRODUCT(--((('Yellow Bosses'!$K$5:$K$53&gt;=2)+('Yellow Bosses'!$L$5:$L$53&gt;=2)+('Yellow Bosses'!$R$5:$R$53&gt;=2)+('Yellow Bosses'!$S$5:$S$53&gt;=2))&gt;0))</f>
        <v>39</v>
      </c>
      <c r="G100" s="26" t="n">
        <f aca="false">F100/49</f>
        <v>0.795918367346939</v>
      </c>
      <c r="H100" s="25" t="n">
        <f aca="false">49-SUMPRODUCT(--((('Yellow Bosses'!$K$5:$K$53&gt;=1)+('Yellow Bosses'!$L$5:$L$53&gt;=1)+('Yellow Bosses'!$R$5:$R$53&gt;=1)+('Yellow Bosses'!$S$5:$S$53&gt;=1))&gt;0))</f>
        <v>0</v>
      </c>
      <c r="I100" s="25" t="n">
        <f aca="false">SUMPRODUCT(--((('Yellow Bosses'!$K$5:$K$53&gt;0)+('Yellow Bosses'!$L$5:$L$53&gt;0)+('Yellow Bosses'!$R$5:$R$53&gt;0)+('Yellow Bosses'!$S$5:$S$53&gt;0))=0))</f>
        <v>0</v>
      </c>
      <c r="J100" s="25" t="n">
        <f aca="false">SUMPRODUCT(--(((Effectiveness!$H$5:$H$155&gt;=2)+(Effectiveness!$I$5:$I$155&gt;=2)+(Effectiveness!$O$5:$O$155&gt;=2)+(Effectiveness!$P$5:$P$155&gt;=2))&gt;0))</f>
        <v>110</v>
      </c>
      <c r="K100" s="26" t="n">
        <f aca="false">J100/151</f>
        <v>0.728476821192053</v>
      </c>
      <c r="L100" s="25" t="n">
        <f aca="false">MIN(INDEX('Move Reality'!$F$5:$F$19,MATCH(B100,'Move Reality'!$A$5:$A$19,0)),INDEX('Move Reality'!$F$5:$F$19,MATCH(C100,'Move Reality'!$A$5:$A$19,0)),INDEX('Move Reality'!$F$5:$F$19,MATCH(D100,'Move Reality'!$A$5:$A$19,0)),INDEX('Move Reality'!$F$5:$F$19,MATCH(E100,'Move Reality'!$A$5:$A$19,0)))</f>
        <v>1</v>
      </c>
      <c r="M100" s="28" t="str">
        <f aca="false">IF(L100&gt;=5,"YES","no - dead move")</f>
        <v>no - dead move</v>
      </c>
    </row>
    <row r="101" customFormat="false" ht="15" hidden="false" customHeight="false" outlineLevel="0" collapsed="false">
      <c r="A101" s="17" t="n">
        <v>97</v>
      </c>
      <c r="B101" s="17" t="s">
        <v>42</v>
      </c>
      <c r="C101" s="17" t="s">
        <v>43</v>
      </c>
      <c r="D101" s="17" t="s">
        <v>50</v>
      </c>
      <c r="E101" s="17" t="s">
        <v>54</v>
      </c>
      <c r="F101" s="25" t="n">
        <f aca="false">SUMPRODUCT(--((('Yellow Bosses'!$J$5:$J$53&gt;=2)+('Yellow Bosses'!$K$5:$K$53&gt;=2)+('Yellow Bosses'!$R$5:$R$53&gt;=2)+('Yellow Bosses'!$V$5:$V$53&gt;=2))&gt;0))</f>
        <v>39</v>
      </c>
      <c r="G101" s="26" t="n">
        <f aca="false">F101/49</f>
        <v>0.795918367346939</v>
      </c>
      <c r="H101" s="25" t="n">
        <f aca="false">49-SUMPRODUCT(--((('Yellow Bosses'!$J$5:$J$53&gt;=1)+('Yellow Bosses'!$K$5:$K$53&gt;=1)+('Yellow Bosses'!$R$5:$R$53&gt;=1)+('Yellow Bosses'!$V$5:$V$53&gt;=1))&gt;0))</f>
        <v>0</v>
      </c>
      <c r="I101" s="25" t="n">
        <f aca="false">SUMPRODUCT(--((('Yellow Bosses'!$J$5:$J$53&gt;0)+('Yellow Bosses'!$K$5:$K$53&gt;0)+('Yellow Bosses'!$R$5:$R$53&gt;0)+('Yellow Bosses'!$V$5:$V$53&gt;0))=0))</f>
        <v>0</v>
      </c>
      <c r="J101" s="25" t="n">
        <f aca="false">SUMPRODUCT(--(((Effectiveness!$G$5:$G$155&gt;=2)+(Effectiveness!$H$5:$H$155&gt;=2)+(Effectiveness!$O$5:$O$155&gt;=2)+(Effectiveness!$S$5:$S$155&gt;=2))&gt;0))</f>
        <v>109</v>
      </c>
      <c r="K101" s="26" t="n">
        <f aca="false">J101/151</f>
        <v>0.721854304635762</v>
      </c>
      <c r="L101" s="25" t="n">
        <f aca="false">MIN(INDEX('Move Reality'!$F$5:$F$19,MATCH(B101,'Move Reality'!$A$5:$A$19,0)),INDEX('Move Reality'!$F$5:$F$19,MATCH(C101,'Move Reality'!$A$5:$A$19,0)),INDEX('Move Reality'!$F$5:$F$19,MATCH(D101,'Move Reality'!$A$5:$A$19,0)),INDEX('Move Reality'!$F$5:$F$19,MATCH(E101,'Move Reality'!$A$5:$A$19,0)))</f>
        <v>1</v>
      </c>
      <c r="M101" s="28" t="str">
        <f aca="false">IF(L101&gt;=5,"YES","no - dead move")</f>
        <v>no - dead move</v>
      </c>
    </row>
    <row r="102" customFormat="false" ht="15" hidden="false" customHeight="false" outlineLevel="0" collapsed="false">
      <c r="A102" s="17" t="n">
        <v>98</v>
      </c>
      <c r="B102" s="17" t="s">
        <v>44</v>
      </c>
      <c r="C102" s="17" t="s">
        <v>47</v>
      </c>
      <c r="D102" s="17" t="s">
        <v>48</v>
      </c>
      <c r="E102" s="17" t="s">
        <v>51</v>
      </c>
      <c r="F102" s="25" t="n">
        <f aca="false">SUMPRODUCT(--((('Yellow Bosses'!$L$5:$L$53&gt;=2)+('Yellow Bosses'!$O$5:$O$53&gt;=2)+('Yellow Bosses'!$P$5:$P$53&gt;=2)+('Yellow Bosses'!$S$5:$S$53&gt;=2))&gt;0))</f>
        <v>39</v>
      </c>
      <c r="G102" s="26" t="n">
        <f aca="false">F102/49</f>
        <v>0.795918367346939</v>
      </c>
      <c r="H102" s="25" t="n">
        <f aca="false">49-SUMPRODUCT(--((('Yellow Bosses'!$L$5:$L$53&gt;=1)+('Yellow Bosses'!$O$5:$O$53&gt;=1)+('Yellow Bosses'!$P$5:$P$53&gt;=1)+('Yellow Bosses'!$S$5:$S$53&gt;=1))&gt;0))</f>
        <v>0</v>
      </c>
      <c r="I102" s="25" t="n">
        <f aca="false">SUMPRODUCT(--((('Yellow Bosses'!$L$5:$L$53&gt;0)+('Yellow Bosses'!$O$5:$O$53&gt;0)+('Yellow Bosses'!$P$5:$P$53&gt;0)+('Yellow Bosses'!$S$5:$S$53&gt;0))=0))</f>
        <v>0</v>
      </c>
      <c r="J102" s="25" t="n">
        <f aca="false">SUMPRODUCT(--(((Effectiveness!$I$5:$I$155&gt;=2)+(Effectiveness!$L$5:$L$155&gt;=2)+(Effectiveness!$M$5:$M$155&gt;=2)+(Effectiveness!$P$5:$P$155&gt;=2))&gt;0))</f>
        <v>109</v>
      </c>
      <c r="K102" s="26" t="n">
        <f aca="false">J102/151</f>
        <v>0.721854304635762</v>
      </c>
      <c r="L102" s="25" t="n">
        <f aca="false">MIN(INDEX('Move Reality'!$F$5:$F$19,MATCH(B102,'Move Reality'!$A$5:$A$19,0)),INDEX('Move Reality'!$F$5:$F$19,MATCH(C102,'Move Reality'!$A$5:$A$19,0)),INDEX('Move Reality'!$F$5:$F$19,MATCH(D102,'Move Reality'!$A$5:$A$19,0)),INDEX('Move Reality'!$F$5:$F$19,MATCH(E102,'Move Reality'!$A$5:$A$19,0)))</f>
        <v>1</v>
      </c>
      <c r="M102" s="28" t="str">
        <f aca="false">IF(L102&gt;=5,"YES","no - dead move")</f>
        <v>no - dead move</v>
      </c>
    </row>
    <row r="103" customFormat="false" ht="15" hidden="false" customHeight="false" outlineLevel="0" collapsed="false">
      <c r="A103" s="17" t="n">
        <v>99</v>
      </c>
      <c r="B103" s="17" t="s">
        <v>46</v>
      </c>
      <c r="C103" s="17" t="s">
        <v>48</v>
      </c>
      <c r="D103" s="17" t="s">
        <v>49</v>
      </c>
      <c r="E103" s="17" t="s">
        <v>51</v>
      </c>
      <c r="F103" s="25" t="n">
        <f aca="false">SUMPRODUCT(--((('Yellow Bosses'!$N$5:$N$53&gt;=2)+('Yellow Bosses'!$P$5:$P$53&gt;=2)+('Yellow Bosses'!$Q$5:$Q$53&gt;=2)+('Yellow Bosses'!$S$5:$S$53&gt;=2))&gt;0))</f>
        <v>39</v>
      </c>
      <c r="G103" s="26" t="n">
        <f aca="false">F103/49</f>
        <v>0.795918367346939</v>
      </c>
      <c r="H103" s="25" t="n">
        <f aca="false">49-SUMPRODUCT(--((('Yellow Bosses'!$N$5:$N$53&gt;=1)+('Yellow Bosses'!$P$5:$P$53&gt;=1)+('Yellow Bosses'!$Q$5:$Q$53&gt;=1)+('Yellow Bosses'!$S$5:$S$53&gt;=1))&gt;0))</f>
        <v>0</v>
      </c>
      <c r="I103" s="25" t="n">
        <f aca="false">SUMPRODUCT(--((('Yellow Bosses'!$N$5:$N$53&gt;0)+('Yellow Bosses'!$P$5:$P$53&gt;0)+('Yellow Bosses'!$Q$5:$Q$53&gt;0)+('Yellow Bosses'!$S$5:$S$53&gt;0))=0))</f>
        <v>0</v>
      </c>
      <c r="J103" s="25" t="n">
        <f aca="false">SUMPRODUCT(--(((Effectiveness!$K$5:$K$155&gt;=2)+(Effectiveness!$M$5:$M$155&gt;=2)+(Effectiveness!$N$5:$N$155&gt;=2)+(Effectiveness!$P$5:$P$155&gt;=2))&gt;0))</f>
        <v>108</v>
      </c>
      <c r="K103" s="26" t="n">
        <f aca="false">J103/151</f>
        <v>0.71523178807947</v>
      </c>
      <c r="L103" s="25" t="n">
        <f aca="false">MIN(INDEX('Move Reality'!$F$5:$F$19,MATCH(B103,'Move Reality'!$A$5:$A$19,0)),INDEX('Move Reality'!$F$5:$F$19,MATCH(C103,'Move Reality'!$A$5:$A$19,0)),INDEX('Move Reality'!$F$5:$F$19,MATCH(D103,'Move Reality'!$A$5:$A$19,0)),INDEX('Move Reality'!$F$5:$F$19,MATCH(E103,'Move Reality'!$A$5:$A$19,0)))</f>
        <v>1</v>
      </c>
      <c r="M103" s="28" t="str">
        <f aca="false">IF(L103&gt;=5,"YES","no - dead move")</f>
        <v>no - dead move</v>
      </c>
    </row>
    <row r="104" customFormat="false" ht="15" hidden="false" customHeight="false" outlineLevel="0" collapsed="false">
      <c r="A104" s="17" t="n">
        <v>100</v>
      </c>
      <c r="B104" s="17" t="s">
        <v>43</v>
      </c>
      <c r="C104" s="17" t="s">
        <v>45</v>
      </c>
      <c r="D104" s="17" t="s">
        <v>51</v>
      </c>
      <c r="E104" s="17" t="s">
        <v>53</v>
      </c>
      <c r="F104" s="25" t="n">
        <f aca="false">SUMPRODUCT(--((('Yellow Bosses'!$K$5:$K$53&gt;=2)+('Yellow Bosses'!$M$5:$M$53&gt;=2)+('Yellow Bosses'!$S$5:$S$53&gt;=2)+('Yellow Bosses'!$U$5:$U$53&gt;=2))&gt;0))</f>
        <v>39</v>
      </c>
      <c r="G104" s="26" t="n">
        <f aca="false">F104/49</f>
        <v>0.795918367346939</v>
      </c>
      <c r="H104" s="25" t="n">
        <f aca="false">49-SUMPRODUCT(--((('Yellow Bosses'!$K$5:$K$53&gt;=1)+('Yellow Bosses'!$M$5:$M$53&gt;=1)+('Yellow Bosses'!$S$5:$S$53&gt;=1)+('Yellow Bosses'!$U$5:$U$53&gt;=1))&gt;0))</f>
        <v>0</v>
      </c>
      <c r="I104" s="25" t="n">
        <f aca="false">SUMPRODUCT(--((('Yellow Bosses'!$K$5:$K$53&gt;0)+('Yellow Bosses'!$M$5:$M$53&gt;0)+('Yellow Bosses'!$S$5:$S$53&gt;0)+('Yellow Bosses'!$U$5:$U$53&gt;0))=0))</f>
        <v>0</v>
      </c>
      <c r="J104" s="25" t="n">
        <f aca="false">SUMPRODUCT(--(((Effectiveness!$H$5:$H$155&gt;=2)+(Effectiveness!$J$5:$J$155&gt;=2)+(Effectiveness!$P$5:$P$155&gt;=2)+(Effectiveness!$R$5:$R$155&gt;=2))&gt;0))</f>
        <v>107</v>
      </c>
      <c r="K104" s="26" t="n">
        <f aca="false">J104/151</f>
        <v>0.708609271523179</v>
      </c>
      <c r="L104" s="25" t="n">
        <f aca="false">MIN(INDEX('Move Reality'!$F$5:$F$19,MATCH(B104,'Move Reality'!$A$5:$A$19,0)),INDEX('Move Reality'!$F$5:$F$19,MATCH(C104,'Move Reality'!$A$5:$A$19,0)),INDEX('Move Reality'!$F$5:$F$19,MATCH(D104,'Move Reality'!$A$5:$A$19,0)),INDEX('Move Reality'!$F$5:$F$19,MATCH(E104,'Move Reality'!$A$5:$A$19,0)))</f>
        <v>1</v>
      </c>
      <c r="M104" s="28" t="str">
        <f aca="false">IF(L104&gt;=5,"YES","no - dead move")</f>
        <v>no - dead move</v>
      </c>
    </row>
    <row r="105" customFormat="false" ht="15" hidden="false" customHeight="false" outlineLevel="0" collapsed="false">
      <c r="A105" s="17" t="n">
        <v>101</v>
      </c>
      <c r="B105" s="17" t="s">
        <v>41</v>
      </c>
      <c r="C105" s="17" t="s">
        <v>45</v>
      </c>
      <c r="D105" s="17" t="s">
        <v>48</v>
      </c>
      <c r="E105" s="17" t="s">
        <v>51</v>
      </c>
      <c r="F105" s="25" t="n">
        <f aca="false">SUMPRODUCT(--((('Yellow Bosses'!$I$5:$I$53&gt;=2)+('Yellow Bosses'!$M$5:$M$53&gt;=2)+('Yellow Bosses'!$P$5:$P$53&gt;=2)+('Yellow Bosses'!$S$5:$S$53&gt;=2))&gt;0))</f>
        <v>39</v>
      </c>
      <c r="G105" s="26" t="n">
        <f aca="false">F105/49</f>
        <v>0.795918367346939</v>
      </c>
      <c r="H105" s="25" t="n">
        <f aca="false">49-SUMPRODUCT(--((('Yellow Bosses'!$I$5:$I$53&gt;=1)+('Yellow Bosses'!$M$5:$M$53&gt;=1)+('Yellow Bosses'!$P$5:$P$53&gt;=1)+('Yellow Bosses'!$S$5:$S$53&gt;=1))&gt;0))</f>
        <v>0</v>
      </c>
      <c r="I105" s="25" t="n">
        <f aca="false">SUMPRODUCT(--((('Yellow Bosses'!$I$5:$I$53&gt;0)+('Yellow Bosses'!$M$5:$M$53&gt;0)+('Yellow Bosses'!$P$5:$P$53&gt;0)+('Yellow Bosses'!$S$5:$S$53&gt;0))=0))</f>
        <v>0</v>
      </c>
      <c r="J105" s="25" t="n">
        <f aca="false">SUMPRODUCT(--(((Effectiveness!$F$5:$F$155&gt;=2)+(Effectiveness!$J$5:$J$155&gt;=2)+(Effectiveness!$M$5:$M$155&gt;=2)+(Effectiveness!$P$5:$P$155&gt;=2))&gt;0))</f>
        <v>105</v>
      </c>
      <c r="K105" s="26" t="n">
        <f aca="false">J105/151</f>
        <v>0.695364238410596</v>
      </c>
      <c r="L105" s="25" t="n">
        <f aca="false">MIN(INDEX('Move Reality'!$F$5:$F$19,MATCH(B105,'Move Reality'!$A$5:$A$19,0)),INDEX('Move Reality'!$F$5:$F$19,MATCH(C105,'Move Reality'!$A$5:$A$19,0)),INDEX('Move Reality'!$F$5:$F$19,MATCH(D105,'Move Reality'!$A$5:$A$19,0)),INDEX('Move Reality'!$F$5:$F$19,MATCH(E105,'Move Reality'!$A$5:$A$19,0)))</f>
        <v>1</v>
      </c>
      <c r="M105" s="28" t="str">
        <f aca="false">IF(L105&gt;=5,"YES","no - dead move")</f>
        <v>no - dead move</v>
      </c>
    </row>
    <row r="106" customFormat="false" ht="15" hidden="false" customHeight="false" outlineLevel="0" collapsed="false">
      <c r="A106" s="17" t="n">
        <v>102</v>
      </c>
      <c r="B106" s="17" t="s">
        <v>40</v>
      </c>
      <c r="C106" s="17" t="s">
        <v>44</v>
      </c>
      <c r="D106" s="17" t="s">
        <v>48</v>
      </c>
      <c r="E106" s="17" t="s">
        <v>51</v>
      </c>
      <c r="F106" s="25" t="n">
        <f aca="false">SUMPRODUCT(--((('Yellow Bosses'!$H$5:$H$53&gt;=2)+('Yellow Bosses'!$L$5:$L$53&gt;=2)+('Yellow Bosses'!$P$5:$P$53&gt;=2)+('Yellow Bosses'!$S$5:$S$53&gt;=2))&gt;0))</f>
        <v>39</v>
      </c>
      <c r="G106" s="26" t="n">
        <f aca="false">F106/49</f>
        <v>0.795918367346939</v>
      </c>
      <c r="H106" s="25" t="n">
        <f aca="false">49-SUMPRODUCT(--((('Yellow Bosses'!$H$5:$H$53&gt;=1)+('Yellow Bosses'!$L$5:$L$53&gt;=1)+('Yellow Bosses'!$P$5:$P$53&gt;=1)+('Yellow Bosses'!$S$5:$S$53&gt;=1))&gt;0))</f>
        <v>0</v>
      </c>
      <c r="I106" s="25" t="n">
        <f aca="false">SUMPRODUCT(--((('Yellow Bosses'!$H$5:$H$53&gt;0)+('Yellow Bosses'!$L$5:$L$53&gt;0)+('Yellow Bosses'!$P$5:$P$53&gt;0)+('Yellow Bosses'!$S$5:$S$53&gt;0))=0))</f>
        <v>0</v>
      </c>
      <c r="J106" s="25" t="n">
        <f aca="false">SUMPRODUCT(--(((Effectiveness!$E$5:$E$155&gt;=2)+(Effectiveness!$I$5:$I$155&gt;=2)+(Effectiveness!$M$5:$M$155&gt;=2)+(Effectiveness!$P$5:$P$155&gt;=2))&gt;0))</f>
        <v>104</v>
      </c>
      <c r="K106" s="26" t="n">
        <f aca="false">J106/151</f>
        <v>0.688741721854305</v>
      </c>
      <c r="L106" s="25" t="n">
        <f aca="false">MIN(INDEX('Move Reality'!$F$5:$F$19,MATCH(B106,'Move Reality'!$A$5:$A$19,0)),INDEX('Move Reality'!$F$5:$F$19,MATCH(C106,'Move Reality'!$A$5:$A$19,0)),INDEX('Move Reality'!$F$5:$F$19,MATCH(D106,'Move Reality'!$A$5:$A$19,0)),INDEX('Move Reality'!$F$5:$F$19,MATCH(E106,'Move Reality'!$A$5:$A$19,0)))</f>
        <v>1</v>
      </c>
      <c r="M106" s="28" t="str">
        <f aca="false">IF(L106&gt;=5,"YES","no - dead move")</f>
        <v>no - dead move</v>
      </c>
    </row>
    <row r="107" customFormat="false" ht="15" hidden="false" customHeight="false" outlineLevel="0" collapsed="false">
      <c r="A107" s="17" t="n">
        <v>103</v>
      </c>
      <c r="B107" s="17" t="s">
        <v>42</v>
      </c>
      <c r="C107" s="17" t="s">
        <v>46</v>
      </c>
      <c r="D107" s="17" t="s">
        <v>48</v>
      </c>
      <c r="E107" s="17" t="s">
        <v>51</v>
      </c>
      <c r="F107" s="25" t="n">
        <f aca="false">SUMPRODUCT(--((('Yellow Bosses'!$J$5:$J$53&gt;=2)+('Yellow Bosses'!$N$5:$N$53&gt;=2)+('Yellow Bosses'!$P$5:$P$53&gt;=2)+('Yellow Bosses'!$S$5:$S$53&gt;=2))&gt;0))</f>
        <v>39</v>
      </c>
      <c r="G107" s="26" t="n">
        <f aca="false">F107/49</f>
        <v>0.795918367346939</v>
      </c>
      <c r="H107" s="25" t="n">
        <f aca="false">49-SUMPRODUCT(--((('Yellow Bosses'!$J$5:$J$53&gt;=1)+('Yellow Bosses'!$N$5:$N$53&gt;=1)+('Yellow Bosses'!$P$5:$P$53&gt;=1)+('Yellow Bosses'!$S$5:$S$53&gt;=1))&gt;0))</f>
        <v>2</v>
      </c>
      <c r="I107" s="25" t="n">
        <f aca="false">SUMPRODUCT(--((('Yellow Bosses'!$J$5:$J$53&gt;0)+('Yellow Bosses'!$N$5:$N$53&gt;0)+('Yellow Bosses'!$P$5:$P$53&gt;0)+('Yellow Bosses'!$S$5:$S$53&gt;0))=0))</f>
        <v>0</v>
      </c>
      <c r="J107" s="25" t="n">
        <f aca="false">SUMPRODUCT(--(((Effectiveness!$G$5:$G$155&gt;=2)+(Effectiveness!$K$5:$K$155&gt;=2)+(Effectiveness!$M$5:$M$155&gt;=2)+(Effectiveness!$P$5:$P$155&gt;=2))&gt;0))</f>
        <v>104</v>
      </c>
      <c r="K107" s="26" t="n">
        <f aca="false">J107/151</f>
        <v>0.688741721854305</v>
      </c>
      <c r="L107" s="25" t="n">
        <f aca="false">MIN(INDEX('Move Reality'!$F$5:$F$19,MATCH(B107,'Move Reality'!$A$5:$A$19,0)),INDEX('Move Reality'!$F$5:$F$19,MATCH(C107,'Move Reality'!$A$5:$A$19,0)),INDEX('Move Reality'!$F$5:$F$19,MATCH(D107,'Move Reality'!$A$5:$A$19,0)),INDEX('Move Reality'!$F$5:$F$19,MATCH(E107,'Move Reality'!$A$5:$A$19,0)))</f>
        <v>1</v>
      </c>
      <c r="M107" s="28" t="str">
        <f aca="false">IF(L107&gt;=5,"YES","no - dead move")</f>
        <v>no - dead move</v>
      </c>
    </row>
    <row r="108" customFormat="false" ht="15" hidden="false" customHeight="false" outlineLevel="0" collapsed="false">
      <c r="A108" s="17" t="n">
        <v>104</v>
      </c>
      <c r="B108" s="17" t="s">
        <v>44</v>
      </c>
      <c r="C108" s="17" t="s">
        <v>48</v>
      </c>
      <c r="D108" s="17" t="s">
        <v>51</v>
      </c>
      <c r="E108" s="17" t="s">
        <v>53</v>
      </c>
      <c r="F108" s="25" t="n">
        <f aca="false">SUMPRODUCT(--((('Yellow Bosses'!$L$5:$L$53&gt;=2)+('Yellow Bosses'!$P$5:$P$53&gt;=2)+('Yellow Bosses'!$S$5:$S$53&gt;=2)+('Yellow Bosses'!$U$5:$U$53&gt;=2))&gt;0))</f>
        <v>39</v>
      </c>
      <c r="G108" s="26" t="n">
        <f aca="false">F108/49</f>
        <v>0.795918367346939</v>
      </c>
      <c r="H108" s="25" t="n">
        <f aca="false">49-SUMPRODUCT(--((('Yellow Bosses'!$L$5:$L$53&gt;=1)+('Yellow Bosses'!$P$5:$P$53&gt;=1)+('Yellow Bosses'!$S$5:$S$53&gt;=1)+('Yellow Bosses'!$U$5:$U$53&gt;=1))&gt;0))</f>
        <v>0</v>
      </c>
      <c r="I108" s="25" t="n">
        <f aca="false">SUMPRODUCT(--((('Yellow Bosses'!$L$5:$L$53&gt;0)+('Yellow Bosses'!$P$5:$P$53&gt;0)+('Yellow Bosses'!$S$5:$S$53&gt;0)+('Yellow Bosses'!$U$5:$U$53&gt;0))=0))</f>
        <v>0</v>
      </c>
      <c r="J108" s="25" t="n">
        <f aca="false">SUMPRODUCT(--(((Effectiveness!$I$5:$I$155&gt;=2)+(Effectiveness!$M$5:$M$155&gt;=2)+(Effectiveness!$P$5:$P$155&gt;=2)+(Effectiveness!$R$5:$R$155&gt;=2))&gt;0))</f>
        <v>104</v>
      </c>
      <c r="K108" s="26" t="n">
        <f aca="false">J108/151</f>
        <v>0.688741721854305</v>
      </c>
      <c r="L108" s="25" t="n">
        <f aca="false">MIN(INDEX('Move Reality'!$F$5:$F$19,MATCH(B108,'Move Reality'!$A$5:$A$19,0)),INDEX('Move Reality'!$F$5:$F$19,MATCH(C108,'Move Reality'!$A$5:$A$19,0)),INDEX('Move Reality'!$F$5:$F$19,MATCH(D108,'Move Reality'!$A$5:$A$19,0)),INDEX('Move Reality'!$F$5:$F$19,MATCH(E108,'Move Reality'!$A$5:$A$19,0)))</f>
        <v>1</v>
      </c>
      <c r="M108" s="28" t="str">
        <f aca="false">IF(L108&gt;=5,"YES","no - dead move")</f>
        <v>no - dead move</v>
      </c>
    </row>
    <row r="109" customFormat="false" ht="15" hidden="false" customHeight="false" outlineLevel="0" collapsed="false">
      <c r="A109" s="17" t="n">
        <v>105</v>
      </c>
      <c r="B109" s="17" t="s">
        <v>45</v>
      </c>
      <c r="C109" s="17" t="s">
        <v>47</v>
      </c>
      <c r="D109" s="17" t="s">
        <v>48</v>
      </c>
      <c r="E109" s="17" t="s">
        <v>51</v>
      </c>
      <c r="F109" s="25" t="n">
        <f aca="false">SUMPRODUCT(--((('Yellow Bosses'!$M$5:$M$53&gt;=2)+('Yellow Bosses'!$O$5:$O$53&gt;=2)+('Yellow Bosses'!$P$5:$P$53&gt;=2)+('Yellow Bosses'!$S$5:$S$53&gt;=2))&gt;0))</f>
        <v>39</v>
      </c>
      <c r="G109" s="26" t="n">
        <f aca="false">F109/49</f>
        <v>0.795918367346939</v>
      </c>
      <c r="H109" s="25" t="n">
        <f aca="false">49-SUMPRODUCT(--((('Yellow Bosses'!$M$5:$M$53&gt;=1)+('Yellow Bosses'!$O$5:$O$53&gt;=1)+('Yellow Bosses'!$P$5:$P$53&gt;=1)+('Yellow Bosses'!$S$5:$S$53&gt;=1))&gt;0))</f>
        <v>0</v>
      </c>
      <c r="I109" s="25" t="n">
        <f aca="false">SUMPRODUCT(--((('Yellow Bosses'!$M$5:$M$53&gt;0)+('Yellow Bosses'!$O$5:$O$53&gt;0)+('Yellow Bosses'!$P$5:$P$53&gt;0)+('Yellow Bosses'!$S$5:$S$53&gt;0))=0))</f>
        <v>0</v>
      </c>
      <c r="J109" s="25" t="n">
        <f aca="false">SUMPRODUCT(--(((Effectiveness!$J$5:$J$155&gt;=2)+(Effectiveness!$L$5:$L$155&gt;=2)+(Effectiveness!$M$5:$M$155&gt;=2)+(Effectiveness!$P$5:$P$155&gt;=2))&gt;0))</f>
        <v>104</v>
      </c>
      <c r="K109" s="26" t="n">
        <f aca="false">J109/151</f>
        <v>0.688741721854305</v>
      </c>
      <c r="L109" s="25" t="n">
        <f aca="false">MIN(INDEX('Move Reality'!$F$5:$F$19,MATCH(B109,'Move Reality'!$A$5:$A$19,0)),INDEX('Move Reality'!$F$5:$F$19,MATCH(C109,'Move Reality'!$A$5:$A$19,0)),INDEX('Move Reality'!$F$5:$F$19,MATCH(D109,'Move Reality'!$A$5:$A$19,0)),INDEX('Move Reality'!$F$5:$F$19,MATCH(E109,'Move Reality'!$A$5:$A$19,0)))</f>
        <v>1</v>
      </c>
      <c r="M109" s="28" t="str">
        <f aca="false">IF(L109&gt;=5,"YES","no - dead move")</f>
        <v>no - dead move</v>
      </c>
    </row>
    <row r="110" customFormat="false" ht="15" hidden="false" customHeight="false" outlineLevel="0" collapsed="false">
      <c r="A110" s="17" t="n">
        <v>106</v>
      </c>
      <c r="B110" s="17" t="s">
        <v>44</v>
      </c>
      <c r="C110" s="17" t="s">
        <v>48</v>
      </c>
      <c r="D110" s="17" t="s">
        <v>50</v>
      </c>
      <c r="E110" s="17" t="s">
        <v>54</v>
      </c>
      <c r="F110" s="25" t="n">
        <f aca="false">SUMPRODUCT(--((('Yellow Bosses'!$L$5:$L$53&gt;=2)+('Yellow Bosses'!$P$5:$P$53&gt;=2)+('Yellow Bosses'!$R$5:$R$53&gt;=2)+('Yellow Bosses'!$V$5:$V$53&gt;=2))&gt;0))</f>
        <v>39</v>
      </c>
      <c r="G110" s="26" t="n">
        <f aca="false">F110/49</f>
        <v>0.795918367346939</v>
      </c>
      <c r="H110" s="25" t="n">
        <f aca="false">49-SUMPRODUCT(--((('Yellow Bosses'!$L$5:$L$53&gt;=1)+('Yellow Bosses'!$P$5:$P$53&gt;=1)+('Yellow Bosses'!$R$5:$R$53&gt;=1)+('Yellow Bosses'!$V$5:$V$53&gt;=1))&gt;0))</f>
        <v>0</v>
      </c>
      <c r="I110" s="25" t="n">
        <f aca="false">SUMPRODUCT(--((('Yellow Bosses'!$L$5:$L$53&gt;0)+('Yellow Bosses'!$P$5:$P$53&gt;0)+('Yellow Bosses'!$R$5:$R$53&gt;0)+('Yellow Bosses'!$V$5:$V$53&gt;0))=0))</f>
        <v>0</v>
      </c>
      <c r="J110" s="25" t="n">
        <f aca="false">SUMPRODUCT(--(((Effectiveness!$I$5:$I$155&gt;=2)+(Effectiveness!$M$5:$M$155&gt;=2)+(Effectiveness!$O$5:$O$155&gt;=2)+(Effectiveness!$S$5:$S$155&gt;=2))&gt;0))</f>
        <v>102</v>
      </c>
      <c r="K110" s="26" t="n">
        <f aca="false">J110/151</f>
        <v>0.675496688741722</v>
      </c>
      <c r="L110" s="25" t="n">
        <f aca="false">MIN(INDEX('Move Reality'!$F$5:$F$19,MATCH(B110,'Move Reality'!$A$5:$A$19,0)),INDEX('Move Reality'!$F$5:$F$19,MATCH(C110,'Move Reality'!$A$5:$A$19,0)),INDEX('Move Reality'!$F$5:$F$19,MATCH(D110,'Move Reality'!$A$5:$A$19,0)),INDEX('Move Reality'!$F$5:$F$19,MATCH(E110,'Move Reality'!$A$5:$A$19,0)))</f>
        <v>1</v>
      </c>
      <c r="M110" s="28" t="str">
        <f aca="false">IF(L110&gt;=5,"YES","no - dead move")</f>
        <v>no - dead move</v>
      </c>
    </row>
    <row r="111" customFormat="false" ht="15" hidden="false" customHeight="false" outlineLevel="0" collapsed="false">
      <c r="A111" s="17" t="n">
        <v>107</v>
      </c>
      <c r="B111" s="17" t="s">
        <v>40</v>
      </c>
      <c r="C111" s="17" t="s">
        <v>45</v>
      </c>
      <c r="D111" s="17" t="s">
        <v>48</v>
      </c>
      <c r="E111" s="17" t="s">
        <v>51</v>
      </c>
      <c r="F111" s="25" t="n">
        <f aca="false">SUMPRODUCT(--((('Yellow Bosses'!$H$5:$H$53&gt;=2)+('Yellow Bosses'!$M$5:$M$53&gt;=2)+('Yellow Bosses'!$P$5:$P$53&gt;=2)+('Yellow Bosses'!$S$5:$S$53&gt;=2))&gt;0))</f>
        <v>39</v>
      </c>
      <c r="G111" s="26" t="n">
        <f aca="false">F111/49</f>
        <v>0.795918367346939</v>
      </c>
      <c r="H111" s="25" t="n">
        <f aca="false">49-SUMPRODUCT(--((('Yellow Bosses'!$H$5:$H$53&gt;=1)+('Yellow Bosses'!$M$5:$M$53&gt;=1)+('Yellow Bosses'!$P$5:$P$53&gt;=1)+('Yellow Bosses'!$S$5:$S$53&gt;=1))&gt;0))</f>
        <v>0</v>
      </c>
      <c r="I111" s="25" t="n">
        <f aca="false">SUMPRODUCT(--((('Yellow Bosses'!$H$5:$H$53&gt;0)+('Yellow Bosses'!$M$5:$M$53&gt;0)+('Yellow Bosses'!$P$5:$P$53&gt;0)+('Yellow Bosses'!$S$5:$S$53&gt;0))=0))</f>
        <v>0</v>
      </c>
      <c r="J111" s="25" t="n">
        <f aca="false">SUMPRODUCT(--(((Effectiveness!$E$5:$E$155&gt;=2)+(Effectiveness!$J$5:$J$155&gt;=2)+(Effectiveness!$M$5:$M$155&gt;=2)+(Effectiveness!$P$5:$P$155&gt;=2))&gt;0))</f>
        <v>101</v>
      </c>
      <c r="K111" s="26" t="n">
        <f aca="false">J111/151</f>
        <v>0.66887417218543</v>
      </c>
      <c r="L111" s="25" t="n">
        <f aca="false">MIN(INDEX('Move Reality'!$F$5:$F$19,MATCH(B111,'Move Reality'!$A$5:$A$19,0)),INDEX('Move Reality'!$F$5:$F$19,MATCH(C111,'Move Reality'!$A$5:$A$19,0)),INDEX('Move Reality'!$F$5:$F$19,MATCH(D111,'Move Reality'!$A$5:$A$19,0)),INDEX('Move Reality'!$F$5:$F$19,MATCH(E111,'Move Reality'!$A$5:$A$19,0)))</f>
        <v>1</v>
      </c>
      <c r="M111" s="28" t="str">
        <f aca="false">IF(L111&gt;=5,"YES","no - dead move")</f>
        <v>no - dead move</v>
      </c>
    </row>
    <row r="112" customFormat="false" ht="15" hidden="false" customHeight="false" outlineLevel="0" collapsed="false">
      <c r="A112" s="17" t="n">
        <v>108</v>
      </c>
      <c r="B112" s="17" t="s">
        <v>40</v>
      </c>
      <c r="C112" s="17" t="s">
        <v>48</v>
      </c>
      <c r="D112" s="17" t="s">
        <v>51</v>
      </c>
      <c r="E112" s="17" t="s">
        <v>52</v>
      </c>
      <c r="F112" s="25" t="n">
        <f aca="false">SUMPRODUCT(--((('Yellow Bosses'!$H$5:$H$53&gt;=2)+('Yellow Bosses'!$P$5:$P$53&gt;=2)+('Yellow Bosses'!$S$5:$S$53&gt;=2)+('Yellow Bosses'!$T$5:$T$53&gt;=2))&gt;0))</f>
        <v>39</v>
      </c>
      <c r="G112" s="26" t="n">
        <f aca="false">F112/49</f>
        <v>0.795918367346939</v>
      </c>
      <c r="H112" s="25" t="n">
        <f aca="false">49-SUMPRODUCT(--((('Yellow Bosses'!$H$5:$H$53&gt;=1)+('Yellow Bosses'!$P$5:$P$53&gt;=1)+('Yellow Bosses'!$S$5:$S$53&gt;=1)+('Yellow Bosses'!$T$5:$T$53&gt;=1))&gt;0))</f>
        <v>0</v>
      </c>
      <c r="I112" s="25" t="n">
        <f aca="false">SUMPRODUCT(--((('Yellow Bosses'!$H$5:$H$53&gt;0)+('Yellow Bosses'!$P$5:$P$53&gt;0)+('Yellow Bosses'!$S$5:$S$53&gt;0)+('Yellow Bosses'!$T$5:$T$53&gt;0))=0))</f>
        <v>0</v>
      </c>
      <c r="J112" s="25" t="n">
        <f aca="false">SUMPRODUCT(--(((Effectiveness!$E$5:$E$155&gt;=2)+(Effectiveness!$M$5:$M$155&gt;=2)+(Effectiveness!$P$5:$P$155&gt;=2)+(Effectiveness!$Q$5:$Q$155&gt;=2))&gt;0))</f>
        <v>101</v>
      </c>
      <c r="K112" s="26" t="n">
        <f aca="false">J112/151</f>
        <v>0.66887417218543</v>
      </c>
      <c r="L112" s="25" t="n">
        <f aca="false">MIN(INDEX('Move Reality'!$F$5:$F$19,MATCH(B112,'Move Reality'!$A$5:$A$19,0)),INDEX('Move Reality'!$F$5:$F$19,MATCH(C112,'Move Reality'!$A$5:$A$19,0)),INDEX('Move Reality'!$F$5:$F$19,MATCH(D112,'Move Reality'!$A$5:$A$19,0)),INDEX('Move Reality'!$F$5:$F$19,MATCH(E112,'Move Reality'!$A$5:$A$19,0)))</f>
        <v>1</v>
      </c>
      <c r="M112" s="28" t="str">
        <f aca="false">IF(L112&gt;=5,"YES","no - dead move")</f>
        <v>no - dead move</v>
      </c>
    </row>
    <row r="113" customFormat="false" ht="15" hidden="false" customHeight="false" outlineLevel="0" collapsed="false">
      <c r="A113" s="17" t="n">
        <v>109</v>
      </c>
      <c r="B113" s="17" t="s">
        <v>41</v>
      </c>
      <c r="C113" s="17" t="s">
        <v>48</v>
      </c>
      <c r="D113" s="17" t="s">
        <v>51</v>
      </c>
      <c r="E113" s="17" t="s">
        <v>52</v>
      </c>
      <c r="F113" s="25" t="n">
        <f aca="false">SUMPRODUCT(--((('Yellow Bosses'!$I$5:$I$53&gt;=2)+('Yellow Bosses'!$P$5:$P$53&gt;=2)+('Yellow Bosses'!$S$5:$S$53&gt;=2)+('Yellow Bosses'!$T$5:$T$53&gt;=2))&gt;0))</f>
        <v>39</v>
      </c>
      <c r="G113" s="26" t="n">
        <f aca="false">F113/49</f>
        <v>0.795918367346939</v>
      </c>
      <c r="H113" s="25" t="n">
        <f aca="false">49-SUMPRODUCT(--((('Yellow Bosses'!$I$5:$I$53&gt;=1)+('Yellow Bosses'!$P$5:$P$53&gt;=1)+('Yellow Bosses'!$S$5:$S$53&gt;=1)+('Yellow Bosses'!$T$5:$T$53&gt;=1))&gt;0))</f>
        <v>0</v>
      </c>
      <c r="I113" s="25" t="n">
        <f aca="false">SUMPRODUCT(--((('Yellow Bosses'!$I$5:$I$53&gt;0)+('Yellow Bosses'!$P$5:$P$53&gt;0)+('Yellow Bosses'!$S$5:$S$53&gt;0)+('Yellow Bosses'!$T$5:$T$53&gt;0))=0))</f>
        <v>0</v>
      </c>
      <c r="J113" s="25" t="n">
        <f aca="false">SUMPRODUCT(--(((Effectiveness!$F$5:$F$155&gt;=2)+(Effectiveness!$M$5:$M$155&gt;=2)+(Effectiveness!$P$5:$P$155&gt;=2)+(Effectiveness!$Q$5:$Q$155&gt;=2))&gt;0))</f>
        <v>101</v>
      </c>
      <c r="K113" s="26" t="n">
        <f aca="false">J113/151</f>
        <v>0.66887417218543</v>
      </c>
      <c r="L113" s="25" t="n">
        <f aca="false">MIN(INDEX('Move Reality'!$F$5:$F$19,MATCH(B113,'Move Reality'!$A$5:$A$19,0)),INDEX('Move Reality'!$F$5:$F$19,MATCH(C113,'Move Reality'!$A$5:$A$19,0)),INDEX('Move Reality'!$F$5:$F$19,MATCH(D113,'Move Reality'!$A$5:$A$19,0)),INDEX('Move Reality'!$F$5:$F$19,MATCH(E113,'Move Reality'!$A$5:$A$19,0)))</f>
        <v>1</v>
      </c>
      <c r="M113" s="28" t="str">
        <f aca="false">IF(L113&gt;=5,"YES","no - dead move")</f>
        <v>no - dead move</v>
      </c>
    </row>
    <row r="114" customFormat="false" ht="15" hidden="false" customHeight="false" outlineLevel="0" collapsed="false">
      <c r="A114" s="17" t="n">
        <v>110</v>
      </c>
      <c r="B114" s="17" t="s">
        <v>42</v>
      </c>
      <c r="C114" s="17" t="s">
        <v>45</v>
      </c>
      <c r="D114" s="17" t="s">
        <v>48</v>
      </c>
      <c r="E114" s="17" t="s">
        <v>51</v>
      </c>
      <c r="F114" s="25" t="n">
        <f aca="false">SUMPRODUCT(--((('Yellow Bosses'!$J$5:$J$53&gt;=2)+('Yellow Bosses'!$M$5:$M$53&gt;=2)+('Yellow Bosses'!$P$5:$P$53&gt;=2)+('Yellow Bosses'!$S$5:$S$53&gt;=2))&gt;0))</f>
        <v>39</v>
      </c>
      <c r="G114" s="26" t="n">
        <f aca="false">F114/49</f>
        <v>0.795918367346939</v>
      </c>
      <c r="H114" s="25" t="n">
        <f aca="false">49-SUMPRODUCT(--((('Yellow Bosses'!$J$5:$J$53&gt;=1)+('Yellow Bosses'!$M$5:$M$53&gt;=1)+('Yellow Bosses'!$P$5:$P$53&gt;=1)+('Yellow Bosses'!$S$5:$S$53&gt;=1))&gt;0))</f>
        <v>0</v>
      </c>
      <c r="I114" s="25" t="n">
        <f aca="false">SUMPRODUCT(--((('Yellow Bosses'!$J$5:$J$53&gt;0)+('Yellow Bosses'!$M$5:$M$53&gt;0)+('Yellow Bosses'!$P$5:$P$53&gt;0)+('Yellow Bosses'!$S$5:$S$53&gt;0))=0))</f>
        <v>0</v>
      </c>
      <c r="J114" s="25" t="n">
        <f aca="false">SUMPRODUCT(--(((Effectiveness!$G$5:$G$155&gt;=2)+(Effectiveness!$J$5:$J$155&gt;=2)+(Effectiveness!$M$5:$M$155&gt;=2)+(Effectiveness!$P$5:$P$155&gt;=2))&gt;0))</f>
        <v>101</v>
      </c>
      <c r="K114" s="26" t="n">
        <f aca="false">J114/151</f>
        <v>0.66887417218543</v>
      </c>
      <c r="L114" s="25" t="n">
        <f aca="false">MIN(INDEX('Move Reality'!$F$5:$F$19,MATCH(B114,'Move Reality'!$A$5:$A$19,0)),INDEX('Move Reality'!$F$5:$F$19,MATCH(C114,'Move Reality'!$A$5:$A$19,0)),INDEX('Move Reality'!$F$5:$F$19,MATCH(D114,'Move Reality'!$A$5:$A$19,0)),INDEX('Move Reality'!$F$5:$F$19,MATCH(E114,'Move Reality'!$A$5:$A$19,0)))</f>
        <v>1</v>
      </c>
      <c r="M114" s="28" t="str">
        <f aca="false">IF(L114&gt;=5,"YES","no - dead move")</f>
        <v>no - dead move</v>
      </c>
    </row>
    <row r="115" customFormat="false" ht="15" hidden="false" customHeight="false" outlineLevel="0" collapsed="false">
      <c r="A115" s="17" t="n">
        <v>111</v>
      </c>
      <c r="B115" s="17" t="s">
        <v>45</v>
      </c>
      <c r="C115" s="17" t="s">
        <v>48</v>
      </c>
      <c r="D115" s="17" t="s">
        <v>51</v>
      </c>
      <c r="E115" s="17" t="s">
        <v>53</v>
      </c>
      <c r="F115" s="25" t="n">
        <f aca="false">SUMPRODUCT(--((('Yellow Bosses'!$M$5:$M$53&gt;=2)+('Yellow Bosses'!$P$5:$P$53&gt;=2)+('Yellow Bosses'!$S$5:$S$53&gt;=2)+('Yellow Bosses'!$U$5:$U$53&gt;=2))&gt;0))</f>
        <v>39</v>
      </c>
      <c r="G115" s="26" t="n">
        <f aca="false">F115/49</f>
        <v>0.795918367346939</v>
      </c>
      <c r="H115" s="25" t="n">
        <f aca="false">49-SUMPRODUCT(--((('Yellow Bosses'!$M$5:$M$53&gt;=1)+('Yellow Bosses'!$P$5:$P$53&gt;=1)+('Yellow Bosses'!$S$5:$S$53&gt;=1)+('Yellow Bosses'!$U$5:$U$53&gt;=1))&gt;0))</f>
        <v>0</v>
      </c>
      <c r="I115" s="25" t="n">
        <f aca="false">SUMPRODUCT(--((('Yellow Bosses'!$M$5:$M$53&gt;0)+('Yellow Bosses'!$P$5:$P$53&gt;0)+('Yellow Bosses'!$S$5:$S$53&gt;0)+('Yellow Bosses'!$U$5:$U$53&gt;0))=0))</f>
        <v>0</v>
      </c>
      <c r="J115" s="25" t="n">
        <f aca="false">SUMPRODUCT(--(((Effectiveness!$J$5:$J$155&gt;=2)+(Effectiveness!$M$5:$M$155&gt;=2)+(Effectiveness!$P$5:$P$155&gt;=2)+(Effectiveness!$R$5:$R$155&gt;=2))&gt;0))</f>
        <v>101</v>
      </c>
      <c r="K115" s="26" t="n">
        <f aca="false">J115/151</f>
        <v>0.66887417218543</v>
      </c>
      <c r="L115" s="25" t="n">
        <f aca="false">MIN(INDEX('Move Reality'!$F$5:$F$19,MATCH(B115,'Move Reality'!$A$5:$A$19,0)),INDEX('Move Reality'!$F$5:$F$19,MATCH(C115,'Move Reality'!$A$5:$A$19,0)),INDEX('Move Reality'!$F$5:$F$19,MATCH(D115,'Move Reality'!$A$5:$A$19,0)),INDEX('Move Reality'!$F$5:$F$19,MATCH(E115,'Move Reality'!$A$5:$A$19,0)))</f>
        <v>1</v>
      </c>
      <c r="M115" s="28" t="str">
        <f aca="false">IF(L115&gt;=5,"YES","no - dead move")</f>
        <v>no - dead move</v>
      </c>
    </row>
    <row r="116" customFormat="false" ht="15" hidden="false" customHeight="false" outlineLevel="0" collapsed="false">
      <c r="A116" s="17" t="n">
        <v>112</v>
      </c>
      <c r="B116" s="17" t="s">
        <v>45</v>
      </c>
      <c r="C116" s="17" t="s">
        <v>48</v>
      </c>
      <c r="D116" s="17" t="s">
        <v>51</v>
      </c>
      <c r="E116" s="17" t="s">
        <v>54</v>
      </c>
      <c r="F116" s="25" t="n">
        <f aca="false">SUMPRODUCT(--((('Yellow Bosses'!$M$5:$M$53&gt;=2)+('Yellow Bosses'!$P$5:$P$53&gt;=2)+('Yellow Bosses'!$S$5:$S$53&gt;=2)+('Yellow Bosses'!$V$5:$V$53&gt;=2))&gt;0))</f>
        <v>39</v>
      </c>
      <c r="G116" s="26" t="n">
        <f aca="false">F116/49</f>
        <v>0.795918367346939</v>
      </c>
      <c r="H116" s="25" t="n">
        <f aca="false">49-SUMPRODUCT(--((('Yellow Bosses'!$M$5:$M$53&gt;=1)+('Yellow Bosses'!$P$5:$P$53&gt;=1)+('Yellow Bosses'!$S$5:$S$53&gt;=1)+('Yellow Bosses'!$V$5:$V$53&gt;=1))&gt;0))</f>
        <v>0</v>
      </c>
      <c r="I116" s="25" t="n">
        <f aca="false">SUMPRODUCT(--((('Yellow Bosses'!$M$5:$M$53&gt;0)+('Yellow Bosses'!$P$5:$P$53&gt;0)+('Yellow Bosses'!$S$5:$S$53&gt;0)+('Yellow Bosses'!$V$5:$V$53&gt;0))=0))</f>
        <v>0</v>
      </c>
      <c r="J116" s="25" t="n">
        <f aca="false">SUMPRODUCT(--(((Effectiveness!$J$5:$J$155&gt;=2)+(Effectiveness!$M$5:$M$155&gt;=2)+(Effectiveness!$P$5:$P$155&gt;=2)+(Effectiveness!$S$5:$S$155&gt;=2))&gt;0))</f>
        <v>101</v>
      </c>
      <c r="K116" s="26" t="n">
        <f aca="false">J116/151</f>
        <v>0.66887417218543</v>
      </c>
      <c r="L116" s="25" t="n">
        <f aca="false">MIN(INDEX('Move Reality'!$F$5:$F$19,MATCH(B116,'Move Reality'!$A$5:$A$19,0)),INDEX('Move Reality'!$F$5:$F$19,MATCH(C116,'Move Reality'!$A$5:$A$19,0)),INDEX('Move Reality'!$F$5:$F$19,MATCH(D116,'Move Reality'!$A$5:$A$19,0)),INDEX('Move Reality'!$F$5:$F$19,MATCH(E116,'Move Reality'!$A$5:$A$19,0)))</f>
        <v>1</v>
      </c>
      <c r="M116" s="28" t="str">
        <f aca="false">IF(L116&gt;=5,"YES","no - dead move")</f>
        <v>no - dead move</v>
      </c>
    </row>
    <row r="117" customFormat="false" ht="15" hidden="false" customHeight="false" outlineLevel="0" collapsed="false">
      <c r="A117" s="17" t="n">
        <v>113</v>
      </c>
      <c r="B117" s="17" t="s">
        <v>47</v>
      </c>
      <c r="C117" s="17" t="s">
        <v>48</v>
      </c>
      <c r="D117" s="17" t="s">
        <v>51</v>
      </c>
      <c r="E117" s="17" t="s">
        <v>52</v>
      </c>
      <c r="F117" s="25" t="n">
        <f aca="false">SUMPRODUCT(--((('Yellow Bosses'!$O$5:$O$53&gt;=2)+('Yellow Bosses'!$P$5:$P$53&gt;=2)+('Yellow Bosses'!$S$5:$S$53&gt;=2)+('Yellow Bosses'!$T$5:$T$53&gt;=2))&gt;0))</f>
        <v>39</v>
      </c>
      <c r="G117" s="26" t="n">
        <f aca="false">F117/49</f>
        <v>0.795918367346939</v>
      </c>
      <c r="H117" s="25" t="n">
        <f aca="false">49-SUMPRODUCT(--((('Yellow Bosses'!$O$5:$O$53&gt;=1)+('Yellow Bosses'!$P$5:$P$53&gt;=1)+('Yellow Bosses'!$S$5:$S$53&gt;=1)+('Yellow Bosses'!$T$5:$T$53&gt;=1))&gt;0))</f>
        <v>0</v>
      </c>
      <c r="I117" s="25" t="n">
        <f aca="false">SUMPRODUCT(--((('Yellow Bosses'!$O$5:$O$53&gt;0)+('Yellow Bosses'!$P$5:$P$53&gt;0)+('Yellow Bosses'!$S$5:$S$53&gt;0)+('Yellow Bosses'!$T$5:$T$53&gt;0))=0))</f>
        <v>0</v>
      </c>
      <c r="J117" s="25" t="n">
        <f aca="false">SUMPRODUCT(--(((Effectiveness!$L$5:$L$155&gt;=2)+(Effectiveness!$M$5:$M$155&gt;=2)+(Effectiveness!$P$5:$P$155&gt;=2)+(Effectiveness!$Q$5:$Q$155&gt;=2))&gt;0))</f>
        <v>101</v>
      </c>
      <c r="K117" s="26" t="n">
        <f aca="false">J117/151</f>
        <v>0.66887417218543</v>
      </c>
      <c r="L117" s="25" t="n">
        <f aca="false">MIN(INDEX('Move Reality'!$F$5:$F$19,MATCH(B117,'Move Reality'!$A$5:$A$19,0)),INDEX('Move Reality'!$F$5:$F$19,MATCH(C117,'Move Reality'!$A$5:$A$19,0)),INDEX('Move Reality'!$F$5:$F$19,MATCH(D117,'Move Reality'!$A$5:$A$19,0)),INDEX('Move Reality'!$F$5:$F$19,MATCH(E117,'Move Reality'!$A$5:$A$19,0)))</f>
        <v>1</v>
      </c>
      <c r="M117" s="28" t="str">
        <f aca="false">IF(L117&gt;=5,"YES","no - dead move")</f>
        <v>no - dead move</v>
      </c>
    </row>
    <row r="118" customFormat="false" ht="15" hidden="false" customHeight="false" outlineLevel="0" collapsed="false">
      <c r="A118" s="17" t="n">
        <v>114</v>
      </c>
      <c r="B118" s="17" t="s">
        <v>48</v>
      </c>
      <c r="C118" s="17" t="s">
        <v>51</v>
      </c>
      <c r="D118" s="17" t="s">
        <v>52</v>
      </c>
      <c r="E118" s="17" t="s">
        <v>53</v>
      </c>
      <c r="F118" s="25" t="n">
        <f aca="false">SUMPRODUCT(--((('Yellow Bosses'!$P$5:$P$53&gt;=2)+('Yellow Bosses'!$S$5:$S$53&gt;=2)+('Yellow Bosses'!$T$5:$T$53&gt;=2)+('Yellow Bosses'!$U$5:$U$53&gt;=2))&gt;0))</f>
        <v>39</v>
      </c>
      <c r="G118" s="26" t="n">
        <f aca="false">F118/49</f>
        <v>0.795918367346939</v>
      </c>
      <c r="H118" s="25" t="n">
        <f aca="false">49-SUMPRODUCT(--((('Yellow Bosses'!$P$5:$P$53&gt;=1)+('Yellow Bosses'!$S$5:$S$53&gt;=1)+('Yellow Bosses'!$T$5:$T$53&gt;=1)+('Yellow Bosses'!$U$5:$U$53&gt;=1))&gt;0))</f>
        <v>0</v>
      </c>
      <c r="I118" s="25" t="n">
        <f aca="false">SUMPRODUCT(--((('Yellow Bosses'!$P$5:$P$53&gt;0)+('Yellow Bosses'!$S$5:$S$53&gt;0)+('Yellow Bosses'!$T$5:$T$53&gt;0)+('Yellow Bosses'!$U$5:$U$53&gt;0))=0))</f>
        <v>0</v>
      </c>
      <c r="J118" s="25" t="n">
        <f aca="false">SUMPRODUCT(--(((Effectiveness!$M$5:$M$155&gt;=2)+(Effectiveness!$P$5:$P$155&gt;=2)+(Effectiveness!$Q$5:$Q$155&gt;=2)+(Effectiveness!$R$5:$R$155&gt;=2))&gt;0))</f>
        <v>101</v>
      </c>
      <c r="K118" s="26" t="n">
        <f aca="false">J118/151</f>
        <v>0.66887417218543</v>
      </c>
      <c r="L118" s="25" t="n">
        <f aca="false">MIN(INDEX('Move Reality'!$F$5:$F$19,MATCH(B118,'Move Reality'!$A$5:$A$19,0)),INDEX('Move Reality'!$F$5:$F$19,MATCH(C118,'Move Reality'!$A$5:$A$19,0)),INDEX('Move Reality'!$F$5:$F$19,MATCH(D118,'Move Reality'!$A$5:$A$19,0)),INDEX('Move Reality'!$F$5:$F$19,MATCH(E118,'Move Reality'!$A$5:$A$19,0)))</f>
        <v>1</v>
      </c>
      <c r="M118" s="28" t="str">
        <f aca="false">IF(L118&gt;=5,"YES","no - dead move")</f>
        <v>no - dead move</v>
      </c>
    </row>
    <row r="119" customFormat="false" ht="15" hidden="false" customHeight="false" outlineLevel="0" collapsed="false">
      <c r="A119" s="17" t="n">
        <v>115</v>
      </c>
      <c r="B119" s="17" t="s">
        <v>42</v>
      </c>
      <c r="C119" s="17" t="s">
        <v>49</v>
      </c>
      <c r="D119" s="17" t="s">
        <v>51</v>
      </c>
      <c r="E119" s="17" t="s">
        <v>52</v>
      </c>
      <c r="F119" s="25" t="n">
        <f aca="false">SUMPRODUCT(--((('Yellow Bosses'!$J$5:$J$53&gt;=2)+('Yellow Bosses'!$Q$5:$Q$53&gt;=2)+('Yellow Bosses'!$S$5:$S$53&gt;=2)+('Yellow Bosses'!$T$5:$T$53&gt;=2))&gt;0))</f>
        <v>39</v>
      </c>
      <c r="G119" s="26" t="n">
        <f aca="false">F119/49</f>
        <v>0.795918367346939</v>
      </c>
      <c r="H119" s="25" t="n">
        <f aca="false">49-SUMPRODUCT(--((('Yellow Bosses'!$J$5:$J$53&gt;=1)+('Yellow Bosses'!$Q$5:$Q$53&gt;=1)+('Yellow Bosses'!$S$5:$S$53&gt;=1)+('Yellow Bosses'!$T$5:$T$53&gt;=1))&gt;0))</f>
        <v>0</v>
      </c>
      <c r="I119" s="25" t="n">
        <f aca="false">SUMPRODUCT(--((('Yellow Bosses'!$J$5:$J$53&gt;0)+('Yellow Bosses'!$Q$5:$Q$53&gt;0)+('Yellow Bosses'!$S$5:$S$53&gt;0)+('Yellow Bosses'!$T$5:$T$53&gt;0))=0))</f>
        <v>0</v>
      </c>
      <c r="J119" s="25" t="n">
        <f aca="false">SUMPRODUCT(--(((Effectiveness!$G$5:$G$155&gt;=2)+(Effectiveness!$N$5:$N$155&gt;=2)+(Effectiveness!$P$5:$P$155&gt;=2)+(Effectiveness!$Q$5:$Q$155&gt;=2))&gt;0))</f>
        <v>100</v>
      </c>
      <c r="K119" s="26" t="n">
        <f aca="false">J119/151</f>
        <v>0.662251655629139</v>
      </c>
      <c r="L119" s="25" t="n">
        <f aca="false">MIN(INDEX('Move Reality'!$F$5:$F$19,MATCH(B119,'Move Reality'!$A$5:$A$19,0)),INDEX('Move Reality'!$F$5:$F$19,MATCH(C119,'Move Reality'!$A$5:$A$19,0)),INDEX('Move Reality'!$F$5:$F$19,MATCH(D119,'Move Reality'!$A$5:$A$19,0)),INDEX('Move Reality'!$F$5:$F$19,MATCH(E119,'Move Reality'!$A$5:$A$19,0)))</f>
        <v>1</v>
      </c>
      <c r="M119" s="28" t="str">
        <f aca="false">IF(L119&gt;=5,"YES","no - dead move")</f>
        <v>no - dead move</v>
      </c>
    </row>
    <row r="120" customFormat="false" ht="15" hidden="false" customHeight="false" outlineLevel="0" collapsed="false">
      <c r="A120" s="17" t="n">
        <v>116</v>
      </c>
      <c r="B120" s="17" t="s">
        <v>46</v>
      </c>
      <c r="C120" s="17" t="s">
        <v>48</v>
      </c>
      <c r="D120" s="17" t="s">
        <v>51</v>
      </c>
      <c r="E120" s="17" t="s">
        <v>54</v>
      </c>
      <c r="F120" s="25" t="n">
        <f aca="false">SUMPRODUCT(--((('Yellow Bosses'!$N$5:$N$53&gt;=2)+('Yellow Bosses'!$P$5:$P$53&gt;=2)+('Yellow Bosses'!$S$5:$S$53&gt;=2)+('Yellow Bosses'!$V$5:$V$53&gt;=2))&gt;0))</f>
        <v>39</v>
      </c>
      <c r="G120" s="26" t="n">
        <f aca="false">F120/49</f>
        <v>0.795918367346939</v>
      </c>
      <c r="H120" s="25" t="n">
        <f aca="false">49-SUMPRODUCT(--((('Yellow Bosses'!$N$5:$N$53&gt;=1)+('Yellow Bosses'!$P$5:$P$53&gt;=1)+('Yellow Bosses'!$S$5:$S$53&gt;=1)+('Yellow Bosses'!$V$5:$V$53&gt;=1))&gt;0))</f>
        <v>0</v>
      </c>
      <c r="I120" s="25" t="n">
        <f aca="false">SUMPRODUCT(--((('Yellow Bosses'!$N$5:$N$53&gt;0)+('Yellow Bosses'!$P$5:$P$53&gt;0)+('Yellow Bosses'!$S$5:$S$53&gt;0)+('Yellow Bosses'!$V$5:$V$53&gt;0))=0))</f>
        <v>0</v>
      </c>
      <c r="J120" s="25" t="n">
        <f aca="false">SUMPRODUCT(--(((Effectiveness!$K$5:$K$155&gt;=2)+(Effectiveness!$M$5:$M$155&gt;=2)+(Effectiveness!$P$5:$P$155&gt;=2)+(Effectiveness!$S$5:$S$155&gt;=2))&gt;0))</f>
        <v>98</v>
      </c>
      <c r="K120" s="26" t="n">
        <f aca="false">J120/151</f>
        <v>0.649006622516556</v>
      </c>
      <c r="L120" s="25" t="n">
        <f aca="false">MIN(INDEX('Move Reality'!$F$5:$F$19,MATCH(B120,'Move Reality'!$A$5:$A$19,0)),INDEX('Move Reality'!$F$5:$F$19,MATCH(C120,'Move Reality'!$A$5:$A$19,0)),INDEX('Move Reality'!$F$5:$F$19,MATCH(D120,'Move Reality'!$A$5:$A$19,0)),INDEX('Move Reality'!$F$5:$F$19,MATCH(E120,'Move Reality'!$A$5:$A$19,0)))</f>
        <v>1</v>
      </c>
      <c r="M120" s="28" t="str">
        <f aca="false">IF(L120&gt;=5,"YES","no - dead move")</f>
        <v>no - dead move</v>
      </c>
    </row>
    <row r="121" customFormat="false" ht="15" hidden="false" customHeight="false" outlineLevel="0" collapsed="false">
      <c r="A121" s="17" t="n">
        <v>117</v>
      </c>
      <c r="B121" s="17" t="s">
        <v>42</v>
      </c>
      <c r="C121" s="17" t="s">
        <v>48</v>
      </c>
      <c r="D121" s="17" t="s">
        <v>50</v>
      </c>
      <c r="E121" s="17" t="s">
        <v>51</v>
      </c>
      <c r="F121" s="25" t="n">
        <f aca="false">SUMPRODUCT(--((('Yellow Bosses'!$J$5:$J$53&gt;=2)+('Yellow Bosses'!$P$5:$P$53&gt;=2)+('Yellow Bosses'!$R$5:$R$53&gt;=2)+('Yellow Bosses'!$S$5:$S$53&gt;=2))&gt;0))</f>
        <v>39</v>
      </c>
      <c r="G121" s="26" t="n">
        <f aca="false">F121/49</f>
        <v>0.795918367346939</v>
      </c>
      <c r="H121" s="25" t="n">
        <f aca="false">49-SUMPRODUCT(--((('Yellow Bosses'!$J$5:$J$53&gt;=1)+('Yellow Bosses'!$P$5:$P$53&gt;=1)+('Yellow Bosses'!$R$5:$R$53&gt;=1)+('Yellow Bosses'!$S$5:$S$53&gt;=1))&gt;0))</f>
        <v>0</v>
      </c>
      <c r="I121" s="25" t="n">
        <f aca="false">SUMPRODUCT(--((('Yellow Bosses'!$J$5:$J$53&gt;0)+('Yellow Bosses'!$P$5:$P$53&gt;0)+('Yellow Bosses'!$R$5:$R$53&gt;0)+('Yellow Bosses'!$S$5:$S$53&gt;0))=0))</f>
        <v>0</v>
      </c>
      <c r="J121" s="25" t="n">
        <f aca="false">SUMPRODUCT(--(((Effectiveness!$G$5:$G$155&gt;=2)+(Effectiveness!$M$5:$M$155&gt;=2)+(Effectiveness!$O$5:$O$155&gt;=2)+(Effectiveness!$P$5:$P$155&gt;=2))&gt;0))</f>
        <v>95</v>
      </c>
      <c r="K121" s="26" t="n">
        <f aca="false">J121/151</f>
        <v>0.629139072847682</v>
      </c>
      <c r="L121" s="25" t="n">
        <f aca="false">MIN(INDEX('Move Reality'!$F$5:$F$19,MATCH(B121,'Move Reality'!$A$5:$A$19,0)),INDEX('Move Reality'!$F$5:$F$19,MATCH(C121,'Move Reality'!$A$5:$A$19,0)),INDEX('Move Reality'!$F$5:$F$19,MATCH(D121,'Move Reality'!$A$5:$A$19,0)),INDEX('Move Reality'!$F$5:$F$19,MATCH(E121,'Move Reality'!$A$5:$A$19,0)))</f>
        <v>1</v>
      </c>
      <c r="M121" s="28" t="str">
        <f aca="false">IF(L121&gt;=5,"YES","no - dead move")</f>
        <v>no - dead move</v>
      </c>
    </row>
    <row r="122" customFormat="false" ht="15" hidden="false" customHeight="false" outlineLevel="0" collapsed="false">
      <c r="A122" s="17" t="n">
        <v>118</v>
      </c>
      <c r="B122" s="17" t="s">
        <v>42</v>
      </c>
      <c r="C122" s="17" t="s">
        <v>51</v>
      </c>
      <c r="D122" s="17" t="s">
        <v>52</v>
      </c>
      <c r="E122" s="17" t="s">
        <v>53</v>
      </c>
      <c r="F122" s="25" t="n">
        <f aca="false">SUMPRODUCT(--((('Yellow Bosses'!$J$5:$J$53&gt;=2)+('Yellow Bosses'!$S$5:$S$53&gt;=2)+('Yellow Bosses'!$T$5:$T$53&gt;=2)+('Yellow Bosses'!$U$5:$U$53&gt;=2))&gt;0))</f>
        <v>39</v>
      </c>
      <c r="G122" s="26" t="n">
        <f aca="false">F122/49</f>
        <v>0.795918367346939</v>
      </c>
      <c r="H122" s="25" t="n">
        <f aca="false">49-SUMPRODUCT(--((('Yellow Bosses'!$J$5:$J$53&gt;=1)+('Yellow Bosses'!$S$5:$S$53&gt;=1)+('Yellow Bosses'!$T$5:$T$53&gt;=1)+('Yellow Bosses'!$U$5:$U$53&gt;=1))&gt;0))</f>
        <v>0</v>
      </c>
      <c r="I122" s="25" t="n">
        <f aca="false">SUMPRODUCT(--((('Yellow Bosses'!$J$5:$J$53&gt;0)+('Yellow Bosses'!$S$5:$S$53&gt;0)+('Yellow Bosses'!$T$5:$T$53&gt;0)+('Yellow Bosses'!$U$5:$U$53&gt;0))=0))</f>
        <v>0</v>
      </c>
      <c r="J122" s="25" t="n">
        <f aca="false">SUMPRODUCT(--(((Effectiveness!$G$5:$G$155&gt;=2)+(Effectiveness!$P$5:$P$155&gt;=2)+(Effectiveness!$Q$5:$Q$155&gt;=2)+(Effectiveness!$R$5:$R$155&gt;=2))&gt;0))</f>
        <v>95</v>
      </c>
      <c r="K122" s="26" t="n">
        <f aca="false">J122/151</f>
        <v>0.629139072847682</v>
      </c>
      <c r="L122" s="25" t="n">
        <f aca="false">MIN(INDEX('Move Reality'!$F$5:$F$19,MATCH(B122,'Move Reality'!$A$5:$A$19,0)),INDEX('Move Reality'!$F$5:$F$19,MATCH(C122,'Move Reality'!$A$5:$A$19,0)),INDEX('Move Reality'!$F$5:$F$19,MATCH(D122,'Move Reality'!$A$5:$A$19,0)),INDEX('Move Reality'!$F$5:$F$19,MATCH(E122,'Move Reality'!$A$5:$A$19,0)))</f>
        <v>1</v>
      </c>
      <c r="M122" s="28" t="str">
        <f aca="false">IF(L122&gt;=5,"YES","no - dead move")</f>
        <v>no - dead move</v>
      </c>
    </row>
    <row r="123" customFormat="false" ht="15" hidden="false" customHeight="false" outlineLevel="0" collapsed="false">
      <c r="A123" s="17" t="n">
        <v>119</v>
      </c>
      <c r="B123" s="17" t="s">
        <v>48</v>
      </c>
      <c r="C123" s="17" t="s">
        <v>50</v>
      </c>
      <c r="D123" s="17" t="s">
        <v>51</v>
      </c>
      <c r="E123" s="17" t="s">
        <v>54</v>
      </c>
      <c r="F123" s="25" t="n">
        <f aca="false">SUMPRODUCT(--((('Yellow Bosses'!$P$5:$P$53&gt;=2)+('Yellow Bosses'!$R$5:$R$53&gt;=2)+('Yellow Bosses'!$S$5:$S$53&gt;=2)+('Yellow Bosses'!$V$5:$V$53&gt;=2))&gt;0))</f>
        <v>39</v>
      </c>
      <c r="G123" s="26" t="n">
        <f aca="false">F123/49</f>
        <v>0.795918367346939</v>
      </c>
      <c r="H123" s="25" t="n">
        <f aca="false">49-SUMPRODUCT(--((('Yellow Bosses'!$P$5:$P$53&gt;=1)+('Yellow Bosses'!$R$5:$R$53&gt;=1)+('Yellow Bosses'!$S$5:$S$53&gt;=1)+('Yellow Bosses'!$V$5:$V$53&gt;=1))&gt;0))</f>
        <v>0</v>
      </c>
      <c r="I123" s="25" t="n">
        <f aca="false">SUMPRODUCT(--((('Yellow Bosses'!$P$5:$P$53&gt;0)+('Yellow Bosses'!$R$5:$R$53&gt;0)+('Yellow Bosses'!$S$5:$S$53&gt;0)+('Yellow Bosses'!$V$5:$V$53&gt;0))=0))</f>
        <v>0</v>
      </c>
      <c r="J123" s="25" t="n">
        <f aca="false">SUMPRODUCT(--(((Effectiveness!$M$5:$M$155&gt;=2)+(Effectiveness!$O$5:$O$155&gt;=2)+(Effectiveness!$P$5:$P$155&gt;=2)+(Effectiveness!$S$5:$S$155&gt;=2))&gt;0))</f>
        <v>89</v>
      </c>
      <c r="K123" s="26" t="n">
        <f aca="false">J123/151</f>
        <v>0.589403973509934</v>
      </c>
      <c r="L123" s="25" t="n">
        <f aca="false">MIN(INDEX('Move Reality'!$F$5:$F$19,MATCH(B123,'Move Reality'!$A$5:$A$19,0)),INDEX('Move Reality'!$F$5:$F$19,MATCH(C123,'Move Reality'!$A$5:$A$19,0)),INDEX('Move Reality'!$F$5:$F$19,MATCH(D123,'Move Reality'!$A$5:$A$19,0)),INDEX('Move Reality'!$F$5:$F$19,MATCH(E123,'Move Reality'!$A$5:$A$19,0)))</f>
        <v>1</v>
      </c>
      <c r="M123" s="28" t="str">
        <f aca="false">IF(L123&gt;=5,"YES","no - dead move")</f>
        <v>no - dead move</v>
      </c>
    </row>
    <row r="124" customFormat="false" ht="15" hidden="false" customHeight="false" outlineLevel="0" collapsed="false">
      <c r="A124" s="17" t="n">
        <v>120</v>
      </c>
      <c r="B124" s="17" t="s">
        <v>42</v>
      </c>
      <c r="C124" s="17" t="s">
        <v>43</v>
      </c>
      <c r="D124" s="17" t="s">
        <v>46</v>
      </c>
      <c r="E124" s="17" t="s">
        <v>51</v>
      </c>
      <c r="F124" s="25" t="n">
        <f aca="false">SUMPRODUCT(--((('Yellow Bosses'!$J$5:$J$53&gt;=2)+('Yellow Bosses'!$K$5:$K$53&gt;=2)+('Yellow Bosses'!$N$5:$N$53&gt;=2)+('Yellow Bosses'!$S$5:$S$53&gt;=2))&gt;0))</f>
        <v>38</v>
      </c>
      <c r="G124" s="26" t="n">
        <f aca="false">F124/49</f>
        <v>0.775510204081633</v>
      </c>
      <c r="H124" s="25" t="n">
        <f aca="false">49-SUMPRODUCT(--((('Yellow Bosses'!$J$5:$J$53&gt;=1)+('Yellow Bosses'!$K$5:$K$53&gt;=1)+('Yellow Bosses'!$N$5:$N$53&gt;=1)+('Yellow Bosses'!$S$5:$S$53&gt;=1))&gt;0))</f>
        <v>0</v>
      </c>
      <c r="I124" s="25" t="n">
        <f aca="false">SUMPRODUCT(--((('Yellow Bosses'!$J$5:$J$53&gt;0)+('Yellow Bosses'!$K$5:$K$53&gt;0)+('Yellow Bosses'!$N$5:$N$53&gt;0)+('Yellow Bosses'!$S$5:$S$53&gt;0))=0))</f>
        <v>0</v>
      </c>
      <c r="J124" s="25" t="n">
        <f aca="false">SUMPRODUCT(--(((Effectiveness!$G$5:$G$155&gt;=2)+(Effectiveness!$H$5:$H$155&gt;=2)+(Effectiveness!$K$5:$K$155&gt;=2)+(Effectiveness!$P$5:$P$155&gt;=2))&gt;0))</f>
        <v>126</v>
      </c>
      <c r="K124" s="26" t="n">
        <f aca="false">J124/151</f>
        <v>0.834437086092715</v>
      </c>
      <c r="L124" s="25" t="n">
        <f aca="false">MIN(INDEX('Move Reality'!$F$5:$F$19,MATCH(B124,'Move Reality'!$A$5:$A$19,0)),INDEX('Move Reality'!$F$5:$F$19,MATCH(C124,'Move Reality'!$A$5:$A$19,0)),INDEX('Move Reality'!$F$5:$F$19,MATCH(D124,'Move Reality'!$A$5:$A$19,0)),INDEX('Move Reality'!$F$5:$F$19,MATCH(E124,'Move Reality'!$A$5:$A$19,0)))</f>
        <v>1</v>
      </c>
      <c r="M124" s="28" t="str">
        <f aca="false">IF(L124&gt;=5,"YES","no - dead move")</f>
        <v>no - dead move</v>
      </c>
    </row>
    <row r="125" customFormat="false" ht="15" hidden="false" customHeight="false" outlineLevel="0" collapsed="false">
      <c r="A125" s="17" t="n">
        <v>121</v>
      </c>
      <c r="B125" s="17" t="s">
        <v>44</v>
      </c>
      <c r="C125" s="17" t="s">
        <v>46</v>
      </c>
      <c r="D125" s="17" t="s">
        <v>48</v>
      </c>
      <c r="E125" s="17" t="s">
        <v>49</v>
      </c>
      <c r="F125" s="25" t="n">
        <f aca="false">SUMPRODUCT(--((('Yellow Bosses'!$L$5:$L$53&gt;=2)+('Yellow Bosses'!$N$5:$N$53&gt;=2)+('Yellow Bosses'!$P$5:$P$53&gt;=2)+('Yellow Bosses'!$Q$5:$Q$53&gt;=2))&gt;0))</f>
        <v>38</v>
      </c>
      <c r="G125" s="26" t="n">
        <f aca="false">F125/49</f>
        <v>0.775510204081633</v>
      </c>
      <c r="H125" s="25" t="n">
        <f aca="false">49-SUMPRODUCT(--((('Yellow Bosses'!$L$5:$L$53&gt;=1)+('Yellow Bosses'!$N$5:$N$53&gt;=1)+('Yellow Bosses'!$P$5:$P$53&gt;=1)+('Yellow Bosses'!$Q$5:$Q$53&gt;=1))&gt;0))</f>
        <v>0</v>
      </c>
      <c r="I125" s="25" t="n">
        <f aca="false">SUMPRODUCT(--((('Yellow Bosses'!$L$5:$L$53&gt;0)+('Yellow Bosses'!$N$5:$N$53&gt;0)+('Yellow Bosses'!$P$5:$P$53&gt;0)+('Yellow Bosses'!$Q$5:$Q$53&gt;0))=0))</f>
        <v>0</v>
      </c>
      <c r="J125" s="25" t="n">
        <f aca="false">SUMPRODUCT(--(((Effectiveness!$I$5:$I$155&gt;=2)+(Effectiveness!$K$5:$K$155&gt;=2)+(Effectiveness!$M$5:$M$155&gt;=2)+(Effectiveness!$N$5:$N$155&gt;=2))&gt;0))</f>
        <v>123</v>
      </c>
      <c r="K125" s="26" t="n">
        <f aca="false">J125/151</f>
        <v>0.814569536423841</v>
      </c>
      <c r="L125" s="25" t="n">
        <f aca="false">MIN(INDEX('Move Reality'!$F$5:$F$19,MATCH(B125,'Move Reality'!$A$5:$A$19,0)),INDEX('Move Reality'!$F$5:$F$19,MATCH(C125,'Move Reality'!$A$5:$A$19,0)),INDEX('Move Reality'!$F$5:$F$19,MATCH(D125,'Move Reality'!$A$5:$A$19,0)),INDEX('Move Reality'!$F$5:$F$19,MATCH(E125,'Move Reality'!$A$5:$A$19,0)))</f>
        <v>4</v>
      </c>
      <c r="M125" s="28" t="str">
        <f aca="false">IF(L125&gt;=5,"YES","no - dead move")</f>
        <v>no - dead move</v>
      </c>
    </row>
    <row r="126" customFormat="false" ht="15" hidden="false" customHeight="false" outlineLevel="0" collapsed="false">
      <c r="A126" s="17" t="n">
        <v>122</v>
      </c>
      <c r="B126" s="17" t="s">
        <v>43</v>
      </c>
      <c r="C126" s="17" t="s">
        <v>45</v>
      </c>
      <c r="D126" s="17" t="s">
        <v>46</v>
      </c>
      <c r="E126" s="17" t="s">
        <v>50</v>
      </c>
      <c r="F126" s="25" t="n">
        <f aca="false">SUMPRODUCT(--((('Yellow Bosses'!$K$5:$K$53&gt;=2)+('Yellow Bosses'!$M$5:$M$53&gt;=2)+('Yellow Bosses'!$N$5:$N$53&gt;=2)+('Yellow Bosses'!$R$5:$R$53&gt;=2))&gt;0))</f>
        <v>38</v>
      </c>
      <c r="G126" s="26" t="n">
        <f aca="false">F126/49</f>
        <v>0.775510204081633</v>
      </c>
      <c r="H126" s="25" t="n">
        <f aca="false">49-SUMPRODUCT(--((('Yellow Bosses'!$K$5:$K$53&gt;=1)+('Yellow Bosses'!$M$5:$M$53&gt;=1)+('Yellow Bosses'!$N$5:$N$53&gt;=1)+('Yellow Bosses'!$R$5:$R$53&gt;=1))&gt;0))</f>
        <v>0</v>
      </c>
      <c r="I126" s="25" t="n">
        <f aca="false">SUMPRODUCT(--((('Yellow Bosses'!$K$5:$K$53&gt;0)+('Yellow Bosses'!$M$5:$M$53&gt;0)+('Yellow Bosses'!$N$5:$N$53&gt;0)+('Yellow Bosses'!$R$5:$R$53&gt;0))=0))</f>
        <v>0</v>
      </c>
      <c r="J126" s="25" t="n">
        <f aca="false">SUMPRODUCT(--(((Effectiveness!$H$5:$H$155&gt;=2)+(Effectiveness!$J$5:$J$155&gt;=2)+(Effectiveness!$K$5:$K$155&gt;=2)+(Effectiveness!$O$5:$O$155&gt;=2))&gt;0))</f>
        <v>121</v>
      </c>
      <c r="K126" s="26" t="n">
        <f aca="false">J126/151</f>
        <v>0.801324503311258</v>
      </c>
      <c r="L126" s="25" t="n">
        <f aca="false">MIN(INDEX('Move Reality'!$F$5:$F$19,MATCH(B126,'Move Reality'!$A$5:$A$19,0)),INDEX('Move Reality'!$F$5:$F$19,MATCH(C126,'Move Reality'!$A$5:$A$19,0)),INDEX('Move Reality'!$F$5:$F$19,MATCH(D126,'Move Reality'!$A$5:$A$19,0)),INDEX('Move Reality'!$F$5:$F$19,MATCH(E126,'Move Reality'!$A$5:$A$19,0)))</f>
        <v>5</v>
      </c>
      <c r="M126" s="28" t="str">
        <f aca="false">IF(L126&gt;=5,"YES","no - dead move")</f>
        <v>YES</v>
      </c>
    </row>
    <row r="127" customFormat="false" ht="15" hidden="false" customHeight="false" outlineLevel="0" collapsed="false">
      <c r="A127" s="17" t="n">
        <v>123</v>
      </c>
      <c r="B127" s="17" t="s">
        <v>43</v>
      </c>
      <c r="C127" s="17" t="s">
        <v>46</v>
      </c>
      <c r="D127" s="17" t="s">
        <v>50</v>
      </c>
      <c r="E127" s="17" t="s">
        <v>51</v>
      </c>
      <c r="F127" s="25" t="n">
        <f aca="false">SUMPRODUCT(--((('Yellow Bosses'!$K$5:$K$53&gt;=2)+('Yellow Bosses'!$N$5:$N$53&gt;=2)+('Yellow Bosses'!$R$5:$R$53&gt;=2)+('Yellow Bosses'!$S$5:$S$53&gt;=2))&gt;0))</f>
        <v>38</v>
      </c>
      <c r="G127" s="26" t="n">
        <f aca="false">F127/49</f>
        <v>0.775510204081633</v>
      </c>
      <c r="H127" s="25" t="n">
        <f aca="false">49-SUMPRODUCT(--((('Yellow Bosses'!$K$5:$K$53&gt;=1)+('Yellow Bosses'!$N$5:$N$53&gt;=1)+('Yellow Bosses'!$R$5:$R$53&gt;=1)+('Yellow Bosses'!$S$5:$S$53&gt;=1))&gt;0))</f>
        <v>0</v>
      </c>
      <c r="I127" s="25" t="n">
        <f aca="false">SUMPRODUCT(--((('Yellow Bosses'!$K$5:$K$53&gt;0)+('Yellow Bosses'!$N$5:$N$53&gt;0)+('Yellow Bosses'!$R$5:$R$53&gt;0)+('Yellow Bosses'!$S$5:$S$53&gt;0))=0))</f>
        <v>0</v>
      </c>
      <c r="J127" s="25" t="n">
        <f aca="false">SUMPRODUCT(--(((Effectiveness!$H$5:$H$155&gt;=2)+(Effectiveness!$K$5:$K$155&gt;=2)+(Effectiveness!$O$5:$O$155&gt;=2)+(Effectiveness!$P$5:$P$155&gt;=2))&gt;0))</f>
        <v>120</v>
      </c>
      <c r="K127" s="26" t="n">
        <f aca="false">J127/151</f>
        <v>0.794701986754967</v>
      </c>
      <c r="L127" s="25" t="n">
        <f aca="false">MIN(INDEX('Move Reality'!$F$5:$F$19,MATCH(B127,'Move Reality'!$A$5:$A$19,0)),INDEX('Move Reality'!$F$5:$F$19,MATCH(C127,'Move Reality'!$A$5:$A$19,0)),INDEX('Move Reality'!$F$5:$F$19,MATCH(D127,'Move Reality'!$A$5:$A$19,0)),INDEX('Move Reality'!$F$5:$F$19,MATCH(E127,'Move Reality'!$A$5:$A$19,0)))</f>
        <v>1</v>
      </c>
      <c r="M127" s="28" t="str">
        <f aca="false">IF(L127&gt;=5,"YES","no - dead move")</f>
        <v>no - dead move</v>
      </c>
    </row>
    <row r="128" customFormat="false" ht="15" hidden="false" customHeight="false" outlineLevel="0" collapsed="false">
      <c r="A128" s="17" t="n">
        <v>124</v>
      </c>
      <c r="B128" s="17" t="s">
        <v>40</v>
      </c>
      <c r="C128" s="17" t="s">
        <v>43</v>
      </c>
      <c r="D128" s="17" t="s">
        <v>48</v>
      </c>
      <c r="E128" s="17" t="s">
        <v>49</v>
      </c>
      <c r="F128" s="25" t="n">
        <f aca="false">SUMPRODUCT(--((('Yellow Bosses'!$H$5:$H$53&gt;=2)+('Yellow Bosses'!$K$5:$K$53&gt;=2)+('Yellow Bosses'!$P$5:$P$53&gt;=2)+('Yellow Bosses'!$Q$5:$Q$53&gt;=2))&gt;0))</f>
        <v>38</v>
      </c>
      <c r="G128" s="26" t="n">
        <f aca="false">F128/49</f>
        <v>0.775510204081633</v>
      </c>
      <c r="H128" s="25" t="n">
        <f aca="false">49-SUMPRODUCT(--((('Yellow Bosses'!$H$5:$H$53&gt;=1)+('Yellow Bosses'!$K$5:$K$53&gt;=1)+('Yellow Bosses'!$P$5:$P$53&gt;=1)+('Yellow Bosses'!$Q$5:$Q$53&gt;=1))&gt;0))</f>
        <v>0</v>
      </c>
      <c r="I128" s="25" t="n">
        <f aca="false">SUMPRODUCT(--((('Yellow Bosses'!$H$5:$H$53&gt;0)+('Yellow Bosses'!$K$5:$K$53&gt;0)+('Yellow Bosses'!$P$5:$P$53&gt;0)+('Yellow Bosses'!$Q$5:$Q$53&gt;0))=0))</f>
        <v>0</v>
      </c>
      <c r="J128" s="25" t="n">
        <f aca="false">SUMPRODUCT(--(((Effectiveness!$E$5:$E$155&gt;=2)+(Effectiveness!$H$5:$H$155&gt;=2)+(Effectiveness!$M$5:$M$155&gt;=2)+(Effectiveness!$N$5:$N$155&gt;=2))&gt;0))</f>
        <v>116</v>
      </c>
      <c r="K128" s="26" t="n">
        <f aca="false">J128/151</f>
        <v>0.768211920529801</v>
      </c>
      <c r="L128" s="25" t="n">
        <f aca="false">MIN(INDEX('Move Reality'!$F$5:$F$19,MATCH(B128,'Move Reality'!$A$5:$A$19,0)),INDEX('Move Reality'!$F$5:$F$19,MATCH(C128,'Move Reality'!$A$5:$A$19,0)),INDEX('Move Reality'!$F$5:$F$19,MATCH(D128,'Move Reality'!$A$5:$A$19,0)),INDEX('Move Reality'!$F$5:$F$19,MATCH(E128,'Move Reality'!$A$5:$A$19,0)))</f>
        <v>5</v>
      </c>
      <c r="M128" s="28" t="str">
        <f aca="false">IF(L128&gt;=5,"YES","no - dead move")</f>
        <v>YES</v>
      </c>
    </row>
    <row r="129" customFormat="false" ht="15" hidden="false" customHeight="false" outlineLevel="0" collapsed="false">
      <c r="A129" s="17" t="n">
        <v>125</v>
      </c>
      <c r="B129" s="17" t="s">
        <v>41</v>
      </c>
      <c r="C129" s="17" t="s">
        <v>42</v>
      </c>
      <c r="D129" s="17" t="s">
        <v>43</v>
      </c>
      <c r="E129" s="17" t="s">
        <v>48</v>
      </c>
      <c r="F129" s="25" t="n">
        <f aca="false">SUMPRODUCT(--((('Yellow Bosses'!$I$5:$I$53&gt;=2)+('Yellow Bosses'!$J$5:$J$53&gt;=2)+('Yellow Bosses'!$K$5:$K$53&gt;=2)+('Yellow Bosses'!$P$5:$P$53&gt;=2))&gt;0))</f>
        <v>38</v>
      </c>
      <c r="G129" s="26" t="n">
        <f aca="false">F129/49</f>
        <v>0.775510204081633</v>
      </c>
      <c r="H129" s="25" t="n">
        <f aca="false">49-SUMPRODUCT(--((('Yellow Bosses'!$I$5:$I$53&gt;=1)+('Yellow Bosses'!$J$5:$J$53&gt;=1)+('Yellow Bosses'!$K$5:$K$53&gt;=1)+('Yellow Bosses'!$P$5:$P$53&gt;=1))&gt;0))</f>
        <v>0</v>
      </c>
      <c r="I129" s="25" t="n">
        <f aca="false">SUMPRODUCT(--((('Yellow Bosses'!$I$5:$I$53&gt;0)+('Yellow Bosses'!$J$5:$J$53&gt;0)+('Yellow Bosses'!$K$5:$K$53&gt;0)+('Yellow Bosses'!$P$5:$P$53&gt;0))=0))</f>
        <v>0</v>
      </c>
      <c r="J129" s="25" t="n">
        <f aca="false">SUMPRODUCT(--(((Effectiveness!$F$5:$F$155&gt;=2)+(Effectiveness!$G$5:$G$155&gt;=2)+(Effectiveness!$H$5:$H$155&gt;=2)+(Effectiveness!$M$5:$M$155&gt;=2))&gt;0))</f>
        <v>116</v>
      </c>
      <c r="K129" s="26" t="n">
        <f aca="false">J129/151</f>
        <v>0.768211920529801</v>
      </c>
      <c r="L129" s="25" t="n">
        <f aca="false">MIN(INDEX('Move Reality'!$F$5:$F$19,MATCH(B129,'Move Reality'!$A$5:$A$19,0)),INDEX('Move Reality'!$F$5:$F$19,MATCH(C129,'Move Reality'!$A$5:$A$19,0)),INDEX('Move Reality'!$F$5:$F$19,MATCH(D129,'Move Reality'!$A$5:$A$19,0)),INDEX('Move Reality'!$F$5:$F$19,MATCH(E129,'Move Reality'!$A$5:$A$19,0)))</f>
        <v>7</v>
      </c>
      <c r="M129" s="28" t="str">
        <f aca="false">IF(L129&gt;=5,"YES","no - dead move")</f>
        <v>YES</v>
      </c>
    </row>
    <row r="130" customFormat="false" ht="15" hidden="false" customHeight="false" outlineLevel="0" collapsed="false">
      <c r="A130" s="17" t="n">
        <v>126</v>
      </c>
      <c r="B130" s="17" t="s">
        <v>41</v>
      </c>
      <c r="C130" s="17" t="s">
        <v>43</v>
      </c>
      <c r="D130" s="17" t="s">
        <v>44</v>
      </c>
      <c r="E130" s="17" t="s">
        <v>48</v>
      </c>
      <c r="F130" s="25" t="n">
        <f aca="false">SUMPRODUCT(--((('Yellow Bosses'!$I$5:$I$53&gt;=2)+('Yellow Bosses'!$K$5:$K$53&gt;=2)+('Yellow Bosses'!$L$5:$L$53&gt;=2)+('Yellow Bosses'!$P$5:$P$53&gt;=2))&gt;0))</f>
        <v>38</v>
      </c>
      <c r="G130" s="26" t="n">
        <f aca="false">F130/49</f>
        <v>0.775510204081633</v>
      </c>
      <c r="H130" s="25" t="n">
        <f aca="false">49-SUMPRODUCT(--((('Yellow Bosses'!$I$5:$I$53&gt;=1)+('Yellow Bosses'!$K$5:$K$53&gt;=1)+('Yellow Bosses'!$L$5:$L$53&gt;=1)+('Yellow Bosses'!$P$5:$P$53&gt;=1))&gt;0))</f>
        <v>0</v>
      </c>
      <c r="I130" s="25" t="n">
        <f aca="false">SUMPRODUCT(--((('Yellow Bosses'!$I$5:$I$53&gt;0)+('Yellow Bosses'!$K$5:$K$53&gt;0)+('Yellow Bosses'!$L$5:$L$53&gt;0)+('Yellow Bosses'!$P$5:$P$53&gt;0))=0))</f>
        <v>0</v>
      </c>
      <c r="J130" s="25" t="n">
        <f aca="false">SUMPRODUCT(--(((Effectiveness!$F$5:$F$155&gt;=2)+(Effectiveness!$H$5:$H$155&gt;=2)+(Effectiveness!$I$5:$I$155&gt;=2)+(Effectiveness!$M$5:$M$155&gt;=2))&gt;0))</f>
        <v>116</v>
      </c>
      <c r="K130" s="26" t="n">
        <f aca="false">J130/151</f>
        <v>0.768211920529801</v>
      </c>
      <c r="L130" s="25" t="n">
        <f aca="false">MIN(INDEX('Move Reality'!$F$5:$F$19,MATCH(B130,'Move Reality'!$A$5:$A$19,0)),INDEX('Move Reality'!$F$5:$F$19,MATCH(C130,'Move Reality'!$A$5:$A$19,0)),INDEX('Move Reality'!$F$5:$F$19,MATCH(D130,'Move Reality'!$A$5:$A$19,0)),INDEX('Move Reality'!$F$5:$F$19,MATCH(E130,'Move Reality'!$A$5:$A$19,0)))</f>
        <v>4</v>
      </c>
      <c r="M130" s="28" t="str">
        <f aca="false">IF(L130&gt;=5,"YES","no - dead move")</f>
        <v>no - dead move</v>
      </c>
    </row>
    <row r="131" customFormat="false" ht="15" hidden="false" customHeight="false" outlineLevel="0" collapsed="false">
      <c r="A131" s="17" t="n">
        <v>127</v>
      </c>
      <c r="B131" s="17" t="s">
        <v>43</v>
      </c>
      <c r="C131" s="17" t="s">
        <v>47</v>
      </c>
      <c r="D131" s="17" t="s">
        <v>48</v>
      </c>
      <c r="E131" s="17" t="s">
        <v>49</v>
      </c>
      <c r="F131" s="25" t="n">
        <f aca="false">SUMPRODUCT(--((('Yellow Bosses'!$K$5:$K$53&gt;=2)+('Yellow Bosses'!$O$5:$O$53&gt;=2)+('Yellow Bosses'!$P$5:$P$53&gt;=2)+('Yellow Bosses'!$Q$5:$Q$53&gt;=2))&gt;0))</f>
        <v>38</v>
      </c>
      <c r="G131" s="26" t="n">
        <f aca="false">F131/49</f>
        <v>0.775510204081633</v>
      </c>
      <c r="H131" s="25" t="n">
        <f aca="false">49-SUMPRODUCT(--((('Yellow Bosses'!$K$5:$K$53&gt;=1)+('Yellow Bosses'!$O$5:$O$53&gt;=1)+('Yellow Bosses'!$P$5:$P$53&gt;=1)+('Yellow Bosses'!$Q$5:$Q$53&gt;=1))&gt;0))</f>
        <v>0</v>
      </c>
      <c r="I131" s="25" t="n">
        <f aca="false">SUMPRODUCT(--((('Yellow Bosses'!$K$5:$K$53&gt;0)+('Yellow Bosses'!$O$5:$O$53&gt;0)+('Yellow Bosses'!$P$5:$P$53&gt;0)+('Yellow Bosses'!$Q$5:$Q$53&gt;0))=0))</f>
        <v>0</v>
      </c>
      <c r="J131" s="25" t="n">
        <f aca="false">SUMPRODUCT(--(((Effectiveness!$H$5:$H$155&gt;=2)+(Effectiveness!$L$5:$L$155&gt;=2)+(Effectiveness!$M$5:$M$155&gt;=2)+(Effectiveness!$N$5:$N$155&gt;=2))&gt;0))</f>
        <v>116</v>
      </c>
      <c r="K131" s="26" t="n">
        <f aca="false">J131/151</f>
        <v>0.768211920529801</v>
      </c>
      <c r="L131" s="25" t="n">
        <f aca="false">MIN(INDEX('Move Reality'!$F$5:$F$19,MATCH(B131,'Move Reality'!$A$5:$A$19,0)),INDEX('Move Reality'!$F$5:$F$19,MATCH(C131,'Move Reality'!$A$5:$A$19,0)),INDEX('Move Reality'!$F$5:$F$19,MATCH(D131,'Move Reality'!$A$5:$A$19,0)),INDEX('Move Reality'!$F$5:$F$19,MATCH(E131,'Move Reality'!$A$5:$A$19,0)))</f>
        <v>2</v>
      </c>
      <c r="M131" s="28" t="str">
        <f aca="false">IF(L131&gt;=5,"YES","no - dead move")</f>
        <v>no - dead move</v>
      </c>
    </row>
    <row r="132" customFormat="false" ht="15" hidden="false" customHeight="false" outlineLevel="0" collapsed="false">
      <c r="A132" s="17" t="n">
        <v>128</v>
      </c>
      <c r="B132" s="17" t="s">
        <v>43</v>
      </c>
      <c r="C132" s="17" t="s">
        <v>47</v>
      </c>
      <c r="D132" s="17" t="s">
        <v>48</v>
      </c>
      <c r="E132" s="17" t="s">
        <v>50</v>
      </c>
      <c r="F132" s="25" t="n">
        <f aca="false">SUMPRODUCT(--((('Yellow Bosses'!$K$5:$K$53&gt;=2)+('Yellow Bosses'!$O$5:$O$53&gt;=2)+('Yellow Bosses'!$P$5:$P$53&gt;=2)+('Yellow Bosses'!$R$5:$R$53&gt;=2))&gt;0))</f>
        <v>38</v>
      </c>
      <c r="G132" s="26" t="n">
        <f aca="false">F132/49</f>
        <v>0.775510204081633</v>
      </c>
      <c r="H132" s="25" t="n">
        <f aca="false">49-SUMPRODUCT(--((('Yellow Bosses'!$K$5:$K$53&gt;=1)+('Yellow Bosses'!$O$5:$O$53&gt;=1)+('Yellow Bosses'!$P$5:$P$53&gt;=1)+('Yellow Bosses'!$R$5:$R$53&gt;=1))&gt;0))</f>
        <v>0</v>
      </c>
      <c r="I132" s="25" t="n">
        <f aca="false">SUMPRODUCT(--((('Yellow Bosses'!$K$5:$K$53&gt;0)+('Yellow Bosses'!$O$5:$O$53&gt;0)+('Yellow Bosses'!$P$5:$P$53&gt;0)+('Yellow Bosses'!$R$5:$R$53&gt;0))=0))</f>
        <v>0</v>
      </c>
      <c r="J132" s="25" t="n">
        <f aca="false">SUMPRODUCT(--(((Effectiveness!$H$5:$H$155&gt;=2)+(Effectiveness!$L$5:$L$155&gt;=2)+(Effectiveness!$M$5:$M$155&gt;=2)+(Effectiveness!$O$5:$O$155&gt;=2))&gt;0))</f>
        <v>116</v>
      </c>
      <c r="K132" s="26" t="n">
        <f aca="false">J132/151</f>
        <v>0.768211920529801</v>
      </c>
      <c r="L132" s="25" t="n">
        <f aca="false">MIN(INDEX('Move Reality'!$F$5:$F$19,MATCH(B132,'Move Reality'!$A$5:$A$19,0)),INDEX('Move Reality'!$F$5:$F$19,MATCH(C132,'Move Reality'!$A$5:$A$19,0)),INDEX('Move Reality'!$F$5:$F$19,MATCH(D132,'Move Reality'!$A$5:$A$19,0)),INDEX('Move Reality'!$F$5:$F$19,MATCH(E132,'Move Reality'!$A$5:$A$19,0)))</f>
        <v>2</v>
      </c>
      <c r="M132" s="28" t="str">
        <f aca="false">IF(L132&gt;=5,"YES","no - dead move")</f>
        <v>no - dead move</v>
      </c>
    </row>
    <row r="133" customFormat="false" ht="15" hidden="false" customHeight="false" outlineLevel="0" collapsed="false">
      <c r="A133" s="17" t="n">
        <v>129</v>
      </c>
      <c r="B133" s="17" t="s">
        <v>43</v>
      </c>
      <c r="C133" s="17" t="s">
        <v>48</v>
      </c>
      <c r="D133" s="17" t="s">
        <v>49</v>
      </c>
      <c r="E133" s="17" t="s">
        <v>50</v>
      </c>
      <c r="F133" s="25" t="n">
        <f aca="false">SUMPRODUCT(--((('Yellow Bosses'!$K$5:$K$53&gt;=2)+('Yellow Bosses'!$P$5:$P$53&gt;=2)+('Yellow Bosses'!$Q$5:$Q$53&gt;=2)+('Yellow Bosses'!$R$5:$R$53&gt;=2))&gt;0))</f>
        <v>38</v>
      </c>
      <c r="G133" s="26" t="n">
        <f aca="false">F133/49</f>
        <v>0.775510204081633</v>
      </c>
      <c r="H133" s="25" t="n">
        <f aca="false">49-SUMPRODUCT(--((('Yellow Bosses'!$K$5:$K$53&gt;=1)+('Yellow Bosses'!$P$5:$P$53&gt;=1)+('Yellow Bosses'!$Q$5:$Q$53&gt;=1)+('Yellow Bosses'!$R$5:$R$53&gt;=1))&gt;0))</f>
        <v>0</v>
      </c>
      <c r="I133" s="25" t="n">
        <f aca="false">SUMPRODUCT(--((('Yellow Bosses'!$K$5:$K$53&gt;0)+('Yellow Bosses'!$P$5:$P$53&gt;0)+('Yellow Bosses'!$Q$5:$Q$53&gt;0)+('Yellow Bosses'!$R$5:$R$53&gt;0))=0))</f>
        <v>0</v>
      </c>
      <c r="J133" s="25" t="n">
        <f aca="false">SUMPRODUCT(--(((Effectiveness!$H$5:$H$155&gt;=2)+(Effectiveness!$M$5:$M$155&gt;=2)+(Effectiveness!$N$5:$N$155&gt;=2)+(Effectiveness!$O$5:$O$155&gt;=2))&gt;0))</f>
        <v>116</v>
      </c>
      <c r="K133" s="26" t="n">
        <f aca="false">J133/151</f>
        <v>0.768211920529801</v>
      </c>
      <c r="L133" s="25" t="n">
        <f aca="false">MIN(INDEX('Move Reality'!$F$5:$F$19,MATCH(B133,'Move Reality'!$A$5:$A$19,0)),INDEX('Move Reality'!$F$5:$F$19,MATCH(C133,'Move Reality'!$A$5:$A$19,0)),INDEX('Move Reality'!$F$5:$F$19,MATCH(D133,'Move Reality'!$A$5:$A$19,0)),INDEX('Move Reality'!$F$5:$F$19,MATCH(E133,'Move Reality'!$A$5:$A$19,0)))</f>
        <v>5</v>
      </c>
      <c r="M133" s="28" t="str">
        <f aca="false">IF(L133&gt;=5,"YES","no - dead move")</f>
        <v>YES</v>
      </c>
    </row>
    <row r="134" customFormat="false" ht="15" hidden="false" customHeight="false" outlineLevel="0" collapsed="false">
      <c r="A134" s="17" t="n">
        <v>130</v>
      </c>
      <c r="B134" s="17" t="s">
        <v>43</v>
      </c>
      <c r="C134" s="17" t="s">
        <v>48</v>
      </c>
      <c r="D134" s="17" t="s">
        <v>49</v>
      </c>
      <c r="E134" s="17" t="s">
        <v>53</v>
      </c>
      <c r="F134" s="25" t="n">
        <f aca="false">SUMPRODUCT(--((('Yellow Bosses'!$K$5:$K$53&gt;=2)+('Yellow Bosses'!$P$5:$P$53&gt;=2)+('Yellow Bosses'!$Q$5:$Q$53&gt;=2)+('Yellow Bosses'!$U$5:$U$53&gt;=2))&gt;0))</f>
        <v>38</v>
      </c>
      <c r="G134" s="26" t="n">
        <f aca="false">F134/49</f>
        <v>0.775510204081633</v>
      </c>
      <c r="H134" s="25" t="n">
        <f aca="false">49-SUMPRODUCT(--((('Yellow Bosses'!$K$5:$K$53&gt;=1)+('Yellow Bosses'!$P$5:$P$53&gt;=1)+('Yellow Bosses'!$Q$5:$Q$53&gt;=1)+('Yellow Bosses'!$U$5:$U$53&gt;=1))&gt;0))</f>
        <v>0</v>
      </c>
      <c r="I134" s="25" t="n">
        <f aca="false">SUMPRODUCT(--((('Yellow Bosses'!$K$5:$K$53&gt;0)+('Yellow Bosses'!$P$5:$P$53&gt;0)+('Yellow Bosses'!$Q$5:$Q$53&gt;0)+('Yellow Bosses'!$U$5:$U$53&gt;0))=0))</f>
        <v>0</v>
      </c>
      <c r="J134" s="25" t="n">
        <f aca="false">SUMPRODUCT(--(((Effectiveness!$H$5:$H$155&gt;=2)+(Effectiveness!$M$5:$M$155&gt;=2)+(Effectiveness!$N$5:$N$155&gt;=2)+(Effectiveness!$R$5:$R$155&gt;=2))&gt;0))</f>
        <v>116</v>
      </c>
      <c r="K134" s="26" t="n">
        <f aca="false">J134/151</f>
        <v>0.768211920529801</v>
      </c>
      <c r="L134" s="25" t="n">
        <f aca="false">MIN(INDEX('Move Reality'!$F$5:$F$19,MATCH(B134,'Move Reality'!$A$5:$A$19,0)),INDEX('Move Reality'!$F$5:$F$19,MATCH(C134,'Move Reality'!$A$5:$A$19,0)),INDEX('Move Reality'!$F$5:$F$19,MATCH(D134,'Move Reality'!$A$5:$A$19,0)),INDEX('Move Reality'!$F$5:$F$19,MATCH(E134,'Move Reality'!$A$5:$A$19,0)))</f>
        <v>1</v>
      </c>
      <c r="M134" s="28" t="str">
        <f aca="false">IF(L134&gt;=5,"YES","no - dead move")</f>
        <v>no - dead move</v>
      </c>
    </row>
    <row r="135" customFormat="false" ht="15" hidden="false" customHeight="false" outlineLevel="0" collapsed="false">
      <c r="A135" s="17" t="n">
        <v>131</v>
      </c>
      <c r="B135" s="17" t="s">
        <v>43</v>
      </c>
      <c r="C135" s="17" t="s">
        <v>48</v>
      </c>
      <c r="D135" s="17" t="s">
        <v>50</v>
      </c>
      <c r="E135" s="17" t="s">
        <v>52</v>
      </c>
      <c r="F135" s="25" t="n">
        <f aca="false">SUMPRODUCT(--((('Yellow Bosses'!$K$5:$K$53&gt;=2)+('Yellow Bosses'!$P$5:$P$53&gt;=2)+('Yellow Bosses'!$R$5:$R$53&gt;=2)+('Yellow Bosses'!$T$5:$T$53&gt;=2))&gt;0))</f>
        <v>38</v>
      </c>
      <c r="G135" s="26" t="n">
        <f aca="false">F135/49</f>
        <v>0.775510204081633</v>
      </c>
      <c r="H135" s="25" t="n">
        <f aca="false">49-SUMPRODUCT(--((('Yellow Bosses'!$K$5:$K$53&gt;=1)+('Yellow Bosses'!$P$5:$P$53&gt;=1)+('Yellow Bosses'!$R$5:$R$53&gt;=1)+('Yellow Bosses'!$T$5:$T$53&gt;=1))&gt;0))</f>
        <v>0</v>
      </c>
      <c r="I135" s="25" t="n">
        <f aca="false">SUMPRODUCT(--((('Yellow Bosses'!$K$5:$K$53&gt;0)+('Yellow Bosses'!$P$5:$P$53&gt;0)+('Yellow Bosses'!$R$5:$R$53&gt;0)+('Yellow Bosses'!$T$5:$T$53&gt;0))=0))</f>
        <v>0</v>
      </c>
      <c r="J135" s="25" t="n">
        <f aca="false">SUMPRODUCT(--(((Effectiveness!$H$5:$H$155&gt;=2)+(Effectiveness!$M$5:$M$155&gt;=2)+(Effectiveness!$O$5:$O$155&gt;=2)+(Effectiveness!$Q$5:$Q$155&gt;=2))&gt;0))</f>
        <v>116</v>
      </c>
      <c r="K135" s="26" t="n">
        <f aca="false">J135/151</f>
        <v>0.768211920529801</v>
      </c>
      <c r="L135" s="25" t="n">
        <f aca="false">MIN(INDEX('Move Reality'!$F$5:$F$19,MATCH(B135,'Move Reality'!$A$5:$A$19,0)),INDEX('Move Reality'!$F$5:$F$19,MATCH(C135,'Move Reality'!$A$5:$A$19,0)),INDEX('Move Reality'!$F$5:$F$19,MATCH(D135,'Move Reality'!$A$5:$A$19,0)),INDEX('Move Reality'!$F$5:$F$19,MATCH(E135,'Move Reality'!$A$5:$A$19,0)))</f>
        <v>6</v>
      </c>
      <c r="M135" s="28" t="str">
        <f aca="false">IF(L135&gt;=5,"YES","no - dead move")</f>
        <v>YES</v>
      </c>
    </row>
    <row r="136" customFormat="false" ht="15" hidden="false" customHeight="false" outlineLevel="0" collapsed="false">
      <c r="A136" s="17" t="n">
        <v>132</v>
      </c>
      <c r="B136" s="17" t="s">
        <v>40</v>
      </c>
      <c r="C136" s="17" t="s">
        <v>44</v>
      </c>
      <c r="D136" s="17" t="s">
        <v>51</v>
      </c>
      <c r="E136" s="17" t="s">
        <v>52</v>
      </c>
      <c r="F136" s="25" t="n">
        <f aca="false">SUMPRODUCT(--((('Yellow Bosses'!$H$5:$H$53&gt;=2)+('Yellow Bosses'!$L$5:$L$53&gt;=2)+('Yellow Bosses'!$S$5:$S$53&gt;=2)+('Yellow Bosses'!$T$5:$T$53&gt;=2))&gt;0))</f>
        <v>38</v>
      </c>
      <c r="G136" s="26" t="n">
        <f aca="false">F136/49</f>
        <v>0.775510204081633</v>
      </c>
      <c r="H136" s="25" t="n">
        <f aca="false">49-SUMPRODUCT(--((('Yellow Bosses'!$H$5:$H$53&gt;=1)+('Yellow Bosses'!$L$5:$L$53&gt;=1)+('Yellow Bosses'!$S$5:$S$53&gt;=1)+('Yellow Bosses'!$T$5:$T$53&gt;=1))&gt;0))</f>
        <v>0</v>
      </c>
      <c r="I136" s="25" t="n">
        <f aca="false">SUMPRODUCT(--((('Yellow Bosses'!$H$5:$H$53&gt;0)+('Yellow Bosses'!$L$5:$L$53&gt;0)+('Yellow Bosses'!$S$5:$S$53&gt;0)+('Yellow Bosses'!$T$5:$T$53&gt;0))=0))</f>
        <v>0</v>
      </c>
      <c r="J136" s="25" t="n">
        <f aca="false">SUMPRODUCT(--(((Effectiveness!$E$5:$E$155&gt;=2)+(Effectiveness!$I$5:$I$155&gt;=2)+(Effectiveness!$P$5:$P$155&gt;=2)+(Effectiveness!$Q$5:$Q$155&gt;=2))&gt;0))</f>
        <v>115</v>
      </c>
      <c r="K136" s="26" t="n">
        <f aca="false">J136/151</f>
        <v>0.76158940397351</v>
      </c>
      <c r="L136" s="25" t="n">
        <f aca="false">MIN(INDEX('Move Reality'!$F$5:$F$19,MATCH(B136,'Move Reality'!$A$5:$A$19,0)),INDEX('Move Reality'!$F$5:$F$19,MATCH(C136,'Move Reality'!$A$5:$A$19,0)),INDEX('Move Reality'!$F$5:$F$19,MATCH(D136,'Move Reality'!$A$5:$A$19,0)),INDEX('Move Reality'!$F$5:$F$19,MATCH(E136,'Move Reality'!$A$5:$A$19,0)))</f>
        <v>1</v>
      </c>
      <c r="M136" s="28" t="str">
        <f aca="false">IF(L136&gt;=5,"YES","no - dead move")</f>
        <v>no - dead move</v>
      </c>
    </row>
    <row r="137" customFormat="false" ht="15" hidden="false" customHeight="false" outlineLevel="0" collapsed="false">
      <c r="A137" s="17" t="n">
        <v>133</v>
      </c>
      <c r="B137" s="17" t="s">
        <v>41</v>
      </c>
      <c r="C137" s="17" t="s">
        <v>44</v>
      </c>
      <c r="D137" s="17" t="s">
        <v>51</v>
      </c>
      <c r="E137" s="17" t="s">
        <v>52</v>
      </c>
      <c r="F137" s="25" t="n">
        <f aca="false">SUMPRODUCT(--((('Yellow Bosses'!$I$5:$I$53&gt;=2)+('Yellow Bosses'!$L$5:$L$53&gt;=2)+('Yellow Bosses'!$S$5:$S$53&gt;=2)+('Yellow Bosses'!$T$5:$T$53&gt;=2))&gt;0))</f>
        <v>38</v>
      </c>
      <c r="G137" s="26" t="n">
        <f aca="false">F137/49</f>
        <v>0.775510204081633</v>
      </c>
      <c r="H137" s="25" t="n">
        <f aca="false">49-SUMPRODUCT(--((('Yellow Bosses'!$I$5:$I$53&gt;=1)+('Yellow Bosses'!$L$5:$L$53&gt;=1)+('Yellow Bosses'!$S$5:$S$53&gt;=1)+('Yellow Bosses'!$T$5:$T$53&gt;=1))&gt;0))</f>
        <v>0</v>
      </c>
      <c r="I137" s="25" t="n">
        <f aca="false">SUMPRODUCT(--((('Yellow Bosses'!$I$5:$I$53&gt;0)+('Yellow Bosses'!$L$5:$L$53&gt;0)+('Yellow Bosses'!$S$5:$S$53&gt;0)+('Yellow Bosses'!$T$5:$T$53&gt;0))=0))</f>
        <v>0</v>
      </c>
      <c r="J137" s="25" t="n">
        <f aca="false">SUMPRODUCT(--(((Effectiveness!$F$5:$F$155&gt;=2)+(Effectiveness!$I$5:$I$155&gt;=2)+(Effectiveness!$P$5:$P$155&gt;=2)+(Effectiveness!$Q$5:$Q$155&gt;=2))&gt;0))</f>
        <v>115</v>
      </c>
      <c r="K137" s="26" t="n">
        <f aca="false">J137/151</f>
        <v>0.76158940397351</v>
      </c>
      <c r="L137" s="25" t="n">
        <f aca="false">MIN(INDEX('Move Reality'!$F$5:$F$19,MATCH(B137,'Move Reality'!$A$5:$A$19,0)),INDEX('Move Reality'!$F$5:$F$19,MATCH(C137,'Move Reality'!$A$5:$A$19,0)),INDEX('Move Reality'!$F$5:$F$19,MATCH(D137,'Move Reality'!$A$5:$A$19,0)),INDEX('Move Reality'!$F$5:$F$19,MATCH(E137,'Move Reality'!$A$5:$A$19,0)))</f>
        <v>1</v>
      </c>
      <c r="M137" s="28" t="str">
        <f aca="false">IF(L137&gt;=5,"YES","no - dead move")</f>
        <v>no - dead move</v>
      </c>
    </row>
    <row r="138" customFormat="false" ht="15" hidden="false" customHeight="false" outlineLevel="0" collapsed="false">
      <c r="A138" s="17" t="n">
        <v>134</v>
      </c>
      <c r="B138" s="17" t="s">
        <v>42</v>
      </c>
      <c r="C138" s="17" t="s">
        <v>43</v>
      </c>
      <c r="D138" s="17" t="s">
        <v>51</v>
      </c>
      <c r="E138" s="17" t="s">
        <v>52</v>
      </c>
      <c r="F138" s="25" t="n">
        <f aca="false">SUMPRODUCT(--((('Yellow Bosses'!$J$5:$J$53&gt;=2)+('Yellow Bosses'!$K$5:$K$53&gt;=2)+('Yellow Bosses'!$S$5:$S$53&gt;=2)+('Yellow Bosses'!$T$5:$T$53&gt;=2))&gt;0))</f>
        <v>38</v>
      </c>
      <c r="G138" s="26" t="n">
        <f aca="false">F138/49</f>
        <v>0.775510204081633</v>
      </c>
      <c r="H138" s="25" t="n">
        <f aca="false">49-SUMPRODUCT(--((('Yellow Bosses'!$J$5:$J$53&gt;=1)+('Yellow Bosses'!$K$5:$K$53&gt;=1)+('Yellow Bosses'!$S$5:$S$53&gt;=1)+('Yellow Bosses'!$T$5:$T$53&gt;=1))&gt;0))</f>
        <v>0</v>
      </c>
      <c r="I138" s="25" t="n">
        <f aca="false">SUMPRODUCT(--((('Yellow Bosses'!$J$5:$J$53&gt;0)+('Yellow Bosses'!$K$5:$K$53&gt;0)+('Yellow Bosses'!$S$5:$S$53&gt;0)+('Yellow Bosses'!$T$5:$T$53&gt;0))=0))</f>
        <v>0</v>
      </c>
      <c r="J138" s="25" t="n">
        <f aca="false">SUMPRODUCT(--(((Effectiveness!$G$5:$G$155&gt;=2)+(Effectiveness!$H$5:$H$155&gt;=2)+(Effectiveness!$P$5:$P$155&gt;=2)+(Effectiveness!$Q$5:$Q$155&gt;=2))&gt;0))</f>
        <v>115</v>
      </c>
      <c r="K138" s="26" t="n">
        <f aca="false">J138/151</f>
        <v>0.76158940397351</v>
      </c>
      <c r="L138" s="25" t="n">
        <f aca="false">MIN(INDEX('Move Reality'!$F$5:$F$19,MATCH(B138,'Move Reality'!$A$5:$A$19,0)),INDEX('Move Reality'!$F$5:$F$19,MATCH(C138,'Move Reality'!$A$5:$A$19,0)),INDEX('Move Reality'!$F$5:$F$19,MATCH(D138,'Move Reality'!$A$5:$A$19,0)),INDEX('Move Reality'!$F$5:$F$19,MATCH(E138,'Move Reality'!$A$5:$A$19,0)))</f>
        <v>1</v>
      </c>
      <c r="M138" s="28" t="str">
        <f aca="false">IF(L138&gt;=5,"YES","no - dead move")</f>
        <v>no - dead move</v>
      </c>
    </row>
    <row r="139" customFormat="false" ht="15" hidden="false" customHeight="false" outlineLevel="0" collapsed="false">
      <c r="A139" s="17" t="n">
        <v>135</v>
      </c>
      <c r="B139" s="17" t="s">
        <v>42</v>
      </c>
      <c r="C139" s="17" t="s">
        <v>44</v>
      </c>
      <c r="D139" s="17" t="s">
        <v>51</v>
      </c>
      <c r="E139" s="17" t="s">
        <v>52</v>
      </c>
      <c r="F139" s="25" t="n">
        <f aca="false">SUMPRODUCT(--((('Yellow Bosses'!$J$5:$J$53&gt;=2)+('Yellow Bosses'!$L$5:$L$53&gt;=2)+('Yellow Bosses'!$S$5:$S$53&gt;=2)+('Yellow Bosses'!$T$5:$T$53&gt;=2))&gt;0))</f>
        <v>38</v>
      </c>
      <c r="G139" s="26" t="n">
        <f aca="false">F139/49</f>
        <v>0.775510204081633</v>
      </c>
      <c r="H139" s="25" t="n">
        <f aca="false">49-SUMPRODUCT(--((('Yellow Bosses'!$J$5:$J$53&gt;=1)+('Yellow Bosses'!$L$5:$L$53&gt;=1)+('Yellow Bosses'!$S$5:$S$53&gt;=1)+('Yellow Bosses'!$T$5:$T$53&gt;=1))&gt;0))</f>
        <v>0</v>
      </c>
      <c r="I139" s="25" t="n">
        <f aca="false">SUMPRODUCT(--((('Yellow Bosses'!$J$5:$J$53&gt;0)+('Yellow Bosses'!$L$5:$L$53&gt;0)+('Yellow Bosses'!$S$5:$S$53&gt;0)+('Yellow Bosses'!$T$5:$T$53&gt;0))=0))</f>
        <v>0</v>
      </c>
      <c r="J139" s="25" t="n">
        <f aca="false">SUMPRODUCT(--(((Effectiveness!$G$5:$G$155&gt;=2)+(Effectiveness!$I$5:$I$155&gt;=2)+(Effectiveness!$P$5:$P$155&gt;=2)+(Effectiveness!$Q$5:$Q$155&gt;=2))&gt;0))</f>
        <v>115</v>
      </c>
      <c r="K139" s="26" t="n">
        <f aca="false">J139/151</f>
        <v>0.76158940397351</v>
      </c>
      <c r="L139" s="25" t="n">
        <f aca="false">MIN(INDEX('Move Reality'!$F$5:$F$19,MATCH(B139,'Move Reality'!$A$5:$A$19,0)),INDEX('Move Reality'!$F$5:$F$19,MATCH(C139,'Move Reality'!$A$5:$A$19,0)),INDEX('Move Reality'!$F$5:$F$19,MATCH(D139,'Move Reality'!$A$5:$A$19,0)),INDEX('Move Reality'!$F$5:$F$19,MATCH(E139,'Move Reality'!$A$5:$A$19,0)))</f>
        <v>1</v>
      </c>
      <c r="M139" s="28" t="str">
        <f aca="false">IF(L139&gt;=5,"YES","no - dead move")</f>
        <v>no - dead move</v>
      </c>
    </row>
    <row r="140" customFormat="false" ht="15" hidden="false" customHeight="false" outlineLevel="0" collapsed="false">
      <c r="A140" s="17" t="n">
        <v>136</v>
      </c>
      <c r="B140" s="17" t="s">
        <v>43</v>
      </c>
      <c r="C140" s="17" t="s">
        <v>44</v>
      </c>
      <c r="D140" s="17" t="s">
        <v>51</v>
      </c>
      <c r="E140" s="17" t="s">
        <v>52</v>
      </c>
      <c r="F140" s="25" t="n">
        <f aca="false">SUMPRODUCT(--((('Yellow Bosses'!$K$5:$K$53&gt;=2)+('Yellow Bosses'!$L$5:$L$53&gt;=2)+('Yellow Bosses'!$S$5:$S$53&gt;=2)+('Yellow Bosses'!$T$5:$T$53&gt;=2))&gt;0))</f>
        <v>38</v>
      </c>
      <c r="G140" s="26" t="n">
        <f aca="false">F140/49</f>
        <v>0.775510204081633</v>
      </c>
      <c r="H140" s="25" t="n">
        <f aca="false">49-SUMPRODUCT(--((('Yellow Bosses'!$K$5:$K$53&gt;=1)+('Yellow Bosses'!$L$5:$L$53&gt;=1)+('Yellow Bosses'!$S$5:$S$53&gt;=1)+('Yellow Bosses'!$T$5:$T$53&gt;=1))&gt;0))</f>
        <v>0</v>
      </c>
      <c r="I140" s="25" t="n">
        <f aca="false">SUMPRODUCT(--((('Yellow Bosses'!$K$5:$K$53&gt;0)+('Yellow Bosses'!$L$5:$L$53&gt;0)+('Yellow Bosses'!$S$5:$S$53&gt;0)+('Yellow Bosses'!$T$5:$T$53&gt;0))=0))</f>
        <v>0</v>
      </c>
      <c r="J140" s="25" t="n">
        <f aca="false">SUMPRODUCT(--(((Effectiveness!$H$5:$H$155&gt;=2)+(Effectiveness!$I$5:$I$155&gt;=2)+(Effectiveness!$P$5:$P$155&gt;=2)+(Effectiveness!$Q$5:$Q$155&gt;=2))&gt;0))</f>
        <v>115</v>
      </c>
      <c r="K140" s="26" t="n">
        <f aca="false">J140/151</f>
        <v>0.76158940397351</v>
      </c>
      <c r="L140" s="25" t="n">
        <f aca="false">MIN(INDEX('Move Reality'!$F$5:$F$19,MATCH(B140,'Move Reality'!$A$5:$A$19,0)),INDEX('Move Reality'!$F$5:$F$19,MATCH(C140,'Move Reality'!$A$5:$A$19,0)),INDEX('Move Reality'!$F$5:$F$19,MATCH(D140,'Move Reality'!$A$5:$A$19,0)),INDEX('Move Reality'!$F$5:$F$19,MATCH(E140,'Move Reality'!$A$5:$A$19,0)))</f>
        <v>1</v>
      </c>
      <c r="M140" s="28" t="str">
        <f aca="false">IF(L140&gt;=5,"YES","no - dead move")</f>
        <v>no - dead move</v>
      </c>
    </row>
    <row r="141" customFormat="false" ht="15" hidden="false" customHeight="false" outlineLevel="0" collapsed="false">
      <c r="A141" s="17" t="n">
        <v>137</v>
      </c>
      <c r="B141" s="17" t="s">
        <v>44</v>
      </c>
      <c r="C141" s="17" t="s">
        <v>47</v>
      </c>
      <c r="D141" s="17" t="s">
        <v>51</v>
      </c>
      <c r="E141" s="17" t="s">
        <v>52</v>
      </c>
      <c r="F141" s="25" t="n">
        <f aca="false">SUMPRODUCT(--((('Yellow Bosses'!$L$5:$L$53&gt;=2)+('Yellow Bosses'!$O$5:$O$53&gt;=2)+('Yellow Bosses'!$S$5:$S$53&gt;=2)+('Yellow Bosses'!$T$5:$T$53&gt;=2))&gt;0))</f>
        <v>38</v>
      </c>
      <c r="G141" s="26" t="n">
        <f aca="false">F141/49</f>
        <v>0.775510204081633</v>
      </c>
      <c r="H141" s="25" t="n">
        <f aca="false">49-SUMPRODUCT(--((('Yellow Bosses'!$L$5:$L$53&gt;=1)+('Yellow Bosses'!$O$5:$O$53&gt;=1)+('Yellow Bosses'!$S$5:$S$53&gt;=1)+('Yellow Bosses'!$T$5:$T$53&gt;=1))&gt;0))</f>
        <v>0</v>
      </c>
      <c r="I141" s="25" t="n">
        <f aca="false">SUMPRODUCT(--((('Yellow Bosses'!$L$5:$L$53&gt;0)+('Yellow Bosses'!$O$5:$O$53&gt;0)+('Yellow Bosses'!$S$5:$S$53&gt;0)+('Yellow Bosses'!$T$5:$T$53&gt;0))=0))</f>
        <v>0</v>
      </c>
      <c r="J141" s="25" t="n">
        <f aca="false">SUMPRODUCT(--(((Effectiveness!$I$5:$I$155&gt;=2)+(Effectiveness!$L$5:$L$155&gt;=2)+(Effectiveness!$P$5:$P$155&gt;=2)+(Effectiveness!$Q$5:$Q$155&gt;=2))&gt;0))</f>
        <v>115</v>
      </c>
      <c r="K141" s="26" t="n">
        <f aca="false">J141/151</f>
        <v>0.76158940397351</v>
      </c>
      <c r="L141" s="25" t="n">
        <f aca="false">MIN(INDEX('Move Reality'!$F$5:$F$19,MATCH(B141,'Move Reality'!$A$5:$A$19,0)),INDEX('Move Reality'!$F$5:$F$19,MATCH(C141,'Move Reality'!$A$5:$A$19,0)),INDEX('Move Reality'!$F$5:$F$19,MATCH(D141,'Move Reality'!$A$5:$A$19,0)),INDEX('Move Reality'!$F$5:$F$19,MATCH(E141,'Move Reality'!$A$5:$A$19,0)))</f>
        <v>1</v>
      </c>
      <c r="M141" s="28" t="str">
        <f aca="false">IF(L141&gt;=5,"YES","no - dead move")</f>
        <v>no - dead move</v>
      </c>
    </row>
    <row r="142" customFormat="false" ht="15" hidden="false" customHeight="false" outlineLevel="0" collapsed="false">
      <c r="A142" s="17" t="n">
        <v>138</v>
      </c>
      <c r="B142" s="17" t="s">
        <v>40</v>
      </c>
      <c r="C142" s="17" t="s">
        <v>44</v>
      </c>
      <c r="D142" s="17" t="s">
        <v>50</v>
      </c>
      <c r="E142" s="17" t="s">
        <v>52</v>
      </c>
      <c r="F142" s="25" t="n">
        <f aca="false">SUMPRODUCT(--((('Yellow Bosses'!$H$5:$H$53&gt;=2)+('Yellow Bosses'!$L$5:$L$53&gt;=2)+('Yellow Bosses'!$R$5:$R$53&gt;=2)+('Yellow Bosses'!$T$5:$T$53&gt;=2))&gt;0))</f>
        <v>38</v>
      </c>
      <c r="G142" s="26" t="n">
        <f aca="false">F142/49</f>
        <v>0.775510204081633</v>
      </c>
      <c r="H142" s="25" t="n">
        <f aca="false">49-SUMPRODUCT(--((('Yellow Bosses'!$H$5:$H$53&gt;=1)+('Yellow Bosses'!$L$5:$L$53&gt;=1)+('Yellow Bosses'!$R$5:$R$53&gt;=1)+('Yellow Bosses'!$T$5:$T$53&gt;=1))&gt;0))</f>
        <v>0</v>
      </c>
      <c r="I142" s="25" t="n">
        <f aca="false">SUMPRODUCT(--((('Yellow Bosses'!$H$5:$H$53&gt;0)+('Yellow Bosses'!$L$5:$L$53&gt;0)+('Yellow Bosses'!$R$5:$R$53&gt;0)+('Yellow Bosses'!$T$5:$T$53&gt;0))=0))</f>
        <v>0</v>
      </c>
      <c r="J142" s="25" t="n">
        <f aca="false">SUMPRODUCT(--(((Effectiveness!$E$5:$E$155&gt;=2)+(Effectiveness!$I$5:$I$155&gt;=2)+(Effectiveness!$O$5:$O$155&gt;=2)+(Effectiveness!$Q$5:$Q$155&gt;=2))&gt;0))</f>
        <v>114</v>
      </c>
      <c r="K142" s="26" t="n">
        <f aca="false">J142/151</f>
        <v>0.754966887417219</v>
      </c>
      <c r="L142" s="25" t="n">
        <f aca="false">MIN(INDEX('Move Reality'!$F$5:$F$19,MATCH(B142,'Move Reality'!$A$5:$A$19,0)),INDEX('Move Reality'!$F$5:$F$19,MATCH(C142,'Move Reality'!$A$5:$A$19,0)),INDEX('Move Reality'!$F$5:$F$19,MATCH(D142,'Move Reality'!$A$5:$A$19,0)),INDEX('Move Reality'!$F$5:$F$19,MATCH(E142,'Move Reality'!$A$5:$A$19,0)))</f>
        <v>4</v>
      </c>
      <c r="M142" s="28" t="str">
        <f aca="false">IF(L142&gt;=5,"YES","no - dead move")</f>
        <v>no - dead move</v>
      </c>
    </row>
    <row r="143" customFormat="false" ht="15" hidden="false" customHeight="false" outlineLevel="0" collapsed="false">
      <c r="A143" s="17" t="n">
        <v>139</v>
      </c>
      <c r="B143" s="17" t="s">
        <v>42</v>
      </c>
      <c r="C143" s="17" t="s">
        <v>43</v>
      </c>
      <c r="D143" s="17" t="s">
        <v>47</v>
      </c>
      <c r="E143" s="17" t="s">
        <v>50</v>
      </c>
      <c r="F143" s="25" t="n">
        <f aca="false">SUMPRODUCT(--((('Yellow Bosses'!$J$5:$J$53&gt;=2)+('Yellow Bosses'!$K$5:$K$53&gt;=2)+('Yellow Bosses'!$O$5:$O$53&gt;=2)+('Yellow Bosses'!$R$5:$R$53&gt;=2))&gt;0))</f>
        <v>38</v>
      </c>
      <c r="G143" s="26" t="n">
        <f aca="false">F143/49</f>
        <v>0.775510204081633</v>
      </c>
      <c r="H143" s="25" t="n">
        <f aca="false">49-SUMPRODUCT(--((('Yellow Bosses'!$J$5:$J$53&gt;=1)+('Yellow Bosses'!$K$5:$K$53&gt;=1)+('Yellow Bosses'!$O$5:$O$53&gt;=1)+('Yellow Bosses'!$R$5:$R$53&gt;=1))&gt;0))</f>
        <v>0</v>
      </c>
      <c r="I143" s="25" t="n">
        <f aca="false">SUMPRODUCT(--((('Yellow Bosses'!$J$5:$J$53&gt;0)+('Yellow Bosses'!$K$5:$K$53&gt;0)+('Yellow Bosses'!$O$5:$O$53&gt;0)+('Yellow Bosses'!$R$5:$R$53&gt;0))=0))</f>
        <v>0</v>
      </c>
      <c r="J143" s="25" t="n">
        <f aca="false">SUMPRODUCT(--(((Effectiveness!$G$5:$G$155&gt;=2)+(Effectiveness!$H$5:$H$155&gt;=2)+(Effectiveness!$L$5:$L$155&gt;=2)+(Effectiveness!$O$5:$O$155&gt;=2))&gt;0))</f>
        <v>114</v>
      </c>
      <c r="K143" s="26" t="n">
        <f aca="false">J143/151</f>
        <v>0.754966887417219</v>
      </c>
      <c r="L143" s="25" t="n">
        <f aca="false">MIN(INDEX('Move Reality'!$F$5:$F$19,MATCH(B143,'Move Reality'!$A$5:$A$19,0)),INDEX('Move Reality'!$F$5:$F$19,MATCH(C143,'Move Reality'!$A$5:$A$19,0)),INDEX('Move Reality'!$F$5:$F$19,MATCH(D143,'Move Reality'!$A$5:$A$19,0)),INDEX('Move Reality'!$F$5:$F$19,MATCH(E143,'Move Reality'!$A$5:$A$19,0)))</f>
        <v>2</v>
      </c>
      <c r="M143" s="28" t="str">
        <f aca="false">IF(L143&gt;=5,"YES","no - dead move")</f>
        <v>no - dead move</v>
      </c>
    </row>
    <row r="144" customFormat="false" ht="15" hidden="false" customHeight="false" outlineLevel="0" collapsed="false">
      <c r="A144" s="17" t="n">
        <v>140</v>
      </c>
      <c r="B144" s="17" t="s">
        <v>42</v>
      </c>
      <c r="C144" s="17" t="s">
        <v>43</v>
      </c>
      <c r="D144" s="17" t="s">
        <v>48</v>
      </c>
      <c r="E144" s="17" t="s">
        <v>50</v>
      </c>
      <c r="F144" s="25" t="n">
        <f aca="false">SUMPRODUCT(--((('Yellow Bosses'!$J$5:$J$53&gt;=2)+('Yellow Bosses'!$K$5:$K$53&gt;=2)+('Yellow Bosses'!$P$5:$P$53&gt;=2)+('Yellow Bosses'!$R$5:$R$53&gt;=2))&gt;0))</f>
        <v>38</v>
      </c>
      <c r="G144" s="26" t="n">
        <f aca="false">F144/49</f>
        <v>0.775510204081633</v>
      </c>
      <c r="H144" s="25" t="n">
        <f aca="false">49-SUMPRODUCT(--((('Yellow Bosses'!$J$5:$J$53&gt;=1)+('Yellow Bosses'!$K$5:$K$53&gt;=1)+('Yellow Bosses'!$P$5:$P$53&gt;=1)+('Yellow Bosses'!$R$5:$R$53&gt;=1))&gt;0))</f>
        <v>1</v>
      </c>
      <c r="I144" s="25" t="n">
        <f aca="false">SUMPRODUCT(--((('Yellow Bosses'!$J$5:$J$53&gt;0)+('Yellow Bosses'!$K$5:$K$53&gt;0)+('Yellow Bosses'!$P$5:$P$53&gt;0)+('Yellow Bosses'!$R$5:$R$53&gt;0))=0))</f>
        <v>0</v>
      </c>
      <c r="J144" s="25" t="n">
        <f aca="false">SUMPRODUCT(--(((Effectiveness!$G$5:$G$155&gt;=2)+(Effectiveness!$H$5:$H$155&gt;=2)+(Effectiveness!$M$5:$M$155&gt;=2)+(Effectiveness!$O$5:$O$155&gt;=2))&gt;0))</f>
        <v>114</v>
      </c>
      <c r="K144" s="26" t="n">
        <f aca="false">J144/151</f>
        <v>0.754966887417219</v>
      </c>
      <c r="L144" s="25" t="n">
        <f aca="false">MIN(INDEX('Move Reality'!$F$5:$F$19,MATCH(B144,'Move Reality'!$A$5:$A$19,0)),INDEX('Move Reality'!$F$5:$F$19,MATCH(C144,'Move Reality'!$A$5:$A$19,0)),INDEX('Move Reality'!$F$5:$F$19,MATCH(D144,'Move Reality'!$A$5:$A$19,0)),INDEX('Move Reality'!$F$5:$F$19,MATCH(E144,'Move Reality'!$A$5:$A$19,0)))</f>
        <v>9</v>
      </c>
      <c r="M144" s="28" t="str">
        <f aca="false">IF(L144&gt;=5,"YES","no - dead move")</f>
        <v>YES</v>
      </c>
    </row>
    <row r="145" customFormat="false" ht="15" hidden="false" customHeight="false" outlineLevel="0" collapsed="false">
      <c r="A145" s="17" t="n">
        <v>141</v>
      </c>
      <c r="B145" s="17" t="s">
        <v>42</v>
      </c>
      <c r="C145" s="17" t="s">
        <v>43</v>
      </c>
      <c r="D145" s="17" t="s">
        <v>49</v>
      </c>
      <c r="E145" s="17" t="s">
        <v>50</v>
      </c>
      <c r="F145" s="25" t="n">
        <f aca="false">SUMPRODUCT(--((('Yellow Bosses'!$J$5:$J$53&gt;=2)+('Yellow Bosses'!$K$5:$K$53&gt;=2)+('Yellow Bosses'!$Q$5:$Q$53&gt;=2)+('Yellow Bosses'!$R$5:$R$53&gt;=2))&gt;0))</f>
        <v>38</v>
      </c>
      <c r="G145" s="26" t="n">
        <f aca="false">F145/49</f>
        <v>0.775510204081633</v>
      </c>
      <c r="H145" s="25" t="n">
        <f aca="false">49-SUMPRODUCT(--((('Yellow Bosses'!$J$5:$J$53&gt;=1)+('Yellow Bosses'!$K$5:$K$53&gt;=1)+('Yellow Bosses'!$Q$5:$Q$53&gt;=1)+('Yellow Bosses'!$R$5:$R$53&gt;=1))&gt;0))</f>
        <v>0</v>
      </c>
      <c r="I145" s="25" t="n">
        <f aca="false">SUMPRODUCT(--((('Yellow Bosses'!$J$5:$J$53&gt;0)+('Yellow Bosses'!$K$5:$K$53&gt;0)+('Yellow Bosses'!$Q$5:$Q$53&gt;0)+('Yellow Bosses'!$R$5:$R$53&gt;0))=0))</f>
        <v>0</v>
      </c>
      <c r="J145" s="25" t="n">
        <f aca="false">SUMPRODUCT(--(((Effectiveness!$G$5:$G$155&gt;=2)+(Effectiveness!$H$5:$H$155&gt;=2)+(Effectiveness!$N$5:$N$155&gt;=2)+(Effectiveness!$O$5:$O$155&gt;=2))&gt;0))</f>
        <v>114</v>
      </c>
      <c r="K145" s="26" t="n">
        <f aca="false">J145/151</f>
        <v>0.754966887417219</v>
      </c>
      <c r="L145" s="25" t="n">
        <f aca="false">MIN(INDEX('Move Reality'!$F$5:$F$19,MATCH(B145,'Move Reality'!$A$5:$A$19,0)),INDEX('Move Reality'!$F$5:$F$19,MATCH(C145,'Move Reality'!$A$5:$A$19,0)),INDEX('Move Reality'!$F$5:$F$19,MATCH(D145,'Move Reality'!$A$5:$A$19,0)),INDEX('Move Reality'!$F$5:$F$19,MATCH(E145,'Move Reality'!$A$5:$A$19,0)))</f>
        <v>5</v>
      </c>
      <c r="M145" s="28" t="str">
        <f aca="false">IF(L145&gt;=5,"YES","no - dead move")</f>
        <v>YES</v>
      </c>
    </row>
    <row r="146" customFormat="false" ht="15" hidden="false" customHeight="false" outlineLevel="0" collapsed="false">
      <c r="A146" s="17" t="n">
        <v>142</v>
      </c>
      <c r="B146" s="17" t="s">
        <v>42</v>
      </c>
      <c r="C146" s="17" t="s">
        <v>43</v>
      </c>
      <c r="D146" s="17" t="s">
        <v>50</v>
      </c>
      <c r="E146" s="17" t="s">
        <v>52</v>
      </c>
      <c r="F146" s="25" t="n">
        <f aca="false">SUMPRODUCT(--((('Yellow Bosses'!$J$5:$J$53&gt;=2)+('Yellow Bosses'!$K$5:$K$53&gt;=2)+('Yellow Bosses'!$R$5:$R$53&gt;=2)+('Yellow Bosses'!$T$5:$T$53&gt;=2))&gt;0))</f>
        <v>38</v>
      </c>
      <c r="G146" s="26" t="n">
        <f aca="false">F146/49</f>
        <v>0.775510204081633</v>
      </c>
      <c r="H146" s="25" t="n">
        <f aca="false">49-SUMPRODUCT(--((('Yellow Bosses'!$J$5:$J$53&gt;=1)+('Yellow Bosses'!$K$5:$K$53&gt;=1)+('Yellow Bosses'!$R$5:$R$53&gt;=1)+('Yellow Bosses'!$T$5:$T$53&gt;=1))&gt;0))</f>
        <v>0</v>
      </c>
      <c r="I146" s="25" t="n">
        <f aca="false">SUMPRODUCT(--((('Yellow Bosses'!$J$5:$J$53&gt;0)+('Yellow Bosses'!$K$5:$K$53&gt;0)+('Yellow Bosses'!$R$5:$R$53&gt;0)+('Yellow Bosses'!$T$5:$T$53&gt;0))=0))</f>
        <v>0</v>
      </c>
      <c r="J146" s="25" t="n">
        <f aca="false">SUMPRODUCT(--(((Effectiveness!$G$5:$G$155&gt;=2)+(Effectiveness!$H$5:$H$155&gt;=2)+(Effectiveness!$O$5:$O$155&gt;=2)+(Effectiveness!$Q$5:$Q$155&gt;=2))&gt;0))</f>
        <v>114</v>
      </c>
      <c r="K146" s="26" t="n">
        <f aca="false">J146/151</f>
        <v>0.754966887417219</v>
      </c>
      <c r="L146" s="25" t="n">
        <f aca="false">MIN(INDEX('Move Reality'!$F$5:$F$19,MATCH(B146,'Move Reality'!$A$5:$A$19,0)),INDEX('Move Reality'!$F$5:$F$19,MATCH(C146,'Move Reality'!$A$5:$A$19,0)),INDEX('Move Reality'!$F$5:$F$19,MATCH(D146,'Move Reality'!$A$5:$A$19,0)),INDEX('Move Reality'!$F$5:$F$19,MATCH(E146,'Move Reality'!$A$5:$A$19,0)))</f>
        <v>6</v>
      </c>
      <c r="M146" s="28" t="str">
        <f aca="false">IF(L146&gt;=5,"YES","no - dead move")</f>
        <v>YES</v>
      </c>
    </row>
    <row r="147" customFormat="false" ht="15" hidden="false" customHeight="false" outlineLevel="0" collapsed="false">
      <c r="A147" s="17" t="n">
        <v>143</v>
      </c>
      <c r="B147" s="17" t="s">
        <v>42</v>
      </c>
      <c r="C147" s="17" t="s">
        <v>44</v>
      </c>
      <c r="D147" s="17" t="s">
        <v>50</v>
      </c>
      <c r="E147" s="17" t="s">
        <v>52</v>
      </c>
      <c r="F147" s="25" t="n">
        <f aca="false">SUMPRODUCT(--((('Yellow Bosses'!$J$5:$J$53&gt;=2)+('Yellow Bosses'!$L$5:$L$53&gt;=2)+('Yellow Bosses'!$R$5:$R$53&gt;=2)+('Yellow Bosses'!$T$5:$T$53&gt;=2))&gt;0))</f>
        <v>38</v>
      </c>
      <c r="G147" s="26" t="n">
        <f aca="false">F147/49</f>
        <v>0.775510204081633</v>
      </c>
      <c r="H147" s="25" t="n">
        <f aca="false">49-SUMPRODUCT(--((('Yellow Bosses'!$J$5:$J$53&gt;=1)+('Yellow Bosses'!$L$5:$L$53&gt;=1)+('Yellow Bosses'!$R$5:$R$53&gt;=1)+('Yellow Bosses'!$T$5:$T$53&gt;=1))&gt;0))</f>
        <v>0</v>
      </c>
      <c r="I147" s="25" t="n">
        <f aca="false">SUMPRODUCT(--((('Yellow Bosses'!$J$5:$J$53&gt;0)+('Yellow Bosses'!$L$5:$L$53&gt;0)+('Yellow Bosses'!$R$5:$R$53&gt;0)+('Yellow Bosses'!$T$5:$T$53&gt;0))=0))</f>
        <v>0</v>
      </c>
      <c r="J147" s="25" t="n">
        <f aca="false">SUMPRODUCT(--(((Effectiveness!$G$5:$G$155&gt;=2)+(Effectiveness!$I$5:$I$155&gt;=2)+(Effectiveness!$O$5:$O$155&gt;=2)+(Effectiveness!$Q$5:$Q$155&gt;=2))&gt;0))</f>
        <v>114</v>
      </c>
      <c r="K147" s="26" t="n">
        <f aca="false">J147/151</f>
        <v>0.754966887417219</v>
      </c>
      <c r="L147" s="25" t="n">
        <f aca="false">MIN(INDEX('Move Reality'!$F$5:$F$19,MATCH(B147,'Move Reality'!$A$5:$A$19,0)),INDEX('Move Reality'!$F$5:$F$19,MATCH(C147,'Move Reality'!$A$5:$A$19,0)),INDEX('Move Reality'!$F$5:$F$19,MATCH(D147,'Move Reality'!$A$5:$A$19,0)),INDEX('Move Reality'!$F$5:$F$19,MATCH(E147,'Move Reality'!$A$5:$A$19,0)))</f>
        <v>4</v>
      </c>
      <c r="M147" s="28" t="str">
        <f aca="false">IF(L147&gt;=5,"YES","no - dead move")</f>
        <v>no - dead move</v>
      </c>
    </row>
    <row r="148" customFormat="false" ht="15" hidden="false" customHeight="false" outlineLevel="0" collapsed="false">
      <c r="A148" s="17" t="n">
        <v>144</v>
      </c>
      <c r="B148" s="17" t="s">
        <v>43</v>
      </c>
      <c r="C148" s="17" t="s">
        <v>44</v>
      </c>
      <c r="D148" s="17" t="s">
        <v>48</v>
      </c>
      <c r="E148" s="17" t="s">
        <v>50</v>
      </c>
      <c r="F148" s="25" t="n">
        <f aca="false">SUMPRODUCT(--((('Yellow Bosses'!$K$5:$K$53&gt;=2)+('Yellow Bosses'!$L$5:$L$53&gt;=2)+('Yellow Bosses'!$P$5:$P$53&gt;=2)+('Yellow Bosses'!$R$5:$R$53&gt;=2))&gt;0))</f>
        <v>38</v>
      </c>
      <c r="G148" s="26" t="n">
        <f aca="false">F148/49</f>
        <v>0.775510204081633</v>
      </c>
      <c r="H148" s="25" t="n">
        <f aca="false">49-SUMPRODUCT(--((('Yellow Bosses'!$K$5:$K$53&gt;=1)+('Yellow Bosses'!$L$5:$L$53&gt;=1)+('Yellow Bosses'!$P$5:$P$53&gt;=1)+('Yellow Bosses'!$R$5:$R$53&gt;=1))&gt;0))</f>
        <v>1</v>
      </c>
      <c r="I148" s="25" t="n">
        <f aca="false">SUMPRODUCT(--((('Yellow Bosses'!$K$5:$K$53&gt;0)+('Yellow Bosses'!$L$5:$L$53&gt;0)+('Yellow Bosses'!$P$5:$P$53&gt;0)+('Yellow Bosses'!$R$5:$R$53&gt;0))=0))</f>
        <v>0</v>
      </c>
      <c r="J148" s="25" t="n">
        <f aca="false">SUMPRODUCT(--(((Effectiveness!$H$5:$H$155&gt;=2)+(Effectiveness!$I$5:$I$155&gt;=2)+(Effectiveness!$M$5:$M$155&gt;=2)+(Effectiveness!$O$5:$O$155&gt;=2))&gt;0))</f>
        <v>114</v>
      </c>
      <c r="K148" s="26" t="n">
        <f aca="false">J148/151</f>
        <v>0.754966887417219</v>
      </c>
      <c r="L148" s="25" t="n">
        <f aca="false">MIN(INDEX('Move Reality'!$F$5:$F$19,MATCH(B148,'Move Reality'!$A$5:$A$19,0)),INDEX('Move Reality'!$F$5:$F$19,MATCH(C148,'Move Reality'!$A$5:$A$19,0)),INDEX('Move Reality'!$F$5:$F$19,MATCH(D148,'Move Reality'!$A$5:$A$19,0)),INDEX('Move Reality'!$F$5:$F$19,MATCH(E148,'Move Reality'!$A$5:$A$19,0)))</f>
        <v>4</v>
      </c>
      <c r="M148" s="28" t="str">
        <f aca="false">IF(L148&gt;=5,"YES","no - dead move")</f>
        <v>no - dead move</v>
      </c>
    </row>
    <row r="149" customFormat="false" ht="15" hidden="false" customHeight="false" outlineLevel="0" collapsed="false">
      <c r="A149" s="17" t="n">
        <v>145</v>
      </c>
      <c r="B149" s="17" t="s">
        <v>43</v>
      </c>
      <c r="C149" s="17" t="s">
        <v>44</v>
      </c>
      <c r="D149" s="17" t="s">
        <v>50</v>
      </c>
      <c r="E149" s="17" t="s">
        <v>52</v>
      </c>
      <c r="F149" s="25" t="n">
        <f aca="false">SUMPRODUCT(--((('Yellow Bosses'!$K$5:$K$53&gt;=2)+('Yellow Bosses'!$L$5:$L$53&gt;=2)+('Yellow Bosses'!$R$5:$R$53&gt;=2)+('Yellow Bosses'!$T$5:$T$53&gt;=2))&gt;0))</f>
        <v>38</v>
      </c>
      <c r="G149" s="26" t="n">
        <f aca="false">F149/49</f>
        <v>0.775510204081633</v>
      </c>
      <c r="H149" s="25" t="n">
        <f aca="false">49-SUMPRODUCT(--((('Yellow Bosses'!$K$5:$K$53&gt;=1)+('Yellow Bosses'!$L$5:$L$53&gt;=1)+('Yellow Bosses'!$R$5:$R$53&gt;=1)+('Yellow Bosses'!$T$5:$T$53&gt;=1))&gt;0))</f>
        <v>0</v>
      </c>
      <c r="I149" s="25" t="n">
        <f aca="false">SUMPRODUCT(--((('Yellow Bosses'!$K$5:$K$53&gt;0)+('Yellow Bosses'!$L$5:$L$53&gt;0)+('Yellow Bosses'!$R$5:$R$53&gt;0)+('Yellow Bosses'!$T$5:$T$53&gt;0))=0))</f>
        <v>0</v>
      </c>
      <c r="J149" s="25" t="n">
        <f aca="false">SUMPRODUCT(--(((Effectiveness!$H$5:$H$155&gt;=2)+(Effectiveness!$I$5:$I$155&gt;=2)+(Effectiveness!$O$5:$O$155&gt;=2)+(Effectiveness!$Q$5:$Q$155&gt;=2))&gt;0))</f>
        <v>114</v>
      </c>
      <c r="K149" s="26" t="n">
        <f aca="false">J149/151</f>
        <v>0.754966887417219</v>
      </c>
      <c r="L149" s="25" t="n">
        <f aca="false">MIN(INDEX('Move Reality'!$F$5:$F$19,MATCH(B149,'Move Reality'!$A$5:$A$19,0)),INDEX('Move Reality'!$F$5:$F$19,MATCH(C149,'Move Reality'!$A$5:$A$19,0)),INDEX('Move Reality'!$F$5:$F$19,MATCH(D149,'Move Reality'!$A$5:$A$19,0)),INDEX('Move Reality'!$F$5:$F$19,MATCH(E149,'Move Reality'!$A$5:$A$19,0)))</f>
        <v>4</v>
      </c>
      <c r="M149" s="28" t="str">
        <f aca="false">IF(L149&gt;=5,"YES","no - dead move")</f>
        <v>no - dead move</v>
      </c>
    </row>
    <row r="150" customFormat="false" ht="15" hidden="false" customHeight="false" outlineLevel="0" collapsed="false">
      <c r="A150" s="17" t="n">
        <v>146</v>
      </c>
      <c r="B150" s="17" t="s">
        <v>44</v>
      </c>
      <c r="C150" s="17" t="s">
        <v>50</v>
      </c>
      <c r="D150" s="17" t="s">
        <v>52</v>
      </c>
      <c r="E150" s="17" t="s">
        <v>53</v>
      </c>
      <c r="F150" s="25" t="n">
        <f aca="false">SUMPRODUCT(--((('Yellow Bosses'!$L$5:$L$53&gt;=2)+('Yellow Bosses'!$R$5:$R$53&gt;=2)+('Yellow Bosses'!$T$5:$T$53&gt;=2)+('Yellow Bosses'!$U$5:$U$53&gt;=2))&gt;0))</f>
        <v>38</v>
      </c>
      <c r="G150" s="26" t="n">
        <f aca="false">F150/49</f>
        <v>0.775510204081633</v>
      </c>
      <c r="H150" s="25" t="n">
        <f aca="false">49-SUMPRODUCT(--((('Yellow Bosses'!$L$5:$L$53&gt;=1)+('Yellow Bosses'!$R$5:$R$53&gt;=1)+('Yellow Bosses'!$T$5:$T$53&gt;=1)+('Yellow Bosses'!$U$5:$U$53&gt;=1))&gt;0))</f>
        <v>0</v>
      </c>
      <c r="I150" s="25" t="n">
        <f aca="false">SUMPRODUCT(--((('Yellow Bosses'!$L$5:$L$53&gt;0)+('Yellow Bosses'!$R$5:$R$53&gt;0)+('Yellow Bosses'!$T$5:$T$53&gt;0)+('Yellow Bosses'!$U$5:$U$53&gt;0))=0))</f>
        <v>0</v>
      </c>
      <c r="J150" s="25" t="n">
        <f aca="false">SUMPRODUCT(--(((Effectiveness!$I$5:$I$155&gt;=2)+(Effectiveness!$O$5:$O$155&gt;=2)+(Effectiveness!$Q$5:$Q$155&gt;=2)+(Effectiveness!$R$5:$R$155&gt;=2))&gt;0))</f>
        <v>114</v>
      </c>
      <c r="K150" s="26" t="n">
        <f aca="false">J150/151</f>
        <v>0.754966887417219</v>
      </c>
      <c r="L150" s="25" t="n">
        <f aca="false">MIN(INDEX('Move Reality'!$F$5:$F$19,MATCH(B150,'Move Reality'!$A$5:$A$19,0)),INDEX('Move Reality'!$F$5:$F$19,MATCH(C150,'Move Reality'!$A$5:$A$19,0)),INDEX('Move Reality'!$F$5:$F$19,MATCH(D150,'Move Reality'!$A$5:$A$19,0)),INDEX('Move Reality'!$F$5:$F$19,MATCH(E150,'Move Reality'!$A$5:$A$19,0)))</f>
        <v>1</v>
      </c>
      <c r="M150" s="28" t="str">
        <f aca="false">IF(L150&gt;=5,"YES","no - dead move")</f>
        <v>no - dead move</v>
      </c>
    </row>
    <row r="151" customFormat="false" ht="15" hidden="false" customHeight="false" outlineLevel="0" collapsed="false">
      <c r="A151" s="17" t="n">
        <v>147</v>
      </c>
      <c r="B151" s="17" t="s">
        <v>45</v>
      </c>
      <c r="C151" s="17" t="s">
        <v>46</v>
      </c>
      <c r="D151" s="17" t="s">
        <v>48</v>
      </c>
      <c r="E151" s="17" t="s">
        <v>52</v>
      </c>
      <c r="F151" s="25" t="n">
        <f aca="false">SUMPRODUCT(--((('Yellow Bosses'!$M$5:$M$53&gt;=2)+('Yellow Bosses'!$N$5:$N$53&gt;=2)+('Yellow Bosses'!$P$5:$P$53&gt;=2)+('Yellow Bosses'!$T$5:$T$53&gt;=2))&gt;0))</f>
        <v>38</v>
      </c>
      <c r="G151" s="26" t="n">
        <f aca="false">F151/49</f>
        <v>0.775510204081633</v>
      </c>
      <c r="H151" s="25" t="n">
        <f aca="false">49-SUMPRODUCT(--((('Yellow Bosses'!$M$5:$M$53&gt;=1)+('Yellow Bosses'!$N$5:$N$53&gt;=1)+('Yellow Bosses'!$P$5:$P$53&gt;=1)+('Yellow Bosses'!$T$5:$T$53&gt;=1))&gt;0))</f>
        <v>0</v>
      </c>
      <c r="I151" s="25" t="n">
        <f aca="false">SUMPRODUCT(--((('Yellow Bosses'!$M$5:$M$53&gt;0)+('Yellow Bosses'!$N$5:$N$53&gt;0)+('Yellow Bosses'!$P$5:$P$53&gt;0)+('Yellow Bosses'!$T$5:$T$53&gt;0))=0))</f>
        <v>0</v>
      </c>
      <c r="J151" s="25" t="n">
        <f aca="false">SUMPRODUCT(--(((Effectiveness!$J$5:$J$155&gt;=2)+(Effectiveness!$K$5:$K$155&gt;=2)+(Effectiveness!$M$5:$M$155&gt;=2)+(Effectiveness!$Q$5:$Q$155&gt;=2))&gt;0))</f>
        <v>114</v>
      </c>
      <c r="K151" s="26" t="n">
        <f aca="false">J151/151</f>
        <v>0.754966887417219</v>
      </c>
      <c r="L151" s="25" t="n">
        <f aca="false">MIN(INDEX('Move Reality'!$F$5:$F$19,MATCH(B151,'Move Reality'!$A$5:$A$19,0)),INDEX('Move Reality'!$F$5:$F$19,MATCH(C151,'Move Reality'!$A$5:$A$19,0)),INDEX('Move Reality'!$F$5:$F$19,MATCH(D151,'Move Reality'!$A$5:$A$19,0)),INDEX('Move Reality'!$F$5:$F$19,MATCH(E151,'Move Reality'!$A$5:$A$19,0)))</f>
        <v>5</v>
      </c>
      <c r="M151" s="28" t="str">
        <f aca="false">IF(L151&gt;=5,"YES","no - dead move")</f>
        <v>YES</v>
      </c>
    </row>
    <row r="152" customFormat="false" ht="15" hidden="false" customHeight="false" outlineLevel="0" collapsed="false">
      <c r="A152" s="17" t="n">
        <v>148</v>
      </c>
      <c r="B152" s="17" t="s">
        <v>46</v>
      </c>
      <c r="C152" s="17" t="s">
        <v>49</v>
      </c>
      <c r="D152" s="17" t="s">
        <v>51</v>
      </c>
      <c r="E152" s="17" t="s">
        <v>52</v>
      </c>
      <c r="F152" s="25" t="n">
        <f aca="false">SUMPRODUCT(--((('Yellow Bosses'!$N$5:$N$53&gt;=2)+('Yellow Bosses'!$Q$5:$Q$53&gt;=2)+('Yellow Bosses'!$S$5:$S$53&gt;=2)+('Yellow Bosses'!$T$5:$T$53&gt;=2))&gt;0))</f>
        <v>38</v>
      </c>
      <c r="G152" s="26" t="n">
        <f aca="false">F152/49</f>
        <v>0.775510204081633</v>
      </c>
      <c r="H152" s="25" t="n">
        <f aca="false">49-SUMPRODUCT(--((('Yellow Bosses'!$N$5:$N$53&gt;=1)+('Yellow Bosses'!$Q$5:$Q$53&gt;=1)+('Yellow Bosses'!$S$5:$S$53&gt;=1)+('Yellow Bosses'!$T$5:$T$53&gt;=1))&gt;0))</f>
        <v>0</v>
      </c>
      <c r="I152" s="25" t="n">
        <f aca="false">SUMPRODUCT(--((('Yellow Bosses'!$N$5:$N$53&gt;0)+('Yellow Bosses'!$Q$5:$Q$53&gt;0)+('Yellow Bosses'!$S$5:$S$53&gt;0)+('Yellow Bosses'!$T$5:$T$53&gt;0))=0))</f>
        <v>0</v>
      </c>
      <c r="J152" s="25" t="n">
        <f aca="false">SUMPRODUCT(--(((Effectiveness!$K$5:$K$155&gt;=2)+(Effectiveness!$N$5:$N$155&gt;=2)+(Effectiveness!$P$5:$P$155&gt;=2)+(Effectiveness!$Q$5:$Q$155&gt;=2))&gt;0))</f>
        <v>114</v>
      </c>
      <c r="K152" s="26" t="n">
        <f aca="false">J152/151</f>
        <v>0.754966887417219</v>
      </c>
      <c r="L152" s="25" t="n">
        <f aca="false">MIN(INDEX('Move Reality'!$F$5:$F$19,MATCH(B152,'Move Reality'!$A$5:$A$19,0)),INDEX('Move Reality'!$F$5:$F$19,MATCH(C152,'Move Reality'!$A$5:$A$19,0)),INDEX('Move Reality'!$F$5:$F$19,MATCH(D152,'Move Reality'!$A$5:$A$19,0)),INDEX('Move Reality'!$F$5:$F$19,MATCH(E152,'Move Reality'!$A$5:$A$19,0)))</f>
        <v>1</v>
      </c>
      <c r="M152" s="28" t="str">
        <f aca="false">IF(L152&gt;=5,"YES","no - dead move")</f>
        <v>no - dead move</v>
      </c>
    </row>
    <row r="153" customFormat="false" ht="15" hidden="false" customHeight="false" outlineLevel="0" collapsed="false">
      <c r="A153" s="17" t="n">
        <v>149</v>
      </c>
      <c r="B153" s="17" t="s">
        <v>44</v>
      </c>
      <c r="C153" s="17" t="s">
        <v>45</v>
      </c>
      <c r="D153" s="17" t="s">
        <v>49</v>
      </c>
      <c r="E153" s="17" t="s">
        <v>51</v>
      </c>
      <c r="F153" s="25" t="n">
        <f aca="false">SUMPRODUCT(--((('Yellow Bosses'!$L$5:$L$53&gt;=2)+('Yellow Bosses'!$M$5:$M$53&gt;=2)+('Yellow Bosses'!$Q$5:$Q$53&gt;=2)+('Yellow Bosses'!$S$5:$S$53&gt;=2))&gt;0))</f>
        <v>38</v>
      </c>
      <c r="G153" s="26" t="n">
        <f aca="false">F153/49</f>
        <v>0.775510204081633</v>
      </c>
      <c r="H153" s="25" t="n">
        <f aca="false">49-SUMPRODUCT(--((('Yellow Bosses'!$L$5:$L$53&gt;=1)+('Yellow Bosses'!$M$5:$M$53&gt;=1)+('Yellow Bosses'!$Q$5:$Q$53&gt;=1)+('Yellow Bosses'!$S$5:$S$53&gt;=1))&gt;0))</f>
        <v>0</v>
      </c>
      <c r="I153" s="25" t="n">
        <f aca="false">SUMPRODUCT(--((('Yellow Bosses'!$L$5:$L$53&gt;0)+('Yellow Bosses'!$M$5:$M$53&gt;0)+('Yellow Bosses'!$Q$5:$Q$53&gt;0)+('Yellow Bosses'!$S$5:$S$53&gt;0))=0))</f>
        <v>0</v>
      </c>
      <c r="J153" s="25" t="n">
        <f aca="false">SUMPRODUCT(--(((Effectiveness!$I$5:$I$155&gt;=2)+(Effectiveness!$J$5:$J$155&gt;=2)+(Effectiveness!$N$5:$N$155&gt;=2)+(Effectiveness!$P$5:$P$155&gt;=2))&gt;0))</f>
        <v>112</v>
      </c>
      <c r="K153" s="26" t="n">
        <f aca="false">J153/151</f>
        <v>0.741721854304636</v>
      </c>
      <c r="L153" s="25" t="n">
        <f aca="false">MIN(INDEX('Move Reality'!$F$5:$F$19,MATCH(B153,'Move Reality'!$A$5:$A$19,0)),INDEX('Move Reality'!$F$5:$F$19,MATCH(C153,'Move Reality'!$A$5:$A$19,0)),INDEX('Move Reality'!$F$5:$F$19,MATCH(D153,'Move Reality'!$A$5:$A$19,0)),INDEX('Move Reality'!$F$5:$F$19,MATCH(E153,'Move Reality'!$A$5:$A$19,0)))</f>
        <v>1</v>
      </c>
      <c r="M153" s="28" t="str">
        <f aca="false">IF(L153&gt;=5,"YES","no - dead move")</f>
        <v>no - dead move</v>
      </c>
    </row>
    <row r="154" customFormat="false" ht="15" hidden="false" customHeight="false" outlineLevel="0" collapsed="false">
      <c r="A154" s="17" t="n">
        <v>150</v>
      </c>
      <c r="B154" s="17" t="s">
        <v>44</v>
      </c>
      <c r="C154" s="17" t="s">
        <v>46</v>
      </c>
      <c r="D154" s="17" t="s">
        <v>50</v>
      </c>
      <c r="E154" s="17" t="s">
        <v>51</v>
      </c>
      <c r="F154" s="25" t="n">
        <f aca="false">SUMPRODUCT(--((('Yellow Bosses'!$L$5:$L$53&gt;=2)+('Yellow Bosses'!$N$5:$N$53&gt;=2)+('Yellow Bosses'!$R$5:$R$53&gt;=2)+('Yellow Bosses'!$S$5:$S$53&gt;=2))&gt;0))</f>
        <v>38</v>
      </c>
      <c r="G154" s="26" t="n">
        <f aca="false">F154/49</f>
        <v>0.775510204081633</v>
      </c>
      <c r="H154" s="25" t="n">
        <f aca="false">49-SUMPRODUCT(--((('Yellow Bosses'!$L$5:$L$53&gt;=1)+('Yellow Bosses'!$N$5:$N$53&gt;=1)+('Yellow Bosses'!$R$5:$R$53&gt;=1)+('Yellow Bosses'!$S$5:$S$53&gt;=1))&gt;0))</f>
        <v>0</v>
      </c>
      <c r="I154" s="25" t="n">
        <f aca="false">SUMPRODUCT(--((('Yellow Bosses'!$L$5:$L$53&gt;0)+('Yellow Bosses'!$N$5:$N$53&gt;0)+('Yellow Bosses'!$R$5:$R$53&gt;0)+('Yellow Bosses'!$S$5:$S$53&gt;0))=0))</f>
        <v>0</v>
      </c>
      <c r="J154" s="25" t="n">
        <f aca="false">SUMPRODUCT(--(((Effectiveness!$I$5:$I$155&gt;=2)+(Effectiveness!$K$5:$K$155&gt;=2)+(Effectiveness!$O$5:$O$155&gt;=2)+(Effectiveness!$P$5:$P$155&gt;=2))&gt;0))</f>
        <v>111</v>
      </c>
      <c r="K154" s="26" t="n">
        <f aca="false">J154/151</f>
        <v>0.735099337748344</v>
      </c>
      <c r="L154" s="25" t="n">
        <f aca="false">MIN(INDEX('Move Reality'!$F$5:$F$19,MATCH(B154,'Move Reality'!$A$5:$A$19,0)),INDEX('Move Reality'!$F$5:$F$19,MATCH(C154,'Move Reality'!$A$5:$A$19,0)),INDEX('Move Reality'!$F$5:$F$19,MATCH(D154,'Move Reality'!$A$5:$A$19,0)),INDEX('Move Reality'!$F$5:$F$19,MATCH(E154,'Move Reality'!$A$5:$A$19,0)))</f>
        <v>1</v>
      </c>
      <c r="M154" s="28" t="str">
        <f aca="false">IF(L154&gt;=5,"YES","no - dead move")</f>
        <v>no - dead move</v>
      </c>
    </row>
    <row r="155" customFormat="false" ht="15" hidden="false" customHeight="false" outlineLevel="0" collapsed="false">
      <c r="A155" s="17" t="n">
        <v>151</v>
      </c>
      <c r="B155" s="17" t="s">
        <v>42</v>
      </c>
      <c r="C155" s="17" t="s">
        <v>44</v>
      </c>
      <c r="D155" s="17" t="s">
        <v>48</v>
      </c>
      <c r="E155" s="17" t="s">
        <v>49</v>
      </c>
      <c r="F155" s="25" t="n">
        <f aca="false">SUMPRODUCT(--((('Yellow Bosses'!$J$5:$J$53&gt;=2)+('Yellow Bosses'!$L$5:$L$53&gt;=2)+('Yellow Bosses'!$P$5:$P$53&gt;=2)+('Yellow Bosses'!$Q$5:$Q$53&gt;=2))&gt;0))</f>
        <v>38</v>
      </c>
      <c r="G155" s="26" t="n">
        <f aca="false">F155/49</f>
        <v>0.775510204081633</v>
      </c>
      <c r="H155" s="25" t="n">
        <f aca="false">49-SUMPRODUCT(--((('Yellow Bosses'!$J$5:$J$53&gt;=1)+('Yellow Bosses'!$L$5:$L$53&gt;=1)+('Yellow Bosses'!$P$5:$P$53&gt;=1)+('Yellow Bosses'!$Q$5:$Q$53&gt;=1))&gt;0))</f>
        <v>0</v>
      </c>
      <c r="I155" s="25" t="n">
        <f aca="false">SUMPRODUCT(--((('Yellow Bosses'!$J$5:$J$53&gt;0)+('Yellow Bosses'!$L$5:$L$53&gt;0)+('Yellow Bosses'!$P$5:$P$53&gt;0)+('Yellow Bosses'!$Q$5:$Q$53&gt;0))=0))</f>
        <v>0</v>
      </c>
      <c r="J155" s="25" t="n">
        <f aca="false">SUMPRODUCT(--(((Effectiveness!$G$5:$G$155&gt;=2)+(Effectiveness!$I$5:$I$155&gt;=2)+(Effectiveness!$M$5:$M$155&gt;=2)+(Effectiveness!$N$5:$N$155&gt;=2))&gt;0))</f>
        <v>110</v>
      </c>
      <c r="K155" s="26" t="n">
        <f aca="false">J155/151</f>
        <v>0.728476821192053</v>
      </c>
      <c r="L155" s="25" t="n">
        <f aca="false">MIN(INDEX('Move Reality'!$F$5:$F$19,MATCH(B155,'Move Reality'!$A$5:$A$19,0)),INDEX('Move Reality'!$F$5:$F$19,MATCH(C155,'Move Reality'!$A$5:$A$19,0)),INDEX('Move Reality'!$F$5:$F$19,MATCH(D155,'Move Reality'!$A$5:$A$19,0)),INDEX('Move Reality'!$F$5:$F$19,MATCH(E155,'Move Reality'!$A$5:$A$19,0)))</f>
        <v>4</v>
      </c>
      <c r="M155" s="28" t="str">
        <f aca="false">IF(L155&gt;=5,"YES","no - dead move")</f>
        <v>no - dead move</v>
      </c>
    </row>
    <row r="156" customFormat="false" ht="15" hidden="false" customHeight="false" outlineLevel="0" collapsed="false">
      <c r="A156" s="17" t="n">
        <v>152</v>
      </c>
      <c r="B156" s="17" t="s">
        <v>41</v>
      </c>
      <c r="C156" s="17" t="s">
        <v>43</v>
      </c>
      <c r="D156" s="17" t="s">
        <v>45</v>
      </c>
      <c r="E156" s="17" t="s">
        <v>50</v>
      </c>
      <c r="F156" s="25" t="n">
        <f aca="false">SUMPRODUCT(--((('Yellow Bosses'!$I$5:$I$53&gt;=2)+('Yellow Bosses'!$K$5:$K$53&gt;=2)+('Yellow Bosses'!$M$5:$M$53&gt;=2)+('Yellow Bosses'!$R$5:$R$53&gt;=2))&gt;0))</f>
        <v>38</v>
      </c>
      <c r="G156" s="26" t="n">
        <f aca="false">F156/49</f>
        <v>0.775510204081633</v>
      </c>
      <c r="H156" s="25" t="n">
        <f aca="false">49-SUMPRODUCT(--((('Yellow Bosses'!$I$5:$I$53&gt;=1)+('Yellow Bosses'!$K$5:$K$53&gt;=1)+('Yellow Bosses'!$M$5:$M$53&gt;=1)+('Yellow Bosses'!$R$5:$R$53&gt;=1))&gt;0))</f>
        <v>0</v>
      </c>
      <c r="I156" s="25" t="n">
        <f aca="false">SUMPRODUCT(--((('Yellow Bosses'!$I$5:$I$53&gt;0)+('Yellow Bosses'!$K$5:$K$53&gt;0)+('Yellow Bosses'!$M$5:$M$53&gt;0)+('Yellow Bosses'!$R$5:$R$53&gt;0))=0))</f>
        <v>0</v>
      </c>
      <c r="J156" s="25" t="n">
        <f aca="false">SUMPRODUCT(--(((Effectiveness!$F$5:$F$155&gt;=2)+(Effectiveness!$H$5:$H$155&gt;=2)+(Effectiveness!$J$5:$J$155&gt;=2)+(Effectiveness!$O$5:$O$155&gt;=2))&gt;0))</f>
        <v>109</v>
      </c>
      <c r="K156" s="26" t="n">
        <f aca="false">J156/151</f>
        <v>0.721854304635762</v>
      </c>
      <c r="L156" s="25" t="n">
        <f aca="false">MIN(INDEX('Move Reality'!$F$5:$F$19,MATCH(B156,'Move Reality'!$A$5:$A$19,0)),INDEX('Move Reality'!$F$5:$F$19,MATCH(C156,'Move Reality'!$A$5:$A$19,0)),INDEX('Move Reality'!$F$5:$F$19,MATCH(D156,'Move Reality'!$A$5:$A$19,0)),INDEX('Move Reality'!$F$5:$F$19,MATCH(E156,'Move Reality'!$A$5:$A$19,0)))</f>
        <v>7</v>
      </c>
      <c r="M156" s="28" t="str">
        <f aca="false">IF(L156&gt;=5,"YES","no - dead move")</f>
        <v>YES</v>
      </c>
    </row>
    <row r="157" customFormat="false" ht="15" hidden="false" customHeight="false" outlineLevel="0" collapsed="false">
      <c r="A157" s="17" t="n">
        <v>153</v>
      </c>
      <c r="B157" s="17" t="s">
        <v>41</v>
      </c>
      <c r="C157" s="17" t="s">
        <v>44</v>
      </c>
      <c r="D157" s="17" t="s">
        <v>48</v>
      </c>
      <c r="E157" s="17" t="s">
        <v>49</v>
      </c>
      <c r="F157" s="25" t="n">
        <f aca="false">SUMPRODUCT(--((('Yellow Bosses'!$I$5:$I$53&gt;=2)+('Yellow Bosses'!$L$5:$L$53&gt;=2)+('Yellow Bosses'!$P$5:$P$53&gt;=2)+('Yellow Bosses'!$Q$5:$Q$53&gt;=2))&gt;0))</f>
        <v>38</v>
      </c>
      <c r="G157" s="26" t="n">
        <f aca="false">F157/49</f>
        <v>0.775510204081633</v>
      </c>
      <c r="H157" s="25" t="n">
        <f aca="false">49-SUMPRODUCT(--((('Yellow Bosses'!$I$5:$I$53&gt;=1)+('Yellow Bosses'!$L$5:$L$53&gt;=1)+('Yellow Bosses'!$P$5:$P$53&gt;=1)+('Yellow Bosses'!$Q$5:$Q$53&gt;=1))&gt;0))</f>
        <v>0</v>
      </c>
      <c r="I157" s="25" t="n">
        <f aca="false">SUMPRODUCT(--((('Yellow Bosses'!$I$5:$I$53&gt;0)+('Yellow Bosses'!$L$5:$L$53&gt;0)+('Yellow Bosses'!$P$5:$P$53&gt;0)+('Yellow Bosses'!$Q$5:$Q$53&gt;0))=0))</f>
        <v>0</v>
      </c>
      <c r="J157" s="25" t="n">
        <f aca="false">SUMPRODUCT(--(((Effectiveness!$F$5:$F$155&gt;=2)+(Effectiveness!$I$5:$I$155&gt;=2)+(Effectiveness!$M$5:$M$155&gt;=2)+(Effectiveness!$N$5:$N$155&gt;=2))&gt;0))</f>
        <v>109</v>
      </c>
      <c r="K157" s="26" t="n">
        <f aca="false">J157/151</f>
        <v>0.721854304635762</v>
      </c>
      <c r="L157" s="25" t="n">
        <f aca="false">MIN(INDEX('Move Reality'!$F$5:$F$19,MATCH(B157,'Move Reality'!$A$5:$A$19,0)),INDEX('Move Reality'!$F$5:$F$19,MATCH(C157,'Move Reality'!$A$5:$A$19,0)),INDEX('Move Reality'!$F$5:$F$19,MATCH(D157,'Move Reality'!$A$5:$A$19,0)),INDEX('Move Reality'!$F$5:$F$19,MATCH(E157,'Move Reality'!$A$5:$A$19,0)))</f>
        <v>4</v>
      </c>
      <c r="M157" s="28" t="str">
        <f aca="false">IF(L157&gt;=5,"YES","no - dead move")</f>
        <v>no - dead move</v>
      </c>
    </row>
    <row r="158" customFormat="false" ht="15" hidden="false" customHeight="false" outlineLevel="0" collapsed="false">
      <c r="A158" s="17" t="n">
        <v>154</v>
      </c>
      <c r="B158" s="17" t="s">
        <v>42</v>
      </c>
      <c r="C158" s="17" t="s">
        <v>45</v>
      </c>
      <c r="D158" s="17" t="s">
        <v>46</v>
      </c>
      <c r="E158" s="17" t="s">
        <v>51</v>
      </c>
      <c r="F158" s="25" t="n">
        <f aca="false">SUMPRODUCT(--((('Yellow Bosses'!$J$5:$J$53&gt;=2)+('Yellow Bosses'!$M$5:$M$53&gt;=2)+('Yellow Bosses'!$N$5:$N$53&gt;=2)+('Yellow Bosses'!$S$5:$S$53&gt;=2))&gt;0))</f>
        <v>38</v>
      </c>
      <c r="G158" s="26" t="n">
        <f aca="false">F158/49</f>
        <v>0.775510204081633</v>
      </c>
      <c r="H158" s="25" t="n">
        <f aca="false">49-SUMPRODUCT(--((('Yellow Bosses'!$J$5:$J$53&gt;=1)+('Yellow Bosses'!$M$5:$M$53&gt;=1)+('Yellow Bosses'!$N$5:$N$53&gt;=1)+('Yellow Bosses'!$S$5:$S$53&gt;=1))&gt;0))</f>
        <v>0</v>
      </c>
      <c r="I158" s="25" t="n">
        <f aca="false">SUMPRODUCT(--((('Yellow Bosses'!$J$5:$J$53&gt;0)+('Yellow Bosses'!$M$5:$M$53&gt;0)+('Yellow Bosses'!$N$5:$N$53&gt;0)+('Yellow Bosses'!$S$5:$S$53&gt;0))=0))</f>
        <v>0</v>
      </c>
      <c r="J158" s="25" t="n">
        <f aca="false">SUMPRODUCT(--(((Effectiveness!$G$5:$G$155&gt;=2)+(Effectiveness!$J$5:$J$155&gt;=2)+(Effectiveness!$K$5:$K$155&gt;=2)+(Effectiveness!$P$5:$P$155&gt;=2))&gt;0))</f>
        <v>109</v>
      </c>
      <c r="K158" s="26" t="n">
        <f aca="false">J158/151</f>
        <v>0.721854304635762</v>
      </c>
      <c r="L158" s="25" t="n">
        <f aca="false">MIN(INDEX('Move Reality'!$F$5:$F$19,MATCH(B158,'Move Reality'!$A$5:$A$19,0)),INDEX('Move Reality'!$F$5:$F$19,MATCH(C158,'Move Reality'!$A$5:$A$19,0)),INDEX('Move Reality'!$F$5:$F$19,MATCH(D158,'Move Reality'!$A$5:$A$19,0)),INDEX('Move Reality'!$F$5:$F$19,MATCH(E158,'Move Reality'!$A$5:$A$19,0)))</f>
        <v>1</v>
      </c>
      <c r="M158" s="28" t="str">
        <f aca="false">IF(L158&gt;=5,"YES","no - dead move")</f>
        <v>no - dead move</v>
      </c>
    </row>
    <row r="159" customFormat="false" ht="15" hidden="false" customHeight="false" outlineLevel="0" collapsed="false">
      <c r="A159" s="17" t="n">
        <v>155</v>
      </c>
      <c r="B159" s="17" t="s">
        <v>44</v>
      </c>
      <c r="C159" s="17" t="s">
        <v>47</v>
      </c>
      <c r="D159" s="17" t="s">
        <v>48</v>
      </c>
      <c r="E159" s="17" t="s">
        <v>50</v>
      </c>
      <c r="F159" s="25" t="n">
        <f aca="false">SUMPRODUCT(--((('Yellow Bosses'!$L$5:$L$53&gt;=2)+('Yellow Bosses'!$O$5:$O$53&gt;=2)+('Yellow Bosses'!$P$5:$P$53&gt;=2)+('Yellow Bosses'!$R$5:$R$53&gt;=2))&gt;0))</f>
        <v>38</v>
      </c>
      <c r="G159" s="26" t="n">
        <f aca="false">F159/49</f>
        <v>0.775510204081633</v>
      </c>
      <c r="H159" s="25" t="n">
        <f aca="false">49-SUMPRODUCT(--((('Yellow Bosses'!$L$5:$L$53&gt;=1)+('Yellow Bosses'!$O$5:$O$53&gt;=1)+('Yellow Bosses'!$P$5:$P$53&gt;=1)+('Yellow Bosses'!$R$5:$R$53&gt;=1))&gt;0))</f>
        <v>0</v>
      </c>
      <c r="I159" s="25" t="n">
        <f aca="false">SUMPRODUCT(--((('Yellow Bosses'!$L$5:$L$53&gt;0)+('Yellow Bosses'!$O$5:$O$53&gt;0)+('Yellow Bosses'!$P$5:$P$53&gt;0)+('Yellow Bosses'!$R$5:$R$53&gt;0))=0))</f>
        <v>0</v>
      </c>
      <c r="J159" s="25" t="n">
        <f aca="false">SUMPRODUCT(--(((Effectiveness!$I$5:$I$155&gt;=2)+(Effectiveness!$L$5:$L$155&gt;=2)+(Effectiveness!$M$5:$M$155&gt;=2)+(Effectiveness!$O$5:$O$155&gt;=2))&gt;0))</f>
        <v>109</v>
      </c>
      <c r="K159" s="26" t="n">
        <f aca="false">J159/151</f>
        <v>0.721854304635762</v>
      </c>
      <c r="L159" s="25" t="n">
        <f aca="false">MIN(INDEX('Move Reality'!$F$5:$F$19,MATCH(B159,'Move Reality'!$A$5:$A$19,0)),INDEX('Move Reality'!$F$5:$F$19,MATCH(C159,'Move Reality'!$A$5:$A$19,0)),INDEX('Move Reality'!$F$5:$F$19,MATCH(D159,'Move Reality'!$A$5:$A$19,0)),INDEX('Move Reality'!$F$5:$F$19,MATCH(E159,'Move Reality'!$A$5:$A$19,0)))</f>
        <v>2</v>
      </c>
      <c r="M159" s="28" t="str">
        <f aca="false">IF(L159&gt;=5,"YES","no - dead move")</f>
        <v>no - dead move</v>
      </c>
    </row>
    <row r="160" customFormat="false" ht="15" hidden="false" customHeight="false" outlineLevel="0" collapsed="false">
      <c r="A160" s="17" t="n">
        <v>156</v>
      </c>
      <c r="B160" s="17" t="s">
        <v>44</v>
      </c>
      <c r="C160" s="17" t="s">
        <v>48</v>
      </c>
      <c r="D160" s="17" t="s">
        <v>49</v>
      </c>
      <c r="E160" s="17" t="s">
        <v>50</v>
      </c>
      <c r="F160" s="25" t="n">
        <f aca="false">SUMPRODUCT(--((('Yellow Bosses'!$L$5:$L$53&gt;=2)+('Yellow Bosses'!$P$5:$P$53&gt;=2)+('Yellow Bosses'!$Q$5:$Q$53&gt;=2)+('Yellow Bosses'!$R$5:$R$53&gt;=2))&gt;0))</f>
        <v>38</v>
      </c>
      <c r="G160" s="26" t="n">
        <f aca="false">F160/49</f>
        <v>0.775510204081633</v>
      </c>
      <c r="H160" s="25" t="n">
        <f aca="false">49-SUMPRODUCT(--((('Yellow Bosses'!$L$5:$L$53&gt;=1)+('Yellow Bosses'!$P$5:$P$53&gt;=1)+('Yellow Bosses'!$Q$5:$Q$53&gt;=1)+('Yellow Bosses'!$R$5:$R$53&gt;=1))&gt;0))</f>
        <v>0</v>
      </c>
      <c r="I160" s="25" t="n">
        <f aca="false">SUMPRODUCT(--((('Yellow Bosses'!$L$5:$L$53&gt;0)+('Yellow Bosses'!$P$5:$P$53&gt;0)+('Yellow Bosses'!$Q$5:$Q$53&gt;0)+('Yellow Bosses'!$R$5:$R$53&gt;0))=0))</f>
        <v>0</v>
      </c>
      <c r="J160" s="25" t="n">
        <f aca="false">SUMPRODUCT(--(((Effectiveness!$I$5:$I$155&gt;=2)+(Effectiveness!$M$5:$M$155&gt;=2)+(Effectiveness!$N$5:$N$155&gt;=2)+(Effectiveness!$O$5:$O$155&gt;=2))&gt;0))</f>
        <v>109</v>
      </c>
      <c r="K160" s="26" t="n">
        <f aca="false">J160/151</f>
        <v>0.721854304635762</v>
      </c>
      <c r="L160" s="25" t="n">
        <f aca="false">MIN(INDEX('Move Reality'!$F$5:$F$19,MATCH(B160,'Move Reality'!$A$5:$A$19,0)),INDEX('Move Reality'!$F$5:$F$19,MATCH(C160,'Move Reality'!$A$5:$A$19,0)),INDEX('Move Reality'!$F$5:$F$19,MATCH(D160,'Move Reality'!$A$5:$A$19,0)),INDEX('Move Reality'!$F$5:$F$19,MATCH(E160,'Move Reality'!$A$5:$A$19,0)))</f>
        <v>4</v>
      </c>
      <c r="M160" s="28" t="str">
        <f aca="false">IF(L160&gt;=5,"YES","no - dead move")</f>
        <v>no - dead move</v>
      </c>
    </row>
    <row r="161" customFormat="false" ht="15" hidden="false" customHeight="false" outlineLevel="0" collapsed="false">
      <c r="A161" s="17" t="n">
        <v>157</v>
      </c>
      <c r="B161" s="17" t="s">
        <v>46</v>
      </c>
      <c r="C161" s="17" t="s">
        <v>51</v>
      </c>
      <c r="D161" s="17" t="s">
        <v>52</v>
      </c>
      <c r="E161" s="17" t="s">
        <v>53</v>
      </c>
      <c r="F161" s="25" t="n">
        <f aca="false">SUMPRODUCT(--((('Yellow Bosses'!$N$5:$N$53&gt;=2)+('Yellow Bosses'!$S$5:$S$53&gt;=2)+('Yellow Bosses'!$T$5:$T$53&gt;=2)+('Yellow Bosses'!$U$5:$U$53&gt;=2))&gt;0))</f>
        <v>38</v>
      </c>
      <c r="G161" s="26" t="n">
        <f aca="false">F161/49</f>
        <v>0.775510204081633</v>
      </c>
      <c r="H161" s="25" t="n">
        <f aca="false">49-SUMPRODUCT(--((('Yellow Bosses'!$N$5:$N$53&gt;=1)+('Yellow Bosses'!$S$5:$S$53&gt;=1)+('Yellow Bosses'!$T$5:$T$53&gt;=1)+('Yellow Bosses'!$U$5:$U$53&gt;=1))&gt;0))</f>
        <v>0</v>
      </c>
      <c r="I161" s="25" t="n">
        <f aca="false">SUMPRODUCT(--((('Yellow Bosses'!$N$5:$N$53&gt;0)+('Yellow Bosses'!$S$5:$S$53&gt;0)+('Yellow Bosses'!$T$5:$T$53&gt;0)+('Yellow Bosses'!$U$5:$U$53&gt;0))=0))</f>
        <v>0</v>
      </c>
      <c r="J161" s="25" t="n">
        <f aca="false">SUMPRODUCT(--(((Effectiveness!$K$5:$K$155&gt;=2)+(Effectiveness!$P$5:$P$155&gt;=2)+(Effectiveness!$Q$5:$Q$155&gt;=2)+(Effectiveness!$R$5:$R$155&gt;=2))&gt;0))</f>
        <v>109</v>
      </c>
      <c r="K161" s="26" t="n">
        <f aca="false">J161/151</f>
        <v>0.721854304635762</v>
      </c>
      <c r="L161" s="25" t="n">
        <f aca="false">MIN(INDEX('Move Reality'!$F$5:$F$19,MATCH(B161,'Move Reality'!$A$5:$A$19,0)),INDEX('Move Reality'!$F$5:$F$19,MATCH(C161,'Move Reality'!$A$5:$A$19,0)),INDEX('Move Reality'!$F$5:$F$19,MATCH(D161,'Move Reality'!$A$5:$A$19,0)),INDEX('Move Reality'!$F$5:$F$19,MATCH(E161,'Move Reality'!$A$5:$A$19,0)))</f>
        <v>1</v>
      </c>
      <c r="M161" s="28" t="str">
        <f aca="false">IF(L161&gt;=5,"YES","no - dead move")</f>
        <v>no - dead move</v>
      </c>
    </row>
    <row r="162" customFormat="false" ht="15" hidden="false" customHeight="false" outlineLevel="0" collapsed="false">
      <c r="A162" s="17" t="n">
        <v>158</v>
      </c>
      <c r="B162" s="17" t="s">
        <v>42</v>
      </c>
      <c r="C162" s="17" t="s">
        <v>44</v>
      </c>
      <c r="D162" s="17" t="s">
        <v>49</v>
      </c>
      <c r="E162" s="17" t="s">
        <v>51</v>
      </c>
      <c r="F162" s="25" t="n">
        <f aca="false">SUMPRODUCT(--((('Yellow Bosses'!$J$5:$J$53&gt;=2)+('Yellow Bosses'!$L$5:$L$53&gt;=2)+('Yellow Bosses'!$Q$5:$Q$53&gt;=2)+('Yellow Bosses'!$S$5:$S$53&gt;=2))&gt;0))</f>
        <v>38</v>
      </c>
      <c r="G162" s="26" t="n">
        <f aca="false">F162/49</f>
        <v>0.775510204081633</v>
      </c>
      <c r="H162" s="25" t="n">
        <f aca="false">49-SUMPRODUCT(--((('Yellow Bosses'!$J$5:$J$53&gt;=1)+('Yellow Bosses'!$L$5:$L$53&gt;=1)+('Yellow Bosses'!$Q$5:$Q$53&gt;=1)+('Yellow Bosses'!$S$5:$S$53&gt;=1))&gt;0))</f>
        <v>0</v>
      </c>
      <c r="I162" s="25" t="n">
        <f aca="false">SUMPRODUCT(--((('Yellow Bosses'!$J$5:$J$53&gt;0)+('Yellow Bosses'!$L$5:$L$53&gt;0)+('Yellow Bosses'!$Q$5:$Q$53&gt;0)+('Yellow Bosses'!$S$5:$S$53&gt;0))=0))</f>
        <v>0</v>
      </c>
      <c r="J162" s="25" t="n">
        <f aca="false">SUMPRODUCT(--(((Effectiveness!$G$5:$G$155&gt;=2)+(Effectiveness!$I$5:$I$155&gt;=2)+(Effectiveness!$N$5:$N$155&gt;=2)+(Effectiveness!$P$5:$P$155&gt;=2))&gt;0))</f>
        <v>108</v>
      </c>
      <c r="K162" s="26" t="n">
        <f aca="false">J162/151</f>
        <v>0.71523178807947</v>
      </c>
      <c r="L162" s="25" t="n">
        <f aca="false">MIN(INDEX('Move Reality'!$F$5:$F$19,MATCH(B162,'Move Reality'!$A$5:$A$19,0)),INDEX('Move Reality'!$F$5:$F$19,MATCH(C162,'Move Reality'!$A$5:$A$19,0)),INDEX('Move Reality'!$F$5:$F$19,MATCH(D162,'Move Reality'!$A$5:$A$19,0)),INDEX('Move Reality'!$F$5:$F$19,MATCH(E162,'Move Reality'!$A$5:$A$19,0)))</f>
        <v>1</v>
      </c>
      <c r="M162" s="28" t="str">
        <f aca="false">IF(L162&gt;=5,"YES","no - dead move")</f>
        <v>no - dead move</v>
      </c>
    </row>
    <row r="163" customFormat="false" ht="15" hidden="false" customHeight="false" outlineLevel="0" collapsed="false">
      <c r="A163" s="17" t="n">
        <v>159</v>
      </c>
      <c r="B163" s="17" t="s">
        <v>41</v>
      </c>
      <c r="C163" s="17" t="s">
        <v>42</v>
      </c>
      <c r="D163" s="17" t="s">
        <v>44</v>
      </c>
      <c r="E163" s="17" t="s">
        <v>50</v>
      </c>
      <c r="F163" s="25" t="n">
        <f aca="false">SUMPRODUCT(--((('Yellow Bosses'!$I$5:$I$53&gt;=2)+('Yellow Bosses'!$J$5:$J$53&gt;=2)+('Yellow Bosses'!$L$5:$L$53&gt;=2)+('Yellow Bosses'!$R$5:$R$53&gt;=2))&gt;0))</f>
        <v>38</v>
      </c>
      <c r="G163" s="26" t="n">
        <f aca="false">F163/49</f>
        <v>0.775510204081633</v>
      </c>
      <c r="H163" s="25" t="n">
        <f aca="false">49-SUMPRODUCT(--((('Yellow Bosses'!$I$5:$I$53&gt;=1)+('Yellow Bosses'!$J$5:$J$53&gt;=1)+('Yellow Bosses'!$L$5:$L$53&gt;=1)+('Yellow Bosses'!$R$5:$R$53&gt;=1))&gt;0))</f>
        <v>0</v>
      </c>
      <c r="I163" s="25" t="n">
        <f aca="false">SUMPRODUCT(--((('Yellow Bosses'!$I$5:$I$53&gt;0)+('Yellow Bosses'!$J$5:$J$53&gt;0)+('Yellow Bosses'!$L$5:$L$53&gt;0)+('Yellow Bosses'!$R$5:$R$53&gt;0))=0))</f>
        <v>0</v>
      </c>
      <c r="J163" s="25" t="n">
        <f aca="false">SUMPRODUCT(--(((Effectiveness!$F$5:$F$155&gt;=2)+(Effectiveness!$G$5:$G$155&gt;=2)+(Effectiveness!$I$5:$I$155&gt;=2)+(Effectiveness!$O$5:$O$155&gt;=2))&gt;0))</f>
        <v>106</v>
      </c>
      <c r="K163" s="26" t="n">
        <f aca="false">J163/151</f>
        <v>0.701986754966887</v>
      </c>
      <c r="L163" s="25" t="n">
        <f aca="false">MIN(INDEX('Move Reality'!$F$5:$F$19,MATCH(B163,'Move Reality'!$A$5:$A$19,0)),INDEX('Move Reality'!$F$5:$F$19,MATCH(C163,'Move Reality'!$A$5:$A$19,0)),INDEX('Move Reality'!$F$5:$F$19,MATCH(D163,'Move Reality'!$A$5:$A$19,0)),INDEX('Move Reality'!$F$5:$F$19,MATCH(E163,'Move Reality'!$A$5:$A$19,0)))</f>
        <v>4</v>
      </c>
      <c r="M163" s="28" t="str">
        <f aca="false">IF(L163&gt;=5,"YES","no - dead move")</f>
        <v>no - dead move</v>
      </c>
    </row>
    <row r="164" customFormat="false" ht="15" hidden="false" customHeight="false" outlineLevel="0" collapsed="false">
      <c r="A164" s="17" t="n">
        <v>160</v>
      </c>
      <c r="B164" s="17" t="s">
        <v>43</v>
      </c>
      <c r="C164" s="17" t="s">
        <v>45</v>
      </c>
      <c r="D164" s="17" t="s">
        <v>49</v>
      </c>
      <c r="E164" s="17" t="s">
        <v>52</v>
      </c>
      <c r="F164" s="25" t="n">
        <f aca="false">SUMPRODUCT(--((('Yellow Bosses'!$K$5:$K$53&gt;=2)+('Yellow Bosses'!$M$5:$M$53&gt;=2)+('Yellow Bosses'!$Q$5:$Q$53&gt;=2)+('Yellow Bosses'!$T$5:$T$53&gt;=2))&gt;0))</f>
        <v>38</v>
      </c>
      <c r="G164" s="26" t="n">
        <f aca="false">F164/49</f>
        <v>0.775510204081633</v>
      </c>
      <c r="H164" s="25" t="n">
        <f aca="false">49-SUMPRODUCT(--((('Yellow Bosses'!$K$5:$K$53&gt;=1)+('Yellow Bosses'!$M$5:$M$53&gt;=1)+('Yellow Bosses'!$Q$5:$Q$53&gt;=1)+('Yellow Bosses'!$T$5:$T$53&gt;=1))&gt;0))</f>
        <v>0</v>
      </c>
      <c r="I164" s="25" t="n">
        <f aca="false">SUMPRODUCT(--((('Yellow Bosses'!$K$5:$K$53&gt;0)+('Yellow Bosses'!$M$5:$M$53&gt;0)+('Yellow Bosses'!$Q$5:$Q$53&gt;0)+('Yellow Bosses'!$T$5:$T$53&gt;0))=0))</f>
        <v>0</v>
      </c>
      <c r="J164" s="25" t="n">
        <f aca="false">SUMPRODUCT(--(((Effectiveness!$H$5:$H$155&gt;=2)+(Effectiveness!$J$5:$J$155&gt;=2)+(Effectiveness!$N$5:$N$155&gt;=2)+(Effectiveness!$Q$5:$Q$155&gt;=2))&gt;0))</f>
        <v>106</v>
      </c>
      <c r="K164" s="26" t="n">
        <f aca="false">J164/151</f>
        <v>0.701986754966887</v>
      </c>
      <c r="L164" s="25" t="n">
        <f aca="false">MIN(INDEX('Move Reality'!$F$5:$F$19,MATCH(B164,'Move Reality'!$A$5:$A$19,0)),INDEX('Move Reality'!$F$5:$F$19,MATCH(C164,'Move Reality'!$A$5:$A$19,0)),INDEX('Move Reality'!$F$5:$F$19,MATCH(D164,'Move Reality'!$A$5:$A$19,0)),INDEX('Move Reality'!$F$5:$F$19,MATCH(E164,'Move Reality'!$A$5:$A$19,0)))</f>
        <v>5</v>
      </c>
      <c r="M164" s="28" t="str">
        <f aca="false">IF(L164&gt;=5,"YES","no - dead move")</f>
        <v>YES</v>
      </c>
    </row>
    <row r="165" customFormat="false" ht="15" hidden="false" customHeight="false" outlineLevel="0" collapsed="false">
      <c r="A165" s="17" t="n">
        <v>161</v>
      </c>
      <c r="B165" s="17" t="s">
        <v>41</v>
      </c>
      <c r="C165" s="17" t="s">
        <v>44</v>
      </c>
      <c r="D165" s="17" t="s">
        <v>48</v>
      </c>
      <c r="E165" s="17" t="s">
        <v>54</v>
      </c>
      <c r="F165" s="25" t="n">
        <f aca="false">SUMPRODUCT(--((('Yellow Bosses'!$I$5:$I$53&gt;=2)+('Yellow Bosses'!$L$5:$L$53&gt;=2)+('Yellow Bosses'!$P$5:$P$53&gt;=2)+('Yellow Bosses'!$V$5:$V$53&gt;=2))&gt;0))</f>
        <v>38</v>
      </c>
      <c r="G165" s="26" t="n">
        <f aca="false">F165/49</f>
        <v>0.775510204081633</v>
      </c>
      <c r="H165" s="25" t="n">
        <f aca="false">49-SUMPRODUCT(--((('Yellow Bosses'!$I$5:$I$53&gt;=1)+('Yellow Bosses'!$L$5:$L$53&gt;=1)+('Yellow Bosses'!$P$5:$P$53&gt;=1)+('Yellow Bosses'!$V$5:$V$53&gt;=1))&gt;0))</f>
        <v>0</v>
      </c>
      <c r="I165" s="25" t="n">
        <f aca="false">SUMPRODUCT(--((('Yellow Bosses'!$I$5:$I$53&gt;0)+('Yellow Bosses'!$L$5:$L$53&gt;0)+('Yellow Bosses'!$P$5:$P$53&gt;0)+('Yellow Bosses'!$V$5:$V$53&gt;0))=0))</f>
        <v>0</v>
      </c>
      <c r="J165" s="25" t="n">
        <f aca="false">SUMPRODUCT(--(((Effectiveness!$F$5:$F$155&gt;=2)+(Effectiveness!$I$5:$I$155&gt;=2)+(Effectiveness!$M$5:$M$155&gt;=2)+(Effectiveness!$S$5:$S$155&gt;=2))&gt;0))</f>
        <v>105</v>
      </c>
      <c r="K165" s="26" t="n">
        <f aca="false">J165/151</f>
        <v>0.695364238410596</v>
      </c>
      <c r="L165" s="25" t="n">
        <f aca="false">MIN(INDEX('Move Reality'!$F$5:$F$19,MATCH(B165,'Move Reality'!$A$5:$A$19,0)),INDEX('Move Reality'!$F$5:$F$19,MATCH(C165,'Move Reality'!$A$5:$A$19,0)),INDEX('Move Reality'!$F$5:$F$19,MATCH(D165,'Move Reality'!$A$5:$A$19,0)),INDEX('Move Reality'!$F$5:$F$19,MATCH(E165,'Move Reality'!$A$5:$A$19,0)))</f>
        <v>1</v>
      </c>
      <c r="M165" s="28" t="str">
        <f aca="false">IF(L165&gt;=5,"YES","no - dead move")</f>
        <v>no - dead move</v>
      </c>
    </row>
    <row r="166" customFormat="false" ht="15" hidden="false" customHeight="false" outlineLevel="0" collapsed="false">
      <c r="A166" s="17" t="n">
        <v>162</v>
      </c>
      <c r="B166" s="17" t="s">
        <v>44</v>
      </c>
      <c r="C166" s="17" t="s">
        <v>45</v>
      </c>
      <c r="D166" s="17" t="s">
        <v>51</v>
      </c>
      <c r="E166" s="17" t="s">
        <v>53</v>
      </c>
      <c r="F166" s="25" t="n">
        <f aca="false">SUMPRODUCT(--((('Yellow Bosses'!$L$5:$L$53&gt;=2)+('Yellow Bosses'!$M$5:$M$53&gt;=2)+('Yellow Bosses'!$S$5:$S$53&gt;=2)+('Yellow Bosses'!$U$5:$U$53&gt;=2))&gt;0))</f>
        <v>38</v>
      </c>
      <c r="G166" s="26" t="n">
        <f aca="false">F166/49</f>
        <v>0.775510204081633</v>
      </c>
      <c r="H166" s="25" t="n">
        <f aca="false">49-SUMPRODUCT(--((('Yellow Bosses'!$L$5:$L$53&gt;=1)+('Yellow Bosses'!$M$5:$M$53&gt;=1)+('Yellow Bosses'!$S$5:$S$53&gt;=1)+('Yellow Bosses'!$U$5:$U$53&gt;=1))&gt;0))</f>
        <v>0</v>
      </c>
      <c r="I166" s="25" t="n">
        <f aca="false">SUMPRODUCT(--((('Yellow Bosses'!$L$5:$L$53&gt;0)+('Yellow Bosses'!$M$5:$M$53&gt;0)+('Yellow Bosses'!$S$5:$S$53&gt;0)+('Yellow Bosses'!$U$5:$U$53&gt;0))=0))</f>
        <v>0</v>
      </c>
      <c r="J166" s="25" t="n">
        <f aca="false">SUMPRODUCT(--(((Effectiveness!$I$5:$I$155&gt;=2)+(Effectiveness!$J$5:$J$155&gt;=2)+(Effectiveness!$P$5:$P$155&gt;=2)+(Effectiveness!$R$5:$R$155&gt;=2))&gt;0))</f>
        <v>105</v>
      </c>
      <c r="K166" s="26" t="n">
        <f aca="false">J166/151</f>
        <v>0.695364238410596</v>
      </c>
      <c r="L166" s="25" t="n">
        <f aca="false">MIN(INDEX('Move Reality'!$F$5:$F$19,MATCH(B166,'Move Reality'!$A$5:$A$19,0)),INDEX('Move Reality'!$F$5:$F$19,MATCH(C166,'Move Reality'!$A$5:$A$19,0)),INDEX('Move Reality'!$F$5:$F$19,MATCH(D166,'Move Reality'!$A$5:$A$19,0)),INDEX('Move Reality'!$F$5:$F$19,MATCH(E166,'Move Reality'!$A$5:$A$19,0)))</f>
        <v>1</v>
      </c>
      <c r="M166" s="28" t="str">
        <f aca="false">IF(L166&gt;=5,"YES","no - dead move")</f>
        <v>no - dead move</v>
      </c>
    </row>
    <row r="167" customFormat="false" ht="15" hidden="false" customHeight="false" outlineLevel="0" collapsed="false">
      <c r="A167" s="17" t="n">
        <v>163</v>
      </c>
      <c r="B167" s="17" t="s">
        <v>42</v>
      </c>
      <c r="C167" s="17" t="s">
        <v>48</v>
      </c>
      <c r="D167" s="17" t="s">
        <v>49</v>
      </c>
      <c r="E167" s="17" t="s">
        <v>52</v>
      </c>
      <c r="F167" s="25" t="n">
        <f aca="false">SUMPRODUCT(--((('Yellow Bosses'!$J$5:$J$53&gt;=2)+('Yellow Bosses'!$P$5:$P$53&gt;=2)+('Yellow Bosses'!$Q$5:$Q$53&gt;=2)+('Yellow Bosses'!$T$5:$T$53&gt;=2))&gt;0))</f>
        <v>38</v>
      </c>
      <c r="G167" s="26" t="n">
        <f aca="false">F167/49</f>
        <v>0.775510204081633</v>
      </c>
      <c r="H167" s="25" t="n">
        <f aca="false">49-SUMPRODUCT(--((('Yellow Bosses'!$J$5:$J$53&gt;=1)+('Yellow Bosses'!$P$5:$P$53&gt;=1)+('Yellow Bosses'!$Q$5:$Q$53&gt;=1)+('Yellow Bosses'!$T$5:$T$53&gt;=1))&gt;0))</f>
        <v>0</v>
      </c>
      <c r="I167" s="25" t="n">
        <f aca="false">SUMPRODUCT(--((('Yellow Bosses'!$J$5:$J$53&gt;0)+('Yellow Bosses'!$P$5:$P$53&gt;0)+('Yellow Bosses'!$Q$5:$Q$53&gt;0)+('Yellow Bosses'!$T$5:$T$53&gt;0))=0))</f>
        <v>0</v>
      </c>
      <c r="J167" s="25" t="n">
        <f aca="false">SUMPRODUCT(--(((Effectiveness!$G$5:$G$155&gt;=2)+(Effectiveness!$M$5:$M$155&gt;=2)+(Effectiveness!$N$5:$N$155&gt;=2)+(Effectiveness!$Q$5:$Q$155&gt;=2))&gt;0))</f>
        <v>104</v>
      </c>
      <c r="K167" s="26" t="n">
        <f aca="false">J167/151</f>
        <v>0.688741721854305</v>
      </c>
      <c r="L167" s="25" t="n">
        <f aca="false">MIN(INDEX('Move Reality'!$F$5:$F$19,MATCH(B167,'Move Reality'!$A$5:$A$19,0)),INDEX('Move Reality'!$F$5:$F$19,MATCH(C167,'Move Reality'!$A$5:$A$19,0)),INDEX('Move Reality'!$F$5:$F$19,MATCH(D167,'Move Reality'!$A$5:$A$19,0)),INDEX('Move Reality'!$F$5:$F$19,MATCH(E167,'Move Reality'!$A$5:$A$19,0)))</f>
        <v>5</v>
      </c>
      <c r="M167" s="28" t="str">
        <f aca="false">IF(L167&gt;=5,"YES","no - dead move")</f>
        <v>YES</v>
      </c>
    </row>
    <row r="168" customFormat="false" ht="15" hidden="false" customHeight="false" outlineLevel="0" collapsed="false">
      <c r="A168" s="17" t="n">
        <v>164</v>
      </c>
      <c r="B168" s="17" t="s">
        <v>44</v>
      </c>
      <c r="C168" s="17" t="s">
        <v>45</v>
      </c>
      <c r="D168" s="17" t="s">
        <v>49</v>
      </c>
      <c r="E168" s="17" t="s">
        <v>52</v>
      </c>
      <c r="F168" s="25" t="n">
        <f aca="false">SUMPRODUCT(--((('Yellow Bosses'!$L$5:$L$53&gt;=2)+('Yellow Bosses'!$M$5:$M$53&gt;=2)+('Yellow Bosses'!$Q$5:$Q$53&gt;=2)+('Yellow Bosses'!$T$5:$T$53&gt;=2))&gt;0))</f>
        <v>38</v>
      </c>
      <c r="G168" s="26" t="n">
        <f aca="false">F168/49</f>
        <v>0.775510204081633</v>
      </c>
      <c r="H168" s="25" t="n">
        <f aca="false">49-SUMPRODUCT(--((('Yellow Bosses'!$L$5:$L$53&gt;=1)+('Yellow Bosses'!$M$5:$M$53&gt;=1)+('Yellow Bosses'!$Q$5:$Q$53&gt;=1)+('Yellow Bosses'!$T$5:$T$53&gt;=1))&gt;0))</f>
        <v>0</v>
      </c>
      <c r="I168" s="25" t="n">
        <f aca="false">SUMPRODUCT(--((('Yellow Bosses'!$L$5:$L$53&gt;0)+('Yellow Bosses'!$M$5:$M$53&gt;0)+('Yellow Bosses'!$Q$5:$Q$53&gt;0)+('Yellow Bosses'!$T$5:$T$53&gt;0))=0))</f>
        <v>0</v>
      </c>
      <c r="J168" s="25" t="n">
        <f aca="false">SUMPRODUCT(--(((Effectiveness!$I$5:$I$155&gt;=2)+(Effectiveness!$J$5:$J$155&gt;=2)+(Effectiveness!$N$5:$N$155&gt;=2)+(Effectiveness!$Q$5:$Q$155&gt;=2))&gt;0))</f>
        <v>104</v>
      </c>
      <c r="K168" s="26" t="n">
        <f aca="false">J168/151</f>
        <v>0.688741721854305</v>
      </c>
      <c r="L168" s="25" t="n">
        <f aca="false">MIN(INDEX('Move Reality'!$F$5:$F$19,MATCH(B168,'Move Reality'!$A$5:$A$19,0)),INDEX('Move Reality'!$F$5:$F$19,MATCH(C168,'Move Reality'!$A$5:$A$19,0)),INDEX('Move Reality'!$F$5:$F$19,MATCH(D168,'Move Reality'!$A$5:$A$19,0)),INDEX('Move Reality'!$F$5:$F$19,MATCH(E168,'Move Reality'!$A$5:$A$19,0)))</f>
        <v>4</v>
      </c>
      <c r="M168" s="28" t="str">
        <f aca="false">IF(L168&gt;=5,"YES","no - dead move")</f>
        <v>no - dead move</v>
      </c>
    </row>
    <row r="169" customFormat="false" ht="15" hidden="false" customHeight="false" outlineLevel="0" collapsed="false">
      <c r="A169" s="17" t="n">
        <v>165</v>
      </c>
      <c r="B169" s="17" t="s">
        <v>43</v>
      </c>
      <c r="C169" s="17" t="s">
        <v>45</v>
      </c>
      <c r="D169" s="17" t="s">
        <v>52</v>
      </c>
      <c r="E169" s="17" t="s">
        <v>53</v>
      </c>
      <c r="F169" s="25" t="n">
        <f aca="false">SUMPRODUCT(--((('Yellow Bosses'!$K$5:$K$53&gt;=2)+('Yellow Bosses'!$M$5:$M$53&gt;=2)+('Yellow Bosses'!$T$5:$T$53&gt;=2)+('Yellow Bosses'!$U$5:$U$53&gt;=2))&gt;0))</f>
        <v>38</v>
      </c>
      <c r="G169" s="26" t="n">
        <f aca="false">F169/49</f>
        <v>0.775510204081633</v>
      </c>
      <c r="H169" s="25" t="n">
        <f aca="false">49-SUMPRODUCT(--((('Yellow Bosses'!$K$5:$K$53&gt;=1)+('Yellow Bosses'!$M$5:$M$53&gt;=1)+('Yellow Bosses'!$T$5:$T$53&gt;=1)+('Yellow Bosses'!$U$5:$U$53&gt;=1))&gt;0))</f>
        <v>0</v>
      </c>
      <c r="I169" s="25" t="n">
        <f aca="false">SUMPRODUCT(--((('Yellow Bosses'!$K$5:$K$53&gt;0)+('Yellow Bosses'!$M$5:$M$53&gt;0)+('Yellow Bosses'!$T$5:$T$53&gt;0)+('Yellow Bosses'!$U$5:$U$53&gt;0))=0))</f>
        <v>0</v>
      </c>
      <c r="J169" s="25" t="n">
        <f aca="false">SUMPRODUCT(--(((Effectiveness!$H$5:$H$155&gt;=2)+(Effectiveness!$J$5:$J$155&gt;=2)+(Effectiveness!$Q$5:$Q$155&gt;=2)+(Effectiveness!$R$5:$R$155&gt;=2))&gt;0))</f>
        <v>102</v>
      </c>
      <c r="K169" s="26" t="n">
        <f aca="false">J169/151</f>
        <v>0.675496688741722</v>
      </c>
      <c r="L169" s="25" t="n">
        <f aca="false">MIN(INDEX('Move Reality'!$F$5:$F$19,MATCH(B169,'Move Reality'!$A$5:$A$19,0)),INDEX('Move Reality'!$F$5:$F$19,MATCH(C169,'Move Reality'!$A$5:$A$19,0)),INDEX('Move Reality'!$F$5:$F$19,MATCH(D169,'Move Reality'!$A$5:$A$19,0)),INDEX('Move Reality'!$F$5:$F$19,MATCH(E169,'Move Reality'!$A$5:$A$19,0)))</f>
        <v>1</v>
      </c>
      <c r="M169" s="28" t="str">
        <f aca="false">IF(L169&gt;=5,"YES","no - dead move")</f>
        <v>no - dead move</v>
      </c>
    </row>
    <row r="170" customFormat="false" ht="15" hidden="false" customHeight="false" outlineLevel="0" collapsed="false">
      <c r="A170" s="17" t="n">
        <v>166</v>
      </c>
      <c r="B170" s="17" t="s">
        <v>44</v>
      </c>
      <c r="C170" s="17" t="s">
        <v>45</v>
      </c>
      <c r="D170" s="17" t="s">
        <v>52</v>
      </c>
      <c r="E170" s="17" t="s">
        <v>53</v>
      </c>
      <c r="F170" s="25" t="n">
        <f aca="false">SUMPRODUCT(--((('Yellow Bosses'!$L$5:$L$53&gt;=2)+('Yellow Bosses'!$M$5:$M$53&gt;=2)+('Yellow Bosses'!$T$5:$T$53&gt;=2)+('Yellow Bosses'!$U$5:$U$53&gt;=2))&gt;0))</f>
        <v>38</v>
      </c>
      <c r="G170" s="26" t="n">
        <f aca="false">F170/49</f>
        <v>0.775510204081633</v>
      </c>
      <c r="H170" s="25" t="n">
        <f aca="false">49-SUMPRODUCT(--((('Yellow Bosses'!$L$5:$L$53&gt;=1)+('Yellow Bosses'!$M$5:$M$53&gt;=1)+('Yellow Bosses'!$T$5:$T$53&gt;=1)+('Yellow Bosses'!$U$5:$U$53&gt;=1))&gt;0))</f>
        <v>0</v>
      </c>
      <c r="I170" s="25" t="n">
        <f aca="false">SUMPRODUCT(--((('Yellow Bosses'!$L$5:$L$53&gt;0)+('Yellow Bosses'!$M$5:$M$53&gt;0)+('Yellow Bosses'!$T$5:$T$53&gt;0)+('Yellow Bosses'!$U$5:$U$53&gt;0))=0))</f>
        <v>0</v>
      </c>
      <c r="J170" s="25" t="n">
        <f aca="false">SUMPRODUCT(--(((Effectiveness!$I$5:$I$155&gt;=2)+(Effectiveness!$J$5:$J$155&gt;=2)+(Effectiveness!$Q$5:$Q$155&gt;=2)+(Effectiveness!$R$5:$R$155&gt;=2))&gt;0))</f>
        <v>100</v>
      </c>
      <c r="K170" s="26" t="n">
        <f aca="false">J170/151</f>
        <v>0.662251655629139</v>
      </c>
      <c r="L170" s="25" t="n">
        <f aca="false">MIN(INDEX('Move Reality'!$F$5:$F$19,MATCH(B170,'Move Reality'!$A$5:$A$19,0)),INDEX('Move Reality'!$F$5:$F$19,MATCH(C170,'Move Reality'!$A$5:$A$19,0)),INDEX('Move Reality'!$F$5:$F$19,MATCH(D170,'Move Reality'!$A$5:$A$19,0)),INDEX('Move Reality'!$F$5:$F$19,MATCH(E170,'Move Reality'!$A$5:$A$19,0)))</f>
        <v>1</v>
      </c>
      <c r="M170" s="28" t="str">
        <f aca="false">IF(L170&gt;=5,"YES","no - dead move")</f>
        <v>no - dead move</v>
      </c>
    </row>
    <row r="171" customFormat="false" ht="15" hidden="false" customHeight="false" outlineLevel="0" collapsed="false">
      <c r="A171" s="17" t="n">
        <v>167</v>
      </c>
      <c r="B171" s="17" t="s">
        <v>48</v>
      </c>
      <c r="C171" s="17" t="s">
        <v>49</v>
      </c>
      <c r="D171" s="17" t="s">
        <v>52</v>
      </c>
      <c r="E171" s="17" t="s">
        <v>54</v>
      </c>
      <c r="F171" s="25" t="n">
        <f aca="false">SUMPRODUCT(--((('Yellow Bosses'!$P$5:$P$53&gt;=2)+('Yellow Bosses'!$Q$5:$Q$53&gt;=2)+('Yellow Bosses'!$T$5:$T$53&gt;=2)+('Yellow Bosses'!$V$5:$V$53&gt;=2))&gt;0))</f>
        <v>38</v>
      </c>
      <c r="G171" s="26" t="n">
        <f aca="false">F171/49</f>
        <v>0.775510204081633</v>
      </c>
      <c r="H171" s="25" t="n">
        <f aca="false">49-SUMPRODUCT(--((('Yellow Bosses'!$P$5:$P$53&gt;=1)+('Yellow Bosses'!$Q$5:$Q$53&gt;=1)+('Yellow Bosses'!$T$5:$T$53&gt;=1)+('Yellow Bosses'!$V$5:$V$53&gt;=1))&gt;0))</f>
        <v>0</v>
      </c>
      <c r="I171" s="25" t="n">
        <f aca="false">SUMPRODUCT(--((('Yellow Bosses'!$P$5:$P$53&gt;0)+('Yellow Bosses'!$Q$5:$Q$53&gt;0)+('Yellow Bosses'!$T$5:$T$53&gt;0)+('Yellow Bosses'!$V$5:$V$53&gt;0))=0))</f>
        <v>0</v>
      </c>
      <c r="J171" s="25" t="n">
        <f aca="false">SUMPRODUCT(--(((Effectiveness!$M$5:$M$155&gt;=2)+(Effectiveness!$N$5:$N$155&gt;=2)+(Effectiveness!$Q$5:$Q$155&gt;=2)+(Effectiveness!$S$5:$S$155&gt;=2))&gt;0))</f>
        <v>100</v>
      </c>
      <c r="K171" s="26" t="n">
        <f aca="false">J171/151</f>
        <v>0.662251655629139</v>
      </c>
      <c r="L171" s="25" t="n">
        <f aca="false">MIN(INDEX('Move Reality'!$F$5:$F$19,MATCH(B171,'Move Reality'!$A$5:$A$19,0)),INDEX('Move Reality'!$F$5:$F$19,MATCH(C171,'Move Reality'!$A$5:$A$19,0)),INDEX('Move Reality'!$F$5:$F$19,MATCH(D171,'Move Reality'!$A$5:$A$19,0)),INDEX('Move Reality'!$F$5:$F$19,MATCH(E171,'Move Reality'!$A$5:$A$19,0)))</f>
        <v>1</v>
      </c>
      <c r="M171" s="28" t="str">
        <f aca="false">IF(L171&gt;=5,"YES","no - dead move")</f>
        <v>no - dead move</v>
      </c>
    </row>
    <row r="172" customFormat="false" ht="15" hidden="false" customHeight="false" outlineLevel="0" collapsed="false">
      <c r="A172" s="17" t="n">
        <v>168</v>
      </c>
      <c r="B172" s="17" t="s">
        <v>42</v>
      </c>
      <c r="C172" s="17" t="s">
        <v>44</v>
      </c>
      <c r="D172" s="17" t="s">
        <v>51</v>
      </c>
      <c r="E172" s="17" t="s">
        <v>53</v>
      </c>
      <c r="F172" s="25" t="n">
        <f aca="false">SUMPRODUCT(--((('Yellow Bosses'!$J$5:$J$53&gt;=2)+('Yellow Bosses'!$L$5:$L$53&gt;=2)+('Yellow Bosses'!$S$5:$S$53&gt;=2)+('Yellow Bosses'!$U$5:$U$53&gt;=2))&gt;0))</f>
        <v>38</v>
      </c>
      <c r="G172" s="26" t="n">
        <f aca="false">F172/49</f>
        <v>0.775510204081633</v>
      </c>
      <c r="H172" s="25" t="n">
        <f aca="false">49-SUMPRODUCT(--((('Yellow Bosses'!$J$5:$J$53&gt;=1)+('Yellow Bosses'!$L$5:$L$53&gt;=1)+('Yellow Bosses'!$S$5:$S$53&gt;=1)+('Yellow Bosses'!$U$5:$U$53&gt;=1))&gt;0))</f>
        <v>0</v>
      </c>
      <c r="I172" s="25" t="n">
        <f aca="false">SUMPRODUCT(--((('Yellow Bosses'!$J$5:$J$53&gt;0)+('Yellow Bosses'!$L$5:$L$53&gt;0)+('Yellow Bosses'!$S$5:$S$53&gt;0)+('Yellow Bosses'!$U$5:$U$53&gt;0))=0))</f>
        <v>0</v>
      </c>
      <c r="J172" s="25" t="n">
        <f aca="false">SUMPRODUCT(--(((Effectiveness!$G$5:$G$155&gt;=2)+(Effectiveness!$I$5:$I$155&gt;=2)+(Effectiveness!$P$5:$P$155&gt;=2)+(Effectiveness!$R$5:$R$155&gt;=2))&gt;0))</f>
        <v>99</v>
      </c>
      <c r="K172" s="26" t="n">
        <f aca="false">J172/151</f>
        <v>0.655629139072848</v>
      </c>
      <c r="L172" s="25" t="n">
        <f aca="false">MIN(INDEX('Move Reality'!$F$5:$F$19,MATCH(B172,'Move Reality'!$A$5:$A$19,0)),INDEX('Move Reality'!$F$5:$F$19,MATCH(C172,'Move Reality'!$A$5:$A$19,0)),INDEX('Move Reality'!$F$5:$F$19,MATCH(D172,'Move Reality'!$A$5:$A$19,0)),INDEX('Move Reality'!$F$5:$F$19,MATCH(E172,'Move Reality'!$A$5:$A$19,0)))</f>
        <v>1</v>
      </c>
      <c r="M172" s="28" t="str">
        <f aca="false">IF(L172&gt;=5,"YES","no - dead move")</f>
        <v>no - dead move</v>
      </c>
    </row>
    <row r="173" customFormat="false" ht="15" hidden="false" customHeight="false" outlineLevel="0" collapsed="false">
      <c r="A173" s="17" t="n">
        <v>169</v>
      </c>
      <c r="B173" s="17" t="s">
        <v>42</v>
      </c>
      <c r="C173" s="17" t="s">
        <v>44</v>
      </c>
      <c r="D173" s="17" t="s">
        <v>51</v>
      </c>
      <c r="E173" s="17" t="s">
        <v>54</v>
      </c>
      <c r="F173" s="25" t="n">
        <f aca="false">SUMPRODUCT(--((('Yellow Bosses'!$J$5:$J$53&gt;=2)+('Yellow Bosses'!$L$5:$L$53&gt;=2)+('Yellow Bosses'!$S$5:$S$53&gt;=2)+('Yellow Bosses'!$V$5:$V$53&gt;=2))&gt;0))</f>
        <v>38</v>
      </c>
      <c r="G173" s="26" t="n">
        <f aca="false">F173/49</f>
        <v>0.775510204081633</v>
      </c>
      <c r="H173" s="25" t="n">
        <f aca="false">49-SUMPRODUCT(--((('Yellow Bosses'!$J$5:$J$53&gt;=1)+('Yellow Bosses'!$L$5:$L$53&gt;=1)+('Yellow Bosses'!$S$5:$S$53&gt;=1)+('Yellow Bosses'!$V$5:$V$53&gt;=1))&gt;0))</f>
        <v>0</v>
      </c>
      <c r="I173" s="25" t="n">
        <f aca="false">SUMPRODUCT(--((('Yellow Bosses'!$J$5:$J$53&gt;0)+('Yellow Bosses'!$L$5:$L$53&gt;0)+('Yellow Bosses'!$S$5:$S$53&gt;0)+('Yellow Bosses'!$V$5:$V$53&gt;0))=0))</f>
        <v>0</v>
      </c>
      <c r="J173" s="25" t="n">
        <f aca="false">SUMPRODUCT(--(((Effectiveness!$G$5:$G$155&gt;=2)+(Effectiveness!$I$5:$I$155&gt;=2)+(Effectiveness!$P$5:$P$155&gt;=2)+(Effectiveness!$S$5:$S$155&gt;=2))&gt;0))</f>
        <v>99</v>
      </c>
      <c r="K173" s="26" t="n">
        <f aca="false">J173/151</f>
        <v>0.655629139072848</v>
      </c>
      <c r="L173" s="25" t="n">
        <f aca="false">MIN(INDEX('Move Reality'!$F$5:$F$19,MATCH(B173,'Move Reality'!$A$5:$A$19,0)),INDEX('Move Reality'!$F$5:$F$19,MATCH(C173,'Move Reality'!$A$5:$A$19,0)),INDEX('Move Reality'!$F$5:$F$19,MATCH(D173,'Move Reality'!$A$5:$A$19,0)),INDEX('Move Reality'!$F$5:$F$19,MATCH(E173,'Move Reality'!$A$5:$A$19,0)))</f>
        <v>1</v>
      </c>
      <c r="M173" s="28" t="str">
        <f aca="false">IF(L173&gt;=5,"YES","no - dead move")</f>
        <v>no - dead move</v>
      </c>
    </row>
    <row r="174" customFormat="false" ht="15" hidden="false" customHeight="false" outlineLevel="0" collapsed="false">
      <c r="A174" s="17" t="n">
        <v>170</v>
      </c>
      <c r="B174" s="17" t="s">
        <v>42</v>
      </c>
      <c r="C174" s="17" t="s">
        <v>48</v>
      </c>
      <c r="D174" s="17" t="s">
        <v>49</v>
      </c>
      <c r="E174" s="17" t="s">
        <v>51</v>
      </c>
      <c r="F174" s="25" t="n">
        <f aca="false">SUMPRODUCT(--((('Yellow Bosses'!$J$5:$J$53&gt;=2)+('Yellow Bosses'!$P$5:$P$53&gt;=2)+('Yellow Bosses'!$Q$5:$Q$53&gt;=2)+('Yellow Bosses'!$S$5:$S$53&gt;=2))&gt;0))</f>
        <v>38</v>
      </c>
      <c r="G174" s="26" t="n">
        <f aca="false">F174/49</f>
        <v>0.775510204081633</v>
      </c>
      <c r="H174" s="25" t="n">
        <f aca="false">49-SUMPRODUCT(--((('Yellow Bosses'!$J$5:$J$53&gt;=1)+('Yellow Bosses'!$P$5:$P$53&gt;=1)+('Yellow Bosses'!$Q$5:$Q$53&gt;=1)+('Yellow Bosses'!$S$5:$S$53&gt;=1))&gt;0))</f>
        <v>0</v>
      </c>
      <c r="I174" s="25" t="n">
        <f aca="false">SUMPRODUCT(--((('Yellow Bosses'!$J$5:$J$53&gt;0)+('Yellow Bosses'!$P$5:$P$53&gt;0)+('Yellow Bosses'!$Q$5:$Q$53&gt;0)+('Yellow Bosses'!$S$5:$S$53&gt;0))=0))</f>
        <v>0</v>
      </c>
      <c r="J174" s="25" t="n">
        <f aca="false">SUMPRODUCT(--(((Effectiveness!$G$5:$G$155&gt;=2)+(Effectiveness!$M$5:$M$155&gt;=2)+(Effectiveness!$N$5:$N$155&gt;=2)+(Effectiveness!$P$5:$P$155&gt;=2))&gt;0))</f>
        <v>98</v>
      </c>
      <c r="K174" s="26" t="n">
        <f aca="false">J174/151</f>
        <v>0.649006622516556</v>
      </c>
      <c r="L174" s="25" t="n">
        <f aca="false">MIN(INDEX('Move Reality'!$F$5:$F$19,MATCH(B174,'Move Reality'!$A$5:$A$19,0)),INDEX('Move Reality'!$F$5:$F$19,MATCH(C174,'Move Reality'!$A$5:$A$19,0)),INDEX('Move Reality'!$F$5:$F$19,MATCH(D174,'Move Reality'!$A$5:$A$19,0)),INDEX('Move Reality'!$F$5:$F$19,MATCH(E174,'Move Reality'!$A$5:$A$19,0)))</f>
        <v>1</v>
      </c>
      <c r="M174" s="28" t="str">
        <f aca="false">IF(L174&gt;=5,"YES","no - dead move")</f>
        <v>no - dead move</v>
      </c>
    </row>
    <row r="175" customFormat="false" ht="15" hidden="false" customHeight="false" outlineLevel="0" collapsed="false">
      <c r="A175" s="17" t="n">
        <v>171</v>
      </c>
      <c r="B175" s="17" t="s">
        <v>42</v>
      </c>
      <c r="C175" s="17" t="s">
        <v>44</v>
      </c>
      <c r="D175" s="17" t="s">
        <v>50</v>
      </c>
      <c r="E175" s="17" t="s">
        <v>54</v>
      </c>
      <c r="F175" s="25" t="n">
        <f aca="false">SUMPRODUCT(--((('Yellow Bosses'!$J$5:$J$53&gt;=2)+('Yellow Bosses'!$L$5:$L$53&gt;=2)+('Yellow Bosses'!$R$5:$R$53&gt;=2)+('Yellow Bosses'!$V$5:$V$53&gt;=2))&gt;0))</f>
        <v>38</v>
      </c>
      <c r="G175" s="26" t="n">
        <f aca="false">F175/49</f>
        <v>0.775510204081633</v>
      </c>
      <c r="H175" s="25" t="n">
        <f aca="false">49-SUMPRODUCT(--((('Yellow Bosses'!$J$5:$J$53&gt;=1)+('Yellow Bosses'!$L$5:$L$53&gt;=1)+('Yellow Bosses'!$R$5:$R$53&gt;=1)+('Yellow Bosses'!$V$5:$V$53&gt;=1))&gt;0))</f>
        <v>0</v>
      </c>
      <c r="I175" s="25" t="n">
        <f aca="false">SUMPRODUCT(--((('Yellow Bosses'!$J$5:$J$53&gt;0)+('Yellow Bosses'!$L$5:$L$53&gt;0)+('Yellow Bosses'!$R$5:$R$53&gt;0)+('Yellow Bosses'!$V$5:$V$53&gt;0))=0))</f>
        <v>0</v>
      </c>
      <c r="J175" s="25" t="n">
        <f aca="false">SUMPRODUCT(--(((Effectiveness!$G$5:$G$155&gt;=2)+(Effectiveness!$I$5:$I$155&gt;=2)+(Effectiveness!$O$5:$O$155&gt;=2)+(Effectiveness!$S$5:$S$155&gt;=2))&gt;0))</f>
        <v>97</v>
      </c>
      <c r="K175" s="26" t="n">
        <f aca="false">J175/151</f>
        <v>0.642384105960265</v>
      </c>
      <c r="L175" s="25" t="n">
        <f aca="false">MIN(INDEX('Move Reality'!$F$5:$F$19,MATCH(B175,'Move Reality'!$A$5:$A$19,0)),INDEX('Move Reality'!$F$5:$F$19,MATCH(C175,'Move Reality'!$A$5:$A$19,0)),INDEX('Move Reality'!$F$5:$F$19,MATCH(D175,'Move Reality'!$A$5:$A$19,0)),INDEX('Move Reality'!$F$5:$F$19,MATCH(E175,'Move Reality'!$A$5:$A$19,0)))</f>
        <v>1</v>
      </c>
      <c r="M175" s="28" t="str">
        <f aca="false">IF(L175&gt;=5,"YES","no - dead move")</f>
        <v>no - dead move</v>
      </c>
    </row>
    <row r="176" customFormat="false" ht="15" hidden="false" customHeight="false" outlineLevel="0" collapsed="false">
      <c r="A176" s="17" t="n">
        <v>172</v>
      </c>
      <c r="B176" s="17" t="s">
        <v>40</v>
      </c>
      <c r="C176" s="17" t="s">
        <v>45</v>
      </c>
      <c r="D176" s="17" t="s">
        <v>50</v>
      </c>
      <c r="E176" s="17" t="s">
        <v>52</v>
      </c>
      <c r="F176" s="25" t="n">
        <f aca="false">SUMPRODUCT(--((('Yellow Bosses'!$H$5:$H$53&gt;=2)+('Yellow Bosses'!$M$5:$M$53&gt;=2)+('Yellow Bosses'!$R$5:$R$53&gt;=2)+('Yellow Bosses'!$T$5:$T$53&gt;=2))&gt;0))</f>
        <v>38</v>
      </c>
      <c r="G176" s="26" t="n">
        <f aca="false">F176/49</f>
        <v>0.775510204081633</v>
      </c>
      <c r="H176" s="25" t="n">
        <f aca="false">49-SUMPRODUCT(--((('Yellow Bosses'!$H$5:$H$53&gt;=1)+('Yellow Bosses'!$M$5:$M$53&gt;=1)+('Yellow Bosses'!$R$5:$R$53&gt;=1)+('Yellow Bosses'!$T$5:$T$53&gt;=1))&gt;0))</f>
        <v>0</v>
      </c>
      <c r="I176" s="25" t="n">
        <f aca="false">SUMPRODUCT(--((('Yellow Bosses'!$H$5:$H$53&gt;0)+('Yellow Bosses'!$M$5:$M$53&gt;0)+('Yellow Bosses'!$R$5:$R$53&gt;0)+('Yellow Bosses'!$T$5:$T$53&gt;0))=0))</f>
        <v>0</v>
      </c>
      <c r="J176" s="25" t="n">
        <f aca="false">SUMPRODUCT(--(((Effectiveness!$E$5:$E$155&gt;=2)+(Effectiveness!$J$5:$J$155&gt;=2)+(Effectiveness!$O$5:$O$155&gt;=2)+(Effectiveness!$Q$5:$Q$155&gt;=2))&gt;0))</f>
        <v>94</v>
      </c>
      <c r="K176" s="26" t="n">
        <f aca="false">J176/151</f>
        <v>0.622516556291391</v>
      </c>
      <c r="L176" s="25" t="n">
        <f aca="false">MIN(INDEX('Move Reality'!$F$5:$F$19,MATCH(B176,'Move Reality'!$A$5:$A$19,0)),INDEX('Move Reality'!$F$5:$F$19,MATCH(C176,'Move Reality'!$A$5:$A$19,0)),INDEX('Move Reality'!$F$5:$F$19,MATCH(D176,'Move Reality'!$A$5:$A$19,0)),INDEX('Move Reality'!$F$5:$F$19,MATCH(E176,'Move Reality'!$A$5:$A$19,0)))</f>
        <v>6</v>
      </c>
      <c r="M176" s="28" t="str">
        <f aca="false">IF(L176&gt;=5,"YES","no - dead move")</f>
        <v>YES</v>
      </c>
    </row>
    <row r="177" customFormat="false" ht="15" hidden="false" customHeight="false" outlineLevel="0" collapsed="false">
      <c r="A177" s="17" t="n">
        <v>173</v>
      </c>
      <c r="B177" s="17" t="s">
        <v>40</v>
      </c>
      <c r="C177" s="17" t="s">
        <v>45</v>
      </c>
      <c r="D177" s="17" t="s">
        <v>51</v>
      </c>
      <c r="E177" s="17" t="s">
        <v>52</v>
      </c>
      <c r="F177" s="25" t="n">
        <f aca="false">SUMPRODUCT(--((('Yellow Bosses'!$H$5:$H$53&gt;=2)+('Yellow Bosses'!$M$5:$M$53&gt;=2)+('Yellow Bosses'!$S$5:$S$53&gt;=2)+('Yellow Bosses'!$T$5:$T$53&gt;=2))&gt;0))</f>
        <v>38</v>
      </c>
      <c r="G177" s="26" t="n">
        <f aca="false">F177/49</f>
        <v>0.775510204081633</v>
      </c>
      <c r="H177" s="25" t="n">
        <f aca="false">49-SUMPRODUCT(--((('Yellow Bosses'!$H$5:$H$53&gt;=1)+('Yellow Bosses'!$M$5:$M$53&gt;=1)+('Yellow Bosses'!$S$5:$S$53&gt;=1)+('Yellow Bosses'!$T$5:$T$53&gt;=1))&gt;0))</f>
        <v>0</v>
      </c>
      <c r="I177" s="25" t="n">
        <f aca="false">SUMPRODUCT(--((('Yellow Bosses'!$H$5:$H$53&gt;0)+('Yellow Bosses'!$M$5:$M$53&gt;0)+('Yellow Bosses'!$S$5:$S$53&gt;0)+('Yellow Bosses'!$T$5:$T$53&gt;0))=0))</f>
        <v>0</v>
      </c>
      <c r="J177" s="25" t="n">
        <f aca="false">SUMPRODUCT(--(((Effectiveness!$E$5:$E$155&gt;=2)+(Effectiveness!$J$5:$J$155&gt;=2)+(Effectiveness!$P$5:$P$155&gt;=2)+(Effectiveness!$Q$5:$Q$155&gt;=2))&gt;0))</f>
        <v>94</v>
      </c>
      <c r="K177" s="26" t="n">
        <f aca="false">J177/151</f>
        <v>0.622516556291391</v>
      </c>
      <c r="L177" s="25" t="n">
        <f aca="false">MIN(INDEX('Move Reality'!$F$5:$F$19,MATCH(B177,'Move Reality'!$A$5:$A$19,0)),INDEX('Move Reality'!$F$5:$F$19,MATCH(C177,'Move Reality'!$A$5:$A$19,0)),INDEX('Move Reality'!$F$5:$F$19,MATCH(D177,'Move Reality'!$A$5:$A$19,0)),INDEX('Move Reality'!$F$5:$F$19,MATCH(E177,'Move Reality'!$A$5:$A$19,0)))</f>
        <v>1</v>
      </c>
      <c r="M177" s="28" t="str">
        <f aca="false">IF(L177&gt;=5,"YES","no - dead move")</f>
        <v>no - dead move</v>
      </c>
    </row>
    <row r="178" customFormat="false" ht="15" hidden="false" customHeight="false" outlineLevel="0" collapsed="false">
      <c r="A178" s="17" t="n">
        <v>174</v>
      </c>
      <c r="B178" s="17" t="s">
        <v>41</v>
      </c>
      <c r="C178" s="17" t="s">
        <v>45</v>
      </c>
      <c r="D178" s="17" t="s">
        <v>50</v>
      </c>
      <c r="E178" s="17" t="s">
        <v>52</v>
      </c>
      <c r="F178" s="25" t="n">
        <f aca="false">SUMPRODUCT(--((('Yellow Bosses'!$I$5:$I$53&gt;=2)+('Yellow Bosses'!$M$5:$M$53&gt;=2)+('Yellow Bosses'!$R$5:$R$53&gt;=2)+('Yellow Bosses'!$T$5:$T$53&gt;=2))&gt;0))</f>
        <v>38</v>
      </c>
      <c r="G178" s="26" t="n">
        <f aca="false">F178/49</f>
        <v>0.775510204081633</v>
      </c>
      <c r="H178" s="25" t="n">
        <f aca="false">49-SUMPRODUCT(--((('Yellow Bosses'!$I$5:$I$53&gt;=1)+('Yellow Bosses'!$M$5:$M$53&gt;=1)+('Yellow Bosses'!$R$5:$R$53&gt;=1)+('Yellow Bosses'!$T$5:$T$53&gt;=1))&gt;0))</f>
        <v>0</v>
      </c>
      <c r="I178" s="25" t="n">
        <f aca="false">SUMPRODUCT(--((('Yellow Bosses'!$I$5:$I$53&gt;0)+('Yellow Bosses'!$M$5:$M$53&gt;0)+('Yellow Bosses'!$R$5:$R$53&gt;0)+('Yellow Bosses'!$T$5:$T$53&gt;0))=0))</f>
        <v>0</v>
      </c>
      <c r="J178" s="25" t="n">
        <f aca="false">SUMPRODUCT(--(((Effectiveness!$F$5:$F$155&gt;=2)+(Effectiveness!$J$5:$J$155&gt;=2)+(Effectiveness!$O$5:$O$155&gt;=2)+(Effectiveness!$Q$5:$Q$155&gt;=2))&gt;0))</f>
        <v>94</v>
      </c>
      <c r="K178" s="26" t="n">
        <f aca="false">J178/151</f>
        <v>0.622516556291391</v>
      </c>
      <c r="L178" s="25" t="n">
        <f aca="false">MIN(INDEX('Move Reality'!$F$5:$F$19,MATCH(B178,'Move Reality'!$A$5:$A$19,0)),INDEX('Move Reality'!$F$5:$F$19,MATCH(C178,'Move Reality'!$A$5:$A$19,0)),INDEX('Move Reality'!$F$5:$F$19,MATCH(D178,'Move Reality'!$A$5:$A$19,0)),INDEX('Move Reality'!$F$5:$F$19,MATCH(E178,'Move Reality'!$A$5:$A$19,0)))</f>
        <v>6</v>
      </c>
      <c r="M178" s="28" t="str">
        <f aca="false">IF(L178&gt;=5,"YES","no - dead move")</f>
        <v>YES</v>
      </c>
    </row>
    <row r="179" customFormat="false" ht="15" hidden="false" customHeight="false" outlineLevel="0" collapsed="false">
      <c r="A179" s="17" t="n">
        <v>175</v>
      </c>
      <c r="B179" s="17" t="s">
        <v>41</v>
      </c>
      <c r="C179" s="17" t="s">
        <v>45</v>
      </c>
      <c r="D179" s="17" t="s">
        <v>51</v>
      </c>
      <c r="E179" s="17" t="s">
        <v>52</v>
      </c>
      <c r="F179" s="25" t="n">
        <f aca="false">SUMPRODUCT(--((('Yellow Bosses'!$I$5:$I$53&gt;=2)+('Yellow Bosses'!$M$5:$M$53&gt;=2)+('Yellow Bosses'!$S$5:$S$53&gt;=2)+('Yellow Bosses'!$T$5:$T$53&gt;=2))&gt;0))</f>
        <v>38</v>
      </c>
      <c r="G179" s="26" t="n">
        <f aca="false">F179/49</f>
        <v>0.775510204081633</v>
      </c>
      <c r="H179" s="25" t="n">
        <f aca="false">49-SUMPRODUCT(--((('Yellow Bosses'!$I$5:$I$53&gt;=1)+('Yellow Bosses'!$M$5:$M$53&gt;=1)+('Yellow Bosses'!$S$5:$S$53&gt;=1)+('Yellow Bosses'!$T$5:$T$53&gt;=1))&gt;0))</f>
        <v>0</v>
      </c>
      <c r="I179" s="25" t="n">
        <f aca="false">SUMPRODUCT(--((('Yellow Bosses'!$I$5:$I$53&gt;0)+('Yellow Bosses'!$M$5:$M$53&gt;0)+('Yellow Bosses'!$S$5:$S$53&gt;0)+('Yellow Bosses'!$T$5:$T$53&gt;0))=0))</f>
        <v>0</v>
      </c>
      <c r="J179" s="25" t="n">
        <f aca="false">SUMPRODUCT(--(((Effectiveness!$F$5:$F$155&gt;=2)+(Effectiveness!$J$5:$J$155&gt;=2)+(Effectiveness!$P$5:$P$155&gt;=2)+(Effectiveness!$Q$5:$Q$155&gt;=2))&gt;0))</f>
        <v>94</v>
      </c>
      <c r="K179" s="26" t="n">
        <f aca="false">J179/151</f>
        <v>0.622516556291391</v>
      </c>
      <c r="L179" s="25" t="n">
        <f aca="false">MIN(INDEX('Move Reality'!$F$5:$F$19,MATCH(B179,'Move Reality'!$A$5:$A$19,0)),INDEX('Move Reality'!$F$5:$F$19,MATCH(C179,'Move Reality'!$A$5:$A$19,0)),INDEX('Move Reality'!$F$5:$F$19,MATCH(D179,'Move Reality'!$A$5:$A$19,0)),INDEX('Move Reality'!$F$5:$F$19,MATCH(E179,'Move Reality'!$A$5:$A$19,0)))</f>
        <v>1</v>
      </c>
      <c r="M179" s="28" t="str">
        <f aca="false">IF(L179&gt;=5,"YES","no - dead move")</f>
        <v>no - dead move</v>
      </c>
    </row>
    <row r="180" customFormat="false" ht="15" hidden="false" customHeight="false" outlineLevel="0" collapsed="false">
      <c r="A180" s="17" t="n">
        <v>176</v>
      </c>
      <c r="B180" s="17" t="s">
        <v>42</v>
      </c>
      <c r="C180" s="17" t="s">
        <v>45</v>
      </c>
      <c r="D180" s="17" t="s">
        <v>50</v>
      </c>
      <c r="E180" s="17" t="s">
        <v>52</v>
      </c>
      <c r="F180" s="25" t="n">
        <f aca="false">SUMPRODUCT(--((('Yellow Bosses'!$J$5:$J$53&gt;=2)+('Yellow Bosses'!$M$5:$M$53&gt;=2)+('Yellow Bosses'!$R$5:$R$53&gt;=2)+('Yellow Bosses'!$T$5:$T$53&gt;=2))&gt;0))</f>
        <v>38</v>
      </c>
      <c r="G180" s="26" t="n">
        <f aca="false">F180/49</f>
        <v>0.775510204081633</v>
      </c>
      <c r="H180" s="25" t="n">
        <f aca="false">49-SUMPRODUCT(--((('Yellow Bosses'!$J$5:$J$53&gt;=1)+('Yellow Bosses'!$M$5:$M$53&gt;=1)+('Yellow Bosses'!$R$5:$R$53&gt;=1)+('Yellow Bosses'!$T$5:$T$53&gt;=1))&gt;0))</f>
        <v>0</v>
      </c>
      <c r="I180" s="25" t="n">
        <f aca="false">SUMPRODUCT(--((('Yellow Bosses'!$J$5:$J$53&gt;0)+('Yellow Bosses'!$M$5:$M$53&gt;0)+('Yellow Bosses'!$R$5:$R$53&gt;0)+('Yellow Bosses'!$T$5:$T$53&gt;0))=0))</f>
        <v>0</v>
      </c>
      <c r="J180" s="25" t="n">
        <f aca="false">SUMPRODUCT(--(((Effectiveness!$G$5:$G$155&gt;=2)+(Effectiveness!$J$5:$J$155&gt;=2)+(Effectiveness!$O$5:$O$155&gt;=2)+(Effectiveness!$Q$5:$Q$155&gt;=2))&gt;0))</f>
        <v>94</v>
      </c>
      <c r="K180" s="26" t="n">
        <f aca="false">J180/151</f>
        <v>0.622516556291391</v>
      </c>
      <c r="L180" s="25" t="n">
        <f aca="false">MIN(INDEX('Move Reality'!$F$5:$F$19,MATCH(B180,'Move Reality'!$A$5:$A$19,0)),INDEX('Move Reality'!$F$5:$F$19,MATCH(C180,'Move Reality'!$A$5:$A$19,0)),INDEX('Move Reality'!$F$5:$F$19,MATCH(D180,'Move Reality'!$A$5:$A$19,0)),INDEX('Move Reality'!$F$5:$F$19,MATCH(E180,'Move Reality'!$A$5:$A$19,0)))</f>
        <v>6</v>
      </c>
      <c r="M180" s="28" t="str">
        <f aca="false">IF(L180&gt;=5,"YES","no - dead move")</f>
        <v>YES</v>
      </c>
    </row>
    <row r="181" customFormat="false" ht="15" hidden="false" customHeight="false" outlineLevel="0" collapsed="false">
      <c r="A181" s="17" t="n">
        <v>177</v>
      </c>
      <c r="B181" s="17" t="s">
        <v>42</v>
      </c>
      <c r="C181" s="17" t="s">
        <v>45</v>
      </c>
      <c r="D181" s="17" t="s">
        <v>51</v>
      </c>
      <c r="E181" s="17" t="s">
        <v>52</v>
      </c>
      <c r="F181" s="25" t="n">
        <f aca="false">SUMPRODUCT(--((('Yellow Bosses'!$J$5:$J$53&gt;=2)+('Yellow Bosses'!$M$5:$M$53&gt;=2)+('Yellow Bosses'!$S$5:$S$53&gt;=2)+('Yellow Bosses'!$T$5:$T$53&gt;=2))&gt;0))</f>
        <v>38</v>
      </c>
      <c r="G181" s="26" t="n">
        <f aca="false">F181/49</f>
        <v>0.775510204081633</v>
      </c>
      <c r="H181" s="25" t="n">
        <f aca="false">49-SUMPRODUCT(--((('Yellow Bosses'!$J$5:$J$53&gt;=1)+('Yellow Bosses'!$M$5:$M$53&gt;=1)+('Yellow Bosses'!$S$5:$S$53&gt;=1)+('Yellow Bosses'!$T$5:$T$53&gt;=1))&gt;0))</f>
        <v>0</v>
      </c>
      <c r="I181" s="25" t="n">
        <f aca="false">SUMPRODUCT(--((('Yellow Bosses'!$J$5:$J$53&gt;0)+('Yellow Bosses'!$M$5:$M$53&gt;0)+('Yellow Bosses'!$S$5:$S$53&gt;0)+('Yellow Bosses'!$T$5:$T$53&gt;0))=0))</f>
        <v>0</v>
      </c>
      <c r="J181" s="25" t="n">
        <f aca="false">SUMPRODUCT(--(((Effectiveness!$G$5:$G$155&gt;=2)+(Effectiveness!$J$5:$J$155&gt;=2)+(Effectiveness!$P$5:$P$155&gt;=2)+(Effectiveness!$Q$5:$Q$155&gt;=2))&gt;0))</f>
        <v>94</v>
      </c>
      <c r="K181" s="26" t="n">
        <f aca="false">J181/151</f>
        <v>0.622516556291391</v>
      </c>
      <c r="L181" s="25" t="n">
        <f aca="false">MIN(INDEX('Move Reality'!$F$5:$F$19,MATCH(B181,'Move Reality'!$A$5:$A$19,0)),INDEX('Move Reality'!$F$5:$F$19,MATCH(C181,'Move Reality'!$A$5:$A$19,0)),INDEX('Move Reality'!$F$5:$F$19,MATCH(D181,'Move Reality'!$A$5:$A$19,0)),INDEX('Move Reality'!$F$5:$F$19,MATCH(E181,'Move Reality'!$A$5:$A$19,0)))</f>
        <v>1</v>
      </c>
      <c r="M181" s="28" t="str">
        <f aca="false">IF(L181&gt;=5,"YES","no - dead move")</f>
        <v>no - dead move</v>
      </c>
    </row>
    <row r="182" customFormat="false" ht="15" hidden="false" customHeight="false" outlineLevel="0" collapsed="false">
      <c r="A182" s="17" t="n">
        <v>178</v>
      </c>
      <c r="B182" s="17" t="s">
        <v>42</v>
      </c>
      <c r="C182" s="17" t="s">
        <v>51</v>
      </c>
      <c r="D182" s="17" t="s">
        <v>52</v>
      </c>
      <c r="E182" s="17" t="s">
        <v>54</v>
      </c>
      <c r="F182" s="25" t="n">
        <f aca="false">SUMPRODUCT(--((('Yellow Bosses'!$J$5:$J$53&gt;=2)+('Yellow Bosses'!$S$5:$S$53&gt;=2)+('Yellow Bosses'!$T$5:$T$53&gt;=2)+('Yellow Bosses'!$V$5:$V$53&gt;=2))&gt;0))</f>
        <v>38</v>
      </c>
      <c r="G182" s="26" t="n">
        <f aca="false">F182/49</f>
        <v>0.775510204081633</v>
      </c>
      <c r="H182" s="25" t="n">
        <f aca="false">49-SUMPRODUCT(--((('Yellow Bosses'!$J$5:$J$53&gt;=1)+('Yellow Bosses'!$S$5:$S$53&gt;=1)+('Yellow Bosses'!$T$5:$T$53&gt;=1)+('Yellow Bosses'!$V$5:$V$53&gt;=1))&gt;0))</f>
        <v>0</v>
      </c>
      <c r="I182" s="25" t="n">
        <f aca="false">SUMPRODUCT(--((('Yellow Bosses'!$J$5:$J$53&gt;0)+('Yellow Bosses'!$S$5:$S$53&gt;0)+('Yellow Bosses'!$T$5:$T$53&gt;0)+('Yellow Bosses'!$V$5:$V$53&gt;0))=0))</f>
        <v>0</v>
      </c>
      <c r="J182" s="25" t="n">
        <f aca="false">SUMPRODUCT(--(((Effectiveness!$G$5:$G$155&gt;=2)+(Effectiveness!$P$5:$P$155&gt;=2)+(Effectiveness!$Q$5:$Q$155&gt;=2)+(Effectiveness!$S$5:$S$155&gt;=2))&gt;0))</f>
        <v>94</v>
      </c>
      <c r="K182" s="26" t="n">
        <f aca="false">J182/151</f>
        <v>0.622516556291391</v>
      </c>
      <c r="L182" s="25" t="n">
        <f aca="false">MIN(INDEX('Move Reality'!$F$5:$F$19,MATCH(B182,'Move Reality'!$A$5:$A$19,0)),INDEX('Move Reality'!$F$5:$F$19,MATCH(C182,'Move Reality'!$A$5:$A$19,0)),INDEX('Move Reality'!$F$5:$F$19,MATCH(D182,'Move Reality'!$A$5:$A$19,0)),INDEX('Move Reality'!$F$5:$F$19,MATCH(E182,'Move Reality'!$A$5:$A$19,0)))</f>
        <v>1</v>
      </c>
      <c r="M182" s="28" t="str">
        <f aca="false">IF(L182&gt;=5,"YES","no - dead move")</f>
        <v>no - dead move</v>
      </c>
    </row>
    <row r="183" customFormat="false" ht="15" hidden="false" customHeight="false" outlineLevel="0" collapsed="false">
      <c r="A183" s="17" t="n">
        <v>179</v>
      </c>
      <c r="B183" s="17" t="s">
        <v>45</v>
      </c>
      <c r="C183" s="17" t="s">
        <v>47</v>
      </c>
      <c r="D183" s="17" t="s">
        <v>50</v>
      </c>
      <c r="E183" s="17" t="s">
        <v>52</v>
      </c>
      <c r="F183" s="25" t="n">
        <f aca="false">SUMPRODUCT(--((('Yellow Bosses'!$M$5:$M$53&gt;=2)+('Yellow Bosses'!$O$5:$O$53&gt;=2)+('Yellow Bosses'!$R$5:$R$53&gt;=2)+('Yellow Bosses'!$T$5:$T$53&gt;=2))&gt;0))</f>
        <v>38</v>
      </c>
      <c r="G183" s="26" t="n">
        <f aca="false">F183/49</f>
        <v>0.775510204081633</v>
      </c>
      <c r="H183" s="25" t="n">
        <f aca="false">49-SUMPRODUCT(--((('Yellow Bosses'!$M$5:$M$53&gt;=1)+('Yellow Bosses'!$O$5:$O$53&gt;=1)+('Yellow Bosses'!$R$5:$R$53&gt;=1)+('Yellow Bosses'!$T$5:$T$53&gt;=1))&gt;0))</f>
        <v>0</v>
      </c>
      <c r="I183" s="25" t="n">
        <f aca="false">SUMPRODUCT(--((('Yellow Bosses'!$M$5:$M$53&gt;0)+('Yellow Bosses'!$O$5:$O$53&gt;0)+('Yellow Bosses'!$R$5:$R$53&gt;0)+('Yellow Bosses'!$T$5:$T$53&gt;0))=0))</f>
        <v>0</v>
      </c>
      <c r="J183" s="25" t="n">
        <f aca="false">SUMPRODUCT(--(((Effectiveness!$J$5:$J$155&gt;=2)+(Effectiveness!$L$5:$L$155&gt;=2)+(Effectiveness!$O$5:$O$155&gt;=2)+(Effectiveness!$Q$5:$Q$155&gt;=2))&gt;0))</f>
        <v>94</v>
      </c>
      <c r="K183" s="26" t="n">
        <f aca="false">J183/151</f>
        <v>0.622516556291391</v>
      </c>
      <c r="L183" s="25" t="n">
        <f aca="false">MIN(INDEX('Move Reality'!$F$5:$F$19,MATCH(B183,'Move Reality'!$A$5:$A$19,0)),INDEX('Move Reality'!$F$5:$F$19,MATCH(C183,'Move Reality'!$A$5:$A$19,0)),INDEX('Move Reality'!$F$5:$F$19,MATCH(D183,'Move Reality'!$A$5:$A$19,0)),INDEX('Move Reality'!$F$5:$F$19,MATCH(E183,'Move Reality'!$A$5:$A$19,0)))</f>
        <v>2</v>
      </c>
      <c r="M183" s="28" t="str">
        <f aca="false">IF(L183&gt;=5,"YES","no - dead move")</f>
        <v>no - dead move</v>
      </c>
    </row>
    <row r="184" customFormat="false" ht="15" hidden="false" customHeight="false" outlineLevel="0" collapsed="false">
      <c r="A184" s="17" t="n">
        <v>180</v>
      </c>
      <c r="B184" s="17" t="s">
        <v>45</v>
      </c>
      <c r="C184" s="17" t="s">
        <v>47</v>
      </c>
      <c r="D184" s="17" t="s">
        <v>51</v>
      </c>
      <c r="E184" s="17" t="s">
        <v>52</v>
      </c>
      <c r="F184" s="25" t="n">
        <f aca="false">SUMPRODUCT(--((('Yellow Bosses'!$M$5:$M$53&gt;=2)+('Yellow Bosses'!$O$5:$O$53&gt;=2)+('Yellow Bosses'!$S$5:$S$53&gt;=2)+('Yellow Bosses'!$T$5:$T$53&gt;=2))&gt;0))</f>
        <v>38</v>
      </c>
      <c r="G184" s="26" t="n">
        <f aca="false">F184/49</f>
        <v>0.775510204081633</v>
      </c>
      <c r="H184" s="25" t="n">
        <f aca="false">49-SUMPRODUCT(--((('Yellow Bosses'!$M$5:$M$53&gt;=1)+('Yellow Bosses'!$O$5:$O$53&gt;=1)+('Yellow Bosses'!$S$5:$S$53&gt;=1)+('Yellow Bosses'!$T$5:$T$53&gt;=1))&gt;0))</f>
        <v>0</v>
      </c>
      <c r="I184" s="25" t="n">
        <f aca="false">SUMPRODUCT(--((('Yellow Bosses'!$M$5:$M$53&gt;0)+('Yellow Bosses'!$O$5:$O$53&gt;0)+('Yellow Bosses'!$S$5:$S$53&gt;0)+('Yellow Bosses'!$T$5:$T$53&gt;0))=0))</f>
        <v>0</v>
      </c>
      <c r="J184" s="25" t="n">
        <f aca="false">SUMPRODUCT(--(((Effectiveness!$J$5:$J$155&gt;=2)+(Effectiveness!$L$5:$L$155&gt;=2)+(Effectiveness!$P$5:$P$155&gt;=2)+(Effectiveness!$Q$5:$Q$155&gt;=2))&gt;0))</f>
        <v>94</v>
      </c>
      <c r="K184" s="26" t="n">
        <f aca="false">J184/151</f>
        <v>0.622516556291391</v>
      </c>
      <c r="L184" s="25" t="n">
        <f aca="false">MIN(INDEX('Move Reality'!$F$5:$F$19,MATCH(B184,'Move Reality'!$A$5:$A$19,0)),INDEX('Move Reality'!$F$5:$F$19,MATCH(C184,'Move Reality'!$A$5:$A$19,0)),INDEX('Move Reality'!$F$5:$F$19,MATCH(D184,'Move Reality'!$A$5:$A$19,0)),INDEX('Move Reality'!$F$5:$F$19,MATCH(E184,'Move Reality'!$A$5:$A$19,0)))</f>
        <v>1</v>
      </c>
      <c r="M184" s="28" t="str">
        <f aca="false">IF(L184&gt;=5,"YES","no - dead move")</f>
        <v>no - dead move</v>
      </c>
    </row>
    <row r="185" customFormat="false" ht="15" hidden="false" customHeight="false" outlineLevel="0" collapsed="false">
      <c r="A185" s="17" t="n">
        <v>181</v>
      </c>
      <c r="B185" s="17" t="s">
        <v>45</v>
      </c>
      <c r="C185" s="17" t="s">
        <v>49</v>
      </c>
      <c r="D185" s="17" t="s">
        <v>50</v>
      </c>
      <c r="E185" s="17" t="s">
        <v>52</v>
      </c>
      <c r="F185" s="25" t="n">
        <f aca="false">SUMPRODUCT(--((('Yellow Bosses'!$M$5:$M$53&gt;=2)+('Yellow Bosses'!$Q$5:$Q$53&gt;=2)+('Yellow Bosses'!$R$5:$R$53&gt;=2)+('Yellow Bosses'!$T$5:$T$53&gt;=2))&gt;0))</f>
        <v>38</v>
      </c>
      <c r="G185" s="26" t="n">
        <f aca="false">F185/49</f>
        <v>0.775510204081633</v>
      </c>
      <c r="H185" s="25" t="n">
        <f aca="false">49-SUMPRODUCT(--((('Yellow Bosses'!$M$5:$M$53&gt;=1)+('Yellow Bosses'!$Q$5:$Q$53&gt;=1)+('Yellow Bosses'!$R$5:$R$53&gt;=1)+('Yellow Bosses'!$T$5:$T$53&gt;=1))&gt;0))</f>
        <v>0</v>
      </c>
      <c r="I185" s="25" t="n">
        <f aca="false">SUMPRODUCT(--((('Yellow Bosses'!$M$5:$M$53&gt;0)+('Yellow Bosses'!$Q$5:$Q$53&gt;0)+('Yellow Bosses'!$R$5:$R$53&gt;0)+('Yellow Bosses'!$T$5:$T$53&gt;0))=0))</f>
        <v>0</v>
      </c>
      <c r="J185" s="25" t="n">
        <f aca="false">SUMPRODUCT(--(((Effectiveness!$J$5:$J$155&gt;=2)+(Effectiveness!$N$5:$N$155&gt;=2)+(Effectiveness!$O$5:$O$155&gt;=2)+(Effectiveness!$Q$5:$Q$155&gt;=2))&gt;0))</f>
        <v>94</v>
      </c>
      <c r="K185" s="26" t="n">
        <f aca="false">J185/151</f>
        <v>0.622516556291391</v>
      </c>
      <c r="L185" s="25" t="n">
        <f aca="false">MIN(INDEX('Move Reality'!$F$5:$F$19,MATCH(B185,'Move Reality'!$A$5:$A$19,0)),INDEX('Move Reality'!$F$5:$F$19,MATCH(C185,'Move Reality'!$A$5:$A$19,0)),INDEX('Move Reality'!$F$5:$F$19,MATCH(D185,'Move Reality'!$A$5:$A$19,0)),INDEX('Move Reality'!$F$5:$F$19,MATCH(E185,'Move Reality'!$A$5:$A$19,0)))</f>
        <v>5</v>
      </c>
      <c r="M185" s="28" t="str">
        <f aca="false">IF(L185&gt;=5,"YES","no - dead move")</f>
        <v>YES</v>
      </c>
    </row>
    <row r="186" customFormat="false" ht="15" hidden="false" customHeight="false" outlineLevel="0" collapsed="false">
      <c r="A186" s="17" t="n">
        <v>182</v>
      </c>
      <c r="B186" s="17" t="s">
        <v>45</v>
      </c>
      <c r="C186" s="17" t="s">
        <v>50</v>
      </c>
      <c r="D186" s="17" t="s">
        <v>52</v>
      </c>
      <c r="E186" s="17" t="s">
        <v>53</v>
      </c>
      <c r="F186" s="25" t="n">
        <f aca="false">SUMPRODUCT(--((('Yellow Bosses'!$M$5:$M$53&gt;=2)+('Yellow Bosses'!$R$5:$R$53&gt;=2)+('Yellow Bosses'!$T$5:$T$53&gt;=2)+('Yellow Bosses'!$U$5:$U$53&gt;=2))&gt;0))</f>
        <v>38</v>
      </c>
      <c r="G186" s="26" t="n">
        <f aca="false">F186/49</f>
        <v>0.775510204081633</v>
      </c>
      <c r="H186" s="25" t="n">
        <f aca="false">49-SUMPRODUCT(--((('Yellow Bosses'!$M$5:$M$53&gt;=1)+('Yellow Bosses'!$R$5:$R$53&gt;=1)+('Yellow Bosses'!$T$5:$T$53&gt;=1)+('Yellow Bosses'!$U$5:$U$53&gt;=1))&gt;0))</f>
        <v>0</v>
      </c>
      <c r="I186" s="25" t="n">
        <f aca="false">SUMPRODUCT(--((('Yellow Bosses'!$M$5:$M$53&gt;0)+('Yellow Bosses'!$R$5:$R$53&gt;0)+('Yellow Bosses'!$T$5:$T$53&gt;0)+('Yellow Bosses'!$U$5:$U$53&gt;0))=0))</f>
        <v>0</v>
      </c>
      <c r="J186" s="25" t="n">
        <f aca="false">SUMPRODUCT(--(((Effectiveness!$J$5:$J$155&gt;=2)+(Effectiveness!$O$5:$O$155&gt;=2)+(Effectiveness!$Q$5:$Q$155&gt;=2)+(Effectiveness!$R$5:$R$155&gt;=2))&gt;0))</f>
        <v>94</v>
      </c>
      <c r="K186" s="26" t="n">
        <f aca="false">J186/151</f>
        <v>0.622516556291391</v>
      </c>
      <c r="L186" s="25" t="n">
        <f aca="false">MIN(INDEX('Move Reality'!$F$5:$F$19,MATCH(B186,'Move Reality'!$A$5:$A$19,0)),INDEX('Move Reality'!$F$5:$F$19,MATCH(C186,'Move Reality'!$A$5:$A$19,0)),INDEX('Move Reality'!$F$5:$F$19,MATCH(D186,'Move Reality'!$A$5:$A$19,0)),INDEX('Move Reality'!$F$5:$F$19,MATCH(E186,'Move Reality'!$A$5:$A$19,0)))</f>
        <v>1</v>
      </c>
      <c r="M186" s="28" t="str">
        <f aca="false">IF(L186&gt;=5,"YES","no - dead move")</f>
        <v>no - dead move</v>
      </c>
    </row>
    <row r="187" customFormat="false" ht="15" hidden="false" customHeight="false" outlineLevel="0" collapsed="false">
      <c r="A187" s="17" t="n">
        <v>183</v>
      </c>
      <c r="B187" s="17" t="s">
        <v>45</v>
      </c>
      <c r="C187" s="17" t="s">
        <v>50</v>
      </c>
      <c r="D187" s="17" t="s">
        <v>52</v>
      </c>
      <c r="E187" s="17" t="s">
        <v>54</v>
      </c>
      <c r="F187" s="25" t="n">
        <f aca="false">SUMPRODUCT(--((('Yellow Bosses'!$M$5:$M$53&gt;=2)+('Yellow Bosses'!$R$5:$R$53&gt;=2)+('Yellow Bosses'!$T$5:$T$53&gt;=2)+('Yellow Bosses'!$V$5:$V$53&gt;=2))&gt;0))</f>
        <v>38</v>
      </c>
      <c r="G187" s="26" t="n">
        <f aca="false">F187/49</f>
        <v>0.775510204081633</v>
      </c>
      <c r="H187" s="25" t="n">
        <f aca="false">49-SUMPRODUCT(--((('Yellow Bosses'!$M$5:$M$53&gt;=1)+('Yellow Bosses'!$R$5:$R$53&gt;=1)+('Yellow Bosses'!$T$5:$T$53&gt;=1)+('Yellow Bosses'!$V$5:$V$53&gt;=1))&gt;0))</f>
        <v>0</v>
      </c>
      <c r="I187" s="25" t="n">
        <f aca="false">SUMPRODUCT(--((('Yellow Bosses'!$M$5:$M$53&gt;0)+('Yellow Bosses'!$R$5:$R$53&gt;0)+('Yellow Bosses'!$T$5:$T$53&gt;0)+('Yellow Bosses'!$V$5:$V$53&gt;0))=0))</f>
        <v>0</v>
      </c>
      <c r="J187" s="25" t="n">
        <f aca="false">SUMPRODUCT(--(((Effectiveness!$J$5:$J$155&gt;=2)+(Effectiveness!$O$5:$O$155&gt;=2)+(Effectiveness!$Q$5:$Q$155&gt;=2)+(Effectiveness!$S$5:$S$155&gt;=2))&gt;0))</f>
        <v>94</v>
      </c>
      <c r="K187" s="26" t="n">
        <f aca="false">J187/151</f>
        <v>0.622516556291391</v>
      </c>
      <c r="L187" s="25" t="n">
        <f aca="false">MIN(INDEX('Move Reality'!$F$5:$F$19,MATCH(B187,'Move Reality'!$A$5:$A$19,0)),INDEX('Move Reality'!$F$5:$F$19,MATCH(C187,'Move Reality'!$A$5:$A$19,0)),INDEX('Move Reality'!$F$5:$F$19,MATCH(D187,'Move Reality'!$A$5:$A$19,0)),INDEX('Move Reality'!$F$5:$F$19,MATCH(E187,'Move Reality'!$A$5:$A$19,0)))</f>
        <v>1</v>
      </c>
      <c r="M187" s="28" t="str">
        <f aca="false">IF(L187&gt;=5,"YES","no - dead move")</f>
        <v>no - dead move</v>
      </c>
    </row>
    <row r="188" customFormat="false" ht="15" hidden="false" customHeight="false" outlineLevel="0" collapsed="false">
      <c r="A188" s="17" t="n">
        <v>184</v>
      </c>
      <c r="B188" s="17" t="s">
        <v>45</v>
      </c>
      <c r="C188" s="17" t="s">
        <v>51</v>
      </c>
      <c r="D188" s="17" t="s">
        <v>52</v>
      </c>
      <c r="E188" s="17" t="s">
        <v>54</v>
      </c>
      <c r="F188" s="25" t="n">
        <f aca="false">SUMPRODUCT(--((('Yellow Bosses'!$M$5:$M$53&gt;=2)+('Yellow Bosses'!$S$5:$S$53&gt;=2)+('Yellow Bosses'!$T$5:$T$53&gt;=2)+('Yellow Bosses'!$V$5:$V$53&gt;=2))&gt;0))</f>
        <v>38</v>
      </c>
      <c r="G188" s="26" t="n">
        <f aca="false">F188/49</f>
        <v>0.775510204081633</v>
      </c>
      <c r="H188" s="25" t="n">
        <f aca="false">49-SUMPRODUCT(--((('Yellow Bosses'!$M$5:$M$53&gt;=1)+('Yellow Bosses'!$S$5:$S$53&gt;=1)+('Yellow Bosses'!$T$5:$T$53&gt;=1)+('Yellow Bosses'!$V$5:$V$53&gt;=1))&gt;0))</f>
        <v>0</v>
      </c>
      <c r="I188" s="25" t="n">
        <f aca="false">SUMPRODUCT(--((('Yellow Bosses'!$M$5:$M$53&gt;0)+('Yellow Bosses'!$S$5:$S$53&gt;0)+('Yellow Bosses'!$T$5:$T$53&gt;0)+('Yellow Bosses'!$V$5:$V$53&gt;0))=0))</f>
        <v>0</v>
      </c>
      <c r="J188" s="25" t="n">
        <f aca="false">SUMPRODUCT(--(((Effectiveness!$J$5:$J$155&gt;=2)+(Effectiveness!$P$5:$P$155&gt;=2)+(Effectiveness!$Q$5:$Q$155&gt;=2)+(Effectiveness!$S$5:$S$155&gt;=2))&gt;0))</f>
        <v>94</v>
      </c>
      <c r="K188" s="26" t="n">
        <f aca="false">J188/151</f>
        <v>0.622516556291391</v>
      </c>
      <c r="L188" s="25" t="n">
        <f aca="false">MIN(INDEX('Move Reality'!$F$5:$F$19,MATCH(B188,'Move Reality'!$A$5:$A$19,0)),INDEX('Move Reality'!$F$5:$F$19,MATCH(C188,'Move Reality'!$A$5:$A$19,0)),INDEX('Move Reality'!$F$5:$F$19,MATCH(D188,'Move Reality'!$A$5:$A$19,0)),INDEX('Move Reality'!$F$5:$F$19,MATCH(E188,'Move Reality'!$A$5:$A$19,0)))</f>
        <v>1</v>
      </c>
      <c r="M188" s="28" t="str">
        <f aca="false">IF(L188&gt;=5,"YES","no - dead move")</f>
        <v>no - dead move</v>
      </c>
    </row>
    <row r="189" customFormat="false" ht="15" hidden="false" customHeight="false" outlineLevel="0" collapsed="false">
      <c r="A189" s="17" t="n">
        <v>185</v>
      </c>
      <c r="B189" s="17" t="s">
        <v>48</v>
      </c>
      <c r="C189" s="17" t="s">
        <v>49</v>
      </c>
      <c r="D189" s="17" t="s">
        <v>51</v>
      </c>
      <c r="E189" s="17" t="s">
        <v>54</v>
      </c>
      <c r="F189" s="25" t="n">
        <f aca="false">SUMPRODUCT(--((('Yellow Bosses'!$P$5:$P$53&gt;=2)+('Yellow Bosses'!$Q$5:$Q$53&gt;=2)+('Yellow Bosses'!$S$5:$S$53&gt;=2)+('Yellow Bosses'!$V$5:$V$53&gt;=2))&gt;0))</f>
        <v>38</v>
      </c>
      <c r="G189" s="26" t="n">
        <f aca="false">F189/49</f>
        <v>0.775510204081633</v>
      </c>
      <c r="H189" s="25" t="n">
        <f aca="false">49-SUMPRODUCT(--((('Yellow Bosses'!$P$5:$P$53&gt;=1)+('Yellow Bosses'!$Q$5:$Q$53&gt;=1)+('Yellow Bosses'!$S$5:$S$53&gt;=1)+('Yellow Bosses'!$V$5:$V$53&gt;=1))&gt;0))</f>
        <v>0</v>
      </c>
      <c r="I189" s="25" t="n">
        <f aca="false">SUMPRODUCT(--((('Yellow Bosses'!$P$5:$P$53&gt;0)+('Yellow Bosses'!$Q$5:$Q$53&gt;0)+('Yellow Bosses'!$S$5:$S$53&gt;0)+('Yellow Bosses'!$V$5:$V$53&gt;0))=0))</f>
        <v>0</v>
      </c>
      <c r="J189" s="25" t="n">
        <f aca="false">SUMPRODUCT(--(((Effectiveness!$M$5:$M$155&gt;=2)+(Effectiveness!$N$5:$N$155&gt;=2)+(Effectiveness!$P$5:$P$155&gt;=2)+(Effectiveness!$S$5:$S$155&gt;=2))&gt;0))</f>
        <v>92</v>
      </c>
      <c r="K189" s="26" t="n">
        <f aca="false">J189/151</f>
        <v>0.609271523178808</v>
      </c>
      <c r="L189" s="25" t="n">
        <f aca="false">MIN(INDEX('Move Reality'!$F$5:$F$19,MATCH(B189,'Move Reality'!$A$5:$A$19,0)),INDEX('Move Reality'!$F$5:$F$19,MATCH(C189,'Move Reality'!$A$5:$A$19,0)),INDEX('Move Reality'!$F$5:$F$19,MATCH(D189,'Move Reality'!$A$5:$A$19,0)),INDEX('Move Reality'!$F$5:$F$19,MATCH(E189,'Move Reality'!$A$5:$A$19,0)))</f>
        <v>1</v>
      </c>
      <c r="M189" s="28" t="str">
        <f aca="false">IF(L189&gt;=5,"YES","no - dead move")</f>
        <v>no - dead move</v>
      </c>
    </row>
    <row r="190" customFormat="false" ht="15" hidden="false" customHeight="false" outlineLevel="0" collapsed="false">
      <c r="A190" s="17" t="n">
        <v>186</v>
      </c>
      <c r="B190" s="17" t="s">
        <v>42</v>
      </c>
      <c r="C190" s="17" t="s">
        <v>48</v>
      </c>
      <c r="D190" s="17" t="s">
        <v>51</v>
      </c>
      <c r="E190" s="17" t="s">
        <v>54</v>
      </c>
      <c r="F190" s="25" t="n">
        <f aca="false">SUMPRODUCT(--((('Yellow Bosses'!$J$5:$J$53&gt;=2)+('Yellow Bosses'!$P$5:$P$53&gt;=2)+('Yellow Bosses'!$S$5:$S$53&gt;=2)+('Yellow Bosses'!$V$5:$V$53&gt;=2))&gt;0))</f>
        <v>38</v>
      </c>
      <c r="G190" s="26" t="n">
        <f aca="false">F190/49</f>
        <v>0.775510204081633</v>
      </c>
      <c r="H190" s="25" t="n">
        <f aca="false">49-SUMPRODUCT(--((('Yellow Bosses'!$J$5:$J$53&gt;=1)+('Yellow Bosses'!$P$5:$P$53&gt;=1)+('Yellow Bosses'!$S$5:$S$53&gt;=1)+('Yellow Bosses'!$V$5:$V$53&gt;=1))&gt;0))</f>
        <v>0</v>
      </c>
      <c r="I190" s="25" t="n">
        <f aca="false">SUMPRODUCT(--((('Yellow Bosses'!$J$5:$J$53&gt;0)+('Yellow Bosses'!$P$5:$P$53&gt;0)+('Yellow Bosses'!$S$5:$S$53&gt;0)+('Yellow Bosses'!$V$5:$V$53&gt;0))=0))</f>
        <v>0</v>
      </c>
      <c r="J190" s="25" t="n">
        <f aca="false">SUMPRODUCT(--(((Effectiveness!$G$5:$G$155&gt;=2)+(Effectiveness!$M$5:$M$155&gt;=2)+(Effectiveness!$P$5:$P$155&gt;=2)+(Effectiveness!$S$5:$S$155&gt;=2))&gt;0))</f>
        <v>88</v>
      </c>
      <c r="K190" s="26" t="n">
        <f aca="false">J190/151</f>
        <v>0.582781456953642</v>
      </c>
      <c r="L190" s="25" t="n">
        <f aca="false">MIN(INDEX('Move Reality'!$F$5:$F$19,MATCH(B190,'Move Reality'!$A$5:$A$19,0)),INDEX('Move Reality'!$F$5:$F$19,MATCH(C190,'Move Reality'!$A$5:$A$19,0)),INDEX('Move Reality'!$F$5:$F$19,MATCH(D190,'Move Reality'!$A$5:$A$19,0)),INDEX('Move Reality'!$F$5:$F$19,MATCH(E190,'Move Reality'!$A$5:$A$19,0)))</f>
        <v>1</v>
      </c>
      <c r="M190" s="28" t="str">
        <f aca="false">IF(L190&gt;=5,"YES","no - dead move")</f>
        <v>no - dead move</v>
      </c>
    </row>
    <row r="191" customFormat="false" ht="15" hidden="false" customHeight="false" outlineLevel="0" collapsed="false">
      <c r="A191" s="17" t="n">
        <v>187</v>
      </c>
      <c r="B191" s="17" t="s">
        <v>43</v>
      </c>
      <c r="C191" s="17" t="s">
        <v>45</v>
      </c>
      <c r="D191" s="17" t="s">
        <v>46</v>
      </c>
      <c r="E191" s="17" t="s">
        <v>48</v>
      </c>
      <c r="F191" s="25" t="n">
        <f aca="false">SUMPRODUCT(--((('Yellow Bosses'!$K$5:$K$53&gt;=2)+('Yellow Bosses'!$M$5:$M$53&gt;=2)+('Yellow Bosses'!$N$5:$N$53&gt;=2)+('Yellow Bosses'!$P$5:$P$53&gt;=2))&gt;0))</f>
        <v>37</v>
      </c>
      <c r="G191" s="26" t="n">
        <f aca="false">F191/49</f>
        <v>0.755102040816327</v>
      </c>
      <c r="H191" s="25" t="n">
        <f aca="false">49-SUMPRODUCT(--((('Yellow Bosses'!$K$5:$K$53&gt;=1)+('Yellow Bosses'!$M$5:$M$53&gt;=1)+('Yellow Bosses'!$N$5:$N$53&gt;=1)+('Yellow Bosses'!$P$5:$P$53&gt;=1))&gt;0))</f>
        <v>0</v>
      </c>
      <c r="I191" s="25" t="n">
        <f aca="false">SUMPRODUCT(--((('Yellow Bosses'!$K$5:$K$53&gt;0)+('Yellow Bosses'!$M$5:$M$53&gt;0)+('Yellow Bosses'!$N$5:$N$53&gt;0)+('Yellow Bosses'!$P$5:$P$53&gt;0))=0))</f>
        <v>0</v>
      </c>
      <c r="J191" s="25" t="n">
        <f aca="false">SUMPRODUCT(--(((Effectiveness!$H$5:$H$155&gt;=2)+(Effectiveness!$J$5:$J$155&gt;=2)+(Effectiveness!$K$5:$K$155&gt;=2)+(Effectiveness!$M$5:$M$155&gt;=2))&gt;0))</f>
        <v>127</v>
      </c>
      <c r="K191" s="26" t="n">
        <f aca="false">J191/151</f>
        <v>0.841059602649007</v>
      </c>
      <c r="L191" s="25" t="n">
        <f aca="false">MIN(INDEX('Move Reality'!$F$5:$F$19,MATCH(B191,'Move Reality'!$A$5:$A$19,0)),INDEX('Move Reality'!$F$5:$F$19,MATCH(C191,'Move Reality'!$A$5:$A$19,0)),INDEX('Move Reality'!$F$5:$F$19,MATCH(D191,'Move Reality'!$A$5:$A$19,0)),INDEX('Move Reality'!$F$5:$F$19,MATCH(E191,'Move Reality'!$A$5:$A$19,0)))</f>
        <v>5</v>
      </c>
      <c r="M191" s="28" t="str">
        <f aca="false">IF(L191&gt;=5,"YES","no - dead move")</f>
        <v>YES</v>
      </c>
    </row>
    <row r="192" customFormat="false" ht="15" hidden="false" customHeight="false" outlineLevel="0" collapsed="false">
      <c r="A192" s="17" t="n">
        <v>188</v>
      </c>
      <c r="B192" s="17" t="s">
        <v>41</v>
      </c>
      <c r="C192" s="17" t="s">
        <v>43</v>
      </c>
      <c r="D192" s="17" t="s">
        <v>46</v>
      </c>
      <c r="E192" s="17" t="s">
        <v>48</v>
      </c>
      <c r="F192" s="25" t="n">
        <f aca="false">SUMPRODUCT(--((('Yellow Bosses'!$I$5:$I$53&gt;=2)+('Yellow Bosses'!$K$5:$K$53&gt;=2)+('Yellow Bosses'!$N$5:$N$53&gt;=2)+('Yellow Bosses'!$P$5:$P$53&gt;=2))&gt;0))</f>
        <v>37</v>
      </c>
      <c r="G192" s="26" t="n">
        <f aca="false">F192/49</f>
        <v>0.755102040816327</v>
      </c>
      <c r="H192" s="25" t="n">
        <f aca="false">49-SUMPRODUCT(--((('Yellow Bosses'!$I$5:$I$53&gt;=1)+('Yellow Bosses'!$K$5:$K$53&gt;=1)+('Yellow Bosses'!$N$5:$N$53&gt;=1)+('Yellow Bosses'!$P$5:$P$53&gt;=1))&gt;0))</f>
        <v>0</v>
      </c>
      <c r="I192" s="25" t="n">
        <f aca="false">SUMPRODUCT(--((('Yellow Bosses'!$I$5:$I$53&gt;0)+('Yellow Bosses'!$K$5:$K$53&gt;0)+('Yellow Bosses'!$N$5:$N$53&gt;0)+('Yellow Bosses'!$P$5:$P$53&gt;0))=0))</f>
        <v>0</v>
      </c>
      <c r="J192" s="25" t="n">
        <f aca="false">SUMPRODUCT(--(((Effectiveness!$F$5:$F$155&gt;=2)+(Effectiveness!$H$5:$H$155&gt;=2)+(Effectiveness!$K$5:$K$155&gt;=2)+(Effectiveness!$M$5:$M$155&gt;=2))&gt;0))</f>
        <v>126</v>
      </c>
      <c r="K192" s="26" t="n">
        <f aca="false">J192/151</f>
        <v>0.834437086092715</v>
      </c>
      <c r="L192" s="25" t="n">
        <f aca="false">MIN(INDEX('Move Reality'!$F$5:$F$19,MATCH(B192,'Move Reality'!$A$5:$A$19,0)),INDEX('Move Reality'!$F$5:$F$19,MATCH(C192,'Move Reality'!$A$5:$A$19,0)),INDEX('Move Reality'!$F$5:$F$19,MATCH(D192,'Move Reality'!$A$5:$A$19,0)),INDEX('Move Reality'!$F$5:$F$19,MATCH(E192,'Move Reality'!$A$5:$A$19,0)))</f>
        <v>5</v>
      </c>
      <c r="M192" s="28" t="str">
        <f aca="false">IF(L192&gt;=5,"YES","no - dead move")</f>
        <v>YES</v>
      </c>
    </row>
    <row r="193" customFormat="false" ht="15" hidden="false" customHeight="false" outlineLevel="0" collapsed="false">
      <c r="A193" s="17" t="n">
        <v>189</v>
      </c>
      <c r="B193" s="17" t="s">
        <v>43</v>
      </c>
      <c r="C193" s="17" t="s">
        <v>46</v>
      </c>
      <c r="D193" s="17" t="s">
        <v>51</v>
      </c>
      <c r="E193" s="17" t="s">
        <v>52</v>
      </c>
      <c r="F193" s="25" t="n">
        <f aca="false">SUMPRODUCT(--((('Yellow Bosses'!$K$5:$K$53&gt;=2)+('Yellow Bosses'!$N$5:$N$53&gt;=2)+('Yellow Bosses'!$S$5:$S$53&gt;=2)+('Yellow Bosses'!$T$5:$T$53&gt;=2))&gt;0))</f>
        <v>37</v>
      </c>
      <c r="G193" s="26" t="n">
        <f aca="false">F193/49</f>
        <v>0.755102040816327</v>
      </c>
      <c r="H193" s="25" t="n">
        <f aca="false">49-SUMPRODUCT(--((('Yellow Bosses'!$K$5:$K$53&gt;=1)+('Yellow Bosses'!$N$5:$N$53&gt;=1)+('Yellow Bosses'!$S$5:$S$53&gt;=1)+('Yellow Bosses'!$T$5:$T$53&gt;=1))&gt;0))</f>
        <v>0</v>
      </c>
      <c r="I193" s="25" t="n">
        <f aca="false">SUMPRODUCT(--((('Yellow Bosses'!$K$5:$K$53&gt;0)+('Yellow Bosses'!$N$5:$N$53&gt;0)+('Yellow Bosses'!$S$5:$S$53&gt;0)+('Yellow Bosses'!$T$5:$T$53&gt;0))=0))</f>
        <v>0</v>
      </c>
      <c r="J193" s="25" t="n">
        <f aca="false">SUMPRODUCT(--(((Effectiveness!$H$5:$H$155&gt;=2)+(Effectiveness!$K$5:$K$155&gt;=2)+(Effectiveness!$P$5:$P$155&gt;=2)+(Effectiveness!$Q$5:$Q$155&gt;=2))&gt;0))</f>
        <v>125</v>
      </c>
      <c r="K193" s="26" t="n">
        <f aca="false">J193/151</f>
        <v>0.827814569536424</v>
      </c>
      <c r="L193" s="25" t="n">
        <f aca="false">MIN(INDEX('Move Reality'!$F$5:$F$19,MATCH(B193,'Move Reality'!$A$5:$A$19,0)),INDEX('Move Reality'!$F$5:$F$19,MATCH(C193,'Move Reality'!$A$5:$A$19,0)),INDEX('Move Reality'!$F$5:$F$19,MATCH(D193,'Move Reality'!$A$5:$A$19,0)),INDEX('Move Reality'!$F$5:$F$19,MATCH(E193,'Move Reality'!$A$5:$A$19,0)))</f>
        <v>1</v>
      </c>
      <c r="M193" s="28" t="str">
        <f aca="false">IF(L193&gt;=5,"YES","no - dead move")</f>
        <v>no - dead move</v>
      </c>
    </row>
    <row r="194" customFormat="false" ht="15" hidden="false" customHeight="false" outlineLevel="0" collapsed="false">
      <c r="A194" s="17" t="n">
        <v>190</v>
      </c>
      <c r="B194" s="17" t="s">
        <v>43</v>
      </c>
      <c r="C194" s="17" t="s">
        <v>46</v>
      </c>
      <c r="D194" s="17" t="s">
        <v>48</v>
      </c>
      <c r="E194" s="17" t="s">
        <v>50</v>
      </c>
      <c r="F194" s="25" t="n">
        <f aca="false">SUMPRODUCT(--((('Yellow Bosses'!$K$5:$K$53&gt;=2)+('Yellow Bosses'!$N$5:$N$53&gt;=2)+('Yellow Bosses'!$P$5:$P$53&gt;=2)+('Yellow Bosses'!$R$5:$R$53&gt;=2))&gt;0))</f>
        <v>37</v>
      </c>
      <c r="G194" s="26" t="n">
        <f aca="false">F194/49</f>
        <v>0.755102040816327</v>
      </c>
      <c r="H194" s="25" t="n">
        <f aca="false">49-SUMPRODUCT(--((('Yellow Bosses'!$K$5:$K$53&gt;=1)+('Yellow Bosses'!$N$5:$N$53&gt;=1)+('Yellow Bosses'!$P$5:$P$53&gt;=1)+('Yellow Bosses'!$R$5:$R$53&gt;=1))&gt;0))</f>
        <v>1</v>
      </c>
      <c r="I194" s="25" t="n">
        <f aca="false">SUMPRODUCT(--((('Yellow Bosses'!$K$5:$K$53&gt;0)+('Yellow Bosses'!$N$5:$N$53&gt;0)+('Yellow Bosses'!$P$5:$P$53&gt;0)+('Yellow Bosses'!$R$5:$R$53&gt;0))=0))</f>
        <v>0</v>
      </c>
      <c r="J194" s="25" t="n">
        <f aca="false">SUMPRODUCT(--(((Effectiveness!$H$5:$H$155&gt;=2)+(Effectiveness!$K$5:$K$155&gt;=2)+(Effectiveness!$M$5:$M$155&gt;=2)+(Effectiveness!$O$5:$O$155&gt;=2))&gt;0))</f>
        <v>124</v>
      </c>
      <c r="K194" s="26" t="n">
        <f aca="false">J194/151</f>
        <v>0.821192052980132</v>
      </c>
      <c r="L194" s="25" t="n">
        <f aca="false">MIN(INDEX('Move Reality'!$F$5:$F$19,MATCH(B194,'Move Reality'!$A$5:$A$19,0)),INDEX('Move Reality'!$F$5:$F$19,MATCH(C194,'Move Reality'!$A$5:$A$19,0)),INDEX('Move Reality'!$F$5:$F$19,MATCH(D194,'Move Reality'!$A$5:$A$19,0)),INDEX('Move Reality'!$F$5:$F$19,MATCH(E194,'Move Reality'!$A$5:$A$19,0)))</f>
        <v>5</v>
      </c>
      <c r="M194" s="28" t="str">
        <f aca="false">IF(L194&gt;=5,"YES","no - dead move")</f>
        <v>YES</v>
      </c>
    </row>
    <row r="195" customFormat="false" ht="15" hidden="false" customHeight="false" outlineLevel="0" collapsed="false">
      <c r="A195" s="17" t="n">
        <v>191</v>
      </c>
      <c r="B195" s="17" t="s">
        <v>43</v>
      </c>
      <c r="C195" s="17" t="s">
        <v>46</v>
      </c>
      <c r="D195" s="17" t="s">
        <v>50</v>
      </c>
      <c r="E195" s="17" t="s">
        <v>52</v>
      </c>
      <c r="F195" s="25" t="n">
        <f aca="false">SUMPRODUCT(--((('Yellow Bosses'!$K$5:$K$53&gt;=2)+('Yellow Bosses'!$N$5:$N$53&gt;=2)+('Yellow Bosses'!$R$5:$R$53&gt;=2)+('Yellow Bosses'!$T$5:$T$53&gt;=2))&gt;0))</f>
        <v>37</v>
      </c>
      <c r="G195" s="26" t="n">
        <f aca="false">F195/49</f>
        <v>0.755102040816327</v>
      </c>
      <c r="H195" s="25" t="n">
        <f aca="false">49-SUMPRODUCT(--((('Yellow Bosses'!$K$5:$K$53&gt;=1)+('Yellow Bosses'!$N$5:$N$53&gt;=1)+('Yellow Bosses'!$R$5:$R$53&gt;=1)+('Yellow Bosses'!$T$5:$T$53&gt;=1))&gt;0))</f>
        <v>0</v>
      </c>
      <c r="I195" s="25" t="n">
        <f aca="false">SUMPRODUCT(--((('Yellow Bosses'!$K$5:$K$53&gt;0)+('Yellow Bosses'!$N$5:$N$53&gt;0)+('Yellow Bosses'!$R$5:$R$53&gt;0)+('Yellow Bosses'!$T$5:$T$53&gt;0))=0))</f>
        <v>0</v>
      </c>
      <c r="J195" s="25" t="n">
        <f aca="false">SUMPRODUCT(--(((Effectiveness!$H$5:$H$155&gt;=2)+(Effectiveness!$K$5:$K$155&gt;=2)+(Effectiveness!$O$5:$O$155&gt;=2)+(Effectiveness!$Q$5:$Q$155&gt;=2))&gt;0))</f>
        <v>124</v>
      </c>
      <c r="K195" s="26" t="n">
        <f aca="false">J195/151</f>
        <v>0.821192052980132</v>
      </c>
      <c r="L195" s="25" t="n">
        <f aca="false">MIN(INDEX('Move Reality'!$F$5:$F$19,MATCH(B195,'Move Reality'!$A$5:$A$19,0)),INDEX('Move Reality'!$F$5:$F$19,MATCH(C195,'Move Reality'!$A$5:$A$19,0)),INDEX('Move Reality'!$F$5:$F$19,MATCH(D195,'Move Reality'!$A$5:$A$19,0)),INDEX('Move Reality'!$F$5:$F$19,MATCH(E195,'Move Reality'!$A$5:$A$19,0)))</f>
        <v>5</v>
      </c>
      <c r="M195" s="28" t="str">
        <f aca="false">IF(L195&gt;=5,"YES","no - dead move")</f>
        <v>YES</v>
      </c>
    </row>
    <row r="196" customFormat="false" ht="15" hidden="false" customHeight="false" outlineLevel="0" collapsed="false">
      <c r="A196" s="17" t="n">
        <v>192</v>
      </c>
      <c r="B196" s="17" t="s">
        <v>42</v>
      </c>
      <c r="C196" s="17" t="s">
        <v>43</v>
      </c>
      <c r="D196" s="17" t="s">
        <v>46</v>
      </c>
      <c r="E196" s="17" t="s">
        <v>50</v>
      </c>
      <c r="F196" s="25" t="n">
        <f aca="false">SUMPRODUCT(--((('Yellow Bosses'!$J$5:$J$53&gt;=2)+('Yellow Bosses'!$K$5:$K$53&gt;=2)+('Yellow Bosses'!$N$5:$N$53&gt;=2)+('Yellow Bosses'!$R$5:$R$53&gt;=2))&gt;0))</f>
        <v>37</v>
      </c>
      <c r="G196" s="26" t="n">
        <f aca="false">F196/49</f>
        <v>0.755102040816327</v>
      </c>
      <c r="H196" s="25" t="n">
        <f aca="false">49-SUMPRODUCT(--((('Yellow Bosses'!$J$5:$J$53&gt;=1)+('Yellow Bosses'!$K$5:$K$53&gt;=1)+('Yellow Bosses'!$N$5:$N$53&gt;=1)+('Yellow Bosses'!$R$5:$R$53&gt;=1))&gt;0))</f>
        <v>1</v>
      </c>
      <c r="I196" s="25" t="n">
        <f aca="false">SUMPRODUCT(--((('Yellow Bosses'!$J$5:$J$53&gt;0)+('Yellow Bosses'!$K$5:$K$53&gt;0)+('Yellow Bosses'!$N$5:$N$53&gt;0)+('Yellow Bosses'!$R$5:$R$53&gt;0))=0))</f>
        <v>0</v>
      </c>
      <c r="J196" s="25" t="n">
        <f aca="false">SUMPRODUCT(--(((Effectiveness!$G$5:$G$155&gt;=2)+(Effectiveness!$H$5:$H$155&gt;=2)+(Effectiveness!$K$5:$K$155&gt;=2)+(Effectiveness!$O$5:$O$155&gt;=2))&gt;0))</f>
        <v>122</v>
      </c>
      <c r="K196" s="26" t="n">
        <f aca="false">J196/151</f>
        <v>0.80794701986755</v>
      </c>
      <c r="L196" s="25" t="n">
        <f aca="false">MIN(INDEX('Move Reality'!$F$5:$F$19,MATCH(B196,'Move Reality'!$A$5:$A$19,0)),INDEX('Move Reality'!$F$5:$F$19,MATCH(C196,'Move Reality'!$A$5:$A$19,0)),INDEX('Move Reality'!$F$5:$F$19,MATCH(D196,'Move Reality'!$A$5:$A$19,0)),INDEX('Move Reality'!$F$5:$F$19,MATCH(E196,'Move Reality'!$A$5:$A$19,0)))</f>
        <v>5</v>
      </c>
      <c r="M196" s="28" t="str">
        <f aca="false">IF(L196&gt;=5,"YES","no - dead move")</f>
        <v>YES</v>
      </c>
    </row>
    <row r="197" customFormat="false" ht="15" hidden="false" customHeight="false" outlineLevel="0" collapsed="false">
      <c r="A197" s="17" t="n">
        <v>193</v>
      </c>
      <c r="B197" s="17" t="s">
        <v>43</v>
      </c>
      <c r="C197" s="17" t="s">
        <v>45</v>
      </c>
      <c r="D197" s="17" t="s">
        <v>46</v>
      </c>
      <c r="E197" s="17" t="s">
        <v>51</v>
      </c>
      <c r="F197" s="25" t="n">
        <f aca="false">SUMPRODUCT(--((('Yellow Bosses'!$K$5:$K$53&gt;=2)+('Yellow Bosses'!$M$5:$M$53&gt;=2)+('Yellow Bosses'!$N$5:$N$53&gt;=2)+('Yellow Bosses'!$S$5:$S$53&gt;=2))&gt;0))</f>
        <v>37</v>
      </c>
      <c r="G197" s="26" t="n">
        <f aca="false">F197/49</f>
        <v>0.755102040816327</v>
      </c>
      <c r="H197" s="25" t="n">
        <f aca="false">49-SUMPRODUCT(--((('Yellow Bosses'!$K$5:$K$53&gt;=1)+('Yellow Bosses'!$M$5:$M$53&gt;=1)+('Yellow Bosses'!$N$5:$N$53&gt;=1)+('Yellow Bosses'!$S$5:$S$53&gt;=1))&gt;0))</f>
        <v>0</v>
      </c>
      <c r="I197" s="25" t="n">
        <f aca="false">SUMPRODUCT(--((('Yellow Bosses'!$K$5:$K$53&gt;0)+('Yellow Bosses'!$M$5:$M$53&gt;0)+('Yellow Bosses'!$N$5:$N$53&gt;0)+('Yellow Bosses'!$S$5:$S$53&gt;0))=0))</f>
        <v>0</v>
      </c>
      <c r="J197" s="25" t="n">
        <f aca="false">SUMPRODUCT(--(((Effectiveness!$H$5:$H$155&gt;=2)+(Effectiveness!$J$5:$J$155&gt;=2)+(Effectiveness!$K$5:$K$155&gt;=2)+(Effectiveness!$P$5:$P$155&gt;=2))&gt;0))</f>
        <v>120</v>
      </c>
      <c r="K197" s="26" t="n">
        <f aca="false">J197/151</f>
        <v>0.794701986754967</v>
      </c>
      <c r="L197" s="25" t="n">
        <f aca="false">MIN(INDEX('Move Reality'!$F$5:$F$19,MATCH(B197,'Move Reality'!$A$5:$A$19,0)),INDEX('Move Reality'!$F$5:$F$19,MATCH(C197,'Move Reality'!$A$5:$A$19,0)),INDEX('Move Reality'!$F$5:$F$19,MATCH(D197,'Move Reality'!$A$5:$A$19,0)),INDEX('Move Reality'!$F$5:$F$19,MATCH(E197,'Move Reality'!$A$5:$A$19,0)))</f>
        <v>1</v>
      </c>
      <c r="M197" s="28" t="str">
        <f aca="false">IF(L197&gt;=5,"YES","no - dead move")</f>
        <v>no - dead move</v>
      </c>
    </row>
    <row r="198" customFormat="false" ht="15" hidden="false" customHeight="false" outlineLevel="0" collapsed="false">
      <c r="A198" s="17" t="n">
        <v>194</v>
      </c>
      <c r="B198" s="17" t="s">
        <v>44</v>
      </c>
      <c r="C198" s="17" t="s">
        <v>45</v>
      </c>
      <c r="D198" s="17" t="s">
        <v>46</v>
      </c>
      <c r="E198" s="17" t="s">
        <v>50</v>
      </c>
      <c r="F198" s="25" t="n">
        <f aca="false">SUMPRODUCT(--((('Yellow Bosses'!$L$5:$L$53&gt;=2)+('Yellow Bosses'!$M$5:$M$53&gt;=2)+('Yellow Bosses'!$N$5:$N$53&gt;=2)+('Yellow Bosses'!$R$5:$R$53&gt;=2))&gt;0))</f>
        <v>37</v>
      </c>
      <c r="G198" s="26" t="n">
        <f aca="false">F198/49</f>
        <v>0.755102040816327</v>
      </c>
      <c r="H198" s="25" t="n">
        <f aca="false">49-SUMPRODUCT(--((('Yellow Bosses'!$L$5:$L$53&gt;=1)+('Yellow Bosses'!$M$5:$M$53&gt;=1)+('Yellow Bosses'!$N$5:$N$53&gt;=1)+('Yellow Bosses'!$R$5:$R$53&gt;=1))&gt;0))</f>
        <v>0</v>
      </c>
      <c r="I198" s="25" t="n">
        <f aca="false">SUMPRODUCT(--((('Yellow Bosses'!$L$5:$L$53&gt;0)+('Yellow Bosses'!$M$5:$M$53&gt;0)+('Yellow Bosses'!$N$5:$N$53&gt;0)+('Yellow Bosses'!$R$5:$R$53&gt;0))=0))</f>
        <v>0</v>
      </c>
      <c r="J198" s="25" t="n">
        <f aca="false">SUMPRODUCT(--(((Effectiveness!$I$5:$I$155&gt;=2)+(Effectiveness!$J$5:$J$155&gt;=2)+(Effectiveness!$K$5:$K$155&gt;=2)+(Effectiveness!$O$5:$O$155&gt;=2))&gt;0))</f>
        <v>119</v>
      </c>
      <c r="K198" s="26" t="n">
        <f aca="false">J198/151</f>
        <v>0.788079470198676</v>
      </c>
      <c r="L198" s="25" t="n">
        <f aca="false">MIN(INDEX('Move Reality'!$F$5:$F$19,MATCH(B198,'Move Reality'!$A$5:$A$19,0)),INDEX('Move Reality'!$F$5:$F$19,MATCH(C198,'Move Reality'!$A$5:$A$19,0)),INDEX('Move Reality'!$F$5:$F$19,MATCH(D198,'Move Reality'!$A$5:$A$19,0)),INDEX('Move Reality'!$F$5:$F$19,MATCH(E198,'Move Reality'!$A$5:$A$19,0)))</f>
        <v>4</v>
      </c>
      <c r="M198" s="28" t="str">
        <f aca="false">IF(L198&gt;=5,"YES","no - dead move")</f>
        <v>no - dead move</v>
      </c>
    </row>
    <row r="199" customFormat="false" ht="15" hidden="false" customHeight="false" outlineLevel="0" collapsed="false">
      <c r="A199" s="17" t="n">
        <v>195</v>
      </c>
      <c r="B199" s="17" t="s">
        <v>44</v>
      </c>
      <c r="C199" s="17" t="s">
        <v>46</v>
      </c>
      <c r="D199" s="17" t="s">
        <v>48</v>
      </c>
      <c r="E199" s="17" t="s">
        <v>50</v>
      </c>
      <c r="F199" s="25" t="n">
        <f aca="false">SUMPRODUCT(--((('Yellow Bosses'!$L$5:$L$53&gt;=2)+('Yellow Bosses'!$N$5:$N$53&gt;=2)+('Yellow Bosses'!$P$5:$P$53&gt;=2)+('Yellow Bosses'!$R$5:$R$53&gt;=2))&gt;0))</f>
        <v>37</v>
      </c>
      <c r="G199" s="26" t="n">
        <f aca="false">F199/49</f>
        <v>0.755102040816327</v>
      </c>
      <c r="H199" s="25" t="n">
        <f aca="false">49-SUMPRODUCT(--((('Yellow Bosses'!$L$5:$L$53&gt;=1)+('Yellow Bosses'!$N$5:$N$53&gt;=1)+('Yellow Bosses'!$P$5:$P$53&gt;=1)+('Yellow Bosses'!$R$5:$R$53&gt;=1))&gt;0))</f>
        <v>1</v>
      </c>
      <c r="I199" s="25" t="n">
        <f aca="false">SUMPRODUCT(--((('Yellow Bosses'!$L$5:$L$53&gt;0)+('Yellow Bosses'!$N$5:$N$53&gt;0)+('Yellow Bosses'!$P$5:$P$53&gt;0)+('Yellow Bosses'!$R$5:$R$53&gt;0))=0))</f>
        <v>0</v>
      </c>
      <c r="J199" s="25" t="n">
        <f aca="false">SUMPRODUCT(--(((Effectiveness!$I$5:$I$155&gt;=2)+(Effectiveness!$K$5:$K$155&gt;=2)+(Effectiveness!$M$5:$M$155&gt;=2)+(Effectiveness!$O$5:$O$155&gt;=2))&gt;0))</f>
        <v>115</v>
      </c>
      <c r="K199" s="26" t="n">
        <f aca="false">J199/151</f>
        <v>0.76158940397351</v>
      </c>
      <c r="L199" s="25" t="n">
        <f aca="false">MIN(INDEX('Move Reality'!$F$5:$F$19,MATCH(B199,'Move Reality'!$A$5:$A$19,0)),INDEX('Move Reality'!$F$5:$F$19,MATCH(C199,'Move Reality'!$A$5:$A$19,0)),INDEX('Move Reality'!$F$5:$F$19,MATCH(D199,'Move Reality'!$A$5:$A$19,0)),INDEX('Move Reality'!$F$5:$F$19,MATCH(E199,'Move Reality'!$A$5:$A$19,0)))</f>
        <v>4</v>
      </c>
      <c r="M199" s="28" t="str">
        <f aca="false">IF(L199&gt;=5,"YES","no - dead move")</f>
        <v>no - dead move</v>
      </c>
    </row>
    <row r="200" customFormat="false" ht="15" hidden="false" customHeight="false" outlineLevel="0" collapsed="false">
      <c r="A200" s="17" t="n">
        <v>196</v>
      </c>
      <c r="B200" s="17" t="s">
        <v>46</v>
      </c>
      <c r="C200" s="17" t="s">
        <v>48</v>
      </c>
      <c r="D200" s="17" t="s">
        <v>49</v>
      </c>
      <c r="E200" s="17" t="s">
        <v>52</v>
      </c>
      <c r="F200" s="25" t="n">
        <f aca="false">SUMPRODUCT(--((('Yellow Bosses'!$N$5:$N$53&gt;=2)+('Yellow Bosses'!$P$5:$P$53&gt;=2)+('Yellow Bosses'!$Q$5:$Q$53&gt;=2)+('Yellow Bosses'!$T$5:$T$53&gt;=2))&gt;0))</f>
        <v>37</v>
      </c>
      <c r="G200" s="26" t="n">
        <f aca="false">F200/49</f>
        <v>0.755102040816327</v>
      </c>
      <c r="H200" s="25" t="n">
        <f aca="false">49-SUMPRODUCT(--((('Yellow Bosses'!$N$5:$N$53&gt;=1)+('Yellow Bosses'!$P$5:$P$53&gt;=1)+('Yellow Bosses'!$Q$5:$Q$53&gt;=1)+('Yellow Bosses'!$T$5:$T$53&gt;=1))&gt;0))</f>
        <v>0</v>
      </c>
      <c r="I200" s="25" t="n">
        <f aca="false">SUMPRODUCT(--((('Yellow Bosses'!$N$5:$N$53&gt;0)+('Yellow Bosses'!$P$5:$P$53&gt;0)+('Yellow Bosses'!$Q$5:$Q$53&gt;0)+('Yellow Bosses'!$T$5:$T$53&gt;0))=0))</f>
        <v>0</v>
      </c>
      <c r="J200" s="25" t="n">
        <f aca="false">SUMPRODUCT(--(((Effectiveness!$K$5:$K$155&gt;=2)+(Effectiveness!$M$5:$M$155&gt;=2)+(Effectiveness!$N$5:$N$155&gt;=2)+(Effectiveness!$Q$5:$Q$155&gt;=2))&gt;0))</f>
        <v>114</v>
      </c>
      <c r="K200" s="26" t="n">
        <f aca="false">J200/151</f>
        <v>0.754966887417219</v>
      </c>
      <c r="L200" s="25" t="n">
        <f aca="false">MIN(INDEX('Move Reality'!$F$5:$F$19,MATCH(B200,'Move Reality'!$A$5:$A$19,0)),INDEX('Move Reality'!$F$5:$F$19,MATCH(C200,'Move Reality'!$A$5:$A$19,0)),INDEX('Move Reality'!$F$5:$F$19,MATCH(D200,'Move Reality'!$A$5:$A$19,0)),INDEX('Move Reality'!$F$5:$F$19,MATCH(E200,'Move Reality'!$A$5:$A$19,0)))</f>
        <v>5</v>
      </c>
      <c r="M200" s="28" t="str">
        <f aca="false">IF(L200&gt;=5,"YES","no - dead move")</f>
        <v>YES</v>
      </c>
    </row>
    <row r="201" customFormat="false" ht="15" hidden="false" customHeight="false" outlineLevel="0" collapsed="false">
      <c r="A201" s="17" t="n">
        <v>197</v>
      </c>
      <c r="B201" s="17" t="s">
        <v>41</v>
      </c>
      <c r="C201" s="17" t="s">
        <v>42</v>
      </c>
      <c r="D201" s="17" t="s">
        <v>43</v>
      </c>
      <c r="E201" s="17" t="s">
        <v>51</v>
      </c>
      <c r="F201" s="25" t="n">
        <f aca="false">SUMPRODUCT(--((('Yellow Bosses'!$I$5:$I$53&gt;=2)+('Yellow Bosses'!$J$5:$J$53&gt;=2)+('Yellow Bosses'!$K$5:$K$53&gt;=2)+('Yellow Bosses'!$S$5:$S$53&gt;=2))&gt;0))</f>
        <v>37</v>
      </c>
      <c r="G201" s="26" t="n">
        <f aca="false">F201/49</f>
        <v>0.755102040816327</v>
      </c>
      <c r="H201" s="25" t="n">
        <f aca="false">49-SUMPRODUCT(--((('Yellow Bosses'!$I$5:$I$53&gt;=1)+('Yellow Bosses'!$J$5:$J$53&gt;=1)+('Yellow Bosses'!$K$5:$K$53&gt;=1)+('Yellow Bosses'!$S$5:$S$53&gt;=1))&gt;0))</f>
        <v>0</v>
      </c>
      <c r="I201" s="25" t="n">
        <f aca="false">SUMPRODUCT(--((('Yellow Bosses'!$I$5:$I$53&gt;0)+('Yellow Bosses'!$J$5:$J$53&gt;0)+('Yellow Bosses'!$K$5:$K$53&gt;0)+('Yellow Bosses'!$S$5:$S$53&gt;0))=0))</f>
        <v>0</v>
      </c>
      <c r="J201" s="25" t="n">
        <f aca="false">SUMPRODUCT(--(((Effectiveness!$F$5:$F$155&gt;=2)+(Effectiveness!$G$5:$G$155&gt;=2)+(Effectiveness!$H$5:$H$155&gt;=2)+(Effectiveness!$P$5:$P$155&gt;=2))&gt;0))</f>
        <v>113</v>
      </c>
      <c r="K201" s="26" t="n">
        <f aca="false">J201/151</f>
        <v>0.748344370860927</v>
      </c>
      <c r="L201" s="25" t="n">
        <f aca="false">MIN(INDEX('Move Reality'!$F$5:$F$19,MATCH(B201,'Move Reality'!$A$5:$A$19,0)),INDEX('Move Reality'!$F$5:$F$19,MATCH(C201,'Move Reality'!$A$5:$A$19,0)),INDEX('Move Reality'!$F$5:$F$19,MATCH(D201,'Move Reality'!$A$5:$A$19,0)),INDEX('Move Reality'!$F$5:$F$19,MATCH(E201,'Move Reality'!$A$5:$A$19,0)))</f>
        <v>1</v>
      </c>
      <c r="M201" s="28" t="str">
        <f aca="false">IF(L201&gt;=5,"YES","no - dead move")</f>
        <v>no - dead move</v>
      </c>
    </row>
    <row r="202" customFormat="false" ht="15" hidden="false" customHeight="false" outlineLevel="0" collapsed="false">
      <c r="A202" s="17" t="n">
        <v>198</v>
      </c>
      <c r="B202" s="17" t="s">
        <v>41</v>
      </c>
      <c r="C202" s="17" t="s">
        <v>45</v>
      </c>
      <c r="D202" s="17" t="s">
        <v>46</v>
      </c>
      <c r="E202" s="17" t="s">
        <v>48</v>
      </c>
      <c r="F202" s="25" t="n">
        <f aca="false">SUMPRODUCT(--((('Yellow Bosses'!$I$5:$I$53&gt;=2)+('Yellow Bosses'!$M$5:$M$53&gt;=2)+('Yellow Bosses'!$N$5:$N$53&gt;=2)+('Yellow Bosses'!$P$5:$P$53&gt;=2))&gt;0))</f>
        <v>37</v>
      </c>
      <c r="G202" s="26" t="n">
        <f aca="false">F202/49</f>
        <v>0.755102040816327</v>
      </c>
      <c r="H202" s="25" t="n">
        <f aca="false">49-SUMPRODUCT(--((('Yellow Bosses'!$I$5:$I$53&gt;=1)+('Yellow Bosses'!$M$5:$M$53&gt;=1)+('Yellow Bosses'!$N$5:$N$53&gt;=1)+('Yellow Bosses'!$P$5:$P$53&gt;=1))&gt;0))</f>
        <v>0</v>
      </c>
      <c r="I202" s="25" t="n">
        <f aca="false">SUMPRODUCT(--((('Yellow Bosses'!$I$5:$I$53&gt;0)+('Yellow Bosses'!$M$5:$M$53&gt;0)+('Yellow Bosses'!$N$5:$N$53&gt;0)+('Yellow Bosses'!$P$5:$P$53&gt;0))=0))</f>
        <v>0</v>
      </c>
      <c r="J202" s="25" t="n">
        <f aca="false">SUMPRODUCT(--(((Effectiveness!$F$5:$F$155&gt;=2)+(Effectiveness!$J$5:$J$155&gt;=2)+(Effectiveness!$K$5:$K$155&gt;=2)+(Effectiveness!$M$5:$M$155&gt;=2))&gt;0))</f>
        <v>113</v>
      </c>
      <c r="K202" s="26" t="n">
        <f aca="false">J202/151</f>
        <v>0.748344370860927</v>
      </c>
      <c r="L202" s="25" t="n">
        <f aca="false">MIN(INDEX('Move Reality'!$F$5:$F$19,MATCH(B202,'Move Reality'!$A$5:$A$19,0)),INDEX('Move Reality'!$F$5:$F$19,MATCH(C202,'Move Reality'!$A$5:$A$19,0)),INDEX('Move Reality'!$F$5:$F$19,MATCH(D202,'Move Reality'!$A$5:$A$19,0)),INDEX('Move Reality'!$F$5:$F$19,MATCH(E202,'Move Reality'!$A$5:$A$19,0)))</f>
        <v>5</v>
      </c>
      <c r="M202" s="28" t="str">
        <f aca="false">IF(L202&gt;=5,"YES","no - dead move")</f>
        <v>YES</v>
      </c>
    </row>
    <row r="203" customFormat="false" ht="15" hidden="false" customHeight="false" outlineLevel="0" collapsed="false">
      <c r="A203" s="17" t="n">
        <v>199</v>
      </c>
      <c r="B203" s="17" t="s">
        <v>42</v>
      </c>
      <c r="C203" s="17" t="s">
        <v>43</v>
      </c>
      <c r="D203" s="17" t="s">
        <v>47</v>
      </c>
      <c r="E203" s="17" t="s">
        <v>51</v>
      </c>
      <c r="F203" s="25" t="n">
        <f aca="false">SUMPRODUCT(--((('Yellow Bosses'!$J$5:$J$53&gt;=2)+('Yellow Bosses'!$K$5:$K$53&gt;=2)+('Yellow Bosses'!$O$5:$O$53&gt;=2)+('Yellow Bosses'!$S$5:$S$53&gt;=2))&gt;0))</f>
        <v>37</v>
      </c>
      <c r="G203" s="26" t="n">
        <f aca="false">F203/49</f>
        <v>0.755102040816327</v>
      </c>
      <c r="H203" s="25" t="n">
        <f aca="false">49-SUMPRODUCT(--((('Yellow Bosses'!$J$5:$J$53&gt;=1)+('Yellow Bosses'!$K$5:$K$53&gt;=1)+('Yellow Bosses'!$O$5:$O$53&gt;=1)+('Yellow Bosses'!$S$5:$S$53&gt;=1))&gt;0))</f>
        <v>0</v>
      </c>
      <c r="I203" s="25" t="n">
        <f aca="false">SUMPRODUCT(--((('Yellow Bosses'!$J$5:$J$53&gt;0)+('Yellow Bosses'!$K$5:$K$53&gt;0)+('Yellow Bosses'!$O$5:$O$53&gt;0)+('Yellow Bosses'!$S$5:$S$53&gt;0))=0))</f>
        <v>0</v>
      </c>
      <c r="J203" s="25" t="n">
        <f aca="false">SUMPRODUCT(--(((Effectiveness!$G$5:$G$155&gt;=2)+(Effectiveness!$H$5:$H$155&gt;=2)+(Effectiveness!$L$5:$L$155&gt;=2)+(Effectiveness!$P$5:$P$155&gt;=2))&gt;0))</f>
        <v>113</v>
      </c>
      <c r="K203" s="26" t="n">
        <f aca="false">J203/151</f>
        <v>0.748344370860927</v>
      </c>
      <c r="L203" s="25" t="n">
        <f aca="false">MIN(INDEX('Move Reality'!$F$5:$F$19,MATCH(B203,'Move Reality'!$A$5:$A$19,0)),INDEX('Move Reality'!$F$5:$F$19,MATCH(C203,'Move Reality'!$A$5:$A$19,0)),INDEX('Move Reality'!$F$5:$F$19,MATCH(D203,'Move Reality'!$A$5:$A$19,0)),INDEX('Move Reality'!$F$5:$F$19,MATCH(E203,'Move Reality'!$A$5:$A$19,0)))</f>
        <v>1</v>
      </c>
      <c r="M203" s="28" t="str">
        <f aca="false">IF(L203&gt;=5,"YES","no - dead move")</f>
        <v>no - dead move</v>
      </c>
    </row>
    <row r="204" customFormat="false" ht="15" hidden="false" customHeight="false" outlineLevel="0" collapsed="false">
      <c r="A204" s="17" t="n">
        <v>200</v>
      </c>
      <c r="B204" s="17" t="s">
        <v>43</v>
      </c>
      <c r="C204" s="17" t="s">
        <v>50</v>
      </c>
      <c r="D204" s="17" t="s">
        <v>51</v>
      </c>
      <c r="E204" s="17" t="s">
        <v>52</v>
      </c>
      <c r="F204" s="25" t="n">
        <f aca="false">SUMPRODUCT(--((('Yellow Bosses'!$K$5:$K$53&gt;=2)+('Yellow Bosses'!$R$5:$R$53&gt;=2)+('Yellow Bosses'!$S$5:$S$53&gt;=2)+('Yellow Bosses'!$T$5:$T$53&gt;=2))&gt;0))</f>
        <v>37</v>
      </c>
      <c r="G204" s="26" t="n">
        <f aca="false">F204/49</f>
        <v>0.755102040816327</v>
      </c>
      <c r="H204" s="25" t="n">
        <f aca="false">49-SUMPRODUCT(--((('Yellow Bosses'!$K$5:$K$53&gt;=1)+('Yellow Bosses'!$R$5:$R$53&gt;=1)+('Yellow Bosses'!$S$5:$S$53&gt;=1)+('Yellow Bosses'!$T$5:$T$53&gt;=1))&gt;0))</f>
        <v>0</v>
      </c>
      <c r="I204" s="25" t="n">
        <f aca="false">SUMPRODUCT(--((('Yellow Bosses'!$K$5:$K$53&gt;0)+('Yellow Bosses'!$R$5:$R$53&gt;0)+('Yellow Bosses'!$S$5:$S$53&gt;0)+('Yellow Bosses'!$T$5:$T$53&gt;0))=0))</f>
        <v>0</v>
      </c>
      <c r="J204" s="25" t="n">
        <f aca="false">SUMPRODUCT(--(((Effectiveness!$H$5:$H$155&gt;=2)+(Effectiveness!$O$5:$O$155&gt;=2)+(Effectiveness!$P$5:$P$155&gt;=2)+(Effectiveness!$Q$5:$Q$155&gt;=2))&gt;0))</f>
        <v>113</v>
      </c>
      <c r="K204" s="26" t="n">
        <f aca="false">J204/151</f>
        <v>0.748344370860927</v>
      </c>
      <c r="L204" s="25" t="n">
        <f aca="false">MIN(INDEX('Move Reality'!$F$5:$F$19,MATCH(B204,'Move Reality'!$A$5:$A$19,0)),INDEX('Move Reality'!$F$5:$F$19,MATCH(C204,'Move Reality'!$A$5:$A$19,0)),INDEX('Move Reality'!$F$5:$F$19,MATCH(D204,'Move Reality'!$A$5:$A$19,0)),INDEX('Move Reality'!$F$5:$F$19,MATCH(E204,'Move Reality'!$A$5:$A$19,0)))</f>
        <v>1</v>
      </c>
      <c r="M204" s="28" t="str">
        <f aca="false">IF(L204&gt;=5,"YES","no - dead move")</f>
        <v>no - dead move</v>
      </c>
    </row>
    <row r="205" customFormat="false" ht="15" hidden="false" customHeight="false" outlineLevel="0" collapsed="false">
      <c r="A205" s="17" t="n">
        <v>201</v>
      </c>
      <c r="B205" s="17" t="s">
        <v>41</v>
      </c>
      <c r="C205" s="17" t="s">
        <v>43</v>
      </c>
      <c r="D205" s="17" t="s">
        <v>48</v>
      </c>
      <c r="E205" s="17" t="s">
        <v>52</v>
      </c>
      <c r="F205" s="25" t="n">
        <f aca="false">SUMPRODUCT(--((('Yellow Bosses'!$I$5:$I$53&gt;=2)+('Yellow Bosses'!$K$5:$K$53&gt;=2)+('Yellow Bosses'!$P$5:$P$53&gt;=2)+('Yellow Bosses'!$T$5:$T$53&gt;=2))&gt;0))</f>
        <v>37</v>
      </c>
      <c r="G205" s="26" t="n">
        <f aca="false">F205/49</f>
        <v>0.755102040816327</v>
      </c>
      <c r="H205" s="25" t="n">
        <f aca="false">49-SUMPRODUCT(--((('Yellow Bosses'!$I$5:$I$53&gt;=1)+('Yellow Bosses'!$K$5:$K$53&gt;=1)+('Yellow Bosses'!$P$5:$P$53&gt;=1)+('Yellow Bosses'!$T$5:$T$53&gt;=1))&gt;0))</f>
        <v>0</v>
      </c>
      <c r="I205" s="25" t="n">
        <f aca="false">SUMPRODUCT(--((('Yellow Bosses'!$I$5:$I$53&gt;0)+('Yellow Bosses'!$K$5:$K$53&gt;0)+('Yellow Bosses'!$P$5:$P$53&gt;0)+('Yellow Bosses'!$T$5:$T$53&gt;0))=0))</f>
        <v>0</v>
      </c>
      <c r="J205" s="25" t="n">
        <f aca="false">SUMPRODUCT(--(((Effectiveness!$F$5:$F$155&gt;=2)+(Effectiveness!$H$5:$H$155&gt;=2)+(Effectiveness!$M$5:$M$155&gt;=2)+(Effectiveness!$Q$5:$Q$155&gt;=2))&gt;0))</f>
        <v>112</v>
      </c>
      <c r="K205" s="26" t="n">
        <f aca="false">J205/151</f>
        <v>0.741721854304636</v>
      </c>
      <c r="L205" s="25" t="n">
        <f aca="false">MIN(INDEX('Move Reality'!$F$5:$F$19,MATCH(B205,'Move Reality'!$A$5:$A$19,0)),INDEX('Move Reality'!$F$5:$F$19,MATCH(C205,'Move Reality'!$A$5:$A$19,0)),INDEX('Move Reality'!$F$5:$F$19,MATCH(D205,'Move Reality'!$A$5:$A$19,0)),INDEX('Move Reality'!$F$5:$F$19,MATCH(E205,'Move Reality'!$A$5:$A$19,0)))</f>
        <v>6</v>
      </c>
      <c r="M205" s="28" t="str">
        <f aca="false">IF(L205&gt;=5,"YES","no - dead move")</f>
        <v>YES</v>
      </c>
    </row>
    <row r="206" customFormat="false" ht="15" hidden="false" customHeight="false" outlineLevel="0" collapsed="false">
      <c r="A206" s="17" t="n">
        <v>202</v>
      </c>
      <c r="B206" s="17" t="s">
        <v>42</v>
      </c>
      <c r="C206" s="17" t="s">
        <v>46</v>
      </c>
      <c r="D206" s="17" t="s">
        <v>51</v>
      </c>
      <c r="E206" s="17" t="s">
        <v>52</v>
      </c>
      <c r="F206" s="25" t="n">
        <f aca="false">SUMPRODUCT(--((('Yellow Bosses'!$J$5:$J$53&gt;=2)+('Yellow Bosses'!$N$5:$N$53&gt;=2)+('Yellow Bosses'!$S$5:$S$53&gt;=2)+('Yellow Bosses'!$T$5:$T$53&gt;=2))&gt;0))</f>
        <v>37</v>
      </c>
      <c r="G206" s="26" t="n">
        <f aca="false">F206/49</f>
        <v>0.755102040816327</v>
      </c>
      <c r="H206" s="25" t="n">
        <f aca="false">49-SUMPRODUCT(--((('Yellow Bosses'!$J$5:$J$53&gt;=1)+('Yellow Bosses'!$N$5:$N$53&gt;=1)+('Yellow Bosses'!$S$5:$S$53&gt;=1)+('Yellow Bosses'!$T$5:$T$53&gt;=1))&gt;0))</f>
        <v>0</v>
      </c>
      <c r="I206" s="25" t="n">
        <f aca="false">SUMPRODUCT(--((('Yellow Bosses'!$J$5:$J$53&gt;0)+('Yellow Bosses'!$N$5:$N$53&gt;0)+('Yellow Bosses'!$S$5:$S$53&gt;0)+('Yellow Bosses'!$T$5:$T$53&gt;0))=0))</f>
        <v>0</v>
      </c>
      <c r="J206" s="25" t="n">
        <f aca="false">SUMPRODUCT(--(((Effectiveness!$G$5:$G$155&gt;=2)+(Effectiveness!$K$5:$K$155&gt;=2)+(Effectiveness!$P$5:$P$155&gt;=2)+(Effectiveness!$Q$5:$Q$155&gt;=2))&gt;0))</f>
        <v>112</v>
      </c>
      <c r="K206" s="26" t="n">
        <f aca="false">J206/151</f>
        <v>0.741721854304636</v>
      </c>
      <c r="L206" s="25" t="n">
        <f aca="false">MIN(INDEX('Move Reality'!$F$5:$F$19,MATCH(B206,'Move Reality'!$A$5:$A$19,0)),INDEX('Move Reality'!$F$5:$F$19,MATCH(C206,'Move Reality'!$A$5:$A$19,0)),INDEX('Move Reality'!$F$5:$F$19,MATCH(D206,'Move Reality'!$A$5:$A$19,0)),INDEX('Move Reality'!$F$5:$F$19,MATCH(E206,'Move Reality'!$A$5:$A$19,0)))</f>
        <v>1</v>
      </c>
      <c r="M206" s="28" t="str">
        <f aca="false">IF(L206&gt;=5,"YES","no - dead move")</f>
        <v>no - dead move</v>
      </c>
    </row>
    <row r="207" customFormat="false" ht="15" hidden="false" customHeight="false" outlineLevel="0" collapsed="false">
      <c r="A207" s="17" t="n">
        <v>203</v>
      </c>
      <c r="B207" s="17" t="s">
        <v>40</v>
      </c>
      <c r="C207" s="17" t="s">
        <v>42</v>
      </c>
      <c r="D207" s="17" t="s">
        <v>43</v>
      </c>
      <c r="E207" s="17" t="s">
        <v>51</v>
      </c>
      <c r="F207" s="25" t="n">
        <f aca="false">SUMPRODUCT(--((('Yellow Bosses'!$H$5:$H$53&gt;=2)+('Yellow Bosses'!$J$5:$J$53&gt;=2)+('Yellow Bosses'!$K$5:$K$53&gt;=2)+('Yellow Bosses'!$S$5:$S$53&gt;=2))&gt;0))</f>
        <v>37</v>
      </c>
      <c r="G207" s="26" t="n">
        <f aca="false">F207/49</f>
        <v>0.755102040816327</v>
      </c>
      <c r="H207" s="25" t="n">
        <f aca="false">49-SUMPRODUCT(--((('Yellow Bosses'!$H$5:$H$53&gt;=1)+('Yellow Bosses'!$J$5:$J$53&gt;=1)+('Yellow Bosses'!$K$5:$K$53&gt;=1)+('Yellow Bosses'!$S$5:$S$53&gt;=1))&gt;0))</f>
        <v>0</v>
      </c>
      <c r="I207" s="25" t="n">
        <f aca="false">SUMPRODUCT(--((('Yellow Bosses'!$H$5:$H$53&gt;0)+('Yellow Bosses'!$J$5:$J$53&gt;0)+('Yellow Bosses'!$K$5:$K$53&gt;0)+('Yellow Bosses'!$S$5:$S$53&gt;0))=0))</f>
        <v>0</v>
      </c>
      <c r="J207" s="25" t="n">
        <f aca="false">SUMPRODUCT(--(((Effectiveness!$E$5:$E$155&gt;=2)+(Effectiveness!$G$5:$G$155&gt;=2)+(Effectiveness!$H$5:$H$155&gt;=2)+(Effectiveness!$P$5:$P$155&gt;=2))&gt;0))</f>
        <v>110</v>
      </c>
      <c r="K207" s="26" t="n">
        <f aca="false">J207/151</f>
        <v>0.728476821192053</v>
      </c>
      <c r="L207" s="25" t="n">
        <f aca="false">MIN(INDEX('Move Reality'!$F$5:$F$19,MATCH(B207,'Move Reality'!$A$5:$A$19,0)),INDEX('Move Reality'!$F$5:$F$19,MATCH(C207,'Move Reality'!$A$5:$A$19,0)),INDEX('Move Reality'!$F$5:$F$19,MATCH(D207,'Move Reality'!$A$5:$A$19,0)),INDEX('Move Reality'!$F$5:$F$19,MATCH(E207,'Move Reality'!$A$5:$A$19,0)))</f>
        <v>1</v>
      </c>
      <c r="M207" s="28" t="str">
        <f aca="false">IF(L207&gt;=5,"YES","no - dead move")</f>
        <v>no - dead move</v>
      </c>
    </row>
    <row r="208" customFormat="false" ht="15" hidden="false" customHeight="false" outlineLevel="0" collapsed="false">
      <c r="A208" s="17" t="n">
        <v>204</v>
      </c>
      <c r="B208" s="17" t="s">
        <v>42</v>
      </c>
      <c r="C208" s="17" t="s">
        <v>43</v>
      </c>
      <c r="D208" s="17" t="s">
        <v>44</v>
      </c>
      <c r="E208" s="17" t="s">
        <v>51</v>
      </c>
      <c r="F208" s="25" t="n">
        <f aca="false">SUMPRODUCT(--((('Yellow Bosses'!$J$5:$J$53&gt;=2)+('Yellow Bosses'!$K$5:$K$53&gt;=2)+('Yellow Bosses'!$L$5:$L$53&gt;=2)+('Yellow Bosses'!$S$5:$S$53&gt;=2))&gt;0))</f>
        <v>37</v>
      </c>
      <c r="G208" s="26" t="n">
        <f aca="false">F208/49</f>
        <v>0.755102040816327</v>
      </c>
      <c r="H208" s="25" t="n">
        <f aca="false">49-SUMPRODUCT(--((('Yellow Bosses'!$J$5:$J$53&gt;=1)+('Yellow Bosses'!$K$5:$K$53&gt;=1)+('Yellow Bosses'!$L$5:$L$53&gt;=1)+('Yellow Bosses'!$S$5:$S$53&gt;=1))&gt;0))</f>
        <v>0</v>
      </c>
      <c r="I208" s="25" t="n">
        <f aca="false">SUMPRODUCT(--((('Yellow Bosses'!$J$5:$J$53&gt;0)+('Yellow Bosses'!$K$5:$K$53&gt;0)+('Yellow Bosses'!$L$5:$L$53&gt;0)+('Yellow Bosses'!$S$5:$S$53&gt;0))=0))</f>
        <v>0</v>
      </c>
      <c r="J208" s="25" t="n">
        <f aca="false">SUMPRODUCT(--(((Effectiveness!$G$5:$G$155&gt;=2)+(Effectiveness!$H$5:$H$155&gt;=2)+(Effectiveness!$I$5:$I$155&gt;=2)+(Effectiveness!$P$5:$P$155&gt;=2))&gt;0))</f>
        <v>110</v>
      </c>
      <c r="K208" s="26" t="n">
        <f aca="false">J208/151</f>
        <v>0.728476821192053</v>
      </c>
      <c r="L208" s="25" t="n">
        <f aca="false">MIN(INDEX('Move Reality'!$F$5:$F$19,MATCH(B208,'Move Reality'!$A$5:$A$19,0)),INDEX('Move Reality'!$F$5:$F$19,MATCH(C208,'Move Reality'!$A$5:$A$19,0)),INDEX('Move Reality'!$F$5:$F$19,MATCH(D208,'Move Reality'!$A$5:$A$19,0)),INDEX('Move Reality'!$F$5:$F$19,MATCH(E208,'Move Reality'!$A$5:$A$19,0)))</f>
        <v>1</v>
      </c>
      <c r="M208" s="28" t="str">
        <f aca="false">IF(L208&gt;=5,"YES","no - dead move")</f>
        <v>no - dead move</v>
      </c>
    </row>
    <row r="209" customFormat="false" ht="15" hidden="false" customHeight="false" outlineLevel="0" collapsed="false">
      <c r="A209" s="17" t="n">
        <v>205</v>
      </c>
      <c r="B209" s="17" t="s">
        <v>45</v>
      </c>
      <c r="C209" s="17" t="s">
        <v>46</v>
      </c>
      <c r="D209" s="17" t="s">
        <v>49</v>
      </c>
      <c r="E209" s="17" t="s">
        <v>51</v>
      </c>
      <c r="F209" s="25" t="n">
        <f aca="false">SUMPRODUCT(--((('Yellow Bosses'!$M$5:$M$53&gt;=2)+('Yellow Bosses'!$N$5:$N$53&gt;=2)+('Yellow Bosses'!$Q$5:$Q$53&gt;=2)+('Yellow Bosses'!$S$5:$S$53&gt;=2))&gt;0))</f>
        <v>37</v>
      </c>
      <c r="G209" s="26" t="n">
        <f aca="false">F209/49</f>
        <v>0.755102040816327</v>
      </c>
      <c r="H209" s="25" t="n">
        <f aca="false">49-SUMPRODUCT(--((('Yellow Bosses'!$M$5:$M$53&gt;=1)+('Yellow Bosses'!$N$5:$N$53&gt;=1)+('Yellow Bosses'!$Q$5:$Q$53&gt;=1)+('Yellow Bosses'!$S$5:$S$53&gt;=1))&gt;0))</f>
        <v>0</v>
      </c>
      <c r="I209" s="25" t="n">
        <f aca="false">SUMPRODUCT(--((('Yellow Bosses'!$M$5:$M$53&gt;0)+('Yellow Bosses'!$N$5:$N$53&gt;0)+('Yellow Bosses'!$Q$5:$Q$53&gt;0)+('Yellow Bosses'!$S$5:$S$53&gt;0))=0))</f>
        <v>0</v>
      </c>
      <c r="J209" s="25" t="n">
        <f aca="false">SUMPRODUCT(--(((Effectiveness!$J$5:$J$155&gt;=2)+(Effectiveness!$K$5:$K$155&gt;=2)+(Effectiveness!$N$5:$N$155&gt;=2)+(Effectiveness!$P$5:$P$155&gt;=2))&gt;0))</f>
        <v>110</v>
      </c>
      <c r="K209" s="26" t="n">
        <f aca="false">J209/151</f>
        <v>0.728476821192053</v>
      </c>
      <c r="L209" s="25" t="n">
        <f aca="false">MIN(INDEX('Move Reality'!$F$5:$F$19,MATCH(B209,'Move Reality'!$A$5:$A$19,0)),INDEX('Move Reality'!$F$5:$F$19,MATCH(C209,'Move Reality'!$A$5:$A$19,0)),INDEX('Move Reality'!$F$5:$F$19,MATCH(D209,'Move Reality'!$A$5:$A$19,0)),INDEX('Move Reality'!$F$5:$F$19,MATCH(E209,'Move Reality'!$A$5:$A$19,0)))</f>
        <v>1</v>
      </c>
      <c r="M209" s="28" t="str">
        <f aca="false">IF(L209&gt;=5,"YES","no - dead move")</f>
        <v>no - dead move</v>
      </c>
    </row>
    <row r="210" customFormat="false" ht="15" hidden="false" customHeight="false" outlineLevel="0" collapsed="false">
      <c r="A210" s="17" t="n">
        <v>206</v>
      </c>
      <c r="B210" s="17" t="s">
        <v>44</v>
      </c>
      <c r="C210" s="17" t="s">
        <v>47</v>
      </c>
      <c r="D210" s="17" t="s">
        <v>48</v>
      </c>
      <c r="E210" s="17" t="s">
        <v>52</v>
      </c>
      <c r="F210" s="25" t="n">
        <f aca="false">SUMPRODUCT(--((('Yellow Bosses'!$L$5:$L$53&gt;=2)+('Yellow Bosses'!$O$5:$O$53&gt;=2)+('Yellow Bosses'!$P$5:$P$53&gt;=2)+('Yellow Bosses'!$T$5:$T$53&gt;=2))&gt;0))</f>
        <v>37</v>
      </c>
      <c r="G210" s="26" t="n">
        <f aca="false">F210/49</f>
        <v>0.755102040816327</v>
      </c>
      <c r="H210" s="25" t="n">
        <f aca="false">49-SUMPRODUCT(--((('Yellow Bosses'!$L$5:$L$53&gt;=1)+('Yellow Bosses'!$O$5:$O$53&gt;=1)+('Yellow Bosses'!$P$5:$P$53&gt;=1)+('Yellow Bosses'!$T$5:$T$53&gt;=1))&gt;0))</f>
        <v>0</v>
      </c>
      <c r="I210" s="25" t="n">
        <f aca="false">SUMPRODUCT(--((('Yellow Bosses'!$L$5:$L$53&gt;0)+('Yellow Bosses'!$O$5:$O$53&gt;0)+('Yellow Bosses'!$P$5:$P$53&gt;0)+('Yellow Bosses'!$T$5:$T$53&gt;0))=0))</f>
        <v>0</v>
      </c>
      <c r="J210" s="25" t="n">
        <f aca="false">SUMPRODUCT(--(((Effectiveness!$I$5:$I$155&gt;=2)+(Effectiveness!$L$5:$L$155&gt;=2)+(Effectiveness!$M$5:$M$155&gt;=2)+(Effectiveness!$Q$5:$Q$155&gt;=2))&gt;0))</f>
        <v>109</v>
      </c>
      <c r="K210" s="26" t="n">
        <f aca="false">J210/151</f>
        <v>0.721854304635762</v>
      </c>
      <c r="L210" s="25" t="n">
        <f aca="false">MIN(INDEX('Move Reality'!$F$5:$F$19,MATCH(B210,'Move Reality'!$A$5:$A$19,0)),INDEX('Move Reality'!$F$5:$F$19,MATCH(C210,'Move Reality'!$A$5:$A$19,0)),INDEX('Move Reality'!$F$5:$F$19,MATCH(D210,'Move Reality'!$A$5:$A$19,0)),INDEX('Move Reality'!$F$5:$F$19,MATCH(E210,'Move Reality'!$A$5:$A$19,0)))</f>
        <v>2</v>
      </c>
      <c r="M210" s="28" t="str">
        <f aca="false">IF(L210&gt;=5,"YES","no - dead move")</f>
        <v>no - dead move</v>
      </c>
    </row>
    <row r="211" customFormat="false" ht="15" hidden="false" customHeight="false" outlineLevel="0" collapsed="false">
      <c r="A211" s="17" t="n">
        <v>207</v>
      </c>
      <c r="B211" s="17" t="s">
        <v>41</v>
      </c>
      <c r="C211" s="17" t="s">
        <v>44</v>
      </c>
      <c r="D211" s="17" t="s">
        <v>45</v>
      </c>
      <c r="E211" s="17" t="s">
        <v>50</v>
      </c>
      <c r="F211" s="25" t="n">
        <f aca="false">SUMPRODUCT(--((('Yellow Bosses'!$I$5:$I$53&gt;=2)+('Yellow Bosses'!$L$5:$L$53&gt;=2)+('Yellow Bosses'!$M$5:$M$53&gt;=2)+('Yellow Bosses'!$R$5:$R$53&gt;=2))&gt;0))</f>
        <v>37</v>
      </c>
      <c r="G211" s="26" t="n">
        <f aca="false">F211/49</f>
        <v>0.755102040816327</v>
      </c>
      <c r="H211" s="25" t="n">
        <f aca="false">49-SUMPRODUCT(--((('Yellow Bosses'!$I$5:$I$53&gt;=1)+('Yellow Bosses'!$L$5:$L$53&gt;=1)+('Yellow Bosses'!$M$5:$M$53&gt;=1)+('Yellow Bosses'!$R$5:$R$53&gt;=1))&gt;0))</f>
        <v>0</v>
      </c>
      <c r="I211" s="25" t="n">
        <f aca="false">SUMPRODUCT(--((('Yellow Bosses'!$I$5:$I$53&gt;0)+('Yellow Bosses'!$L$5:$L$53&gt;0)+('Yellow Bosses'!$M$5:$M$53&gt;0)+('Yellow Bosses'!$R$5:$R$53&gt;0))=0))</f>
        <v>0</v>
      </c>
      <c r="J211" s="25" t="n">
        <f aca="false">SUMPRODUCT(--(((Effectiveness!$F$5:$F$155&gt;=2)+(Effectiveness!$I$5:$I$155&gt;=2)+(Effectiveness!$J$5:$J$155&gt;=2)+(Effectiveness!$O$5:$O$155&gt;=2))&gt;0))</f>
        <v>108</v>
      </c>
      <c r="K211" s="26" t="n">
        <f aca="false">J211/151</f>
        <v>0.71523178807947</v>
      </c>
      <c r="L211" s="25" t="n">
        <f aca="false">MIN(INDEX('Move Reality'!$F$5:$F$19,MATCH(B211,'Move Reality'!$A$5:$A$19,0)),INDEX('Move Reality'!$F$5:$F$19,MATCH(C211,'Move Reality'!$A$5:$A$19,0)),INDEX('Move Reality'!$F$5:$F$19,MATCH(D211,'Move Reality'!$A$5:$A$19,0)),INDEX('Move Reality'!$F$5:$F$19,MATCH(E211,'Move Reality'!$A$5:$A$19,0)))</f>
        <v>4</v>
      </c>
      <c r="M211" s="28" t="str">
        <f aca="false">IF(L211&gt;=5,"YES","no - dead move")</f>
        <v>no - dead move</v>
      </c>
    </row>
    <row r="212" customFormat="false" ht="15" hidden="false" customHeight="false" outlineLevel="0" collapsed="false">
      <c r="A212" s="17" t="n">
        <v>208</v>
      </c>
      <c r="B212" s="17" t="s">
        <v>42</v>
      </c>
      <c r="C212" s="17" t="s">
        <v>45</v>
      </c>
      <c r="D212" s="17" t="s">
        <v>46</v>
      </c>
      <c r="E212" s="17" t="s">
        <v>50</v>
      </c>
      <c r="F212" s="25" t="n">
        <f aca="false">SUMPRODUCT(--((('Yellow Bosses'!$J$5:$J$53&gt;=2)+('Yellow Bosses'!$M$5:$M$53&gt;=2)+('Yellow Bosses'!$N$5:$N$53&gt;=2)+('Yellow Bosses'!$R$5:$R$53&gt;=2))&gt;0))</f>
        <v>37</v>
      </c>
      <c r="G212" s="26" t="n">
        <f aca="false">F212/49</f>
        <v>0.755102040816327</v>
      </c>
      <c r="H212" s="25" t="n">
        <f aca="false">49-SUMPRODUCT(--((('Yellow Bosses'!$J$5:$J$53&gt;=1)+('Yellow Bosses'!$M$5:$M$53&gt;=1)+('Yellow Bosses'!$N$5:$N$53&gt;=1)+('Yellow Bosses'!$R$5:$R$53&gt;=1))&gt;0))</f>
        <v>2</v>
      </c>
      <c r="I212" s="25" t="n">
        <f aca="false">SUMPRODUCT(--((('Yellow Bosses'!$J$5:$J$53&gt;0)+('Yellow Bosses'!$M$5:$M$53&gt;0)+('Yellow Bosses'!$N$5:$N$53&gt;0)+('Yellow Bosses'!$R$5:$R$53&gt;0))=0))</f>
        <v>0</v>
      </c>
      <c r="J212" s="25" t="n">
        <f aca="false">SUMPRODUCT(--(((Effectiveness!$G$5:$G$155&gt;=2)+(Effectiveness!$J$5:$J$155&gt;=2)+(Effectiveness!$K$5:$K$155&gt;=2)+(Effectiveness!$O$5:$O$155&gt;=2))&gt;0))</f>
        <v>108</v>
      </c>
      <c r="K212" s="26" t="n">
        <f aca="false">J212/151</f>
        <v>0.71523178807947</v>
      </c>
      <c r="L212" s="25" t="n">
        <f aca="false">MIN(INDEX('Move Reality'!$F$5:$F$19,MATCH(B212,'Move Reality'!$A$5:$A$19,0)),INDEX('Move Reality'!$F$5:$F$19,MATCH(C212,'Move Reality'!$A$5:$A$19,0)),INDEX('Move Reality'!$F$5:$F$19,MATCH(D212,'Move Reality'!$A$5:$A$19,0)),INDEX('Move Reality'!$F$5:$F$19,MATCH(E212,'Move Reality'!$A$5:$A$19,0)))</f>
        <v>5</v>
      </c>
      <c r="M212" s="28" t="str">
        <f aca="false">IF(L212&gt;=5,"YES","no - dead move")</f>
        <v>YES</v>
      </c>
    </row>
    <row r="213" customFormat="false" ht="15" hidden="false" customHeight="false" outlineLevel="0" collapsed="false">
      <c r="A213" s="17" t="n">
        <v>209</v>
      </c>
      <c r="B213" s="17" t="s">
        <v>43</v>
      </c>
      <c r="C213" s="17" t="s">
        <v>45</v>
      </c>
      <c r="D213" s="17" t="s">
        <v>47</v>
      </c>
      <c r="E213" s="17" t="s">
        <v>50</v>
      </c>
      <c r="F213" s="25" t="n">
        <f aca="false">SUMPRODUCT(--((('Yellow Bosses'!$K$5:$K$53&gt;=2)+('Yellow Bosses'!$M$5:$M$53&gt;=2)+('Yellow Bosses'!$O$5:$O$53&gt;=2)+('Yellow Bosses'!$R$5:$R$53&gt;=2))&gt;0))</f>
        <v>37</v>
      </c>
      <c r="G213" s="26" t="n">
        <f aca="false">F213/49</f>
        <v>0.755102040816327</v>
      </c>
      <c r="H213" s="25" t="n">
        <f aca="false">49-SUMPRODUCT(--((('Yellow Bosses'!$K$5:$K$53&gt;=1)+('Yellow Bosses'!$M$5:$M$53&gt;=1)+('Yellow Bosses'!$O$5:$O$53&gt;=1)+('Yellow Bosses'!$R$5:$R$53&gt;=1))&gt;0))</f>
        <v>0</v>
      </c>
      <c r="I213" s="25" t="n">
        <f aca="false">SUMPRODUCT(--((('Yellow Bosses'!$K$5:$K$53&gt;0)+('Yellow Bosses'!$M$5:$M$53&gt;0)+('Yellow Bosses'!$O$5:$O$53&gt;0)+('Yellow Bosses'!$R$5:$R$53&gt;0))=0))</f>
        <v>0</v>
      </c>
      <c r="J213" s="25" t="n">
        <f aca="false">SUMPRODUCT(--(((Effectiveness!$H$5:$H$155&gt;=2)+(Effectiveness!$J$5:$J$155&gt;=2)+(Effectiveness!$L$5:$L$155&gt;=2)+(Effectiveness!$O$5:$O$155&gt;=2))&gt;0))</f>
        <v>108</v>
      </c>
      <c r="K213" s="26" t="n">
        <f aca="false">J213/151</f>
        <v>0.71523178807947</v>
      </c>
      <c r="L213" s="25" t="n">
        <f aca="false">MIN(INDEX('Move Reality'!$F$5:$F$19,MATCH(B213,'Move Reality'!$A$5:$A$19,0)),INDEX('Move Reality'!$F$5:$F$19,MATCH(C213,'Move Reality'!$A$5:$A$19,0)),INDEX('Move Reality'!$F$5:$F$19,MATCH(D213,'Move Reality'!$A$5:$A$19,0)),INDEX('Move Reality'!$F$5:$F$19,MATCH(E213,'Move Reality'!$A$5:$A$19,0)))</f>
        <v>2</v>
      </c>
      <c r="M213" s="28" t="str">
        <f aca="false">IF(L213&gt;=5,"YES","no - dead move")</f>
        <v>no - dead move</v>
      </c>
    </row>
    <row r="214" customFormat="false" ht="15" hidden="false" customHeight="false" outlineLevel="0" collapsed="false">
      <c r="A214" s="17" t="n">
        <v>210</v>
      </c>
      <c r="B214" s="17" t="s">
        <v>43</v>
      </c>
      <c r="C214" s="17" t="s">
        <v>45</v>
      </c>
      <c r="D214" s="17" t="s">
        <v>49</v>
      </c>
      <c r="E214" s="17" t="s">
        <v>50</v>
      </c>
      <c r="F214" s="25" t="n">
        <f aca="false">SUMPRODUCT(--((('Yellow Bosses'!$K$5:$K$53&gt;=2)+('Yellow Bosses'!$M$5:$M$53&gt;=2)+('Yellow Bosses'!$Q$5:$Q$53&gt;=2)+('Yellow Bosses'!$R$5:$R$53&gt;=2))&gt;0))</f>
        <v>37</v>
      </c>
      <c r="G214" s="26" t="n">
        <f aca="false">F214/49</f>
        <v>0.755102040816327</v>
      </c>
      <c r="H214" s="25" t="n">
        <f aca="false">49-SUMPRODUCT(--((('Yellow Bosses'!$K$5:$K$53&gt;=1)+('Yellow Bosses'!$M$5:$M$53&gt;=1)+('Yellow Bosses'!$Q$5:$Q$53&gt;=1)+('Yellow Bosses'!$R$5:$R$53&gt;=1))&gt;0))</f>
        <v>0</v>
      </c>
      <c r="I214" s="25" t="n">
        <f aca="false">SUMPRODUCT(--((('Yellow Bosses'!$K$5:$K$53&gt;0)+('Yellow Bosses'!$M$5:$M$53&gt;0)+('Yellow Bosses'!$Q$5:$Q$53&gt;0)+('Yellow Bosses'!$R$5:$R$53&gt;0))=0))</f>
        <v>0</v>
      </c>
      <c r="J214" s="25" t="n">
        <f aca="false">SUMPRODUCT(--(((Effectiveness!$H$5:$H$155&gt;=2)+(Effectiveness!$J$5:$J$155&gt;=2)+(Effectiveness!$N$5:$N$155&gt;=2)+(Effectiveness!$O$5:$O$155&gt;=2))&gt;0))</f>
        <v>108</v>
      </c>
      <c r="K214" s="26" t="n">
        <f aca="false">J214/151</f>
        <v>0.71523178807947</v>
      </c>
      <c r="L214" s="25" t="n">
        <f aca="false">MIN(INDEX('Move Reality'!$F$5:$F$19,MATCH(B214,'Move Reality'!$A$5:$A$19,0)),INDEX('Move Reality'!$F$5:$F$19,MATCH(C214,'Move Reality'!$A$5:$A$19,0)),INDEX('Move Reality'!$F$5:$F$19,MATCH(D214,'Move Reality'!$A$5:$A$19,0)),INDEX('Move Reality'!$F$5:$F$19,MATCH(E214,'Move Reality'!$A$5:$A$19,0)))</f>
        <v>5</v>
      </c>
      <c r="M214" s="28" t="str">
        <f aca="false">IF(L214&gt;=5,"YES","no - dead move")</f>
        <v>YES</v>
      </c>
    </row>
    <row r="215" customFormat="false" ht="15" hidden="false" customHeight="false" outlineLevel="0" collapsed="false">
      <c r="A215" s="17" t="n">
        <v>211</v>
      </c>
      <c r="B215" s="17" t="s">
        <v>44</v>
      </c>
      <c r="C215" s="17" t="s">
        <v>48</v>
      </c>
      <c r="D215" s="17" t="s">
        <v>52</v>
      </c>
      <c r="E215" s="17" t="s">
        <v>54</v>
      </c>
      <c r="F215" s="25" t="n">
        <f aca="false">SUMPRODUCT(--((('Yellow Bosses'!$L$5:$L$53&gt;=2)+('Yellow Bosses'!$P$5:$P$53&gt;=2)+('Yellow Bosses'!$T$5:$T$53&gt;=2)+('Yellow Bosses'!$V$5:$V$53&gt;=2))&gt;0))</f>
        <v>37</v>
      </c>
      <c r="G215" s="26" t="n">
        <f aca="false">F215/49</f>
        <v>0.755102040816327</v>
      </c>
      <c r="H215" s="25" t="n">
        <f aca="false">49-SUMPRODUCT(--((('Yellow Bosses'!$L$5:$L$53&gt;=1)+('Yellow Bosses'!$P$5:$P$53&gt;=1)+('Yellow Bosses'!$T$5:$T$53&gt;=1)+('Yellow Bosses'!$V$5:$V$53&gt;=1))&gt;0))</f>
        <v>0</v>
      </c>
      <c r="I215" s="25" t="n">
        <f aca="false">SUMPRODUCT(--((('Yellow Bosses'!$L$5:$L$53&gt;0)+('Yellow Bosses'!$P$5:$P$53&gt;0)+('Yellow Bosses'!$T$5:$T$53&gt;0)+('Yellow Bosses'!$V$5:$V$53&gt;0))=0))</f>
        <v>0</v>
      </c>
      <c r="J215" s="25" t="n">
        <f aca="false">SUMPRODUCT(--(((Effectiveness!$I$5:$I$155&gt;=2)+(Effectiveness!$M$5:$M$155&gt;=2)+(Effectiveness!$Q$5:$Q$155&gt;=2)+(Effectiveness!$S$5:$S$155&gt;=2))&gt;0))</f>
        <v>108</v>
      </c>
      <c r="K215" s="26" t="n">
        <f aca="false">J215/151</f>
        <v>0.71523178807947</v>
      </c>
      <c r="L215" s="25" t="n">
        <f aca="false">MIN(INDEX('Move Reality'!$F$5:$F$19,MATCH(B215,'Move Reality'!$A$5:$A$19,0)),INDEX('Move Reality'!$F$5:$F$19,MATCH(C215,'Move Reality'!$A$5:$A$19,0)),INDEX('Move Reality'!$F$5:$F$19,MATCH(D215,'Move Reality'!$A$5:$A$19,0)),INDEX('Move Reality'!$F$5:$F$19,MATCH(E215,'Move Reality'!$A$5:$A$19,0)))</f>
        <v>1</v>
      </c>
      <c r="M215" s="28" t="str">
        <f aca="false">IF(L215&gt;=5,"YES","no - dead move")</f>
        <v>no - dead move</v>
      </c>
    </row>
    <row r="216" customFormat="false" ht="15" hidden="false" customHeight="false" outlineLevel="0" collapsed="false">
      <c r="A216" s="17" t="n">
        <v>212</v>
      </c>
      <c r="B216" s="17" t="s">
        <v>46</v>
      </c>
      <c r="C216" s="17" t="s">
        <v>51</v>
      </c>
      <c r="D216" s="17" t="s">
        <v>52</v>
      </c>
      <c r="E216" s="17" t="s">
        <v>54</v>
      </c>
      <c r="F216" s="25" t="n">
        <f aca="false">SUMPRODUCT(--((('Yellow Bosses'!$N$5:$N$53&gt;=2)+('Yellow Bosses'!$S$5:$S$53&gt;=2)+('Yellow Bosses'!$T$5:$T$53&gt;=2)+('Yellow Bosses'!$V$5:$V$53&gt;=2))&gt;0))</f>
        <v>37</v>
      </c>
      <c r="G216" s="26" t="n">
        <f aca="false">F216/49</f>
        <v>0.755102040816327</v>
      </c>
      <c r="H216" s="25" t="n">
        <f aca="false">49-SUMPRODUCT(--((('Yellow Bosses'!$N$5:$N$53&gt;=1)+('Yellow Bosses'!$S$5:$S$53&gt;=1)+('Yellow Bosses'!$T$5:$T$53&gt;=1)+('Yellow Bosses'!$V$5:$V$53&gt;=1))&gt;0))</f>
        <v>0</v>
      </c>
      <c r="I216" s="25" t="n">
        <f aca="false">SUMPRODUCT(--((('Yellow Bosses'!$N$5:$N$53&gt;0)+('Yellow Bosses'!$S$5:$S$53&gt;0)+('Yellow Bosses'!$T$5:$T$53&gt;0)+('Yellow Bosses'!$V$5:$V$53&gt;0))=0))</f>
        <v>0</v>
      </c>
      <c r="J216" s="25" t="n">
        <f aca="false">SUMPRODUCT(--(((Effectiveness!$K$5:$K$155&gt;=2)+(Effectiveness!$P$5:$P$155&gt;=2)+(Effectiveness!$Q$5:$Q$155&gt;=2)+(Effectiveness!$S$5:$S$155&gt;=2))&gt;0))</f>
        <v>108</v>
      </c>
      <c r="K216" s="26" t="n">
        <f aca="false">J216/151</f>
        <v>0.71523178807947</v>
      </c>
      <c r="L216" s="25" t="n">
        <f aca="false">MIN(INDEX('Move Reality'!$F$5:$F$19,MATCH(B216,'Move Reality'!$A$5:$A$19,0)),INDEX('Move Reality'!$F$5:$F$19,MATCH(C216,'Move Reality'!$A$5:$A$19,0)),INDEX('Move Reality'!$F$5:$F$19,MATCH(D216,'Move Reality'!$A$5:$A$19,0)),INDEX('Move Reality'!$F$5:$F$19,MATCH(E216,'Move Reality'!$A$5:$A$19,0)))</f>
        <v>1</v>
      </c>
      <c r="M216" s="28" t="str">
        <f aca="false">IF(L216&gt;=5,"YES","no - dead move")</f>
        <v>no - dead move</v>
      </c>
    </row>
    <row r="217" customFormat="false" ht="15" hidden="false" customHeight="false" outlineLevel="0" collapsed="false">
      <c r="A217" s="17" t="n">
        <v>213</v>
      </c>
      <c r="B217" s="17" t="s">
        <v>40</v>
      </c>
      <c r="C217" s="17" t="s">
        <v>44</v>
      </c>
      <c r="D217" s="17" t="s">
        <v>48</v>
      </c>
      <c r="E217" s="17" t="s">
        <v>49</v>
      </c>
      <c r="F217" s="25" t="n">
        <f aca="false">SUMPRODUCT(--((('Yellow Bosses'!$H$5:$H$53&gt;=2)+('Yellow Bosses'!$L$5:$L$53&gt;=2)+('Yellow Bosses'!$P$5:$P$53&gt;=2)+('Yellow Bosses'!$Q$5:$Q$53&gt;=2))&gt;0))</f>
        <v>37</v>
      </c>
      <c r="G217" s="26" t="n">
        <f aca="false">F217/49</f>
        <v>0.755102040816327</v>
      </c>
      <c r="H217" s="25" t="n">
        <f aca="false">49-SUMPRODUCT(--((('Yellow Bosses'!$H$5:$H$53&gt;=1)+('Yellow Bosses'!$L$5:$L$53&gt;=1)+('Yellow Bosses'!$P$5:$P$53&gt;=1)+('Yellow Bosses'!$Q$5:$Q$53&gt;=1))&gt;0))</f>
        <v>0</v>
      </c>
      <c r="I217" s="25" t="n">
        <f aca="false">SUMPRODUCT(--((('Yellow Bosses'!$H$5:$H$53&gt;0)+('Yellow Bosses'!$L$5:$L$53&gt;0)+('Yellow Bosses'!$P$5:$P$53&gt;0)+('Yellow Bosses'!$Q$5:$Q$53&gt;0))=0))</f>
        <v>0</v>
      </c>
      <c r="J217" s="25" t="n">
        <f aca="false">SUMPRODUCT(--(((Effectiveness!$E$5:$E$155&gt;=2)+(Effectiveness!$I$5:$I$155&gt;=2)+(Effectiveness!$M$5:$M$155&gt;=2)+(Effectiveness!$N$5:$N$155&gt;=2))&gt;0))</f>
        <v>107</v>
      </c>
      <c r="K217" s="26" t="n">
        <f aca="false">J217/151</f>
        <v>0.708609271523179</v>
      </c>
      <c r="L217" s="25" t="n">
        <f aca="false">MIN(INDEX('Move Reality'!$F$5:$F$19,MATCH(B217,'Move Reality'!$A$5:$A$19,0)),INDEX('Move Reality'!$F$5:$F$19,MATCH(C217,'Move Reality'!$A$5:$A$19,0)),INDEX('Move Reality'!$F$5:$F$19,MATCH(D217,'Move Reality'!$A$5:$A$19,0)),INDEX('Move Reality'!$F$5:$F$19,MATCH(E217,'Move Reality'!$A$5:$A$19,0)))</f>
        <v>4</v>
      </c>
      <c r="M217" s="28" t="str">
        <f aca="false">IF(L217&gt;=5,"YES","no - dead move")</f>
        <v>no - dead move</v>
      </c>
    </row>
    <row r="218" customFormat="false" ht="15" hidden="false" customHeight="false" outlineLevel="0" collapsed="false">
      <c r="A218" s="17" t="n">
        <v>214</v>
      </c>
      <c r="B218" s="17" t="s">
        <v>44</v>
      </c>
      <c r="C218" s="17" t="s">
        <v>47</v>
      </c>
      <c r="D218" s="17" t="s">
        <v>48</v>
      </c>
      <c r="E218" s="17" t="s">
        <v>49</v>
      </c>
      <c r="F218" s="25" t="n">
        <f aca="false">SUMPRODUCT(--((('Yellow Bosses'!$L$5:$L$53&gt;=2)+('Yellow Bosses'!$O$5:$O$53&gt;=2)+('Yellow Bosses'!$P$5:$P$53&gt;=2)+('Yellow Bosses'!$Q$5:$Q$53&gt;=2))&gt;0))</f>
        <v>37</v>
      </c>
      <c r="G218" s="26" t="n">
        <f aca="false">F218/49</f>
        <v>0.755102040816327</v>
      </c>
      <c r="H218" s="25" t="n">
        <f aca="false">49-SUMPRODUCT(--((('Yellow Bosses'!$L$5:$L$53&gt;=1)+('Yellow Bosses'!$O$5:$O$53&gt;=1)+('Yellow Bosses'!$P$5:$P$53&gt;=1)+('Yellow Bosses'!$Q$5:$Q$53&gt;=1))&gt;0))</f>
        <v>0</v>
      </c>
      <c r="I218" s="25" t="n">
        <f aca="false">SUMPRODUCT(--((('Yellow Bosses'!$L$5:$L$53&gt;0)+('Yellow Bosses'!$O$5:$O$53&gt;0)+('Yellow Bosses'!$P$5:$P$53&gt;0)+('Yellow Bosses'!$Q$5:$Q$53&gt;0))=0))</f>
        <v>0</v>
      </c>
      <c r="J218" s="25" t="n">
        <f aca="false">SUMPRODUCT(--(((Effectiveness!$I$5:$I$155&gt;=2)+(Effectiveness!$L$5:$L$155&gt;=2)+(Effectiveness!$M$5:$M$155&gt;=2)+(Effectiveness!$N$5:$N$155&gt;=2))&gt;0))</f>
        <v>107</v>
      </c>
      <c r="K218" s="26" t="n">
        <f aca="false">J218/151</f>
        <v>0.708609271523179</v>
      </c>
      <c r="L218" s="25" t="n">
        <f aca="false">MIN(INDEX('Move Reality'!$F$5:$F$19,MATCH(B218,'Move Reality'!$A$5:$A$19,0)),INDEX('Move Reality'!$F$5:$F$19,MATCH(C218,'Move Reality'!$A$5:$A$19,0)),INDEX('Move Reality'!$F$5:$F$19,MATCH(D218,'Move Reality'!$A$5:$A$19,0)),INDEX('Move Reality'!$F$5:$F$19,MATCH(E218,'Move Reality'!$A$5:$A$19,0)))</f>
        <v>2</v>
      </c>
      <c r="M218" s="28" t="str">
        <f aca="false">IF(L218&gt;=5,"YES","no - dead move")</f>
        <v>no - dead move</v>
      </c>
    </row>
    <row r="219" customFormat="false" ht="15" hidden="false" customHeight="false" outlineLevel="0" collapsed="false">
      <c r="A219" s="17" t="n">
        <v>215</v>
      </c>
      <c r="B219" s="17" t="s">
        <v>44</v>
      </c>
      <c r="C219" s="17" t="s">
        <v>48</v>
      </c>
      <c r="D219" s="17" t="s">
        <v>49</v>
      </c>
      <c r="E219" s="17" t="s">
        <v>53</v>
      </c>
      <c r="F219" s="25" t="n">
        <f aca="false">SUMPRODUCT(--((('Yellow Bosses'!$L$5:$L$53&gt;=2)+('Yellow Bosses'!$P$5:$P$53&gt;=2)+('Yellow Bosses'!$Q$5:$Q$53&gt;=2)+('Yellow Bosses'!$U$5:$U$53&gt;=2))&gt;0))</f>
        <v>37</v>
      </c>
      <c r="G219" s="26" t="n">
        <f aca="false">F219/49</f>
        <v>0.755102040816327</v>
      </c>
      <c r="H219" s="25" t="n">
        <f aca="false">49-SUMPRODUCT(--((('Yellow Bosses'!$L$5:$L$53&gt;=1)+('Yellow Bosses'!$P$5:$P$53&gt;=1)+('Yellow Bosses'!$Q$5:$Q$53&gt;=1)+('Yellow Bosses'!$U$5:$U$53&gt;=1))&gt;0))</f>
        <v>0</v>
      </c>
      <c r="I219" s="25" t="n">
        <f aca="false">SUMPRODUCT(--((('Yellow Bosses'!$L$5:$L$53&gt;0)+('Yellow Bosses'!$P$5:$P$53&gt;0)+('Yellow Bosses'!$Q$5:$Q$53&gt;0)+('Yellow Bosses'!$U$5:$U$53&gt;0))=0))</f>
        <v>0</v>
      </c>
      <c r="J219" s="25" t="n">
        <f aca="false">SUMPRODUCT(--(((Effectiveness!$I$5:$I$155&gt;=2)+(Effectiveness!$M$5:$M$155&gt;=2)+(Effectiveness!$N$5:$N$155&gt;=2)+(Effectiveness!$R$5:$R$155&gt;=2))&gt;0))</f>
        <v>107</v>
      </c>
      <c r="K219" s="26" t="n">
        <f aca="false">J219/151</f>
        <v>0.708609271523179</v>
      </c>
      <c r="L219" s="25" t="n">
        <f aca="false">MIN(INDEX('Move Reality'!$F$5:$F$19,MATCH(B219,'Move Reality'!$A$5:$A$19,0)),INDEX('Move Reality'!$F$5:$F$19,MATCH(C219,'Move Reality'!$A$5:$A$19,0)),INDEX('Move Reality'!$F$5:$F$19,MATCH(D219,'Move Reality'!$A$5:$A$19,0)),INDEX('Move Reality'!$F$5:$F$19,MATCH(E219,'Move Reality'!$A$5:$A$19,0)))</f>
        <v>1</v>
      </c>
      <c r="M219" s="28" t="str">
        <f aca="false">IF(L219&gt;=5,"YES","no - dead move")</f>
        <v>no - dead move</v>
      </c>
    </row>
    <row r="220" customFormat="false" ht="15" hidden="false" customHeight="false" outlineLevel="0" collapsed="false">
      <c r="A220" s="17" t="n">
        <v>216</v>
      </c>
      <c r="B220" s="17" t="s">
        <v>42</v>
      </c>
      <c r="C220" s="17" t="s">
        <v>46</v>
      </c>
      <c r="D220" s="17" t="s">
        <v>49</v>
      </c>
      <c r="E220" s="17" t="s">
        <v>51</v>
      </c>
      <c r="F220" s="25" t="n">
        <f aca="false">SUMPRODUCT(--((('Yellow Bosses'!$J$5:$J$53&gt;=2)+('Yellow Bosses'!$N$5:$N$53&gt;=2)+('Yellow Bosses'!$Q$5:$Q$53&gt;=2)+('Yellow Bosses'!$S$5:$S$53&gt;=2))&gt;0))</f>
        <v>37</v>
      </c>
      <c r="G220" s="26" t="n">
        <f aca="false">F220/49</f>
        <v>0.755102040816327</v>
      </c>
      <c r="H220" s="25" t="n">
        <f aca="false">49-SUMPRODUCT(--((('Yellow Bosses'!$J$5:$J$53&gt;=1)+('Yellow Bosses'!$N$5:$N$53&gt;=1)+('Yellow Bosses'!$Q$5:$Q$53&gt;=1)+('Yellow Bosses'!$S$5:$S$53&gt;=1))&gt;0))</f>
        <v>0</v>
      </c>
      <c r="I220" s="25" t="n">
        <f aca="false">SUMPRODUCT(--((('Yellow Bosses'!$J$5:$J$53&gt;0)+('Yellow Bosses'!$N$5:$N$53&gt;0)+('Yellow Bosses'!$Q$5:$Q$53&gt;0)+('Yellow Bosses'!$S$5:$S$53&gt;0))=0))</f>
        <v>0</v>
      </c>
      <c r="J220" s="25" t="n">
        <f aca="false">SUMPRODUCT(--(((Effectiveness!$G$5:$G$155&gt;=2)+(Effectiveness!$K$5:$K$155&gt;=2)+(Effectiveness!$N$5:$N$155&gt;=2)+(Effectiveness!$P$5:$P$155&gt;=2))&gt;0))</f>
        <v>106</v>
      </c>
      <c r="K220" s="26" t="n">
        <f aca="false">J220/151</f>
        <v>0.701986754966887</v>
      </c>
      <c r="L220" s="25" t="n">
        <f aca="false">MIN(INDEX('Move Reality'!$F$5:$F$19,MATCH(B220,'Move Reality'!$A$5:$A$19,0)),INDEX('Move Reality'!$F$5:$F$19,MATCH(C220,'Move Reality'!$A$5:$A$19,0)),INDEX('Move Reality'!$F$5:$F$19,MATCH(D220,'Move Reality'!$A$5:$A$19,0)),INDEX('Move Reality'!$F$5:$F$19,MATCH(E220,'Move Reality'!$A$5:$A$19,0)))</f>
        <v>1</v>
      </c>
      <c r="M220" s="28" t="str">
        <f aca="false">IF(L220&gt;=5,"YES","no - dead move")</f>
        <v>no - dead move</v>
      </c>
    </row>
    <row r="221" customFormat="false" ht="15" hidden="false" customHeight="false" outlineLevel="0" collapsed="false">
      <c r="A221" s="17" t="n">
        <v>217</v>
      </c>
      <c r="B221" s="17" t="s">
        <v>40</v>
      </c>
      <c r="C221" s="17" t="s">
        <v>43</v>
      </c>
      <c r="D221" s="17" t="s">
        <v>45</v>
      </c>
      <c r="E221" s="17" t="s">
        <v>50</v>
      </c>
      <c r="F221" s="25" t="n">
        <f aca="false">SUMPRODUCT(--((('Yellow Bosses'!$H$5:$H$53&gt;=2)+('Yellow Bosses'!$K$5:$K$53&gt;=2)+('Yellow Bosses'!$M$5:$M$53&gt;=2)+('Yellow Bosses'!$R$5:$R$53&gt;=2))&gt;0))</f>
        <v>37</v>
      </c>
      <c r="G221" s="26" t="n">
        <f aca="false">F221/49</f>
        <v>0.755102040816327</v>
      </c>
      <c r="H221" s="25" t="n">
        <f aca="false">49-SUMPRODUCT(--((('Yellow Bosses'!$H$5:$H$53&gt;=1)+('Yellow Bosses'!$K$5:$K$53&gt;=1)+('Yellow Bosses'!$M$5:$M$53&gt;=1)+('Yellow Bosses'!$R$5:$R$53&gt;=1))&gt;0))</f>
        <v>0</v>
      </c>
      <c r="I221" s="25" t="n">
        <f aca="false">SUMPRODUCT(--((('Yellow Bosses'!$H$5:$H$53&gt;0)+('Yellow Bosses'!$K$5:$K$53&gt;0)+('Yellow Bosses'!$M$5:$M$53&gt;0)+('Yellow Bosses'!$R$5:$R$53&gt;0))=0))</f>
        <v>0</v>
      </c>
      <c r="J221" s="25" t="n">
        <f aca="false">SUMPRODUCT(--(((Effectiveness!$E$5:$E$155&gt;=2)+(Effectiveness!$H$5:$H$155&gt;=2)+(Effectiveness!$J$5:$J$155&gt;=2)+(Effectiveness!$O$5:$O$155&gt;=2))&gt;0))</f>
        <v>105</v>
      </c>
      <c r="K221" s="26" t="n">
        <f aca="false">J221/151</f>
        <v>0.695364238410596</v>
      </c>
      <c r="L221" s="25" t="n">
        <f aca="false">MIN(INDEX('Move Reality'!$F$5:$F$19,MATCH(B221,'Move Reality'!$A$5:$A$19,0)),INDEX('Move Reality'!$F$5:$F$19,MATCH(C221,'Move Reality'!$A$5:$A$19,0)),INDEX('Move Reality'!$F$5:$F$19,MATCH(D221,'Move Reality'!$A$5:$A$19,0)),INDEX('Move Reality'!$F$5:$F$19,MATCH(E221,'Move Reality'!$A$5:$A$19,0)))</f>
        <v>9</v>
      </c>
      <c r="M221" s="28" t="str">
        <f aca="false">IF(L221&gt;=5,"YES","no - dead move")</f>
        <v>YES</v>
      </c>
    </row>
    <row r="222" customFormat="false" ht="15" hidden="false" customHeight="false" outlineLevel="0" collapsed="false">
      <c r="A222" s="17" t="n">
        <v>218</v>
      </c>
      <c r="B222" s="17" t="s">
        <v>42</v>
      </c>
      <c r="C222" s="17" t="s">
        <v>43</v>
      </c>
      <c r="D222" s="17" t="s">
        <v>45</v>
      </c>
      <c r="E222" s="17" t="s">
        <v>49</v>
      </c>
      <c r="F222" s="25" t="n">
        <f aca="false">SUMPRODUCT(--((('Yellow Bosses'!$J$5:$J$53&gt;=2)+('Yellow Bosses'!$K$5:$K$53&gt;=2)+('Yellow Bosses'!$M$5:$M$53&gt;=2)+('Yellow Bosses'!$Q$5:$Q$53&gt;=2))&gt;0))</f>
        <v>37</v>
      </c>
      <c r="G222" s="26" t="n">
        <f aca="false">F222/49</f>
        <v>0.755102040816327</v>
      </c>
      <c r="H222" s="25" t="n">
        <f aca="false">49-SUMPRODUCT(--((('Yellow Bosses'!$J$5:$J$53&gt;=1)+('Yellow Bosses'!$K$5:$K$53&gt;=1)+('Yellow Bosses'!$M$5:$M$53&gt;=1)+('Yellow Bosses'!$Q$5:$Q$53&gt;=1))&gt;0))</f>
        <v>0</v>
      </c>
      <c r="I222" s="25" t="n">
        <f aca="false">SUMPRODUCT(--((('Yellow Bosses'!$J$5:$J$53&gt;0)+('Yellow Bosses'!$K$5:$K$53&gt;0)+('Yellow Bosses'!$M$5:$M$53&gt;0)+('Yellow Bosses'!$Q$5:$Q$53&gt;0))=0))</f>
        <v>0</v>
      </c>
      <c r="J222" s="25" t="n">
        <f aca="false">SUMPRODUCT(--(((Effectiveness!$G$5:$G$155&gt;=2)+(Effectiveness!$H$5:$H$155&gt;=2)+(Effectiveness!$J$5:$J$155&gt;=2)+(Effectiveness!$N$5:$N$155&gt;=2))&gt;0))</f>
        <v>105</v>
      </c>
      <c r="K222" s="26" t="n">
        <f aca="false">J222/151</f>
        <v>0.695364238410596</v>
      </c>
      <c r="L222" s="25" t="n">
        <f aca="false">MIN(INDEX('Move Reality'!$F$5:$F$19,MATCH(B222,'Move Reality'!$A$5:$A$19,0)),INDEX('Move Reality'!$F$5:$F$19,MATCH(C222,'Move Reality'!$A$5:$A$19,0)),INDEX('Move Reality'!$F$5:$F$19,MATCH(D222,'Move Reality'!$A$5:$A$19,0)),INDEX('Move Reality'!$F$5:$F$19,MATCH(E222,'Move Reality'!$A$5:$A$19,0)))</f>
        <v>5</v>
      </c>
      <c r="M222" s="28" t="str">
        <f aca="false">IF(L222&gt;=5,"YES","no - dead move")</f>
        <v>YES</v>
      </c>
    </row>
    <row r="223" customFormat="false" ht="15" hidden="false" customHeight="false" outlineLevel="0" collapsed="false">
      <c r="A223" s="17" t="n">
        <v>219</v>
      </c>
      <c r="B223" s="17" t="s">
        <v>43</v>
      </c>
      <c r="C223" s="17" t="s">
        <v>44</v>
      </c>
      <c r="D223" s="17" t="s">
        <v>45</v>
      </c>
      <c r="E223" s="17" t="s">
        <v>50</v>
      </c>
      <c r="F223" s="25" t="n">
        <f aca="false">SUMPRODUCT(--((('Yellow Bosses'!$K$5:$K$53&gt;=2)+('Yellow Bosses'!$L$5:$L$53&gt;=2)+('Yellow Bosses'!$M$5:$M$53&gt;=2)+('Yellow Bosses'!$R$5:$R$53&gt;=2))&gt;0))</f>
        <v>37</v>
      </c>
      <c r="G223" s="26" t="n">
        <f aca="false">F223/49</f>
        <v>0.755102040816327</v>
      </c>
      <c r="H223" s="25" t="n">
        <f aca="false">49-SUMPRODUCT(--((('Yellow Bosses'!$K$5:$K$53&gt;=1)+('Yellow Bosses'!$L$5:$L$53&gt;=1)+('Yellow Bosses'!$M$5:$M$53&gt;=1)+('Yellow Bosses'!$R$5:$R$53&gt;=1))&gt;0))</f>
        <v>0</v>
      </c>
      <c r="I223" s="25" t="n">
        <f aca="false">SUMPRODUCT(--((('Yellow Bosses'!$K$5:$K$53&gt;0)+('Yellow Bosses'!$L$5:$L$53&gt;0)+('Yellow Bosses'!$M$5:$M$53&gt;0)+('Yellow Bosses'!$R$5:$R$53&gt;0))=0))</f>
        <v>0</v>
      </c>
      <c r="J223" s="25" t="n">
        <f aca="false">SUMPRODUCT(--(((Effectiveness!$H$5:$H$155&gt;=2)+(Effectiveness!$I$5:$I$155&gt;=2)+(Effectiveness!$J$5:$J$155&gt;=2)+(Effectiveness!$O$5:$O$155&gt;=2))&gt;0))</f>
        <v>105</v>
      </c>
      <c r="K223" s="26" t="n">
        <f aca="false">J223/151</f>
        <v>0.695364238410596</v>
      </c>
      <c r="L223" s="25" t="n">
        <f aca="false">MIN(INDEX('Move Reality'!$F$5:$F$19,MATCH(B223,'Move Reality'!$A$5:$A$19,0)),INDEX('Move Reality'!$F$5:$F$19,MATCH(C223,'Move Reality'!$A$5:$A$19,0)),INDEX('Move Reality'!$F$5:$F$19,MATCH(D223,'Move Reality'!$A$5:$A$19,0)),INDEX('Move Reality'!$F$5:$F$19,MATCH(E223,'Move Reality'!$A$5:$A$19,0)))</f>
        <v>4</v>
      </c>
      <c r="M223" s="28" t="str">
        <f aca="false">IF(L223&gt;=5,"YES","no - dead move")</f>
        <v>no - dead move</v>
      </c>
    </row>
    <row r="224" customFormat="false" ht="15" hidden="false" customHeight="false" outlineLevel="0" collapsed="false">
      <c r="A224" s="17" t="n">
        <v>220</v>
      </c>
      <c r="B224" s="17" t="s">
        <v>43</v>
      </c>
      <c r="C224" s="17" t="s">
        <v>45</v>
      </c>
      <c r="D224" s="17" t="s">
        <v>50</v>
      </c>
      <c r="E224" s="17" t="s">
        <v>53</v>
      </c>
      <c r="F224" s="25" t="n">
        <f aca="false">SUMPRODUCT(--((('Yellow Bosses'!$K$5:$K$53&gt;=2)+('Yellow Bosses'!$M$5:$M$53&gt;=2)+('Yellow Bosses'!$R$5:$R$53&gt;=2)+('Yellow Bosses'!$U$5:$U$53&gt;=2))&gt;0))</f>
        <v>37</v>
      </c>
      <c r="G224" s="26" t="n">
        <f aca="false">F224/49</f>
        <v>0.755102040816327</v>
      </c>
      <c r="H224" s="25" t="n">
        <f aca="false">49-SUMPRODUCT(--((('Yellow Bosses'!$K$5:$K$53&gt;=1)+('Yellow Bosses'!$M$5:$M$53&gt;=1)+('Yellow Bosses'!$R$5:$R$53&gt;=1)+('Yellow Bosses'!$U$5:$U$53&gt;=1))&gt;0))</f>
        <v>0</v>
      </c>
      <c r="I224" s="25" t="n">
        <f aca="false">SUMPRODUCT(--((('Yellow Bosses'!$K$5:$K$53&gt;0)+('Yellow Bosses'!$M$5:$M$53&gt;0)+('Yellow Bosses'!$R$5:$R$53&gt;0)+('Yellow Bosses'!$U$5:$U$53&gt;0))=0))</f>
        <v>0</v>
      </c>
      <c r="J224" s="25" t="n">
        <f aca="false">SUMPRODUCT(--(((Effectiveness!$H$5:$H$155&gt;=2)+(Effectiveness!$J$5:$J$155&gt;=2)+(Effectiveness!$O$5:$O$155&gt;=2)+(Effectiveness!$R$5:$R$155&gt;=2))&gt;0))</f>
        <v>105</v>
      </c>
      <c r="K224" s="26" t="n">
        <f aca="false">J224/151</f>
        <v>0.695364238410596</v>
      </c>
      <c r="L224" s="25" t="n">
        <f aca="false">MIN(INDEX('Move Reality'!$F$5:$F$19,MATCH(B224,'Move Reality'!$A$5:$A$19,0)),INDEX('Move Reality'!$F$5:$F$19,MATCH(C224,'Move Reality'!$A$5:$A$19,0)),INDEX('Move Reality'!$F$5:$F$19,MATCH(D224,'Move Reality'!$A$5:$A$19,0)),INDEX('Move Reality'!$F$5:$F$19,MATCH(E224,'Move Reality'!$A$5:$A$19,0)))</f>
        <v>1</v>
      </c>
      <c r="M224" s="28" t="str">
        <f aca="false">IF(L224&gt;=5,"YES","no - dead move")</f>
        <v>no - dead move</v>
      </c>
    </row>
    <row r="225" customFormat="false" ht="15" hidden="false" customHeight="false" outlineLevel="0" collapsed="false">
      <c r="A225" s="17" t="n">
        <v>221</v>
      </c>
      <c r="B225" s="17" t="s">
        <v>43</v>
      </c>
      <c r="C225" s="17" t="s">
        <v>45</v>
      </c>
      <c r="D225" s="17" t="s">
        <v>50</v>
      </c>
      <c r="E225" s="17" t="s">
        <v>54</v>
      </c>
      <c r="F225" s="25" t="n">
        <f aca="false">SUMPRODUCT(--((('Yellow Bosses'!$K$5:$K$53&gt;=2)+('Yellow Bosses'!$M$5:$M$53&gt;=2)+('Yellow Bosses'!$R$5:$R$53&gt;=2)+('Yellow Bosses'!$V$5:$V$53&gt;=2))&gt;0))</f>
        <v>37</v>
      </c>
      <c r="G225" s="26" t="n">
        <f aca="false">F225/49</f>
        <v>0.755102040816327</v>
      </c>
      <c r="H225" s="25" t="n">
        <f aca="false">49-SUMPRODUCT(--((('Yellow Bosses'!$K$5:$K$53&gt;=1)+('Yellow Bosses'!$M$5:$M$53&gt;=1)+('Yellow Bosses'!$R$5:$R$53&gt;=1)+('Yellow Bosses'!$V$5:$V$53&gt;=1))&gt;0))</f>
        <v>0</v>
      </c>
      <c r="I225" s="25" t="n">
        <f aca="false">SUMPRODUCT(--((('Yellow Bosses'!$K$5:$K$53&gt;0)+('Yellow Bosses'!$M$5:$M$53&gt;0)+('Yellow Bosses'!$R$5:$R$53&gt;0)+('Yellow Bosses'!$V$5:$V$53&gt;0))=0))</f>
        <v>0</v>
      </c>
      <c r="J225" s="25" t="n">
        <f aca="false">SUMPRODUCT(--(((Effectiveness!$H$5:$H$155&gt;=2)+(Effectiveness!$J$5:$J$155&gt;=2)+(Effectiveness!$O$5:$O$155&gt;=2)+(Effectiveness!$S$5:$S$155&gt;=2))&gt;0))</f>
        <v>105</v>
      </c>
      <c r="K225" s="26" t="n">
        <f aca="false">J225/151</f>
        <v>0.695364238410596</v>
      </c>
      <c r="L225" s="25" t="n">
        <f aca="false">MIN(INDEX('Move Reality'!$F$5:$F$19,MATCH(B225,'Move Reality'!$A$5:$A$19,0)),INDEX('Move Reality'!$F$5:$F$19,MATCH(C225,'Move Reality'!$A$5:$A$19,0)),INDEX('Move Reality'!$F$5:$F$19,MATCH(D225,'Move Reality'!$A$5:$A$19,0)),INDEX('Move Reality'!$F$5:$F$19,MATCH(E225,'Move Reality'!$A$5:$A$19,0)))</f>
        <v>1</v>
      </c>
      <c r="M225" s="28" t="str">
        <f aca="false">IF(L225&gt;=5,"YES","no - dead move")</f>
        <v>no - dead move</v>
      </c>
    </row>
    <row r="226" customFormat="false" ht="15" hidden="false" customHeight="false" outlineLevel="0" collapsed="false">
      <c r="A226" s="17" t="n">
        <v>222</v>
      </c>
      <c r="B226" s="17" t="s">
        <v>42</v>
      </c>
      <c r="C226" s="17" t="s">
        <v>43</v>
      </c>
      <c r="D226" s="17" t="s">
        <v>49</v>
      </c>
      <c r="E226" s="17" t="s">
        <v>53</v>
      </c>
      <c r="F226" s="25" t="n">
        <f aca="false">SUMPRODUCT(--((('Yellow Bosses'!$J$5:$J$53&gt;=2)+('Yellow Bosses'!$K$5:$K$53&gt;=2)+('Yellow Bosses'!$Q$5:$Q$53&gt;=2)+('Yellow Bosses'!$U$5:$U$53&gt;=2))&gt;0))</f>
        <v>37</v>
      </c>
      <c r="G226" s="26" t="n">
        <f aca="false">F226/49</f>
        <v>0.755102040816327</v>
      </c>
      <c r="H226" s="25" t="n">
        <f aca="false">49-SUMPRODUCT(--((('Yellow Bosses'!$J$5:$J$53&gt;=1)+('Yellow Bosses'!$K$5:$K$53&gt;=1)+('Yellow Bosses'!$Q$5:$Q$53&gt;=1)+('Yellow Bosses'!$U$5:$U$53&gt;=1))&gt;0))</f>
        <v>0</v>
      </c>
      <c r="I226" s="25" t="n">
        <f aca="false">SUMPRODUCT(--((('Yellow Bosses'!$J$5:$J$53&gt;0)+('Yellow Bosses'!$K$5:$K$53&gt;0)+('Yellow Bosses'!$Q$5:$Q$53&gt;0)+('Yellow Bosses'!$U$5:$U$53&gt;0))=0))</f>
        <v>0</v>
      </c>
      <c r="J226" s="25" t="n">
        <f aca="false">SUMPRODUCT(--(((Effectiveness!$G$5:$G$155&gt;=2)+(Effectiveness!$H$5:$H$155&gt;=2)+(Effectiveness!$N$5:$N$155&gt;=2)+(Effectiveness!$R$5:$R$155&gt;=2))&gt;0))</f>
        <v>104</v>
      </c>
      <c r="K226" s="26" t="n">
        <f aca="false">J226/151</f>
        <v>0.688741721854305</v>
      </c>
      <c r="L226" s="25" t="n">
        <f aca="false">MIN(INDEX('Move Reality'!$F$5:$F$19,MATCH(B226,'Move Reality'!$A$5:$A$19,0)),INDEX('Move Reality'!$F$5:$F$19,MATCH(C226,'Move Reality'!$A$5:$A$19,0)),INDEX('Move Reality'!$F$5:$F$19,MATCH(D226,'Move Reality'!$A$5:$A$19,0)),INDEX('Move Reality'!$F$5:$F$19,MATCH(E226,'Move Reality'!$A$5:$A$19,0)))</f>
        <v>1</v>
      </c>
      <c r="M226" s="28" t="str">
        <f aca="false">IF(L226&gt;=5,"YES","no - dead move")</f>
        <v>no - dead move</v>
      </c>
    </row>
    <row r="227" customFormat="false" ht="15" hidden="false" customHeight="false" outlineLevel="0" collapsed="false">
      <c r="A227" s="17" t="n">
        <v>223</v>
      </c>
      <c r="B227" s="17" t="s">
        <v>42</v>
      </c>
      <c r="C227" s="17" t="s">
        <v>43</v>
      </c>
      <c r="D227" s="17" t="s">
        <v>49</v>
      </c>
      <c r="E227" s="17" t="s">
        <v>54</v>
      </c>
      <c r="F227" s="25" t="n">
        <f aca="false">SUMPRODUCT(--((('Yellow Bosses'!$J$5:$J$53&gt;=2)+('Yellow Bosses'!$K$5:$K$53&gt;=2)+('Yellow Bosses'!$Q$5:$Q$53&gt;=2)+('Yellow Bosses'!$V$5:$V$53&gt;=2))&gt;0))</f>
        <v>37</v>
      </c>
      <c r="G227" s="26" t="n">
        <f aca="false">F227/49</f>
        <v>0.755102040816327</v>
      </c>
      <c r="H227" s="25" t="n">
        <f aca="false">49-SUMPRODUCT(--((('Yellow Bosses'!$J$5:$J$53&gt;=1)+('Yellow Bosses'!$K$5:$K$53&gt;=1)+('Yellow Bosses'!$Q$5:$Q$53&gt;=1)+('Yellow Bosses'!$V$5:$V$53&gt;=1))&gt;0))</f>
        <v>0</v>
      </c>
      <c r="I227" s="25" t="n">
        <f aca="false">SUMPRODUCT(--((('Yellow Bosses'!$J$5:$J$53&gt;0)+('Yellow Bosses'!$K$5:$K$53&gt;0)+('Yellow Bosses'!$Q$5:$Q$53&gt;0)+('Yellow Bosses'!$V$5:$V$53&gt;0))=0))</f>
        <v>0</v>
      </c>
      <c r="J227" s="25" t="n">
        <f aca="false">SUMPRODUCT(--(((Effectiveness!$G$5:$G$155&gt;=2)+(Effectiveness!$H$5:$H$155&gt;=2)+(Effectiveness!$N$5:$N$155&gt;=2)+(Effectiveness!$S$5:$S$155&gt;=2))&gt;0))</f>
        <v>104</v>
      </c>
      <c r="K227" s="26" t="n">
        <f aca="false">J227/151</f>
        <v>0.688741721854305</v>
      </c>
      <c r="L227" s="25" t="n">
        <f aca="false">MIN(INDEX('Move Reality'!$F$5:$F$19,MATCH(B227,'Move Reality'!$A$5:$A$19,0)),INDEX('Move Reality'!$F$5:$F$19,MATCH(C227,'Move Reality'!$A$5:$A$19,0)),INDEX('Move Reality'!$F$5:$F$19,MATCH(D227,'Move Reality'!$A$5:$A$19,0)),INDEX('Move Reality'!$F$5:$F$19,MATCH(E227,'Move Reality'!$A$5:$A$19,0)))</f>
        <v>1</v>
      </c>
      <c r="M227" s="28" t="str">
        <f aca="false">IF(L227&gt;=5,"YES","no - dead move")</f>
        <v>no - dead move</v>
      </c>
    </row>
    <row r="228" customFormat="false" ht="15" hidden="false" customHeight="false" outlineLevel="0" collapsed="false">
      <c r="A228" s="17" t="n">
        <v>224</v>
      </c>
      <c r="B228" s="17" t="s">
        <v>42</v>
      </c>
      <c r="C228" s="17" t="s">
        <v>44</v>
      </c>
      <c r="D228" s="17" t="s">
        <v>47</v>
      </c>
      <c r="E228" s="17" t="s">
        <v>50</v>
      </c>
      <c r="F228" s="25" t="n">
        <f aca="false">SUMPRODUCT(--((('Yellow Bosses'!$J$5:$J$53&gt;=2)+('Yellow Bosses'!$L$5:$L$53&gt;=2)+('Yellow Bosses'!$O$5:$O$53&gt;=2)+('Yellow Bosses'!$R$5:$R$53&gt;=2))&gt;0))</f>
        <v>37</v>
      </c>
      <c r="G228" s="26" t="n">
        <f aca="false">F228/49</f>
        <v>0.755102040816327</v>
      </c>
      <c r="H228" s="25" t="n">
        <f aca="false">49-SUMPRODUCT(--((('Yellow Bosses'!$J$5:$J$53&gt;=1)+('Yellow Bosses'!$L$5:$L$53&gt;=1)+('Yellow Bosses'!$O$5:$O$53&gt;=1)+('Yellow Bosses'!$R$5:$R$53&gt;=1))&gt;0))</f>
        <v>0</v>
      </c>
      <c r="I228" s="25" t="n">
        <f aca="false">SUMPRODUCT(--((('Yellow Bosses'!$J$5:$J$53&gt;0)+('Yellow Bosses'!$L$5:$L$53&gt;0)+('Yellow Bosses'!$O$5:$O$53&gt;0)+('Yellow Bosses'!$R$5:$R$53&gt;0))=0))</f>
        <v>0</v>
      </c>
      <c r="J228" s="25" t="n">
        <f aca="false">SUMPRODUCT(--(((Effectiveness!$G$5:$G$155&gt;=2)+(Effectiveness!$I$5:$I$155&gt;=2)+(Effectiveness!$L$5:$L$155&gt;=2)+(Effectiveness!$O$5:$O$155&gt;=2))&gt;0))</f>
        <v>104</v>
      </c>
      <c r="K228" s="26" t="n">
        <f aca="false">J228/151</f>
        <v>0.688741721854305</v>
      </c>
      <c r="L228" s="25" t="n">
        <f aca="false">MIN(INDEX('Move Reality'!$F$5:$F$19,MATCH(B228,'Move Reality'!$A$5:$A$19,0)),INDEX('Move Reality'!$F$5:$F$19,MATCH(C228,'Move Reality'!$A$5:$A$19,0)),INDEX('Move Reality'!$F$5:$F$19,MATCH(D228,'Move Reality'!$A$5:$A$19,0)),INDEX('Move Reality'!$F$5:$F$19,MATCH(E228,'Move Reality'!$A$5:$A$19,0)))</f>
        <v>2</v>
      </c>
      <c r="M228" s="28" t="str">
        <f aca="false">IF(L228&gt;=5,"YES","no - dead move")</f>
        <v>no - dead move</v>
      </c>
    </row>
    <row r="229" customFormat="false" ht="15" hidden="false" customHeight="false" outlineLevel="0" collapsed="false">
      <c r="A229" s="17" t="n">
        <v>225</v>
      </c>
      <c r="B229" s="17" t="s">
        <v>42</v>
      </c>
      <c r="C229" s="17" t="s">
        <v>44</v>
      </c>
      <c r="D229" s="17" t="s">
        <v>49</v>
      </c>
      <c r="E229" s="17" t="s">
        <v>50</v>
      </c>
      <c r="F229" s="25" t="n">
        <f aca="false">SUMPRODUCT(--((('Yellow Bosses'!$J$5:$J$53&gt;=2)+('Yellow Bosses'!$L$5:$L$53&gt;=2)+('Yellow Bosses'!$Q$5:$Q$53&gt;=2)+('Yellow Bosses'!$R$5:$R$53&gt;=2))&gt;0))</f>
        <v>37</v>
      </c>
      <c r="G229" s="26" t="n">
        <f aca="false">F229/49</f>
        <v>0.755102040816327</v>
      </c>
      <c r="H229" s="25" t="n">
        <f aca="false">49-SUMPRODUCT(--((('Yellow Bosses'!$J$5:$J$53&gt;=1)+('Yellow Bosses'!$L$5:$L$53&gt;=1)+('Yellow Bosses'!$Q$5:$Q$53&gt;=1)+('Yellow Bosses'!$R$5:$R$53&gt;=1))&gt;0))</f>
        <v>0</v>
      </c>
      <c r="I229" s="25" t="n">
        <f aca="false">SUMPRODUCT(--((('Yellow Bosses'!$J$5:$J$53&gt;0)+('Yellow Bosses'!$L$5:$L$53&gt;0)+('Yellow Bosses'!$Q$5:$Q$53&gt;0)+('Yellow Bosses'!$R$5:$R$53&gt;0))=0))</f>
        <v>0</v>
      </c>
      <c r="J229" s="25" t="n">
        <f aca="false">SUMPRODUCT(--(((Effectiveness!$G$5:$G$155&gt;=2)+(Effectiveness!$I$5:$I$155&gt;=2)+(Effectiveness!$N$5:$N$155&gt;=2)+(Effectiveness!$O$5:$O$155&gt;=2))&gt;0))</f>
        <v>104</v>
      </c>
      <c r="K229" s="26" t="n">
        <f aca="false">J229/151</f>
        <v>0.688741721854305</v>
      </c>
      <c r="L229" s="25" t="n">
        <f aca="false">MIN(INDEX('Move Reality'!$F$5:$F$19,MATCH(B229,'Move Reality'!$A$5:$A$19,0)),INDEX('Move Reality'!$F$5:$F$19,MATCH(C229,'Move Reality'!$A$5:$A$19,0)),INDEX('Move Reality'!$F$5:$F$19,MATCH(D229,'Move Reality'!$A$5:$A$19,0)),INDEX('Move Reality'!$F$5:$F$19,MATCH(E229,'Move Reality'!$A$5:$A$19,0)))</f>
        <v>4</v>
      </c>
      <c r="M229" s="28" t="str">
        <f aca="false">IF(L229&gt;=5,"YES","no - dead move")</f>
        <v>no - dead move</v>
      </c>
    </row>
    <row r="230" customFormat="false" ht="15" hidden="false" customHeight="false" outlineLevel="0" collapsed="false">
      <c r="A230" s="17" t="n">
        <v>226</v>
      </c>
      <c r="B230" s="17" t="s">
        <v>44</v>
      </c>
      <c r="C230" s="17" t="s">
        <v>49</v>
      </c>
      <c r="D230" s="17" t="s">
        <v>52</v>
      </c>
      <c r="E230" s="17" t="s">
        <v>53</v>
      </c>
      <c r="F230" s="25" t="n">
        <f aca="false">SUMPRODUCT(--((('Yellow Bosses'!$L$5:$L$53&gt;=2)+('Yellow Bosses'!$Q$5:$Q$53&gt;=2)+('Yellow Bosses'!$T$5:$T$53&gt;=2)+('Yellow Bosses'!$U$5:$U$53&gt;=2))&gt;0))</f>
        <v>37</v>
      </c>
      <c r="G230" s="26" t="n">
        <f aca="false">F230/49</f>
        <v>0.755102040816327</v>
      </c>
      <c r="H230" s="25" t="n">
        <f aca="false">49-SUMPRODUCT(--((('Yellow Bosses'!$L$5:$L$53&gt;=1)+('Yellow Bosses'!$Q$5:$Q$53&gt;=1)+('Yellow Bosses'!$T$5:$T$53&gt;=1)+('Yellow Bosses'!$U$5:$U$53&gt;=1))&gt;0))</f>
        <v>0</v>
      </c>
      <c r="I230" s="25" t="n">
        <f aca="false">SUMPRODUCT(--((('Yellow Bosses'!$L$5:$L$53&gt;0)+('Yellow Bosses'!$Q$5:$Q$53&gt;0)+('Yellow Bosses'!$T$5:$T$53&gt;0)+('Yellow Bosses'!$U$5:$U$53&gt;0))=0))</f>
        <v>0</v>
      </c>
      <c r="J230" s="25" t="n">
        <f aca="false">SUMPRODUCT(--(((Effectiveness!$I$5:$I$155&gt;=2)+(Effectiveness!$N$5:$N$155&gt;=2)+(Effectiveness!$Q$5:$Q$155&gt;=2)+(Effectiveness!$R$5:$R$155&gt;=2))&gt;0))</f>
        <v>103</v>
      </c>
      <c r="K230" s="26" t="n">
        <f aca="false">J230/151</f>
        <v>0.682119205298013</v>
      </c>
      <c r="L230" s="25" t="n">
        <f aca="false">MIN(INDEX('Move Reality'!$F$5:$F$19,MATCH(B230,'Move Reality'!$A$5:$A$19,0)),INDEX('Move Reality'!$F$5:$F$19,MATCH(C230,'Move Reality'!$A$5:$A$19,0)),INDEX('Move Reality'!$F$5:$F$19,MATCH(D230,'Move Reality'!$A$5:$A$19,0)),INDEX('Move Reality'!$F$5:$F$19,MATCH(E230,'Move Reality'!$A$5:$A$19,0)))</f>
        <v>1</v>
      </c>
      <c r="M230" s="28" t="str">
        <f aca="false">IF(L230&gt;=5,"YES","no - dead move")</f>
        <v>no - dead move</v>
      </c>
    </row>
    <row r="231" customFormat="false" ht="15" hidden="false" customHeight="false" outlineLevel="0" collapsed="false">
      <c r="A231" s="17" t="n">
        <v>227</v>
      </c>
      <c r="B231" s="17" t="s">
        <v>42</v>
      </c>
      <c r="C231" s="17" t="s">
        <v>44</v>
      </c>
      <c r="D231" s="17" t="s">
        <v>48</v>
      </c>
      <c r="E231" s="17" t="s">
        <v>50</v>
      </c>
      <c r="F231" s="25" t="n">
        <f aca="false">SUMPRODUCT(--((('Yellow Bosses'!$J$5:$J$53&gt;=2)+('Yellow Bosses'!$L$5:$L$53&gt;=2)+('Yellow Bosses'!$P$5:$P$53&gt;=2)+('Yellow Bosses'!$R$5:$R$53&gt;=2))&gt;0))</f>
        <v>37</v>
      </c>
      <c r="G231" s="26" t="n">
        <f aca="false">F231/49</f>
        <v>0.755102040816327</v>
      </c>
      <c r="H231" s="25" t="n">
        <f aca="false">49-SUMPRODUCT(--((('Yellow Bosses'!$J$5:$J$53&gt;=1)+('Yellow Bosses'!$L$5:$L$53&gt;=1)+('Yellow Bosses'!$P$5:$P$53&gt;=1)+('Yellow Bosses'!$R$5:$R$53&gt;=1))&gt;0))</f>
        <v>1</v>
      </c>
      <c r="I231" s="25" t="n">
        <f aca="false">SUMPRODUCT(--((('Yellow Bosses'!$J$5:$J$53&gt;0)+('Yellow Bosses'!$L$5:$L$53&gt;0)+('Yellow Bosses'!$P$5:$P$53&gt;0)+('Yellow Bosses'!$R$5:$R$53&gt;0))=0))</f>
        <v>0</v>
      </c>
      <c r="J231" s="25" t="n">
        <f aca="false">SUMPRODUCT(--(((Effectiveness!$G$5:$G$155&gt;=2)+(Effectiveness!$I$5:$I$155&gt;=2)+(Effectiveness!$M$5:$M$155&gt;=2)+(Effectiveness!$O$5:$O$155&gt;=2))&gt;0))</f>
        <v>102</v>
      </c>
      <c r="K231" s="26" t="n">
        <f aca="false">J231/151</f>
        <v>0.675496688741722</v>
      </c>
      <c r="L231" s="25" t="n">
        <f aca="false">MIN(INDEX('Move Reality'!$F$5:$F$19,MATCH(B231,'Move Reality'!$A$5:$A$19,0)),INDEX('Move Reality'!$F$5:$F$19,MATCH(C231,'Move Reality'!$A$5:$A$19,0)),INDEX('Move Reality'!$F$5:$F$19,MATCH(D231,'Move Reality'!$A$5:$A$19,0)),INDEX('Move Reality'!$F$5:$F$19,MATCH(E231,'Move Reality'!$A$5:$A$19,0)))</f>
        <v>4</v>
      </c>
      <c r="M231" s="28" t="str">
        <f aca="false">IF(L231&gt;=5,"YES","no - dead move")</f>
        <v>no - dead move</v>
      </c>
    </row>
    <row r="232" customFormat="false" ht="15" hidden="false" customHeight="false" outlineLevel="0" collapsed="false">
      <c r="A232" s="17" t="n">
        <v>228</v>
      </c>
      <c r="B232" s="17" t="s">
        <v>45</v>
      </c>
      <c r="C232" s="17" t="s">
        <v>46</v>
      </c>
      <c r="D232" s="17" t="s">
        <v>51</v>
      </c>
      <c r="E232" s="17" t="s">
        <v>53</v>
      </c>
      <c r="F232" s="25" t="n">
        <f aca="false">SUMPRODUCT(--((('Yellow Bosses'!$M$5:$M$53&gt;=2)+('Yellow Bosses'!$N$5:$N$53&gt;=2)+('Yellow Bosses'!$S$5:$S$53&gt;=2)+('Yellow Bosses'!$U$5:$U$53&gt;=2))&gt;0))</f>
        <v>37</v>
      </c>
      <c r="G232" s="26" t="n">
        <f aca="false">F232/49</f>
        <v>0.755102040816327</v>
      </c>
      <c r="H232" s="25" t="n">
        <f aca="false">49-SUMPRODUCT(--((('Yellow Bosses'!$M$5:$M$53&gt;=1)+('Yellow Bosses'!$N$5:$N$53&gt;=1)+('Yellow Bosses'!$S$5:$S$53&gt;=1)+('Yellow Bosses'!$U$5:$U$53&gt;=1))&gt;0))</f>
        <v>0</v>
      </c>
      <c r="I232" s="25" t="n">
        <f aca="false">SUMPRODUCT(--((('Yellow Bosses'!$M$5:$M$53&gt;0)+('Yellow Bosses'!$N$5:$N$53&gt;0)+('Yellow Bosses'!$S$5:$S$53&gt;0)+('Yellow Bosses'!$U$5:$U$53&gt;0))=0))</f>
        <v>0</v>
      </c>
      <c r="J232" s="25" t="n">
        <f aca="false">SUMPRODUCT(--(((Effectiveness!$J$5:$J$155&gt;=2)+(Effectiveness!$K$5:$K$155&gt;=2)+(Effectiveness!$P$5:$P$155&gt;=2)+(Effectiveness!$R$5:$R$155&gt;=2))&gt;0))</f>
        <v>102</v>
      </c>
      <c r="K232" s="26" t="n">
        <f aca="false">J232/151</f>
        <v>0.675496688741722</v>
      </c>
      <c r="L232" s="25" t="n">
        <f aca="false">MIN(INDEX('Move Reality'!$F$5:$F$19,MATCH(B232,'Move Reality'!$A$5:$A$19,0)),INDEX('Move Reality'!$F$5:$F$19,MATCH(C232,'Move Reality'!$A$5:$A$19,0)),INDEX('Move Reality'!$F$5:$F$19,MATCH(D232,'Move Reality'!$A$5:$A$19,0)),INDEX('Move Reality'!$F$5:$F$19,MATCH(E232,'Move Reality'!$A$5:$A$19,0)))</f>
        <v>1</v>
      </c>
      <c r="M232" s="28" t="str">
        <f aca="false">IF(L232&gt;=5,"YES","no - dead move")</f>
        <v>no - dead move</v>
      </c>
    </row>
    <row r="233" customFormat="false" ht="15" hidden="false" customHeight="false" outlineLevel="0" collapsed="false">
      <c r="A233" s="17" t="n">
        <v>229</v>
      </c>
      <c r="B233" s="17" t="s">
        <v>41</v>
      </c>
      <c r="C233" s="17" t="s">
        <v>44</v>
      </c>
      <c r="D233" s="17" t="s">
        <v>50</v>
      </c>
      <c r="E233" s="17" t="s">
        <v>51</v>
      </c>
      <c r="F233" s="25" t="n">
        <f aca="false">SUMPRODUCT(--((('Yellow Bosses'!$I$5:$I$53&gt;=2)+('Yellow Bosses'!$L$5:$L$53&gt;=2)+('Yellow Bosses'!$R$5:$R$53&gt;=2)+('Yellow Bosses'!$S$5:$S$53&gt;=2))&gt;0))</f>
        <v>37</v>
      </c>
      <c r="G233" s="26" t="n">
        <f aca="false">F233/49</f>
        <v>0.755102040816327</v>
      </c>
      <c r="H233" s="25" t="n">
        <f aca="false">49-SUMPRODUCT(--((('Yellow Bosses'!$I$5:$I$53&gt;=1)+('Yellow Bosses'!$L$5:$L$53&gt;=1)+('Yellow Bosses'!$R$5:$R$53&gt;=1)+('Yellow Bosses'!$S$5:$S$53&gt;=1))&gt;0))</f>
        <v>0</v>
      </c>
      <c r="I233" s="25" t="n">
        <f aca="false">SUMPRODUCT(--((('Yellow Bosses'!$I$5:$I$53&gt;0)+('Yellow Bosses'!$L$5:$L$53&gt;0)+('Yellow Bosses'!$R$5:$R$53&gt;0)+('Yellow Bosses'!$S$5:$S$53&gt;0))=0))</f>
        <v>0</v>
      </c>
      <c r="J233" s="25" t="n">
        <f aca="false">SUMPRODUCT(--(((Effectiveness!$F$5:$F$155&gt;=2)+(Effectiveness!$I$5:$I$155&gt;=2)+(Effectiveness!$O$5:$O$155&gt;=2)+(Effectiveness!$P$5:$P$155&gt;=2))&gt;0))</f>
        <v>101</v>
      </c>
      <c r="K233" s="26" t="n">
        <f aca="false">J233/151</f>
        <v>0.66887417218543</v>
      </c>
      <c r="L233" s="25" t="n">
        <f aca="false">MIN(INDEX('Move Reality'!$F$5:$F$19,MATCH(B233,'Move Reality'!$A$5:$A$19,0)),INDEX('Move Reality'!$F$5:$F$19,MATCH(C233,'Move Reality'!$A$5:$A$19,0)),INDEX('Move Reality'!$F$5:$F$19,MATCH(D233,'Move Reality'!$A$5:$A$19,0)),INDEX('Move Reality'!$F$5:$F$19,MATCH(E233,'Move Reality'!$A$5:$A$19,0)))</f>
        <v>1</v>
      </c>
      <c r="M233" s="28" t="str">
        <f aca="false">IF(L233&gt;=5,"YES","no - dead move")</f>
        <v>no - dead move</v>
      </c>
    </row>
    <row r="234" customFormat="false" ht="15" hidden="false" customHeight="false" outlineLevel="0" collapsed="false">
      <c r="A234" s="17" t="n">
        <v>230</v>
      </c>
      <c r="B234" s="17" t="s">
        <v>44</v>
      </c>
      <c r="C234" s="17" t="s">
        <v>47</v>
      </c>
      <c r="D234" s="17" t="s">
        <v>50</v>
      </c>
      <c r="E234" s="17" t="s">
        <v>51</v>
      </c>
      <c r="F234" s="25" t="n">
        <f aca="false">SUMPRODUCT(--((('Yellow Bosses'!$L$5:$L$53&gt;=2)+('Yellow Bosses'!$O$5:$O$53&gt;=2)+('Yellow Bosses'!$R$5:$R$53&gt;=2)+('Yellow Bosses'!$S$5:$S$53&gt;=2))&gt;0))</f>
        <v>37</v>
      </c>
      <c r="G234" s="26" t="n">
        <f aca="false">F234/49</f>
        <v>0.755102040816327</v>
      </c>
      <c r="H234" s="25" t="n">
        <f aca="false">49-SUMPRODUCT(--((('Yellow Bosses'!$L$5:$L$53&gt;=1)+('Yellow Bosses'!$O$5:$O$53&gt;=1)+('Yellow Bosses'!$R$5:$R$53&gt;=1)+('Yellow Bosses'!$S$5:$S$53&gt;=1))&gt;0))</f>
        <v>0</v>
      </c>
      <c r="I234" s="25" t="n">
        <f aca="false">SUMPRODUCT(--((('Yellow Bosses'!$L$5:$L$53&gt;0)+('Yellow Bosses'!$O$5:$O$53&gt;0)+('Yellow Bosses'!$R$5:$R$53&gt;0)+('Yellow Bosses'!$S$5:$S$53&gt;0))=0))</f>
        <v>0</v>
      </c>
      <c r="J234" s="25" t="n">
        <f aca="false">SUMPRODUCT(--(((Effectiveness!$I$5:$I$155&gt;=2)+(Effectiveness!$L$5:$L$155&gt;=2)+(Effectiveness!$O$5:$O$155&gt;=2)+(Effectiveness!$P$5:$P$155&gt;=2))&gt;0))</f>
        <v>100</v>
      </c>
      <c r="K234" s="26" t="n">
        <f aca="false">J234/151</f>
        <v>0.662251655629139</v>
      </c>
      <c r="L234" s="25" t="n">
        <f aca="false">MIN(INDEX('Move Reality'!$F$5:$F$19,MATCH(B234,'Move Reality'!$A$5:$A$19,0)),INDEX('Move Reality'!$F$5:$F$19,MATCH(C234,'Move Reality'!$A$5:$A$19,0)),INDEX('Move Reality'!$F$5:$F$19,MATCH(D234,'Move Reality'!$A$5:$A$19,0)),INDEX('Move Reality'!$F$5:$F$19,MATCH(E234,'Move Reality'!$A$5:$A$19,0)))</f>
        <v>1</v>
      </c>
      <c r="M234" s="28" t="str">
        <f aca="false">IF(L234&gt;=5,"YES","no - dead move")</f>
        <v>no - dead move</v>
      </c>
    </row>
    <row r="235" customFormat="false" ht="15" hidden="false" customHeight="false" outlineLevel="0" collapsed="false">
      <c r="A235" s="17" t="n">
        <v>231</v>
      </c>
      <c r="B235" s="17" t="s">
        <v>44</v>
      </c>
      <c r="C235" s="17" t="s">
        <v>49</v>
      </c>
      <c r="D235" s="17" t="s">
        <v>50</v>
      </c>
      <c r="E235" s="17" t="s">
        <v>51</v>
      </c>
      <c r="F235" s="25" t="n">
        <f aca="false">SUMPRODUCT(--((('Yellow Bosses'!$L$5:$L$53&gt;=2)+('Yellow Bosses'!$Q$5:$Q$53&gt;=2)+('Yellow Bosses'!$R$5:$R$53&gt;=2)+('Yellow Bosses'!$S$5:$S$53&gt;=2))&gt;0))</f>
        <v>37</v>
      </c>
      <c r="G235" s="26" t="n">
        <f aca="false">F235/49</f>
        <v>0.755102040816327</v>
      </c>
      <c r="H235" s="25" t="n">
        <f aca="false">49-SUMPRODUCT(--((('Yellow Bosses'!$L$5:$L$53&gt;=1)+('Yellow Bosses'!$Q$5:$Q$53&gt;=1)+('Yellow Bosses'!$R$5:$R$53&gt;=1)+('Yellow Bosses'!$S$5:$S$53&gt;=1))&gt;0))</f>
        <v>0</v>
      </c>
      <c r="I235" s="25" t="n">
        <f aca="false">SUMPRODUCT(--((('Yellow Bosses'!$L$5:$L$53&gt;0)+('Yellow Bosses'!$Q$5:$Q$53&gt;0)+('Yellow Bosses'!$R$5:$R$53&gt;0)+('Yellow Bosses'!$S$5:$S$53&gt;0))=0))</f>
        <v>0</v>
      </c>
      <c r="J235" s="25" t="n">
        <f aca="false">SUMPRODUCT(--(((Effectiveness!$I$5:$I$155&gt;=2)+(Effectiveness!$N$5:$N$155&gt;=2)+(Effectiveness!$O$5:$O$155&gt;=2)+(Effectiveness!$P$5:$P$155&gt;=2))&gt;0))</f>
        <v>100</v>
      </c>
      <c r="K235" s="26" t="n">
        <f aca="false">J235/151</f>
        <v>0.662251655629139</v>
      </c>
      <c r="L235" s="25" t="n">
        <f aca="false">MIN(INDEX('Move Reality'!$F$5:$F$19,MATCH(B235,'Move Reality'!$A$5:$A$19,0)),INDEX('Move Reality'!$F$5:$F$19,MATCH(C235,'Move Reality'!$A$5:$A$19,0)),INDEX('Move Reality'!$F$5:$F$19,MATCH(D235,'Move Reality'!$A$5:$A$19,0)),INDEX('Move Reality'!$F$5:$F$19,MATCH(E235,'Move Reality'!$A$5:$A$19,0)))</f>
        <v>1</v>
      </c>
      <c r="M235" s="28" t="str">
        <f aca="false">IF(L235&gt;=5,"YES","no - dead move")</f>
        <v>no - dead move</v>
      </c>
    </row>
    <row r="236" customFormat="false" ht="15" hidden="false" customHeight="false" outlineLevel="0" collapsed="false">
      <c r="A236" s="17" t="n">
        <v>232</v>
      </c>
      <c r="B236" s="17" t="s">
        <v>40</v>
      </c>
      <c r="C236" s="17" t="s">
        <v>45</v>
      </c>
      <c r="D236" s="17" t="s">
        <v>48</v>
      </c>
      <c r="E236" s="17" t="s">
        <v>52</v>
      </c>
      <c r="F236" s="25" t="n">
        <f aca="false">SUMPRODUCT(--((('Yellow Bosses'!$H$5:$H$53&gt;=2)+('Yellow Bosses'!$M$5:$M$53&gt;=2)+('Yellow Bosses'!$P$5:$P$53&gt;=2)+('Yellow Bosses'!$T$5:$T$53&gt;=2))&gt;0))</f>
        <v>37</v>
      </c>
      <c r="G236" s="26" t="n">
        <f aca="false">F236/49</f>
        <v>0.755102040816327</v>
      </c>
      <c r="H236" s="25" t="n">
        <f aca="false">49-SUMPRODUCT(--((('Yellow Bosses'!$H$5:$H$53&gt;=1)+('Yellow Bosses'!$M$5:$M$53&gt;=1)+('Yellow Bosses'!$P$5:$P$53&gt;=1)+('Yellow Bosses'!$T$5:$T$53&gt;=1))&gt;0))</f>
        <v>0</v>
      </c>
      <c r="I236" s="25" t="n">
        <f aca="false">SUMPRODUCT(--((('Yellow Bosses'!$H$5:$H$53&gt;0)+('Yellow Bosses'!$M$5:$M$53&gt;0)+('Yellow Bosses'!$P$5:$P$53&gt;0)+('Yellow Bosses'!$T$5:$T$53&gt;0))=0))</f>
        <v>0</v>
      </c>
      <c r="J236" s="25" t="n">
        <f aca="false">SUMPRODUCT(--(((Effectiveness!$E$5:$E$155&gt;=2)+(Effectiveness!$J$5:$J$155&gt;=2)+(Effectiveness!$M$5:$M$155&gt;=2)+(Effectiveness!$Q$5:$Q$155&gt;=2))&gt;0))</f>
        <v>98</v>
      </c>
      <c r="K236" s="26" t="n">
        <f aca="false">J236/151</f>
        <v>0.649006622516556</v>
      </c>
      <c r="L236" s="25" t="n">
        <f aca="false">MIN(INDEX('Move Reality'!$F$5:$F$19,MATCH(B236,'Move Reality'!$A$5:$A$19,0)),INDEX('Move Reality'!$F$5:$F$19,MATCH(C236,'Move Reality'!$A$5:$A$19,0)),INDEX('Move Reality'!$F$5:$F$19,MATCH(D236,'Move Reality'!$A$5:$A$19,0)),INDEX('Move Reality'!$F$5:$F$19,MATCH(E236,'Move Reality'!$A$5:$A$19,0)))</f>
        <v>6</v>
      </c>
      <c r="M236" s="28" t="str">
        <f aca="false">IF(L236&gt;=5,"YES","no - dead move")</f>
        <v>YES</v>
      </c>
    </row>
    <row r="237" customFormat="false" ht="15" hidden="false" customHeight="false" outlineLevel="0" collapsed="false">
      <c r="A237" s="17" t="n">
        <v>233</v>
      </c>
      <c r="B237" s="17" t="s">
        <v>41</v>
      </c>
      <c r="C237" s="17" t="s">
        <v>45</v>
      </c>
      <c r="D237" s="17" t="s">
        <v>48</v>
      </c>
      <c r="E237" s="17" t="s">
        <v>52</v>
      </c>
      <c r="F237" s="25" t="n">
        <f aca="false">SUMPRODUCT(--((('Yellow Bosses'!$I$5:$I$53&gt;=2)+('Yellow Bosses'!$M$5:$M$53&gt;=2)+('Yellow Bosses'!$P$5:$P$53&gt;=2)+('Yellow Bosses'!$T$5:$T$53&gt;=2))&gt;0))</f>
        <v>37</v>
      </c>
      <c r="G237" s="26" t="n">
        <f aca="false">F237/49</f>
        <v>0.755102040816327</v>
      </c>
      <c r="H237" s="25" t="n">
        <f aca="false">49-SUMPRODUCT(--((('Yellow Bosses'!$I$5:$I$53&gt;=1)+('Yellow Bosses'!$M$5:$M$53&gt;=1)+('Yellow Bosses'!$P$5:$P$53&gt;=1)+('Yellow Bosses'!$T$5:$T$53&gt;=1))&gt;0))</f>
        <v>0</v>
      </c>
      <c r="I237" s="25" t="n">
        <f aca="false">SUMPRODUCT(--((('Yellow Bosses'!$I$5:$I$53&gt;0)+('Yellow Bosses'!$M$5:$M$53&gt;0)+('Yellow Bosses'!$P$5:$P$53&gt;0)+('Yellow Bosses'!$T$5:$T$53&gt;0))=0))</f>
        <v>0</v>
      </c>
      <c r="J237" s="25" t="n">
        <f aca="false">SUMPRODUCT(--(((Effectiveness!$F$5:$F$155&gt;=2)+(Effectiveness!$J$5:$J$155&gt;=2)+(Effectiveness!$M$5:$M$155&gt;=2)+(Effectiveness!$Q$5:$Q$155&gt;=2))&gt;0))</f>
        <v>98</v>
      </c>
      <c r="K237" s="26" t="n">
        <f aca="false">J237/151</f>
        <v>0.649006622516556</v>
      </c>
      <c r="L237" s="25" t="n">
        <f aca="false">MIN(INDEX('Move Reality'!$F$5:$F$19,MATCH(B237,'Move Reality'!$A$5:$A$19,0)),INDEX('Move Reality'!$F$5:$F$19,MATCH(C237,'Move Reality'!$A$5:$A$19,0)),INDEX('Move Reality'!$F$5:$F$19,MATCH(D237,'Move Reality'!$A$5:$A$19,0)),INDEX('Move Reality'!$F$5:$F$19,MATCH(E237,'Move Reality'!$A$5:$A$19,0)))</f>
        <v>6</v>
      </c>
      <c r="M237" s="28" t="str">
        <f aca="false">IF(L237&gt;=5,"YES","no - dead move")</f>
        <v>YES</v>
      </c>
    </row>
    <row r="238" customFormat="false" ht="15" hidden="false" customHeight="false" outlineLevel="0" collapsed="false">
      <c r="A238" s="17" t="n">
        <v>234</v>
      </c>
      <c r="B238" s="17" t="s">
        <v>42</v>
      </c>
      <c r="C238" s="17" t="s">
        <v>45</v>
      </c>
      <c r="D238" s="17" t="s">
        <v>48</v>
      </c>
      <c r="E238" s="17" t="s">
        <v>52</v>
      </c>
      <c r="F238" s="25" t="n">
        <f aca="false">SUMPRODUCT(--((('Yellow Bosses'!$J$5:$J$53&gt;=2)+('Yellow Bosses'!$M$5:$M$53&gt;=2)+('Yellow Bosses'!$P$5:$P$53&gt;=2)+('Yellow Bosses'!$T$5:$T$53&gt;=2))&gt;0))</f>
        <v>37</v>
      </c>
      <c r="G238" s="26" t="n">
        <f aca="false">F238/49</f>
        <v>0.755102040816327</v>
      </c>
      <c r="H238" s="25" t="n">
        <f aca="false">49-SUMPRODUCT(--((('Yellow Bosses'!$J$5:$J$53&gt;=1)+('Yellow Bosses'!$M$5:$M$53&gt;=1)+('Yellow Bosses'!$P$5:$P$53&gt;=1)+('Yellow Bosses'!$T$5:$T$53&gt;=1))&gt;0))</f>
        <v>0</v>
      </c>
      <c r="I238" s="25" t="n">
        <f aca="false">SUMPRODUCT(--((('Yellow Bosses'!$J$5:$J$53&gt;0)+('Yellow Bosses'!$M$5:$M$53&gt;0)+('Yellow Bosses'!$P$5:$P$53&gt;0)+('Yellow Bosses'!$T$5:$T$53&gt;0))=0))</f>
        <v>0</v>
      </c>
      <c r="J238" s="25" t="n">
        <f aca="false">SUMPRODUCT(--(((Effectiveness!$G$5:$G$155&gt;=2)+(Effectiveness!$J$5:$J$155&gt;=2)+(Effectiveness!$M$5:$M$155&gt;=2)+(Effectiveness!$Q$5:$Q$155&gt;=2))&gt;0))</f>
        <v>98</v>
      </c>
      <c r="K238" s="26" t="n">
        <f aca="false">J238/151</f>
        <v>0.649006622516556</v>
      </c>
      <c r="L238" s="25" t="n">
        <f aca="false">MIN(INDEX('Move Reality'!$F$5:$F$19,MATCH(B238,'Move Reality'!$A$5:$A$19,0)),INDEX('Move Reality'!$F$5:$F$19,MATCH(C238,'Move Reality'!$A$5:$A$19,0)),INDEX('Move Reality'!$F$5:$F$19,MATCH(D238,'Move Reality'!$A$5:$A$19,0)),INDEX('Move Reality'!$F$5:$F$19,MATCH(E238,'Move Reality'!$A$5:$A$19,0)))</f>
        <v>6</v>
      </c>
      <c r="M238" s="28" t="str">
        <f aca="false">IF(L238&gt;=5,"YES","no - dead move")</f>
        <v>YES</v>
      </c>
    </row>
    <row r="239" customFormat="false" ht="15" hidden="false" customHeight="false" outlineLevel="0" collapsed="false">
      <c r="A239" s="17" t="n">
        <v>235</v>
      </c>
      <c r="B239" s="17" t="s">
        <v>45</v>
      </c>
      <c r="C239" s="17" t="s">
        <v>47</v>
      </c>
      <c r="D239" s="17" t="s">
        <v>48</v>
      </c>
      <c r="E239" s="17" t="s">
        <v>52</v>
      </c>
      <c r="F239" s="25" t="n">
        <f aca="false">SUMPRODUCT(--((('Yellow Bosses'!$M$5:$M$53&gt;=2)+('Yellow Bosses'!$O$5:$O$53&gt;=2)+('Yellow Bosses'!$P$5:$P$53&gt;=2)+('Yellow Bosses'!$T$5:$T$53&gt;=2))&gt;0))</f>
        <v>37</v>
      </c>
      <c r="G239" s="26" t="n">
        <f aca="false">F239/49</f>
        <v>0.755102040816327</v>
      </c>
      <c r="H239" s="25" t="n">
        <f aca="false">49-SUMPRODUCT(--((('Yellow Bosses'!$M$5:$M$53&gt;=1)+('Yellow Bosses'!$O$5:$O$53&gt;=1)+('Yellow Bosses'!$P$5:$P$53&gt;=1)+('Yellow Bosses'!$T$5:$T$53&gt;=1))&gt;0))</f>
        <v>0</v>
      </c>
      <c r="I239" s="25" t="n">
        <f aca="false">SUMPRODUCT(--((('Yellow Bosses'!$M$5:$M$53&gt;0)+('Yellow Bosses'!$O$5:$O$53&gt;0)+('Yellow Bosses'!$P$5:$P$53&gt;0)+('Yellow Bosses'!$T$5:$T$53&gt;0))=0))</f>
        <v>0</v>
      </c>
      <c r="J239" s="25" t="n">
        <f aca="false">SUMPRODUCT(--(((Effectiveness!$J$5:$J$155&gt;=2)+(Effectiveness!$L$5:$L$155&gt;=2)+(Effectiveness!$M$5:$M$155&gt;=2)+(Effectiveness!$Q$5:$Q$155&gt;=2))&gt;0))</f>
        <v>98</v>
      </c>
      <c r="K239" s="26" t="n">
        <f aca="false">J239/151</f>
        <v>0.649006622516556</v>
      </c>
      <c r="L239" s="25" t="n">
        <f aca="false">MIN(INDEX('Move Reality'!$F$5:$F$19,MATCH(B239,'Move Reality'!$A$5:$A$19,0)),INDEX('Move Reality'!$F$5:$F$19,MATCH(C239,'Move Reality'!$A$5:$A$19,0)),INDEX('Move Reality'!$F$5:$F$19,MATCH(D239,'Move Reality'!$A$5:$A$19,0)),INDEX('Move Reality'!$F$5:$F$19,MATCH(E239,'Move Reality'!$A$5:$A$19,0)))</f>
        <v>2</v>
      </c>
      <c r="M239" s="28" t="str">
        <f aca="false">IF(L239&gt;=5,"YES","no - dead move")</f>
        <v>no - dead move</v>
      </c>
    </row>
    <row r="240" customFormat="false" ht="15" hidden="false" customHeight="false" outlineLevel="0" collapsed="false">
      <c r="A240" s="17" t="n">
        <v>236</v>
      </c>
      <c r="B240" s="17" t="s">
        <v>45</v>
      </c>
      <c r="C240" s="17" t="s">
        <v>48</v>
      </c>
      <c r="D240" s="17" t="s">
        <v>52</v>
      </c>
      <c r="E240" s="17" t="s">
        <v>53</v>
      </c>
      <c r="F240" s="25" t="n">
        <f aca="false">SUMPRODUCT(--((('Yellow Bosses'!$M$5:$M$53&gt;=2)+('Yellow Bosses'!$P$5:$P$53&gt;=2)+('Yellow Bosses'!$T$5:$T$53&gt;=2)+('Yellow Bosses'!$U$5:$U$53&gt;=2))&gt;0))</f>
        <v>37</v>
      </c>
      <c r="G240" s="26" t="n">
        <f aca="false">F240/49</f>
        <v>0.755102040816327</v>
      </c>
      <c r="H240" s="25" t="n">
        <f aca="false">49-SUMPRODUCT(--((('Yellow Bosses'!$M$5:$M$53&gt;=1)+('Yellow Bosses'!$P$5:$P$53&gt;=1)+('Yellow Bosses'!$T$5:$T$53&gt;=1)+('Yellow Bosses'!$U$5:$U$53&gt;=1))&gt;0))</f>
        <v>0</v>
      </c>
      <c r="I240" s="25" t="n">
        <f aca="false">SUMPRODUCT(--((('Yellow Bosses'!$M$5:$M$53&gt;0)+('Yellow Bosses'!$P$5:$P$53&gt;0)+('Yellow Bosses'!$T$5:$T$53&gt;0)+('Yellow Bosses'!$U$5:$U$53&gt;0))=0))</f>
        <v>0</v>
      </c>
      <c r="J240" s="25" t="n">
        <f aca="false">SUMPRODUCT(--(((Effectiveness!$J$5:$J$155&gt;=2)+(Effectiveness!$M$5:$M$155&gt;=2)+(Effectiveness!$Q$5:$Q$155&gt;=2)+(Effectiveness!$R$5:$R$155&gt;=2))&gt;0))</f>
        <v>98</v>
      </c>
      <c r="K240" s="26" t="n">
        <f aca="false">J240/151</f>
        <v>0.649006622516556</v>
      </c>
      <c r="L240" s="25" t="n">
        <f aca="false">MIN(INDEX('Move Reality'!$F$5:$F$19,MATCH(B240,'Move Reality'!$A$5:$A$19,0)),INDEX('Move Reality'!$F$5:$F$19,MATCH(C240,'Move Reality'!$A$5:$A$19,0)),INDEX('Move Reality'!$F$5:$F$19,MATCH(D240,'Move Reality'!$A$5:$A$19,0)),INDEX('Move Reality'!$F$5:$F$19,MATCH(E240,'Move Reality'!$A$5:$A$19,0)))</f>
        <v>1</v>
      </c>
      <c r="M240" s="28" t="str">
        <f aca="false">IF(L240&gt;=5,"YES","no - dead move")</f>
        <v>no - dead move</v>
      </c>
    </row>
    <row r="241" customFormat="false" ht="15" hidden="false" customHeight="false" outlineLevel="0" collapsed="false">
      <c r="A241" s="17" t="n">
        <v>237</v>
      </c>
      <c r="B241" s="17" t="s">
        <v>45</v>
      </c>
      <c r="C241" s="17" t="s">
        <v>48</v>
      </c>
      <c r="D241" s="17" t="s">
        <v>52</v>
      </c>
      <c r="E241" s="17" t="s">
        <v>54</v>
      </c>
      <c r="F241" s="25" t="n">
        <f aca="false">SUMPRODUCT(--((('Yellow Bosses'!$M$5:$M$53&gt;=2)+('Yellow Bosses'!$P$5:$P$53&gt;=2)+('Yellow Bosses'!$T$5:$T$53&gt;=2)+('Yellow Bosses'!$V$5:$V$53&gt;=2))&gt;0))</f>
        <v>37</v>
      </c>
      <c r="G241" s="26" t="n">
        <f aca="false">F241/49</f>
        <v>0.755102040816327</v>
      </c>
      <c r="H241" s="25" t="n">
        <f aca="false">49-SUMPRODUCT(--((('Yellow Bosses'!$M$5:$M$53&gt;=1)+('Yellow Bosses'!$P$5:$P$53&gt;=1)+('Yellow Bosses'!$T$5:$T$53&gt;=1)+('Yellow Bosses'!$V$5:$V$53&gt;=1))&gt;0))</f>
        <v>0</v>
      </c>
      <c r="I241" s="25" t="n">
        <f aca="false">SUMPRODUCT(--((('Yellow Bosses'!$M$5:$M$53&gt;0)+('Yellow Bosses'!$P$5:$P$53&gt;0)+('Yellow Bosses'!$T$5:$T$53&gt;0)+('Yellow Bosses'!$V$5:$V$53&gt;0))=0))</f>
        <v>0</v>
      </c>
      <c r="J241" s="25" t="n">
        <f aca="false">SUMPRODUCT(--(((Effectiveness!$J$5:$J$155&gt;=2)+(Effectiveness!$M$5:$M$155&gt;=2)+(Effectiveness!$Q$5:$Q$155&gt;=2)+(Effectiveness!$S$5:$S$155&gt;=2))&gt;0))</f>
        <v>98</v>
      </c>
      <c r="K241" s="26" t="n">
        <f aca="false">J241/151</f>
        <v>0.649006622516556</v>
      </c>
      <c r="L241" s="25" t="n">
        <f aca="false">MIN(INDEX('Move Reality'!$F$5:$F$19,MATCH(B241,'Move Reality'!$A$5:$A$19,0)),INDEX('Move Reality'!$F$5:$F$19,MATCH(C241,'Move Reality'!$A$5:$A$19,0)),INDEX('Move Reality'!$F$5:$F$19,MATCH(D241,'Move Reality'!$A$5:$A$19,0)),INDEX('Move Reality'!$F$5:$F$19,MATCH(E241,'Move Reality'!$A$5:$A$19,0)))</f>
        <v>1</v>
      </c>
      <c r="M241" s="28" t="str">
        <f aca="false">IF(L241&gt;=5,"YES","no - dead move")</f>
        <v>no - dead move</v>
      </c>
    </row>
    <row r="242" customFormat="false" ht="15" hidden="false" customHeight="false" outlineLevel="0" collapsed="false">
      <c r="A242" s="17" t="n">
        <v>238</v>
      </c>
      <c r="B242" s="17" t="s">
        <v>42</v>
      </c>
      <c r="C242" s="17" t="s">
        <v>45</v>
      </c>
      <c r="D242" s="17" t="s">
        <v>49</v>
      </c>
      <c r="E242" s="17" t="s">
        <v>51</v>
      </c>
      <c r="F242" s="25" t="n">
        <f aca="false">SUMPRODUCT(--((('Yellow Bosses'!$J$5:$J$53&gt;=2)+('Yellow Bosses'!$M$5:$M$53&gt;=2)+('Yellow Bosses'!$Q$5:$Q$53&gt;=2)+('Yellow Bosses'!$S$5:$S$53&gt;=2))&gt;0))</f>
        <v>37</v>
      </c>
      <c r="G242" s="26" t="n">
        <f aca="false">F242/49</f>
        <v>0.755102040816327</v>
      </c>
      <c r="H242" s="25" t="n">
        <f aca="false">49-SUMPRODUCT(--((('Yellow Bosses'!$J$5:$J$53&gt;=1)+('Yellow Bosses'!$M$5:$M$53&gt;=1)+('Yellow Bosses'!$Q$5:$Q$53&gt;=1)+('Yellow Bosses'!$S$5:$S$53&gt;=1))&gt;0))</f>
        <v>0</v>
      </c>
      <c r="I242" s="25" t="n">
        <f aca="false">SUMPRODUCT(--((('Yellow Bosses'!$J$5:$J$53&gt;0)+('Yellow Bosses'!$M$5:$M$53&gt;0)+('Yellow Bosses'!$Q$5:$Q$53&gt;0)+('Yellow Bosses'!$S$5:$S$53&gt;0))=0))</f>
        <v>0</v>
      </c>
      <c r="J242" s="25" t="n">
        <f aca="false">SUMPRODUCT(--(((Effectiveness!$G$5:$G$155&gt;=2)+(Effectiveness!$J$5:$J$155&gt;=2)+(Effectiveness!$N$5:$N$155&gt;=2)+(Effectiveness!$P$5:$P$155&gt;=2))&gt;0))</f>
        <v>97</v>
      </c>
      <c r="K242" s="26" t="n">
        <f aca="false">J242/151</f>
        <v>0.642384105960265</v>
      </c>
      <c r="L242" s="25" t="n">
        <f aca="false">MIN(INDEX('Move Reality'!$F$5:$F$19,MATCH(B242,'Move Reality'!$A$5:$A$19,0)),INDEX('Move Reality'!$F$5:$F$19,MATCH(C242,'Move Reality'!$A$5:$A$19,0)),INDEX('Move Reality'!$F$5:$F$19,MATCH(D242,'Move Reality'!$A$5:$A$19,0)),INDEX('Move Reality'!$F$5:$F$19,MATCH(E242,'Move Reality'!$A$5:$A$19,0)))</f>
        <v>1</v>
      </c>
      <c r="M242" s="28" t="str">
        <f aca="false">IF(L242&gt;=5,"YES","no - dead move")</f>
        <v>no - dead move</v>
      </c>
    </row>
    <row r="243" customFormat="false" ht="15" hidden="false" customHeight="false" outlineLevel="0" collapsed="false">
      <c r="A243" s="17" t="n">
        <v>239</v>
      </c>
      <c r="B243" s="17" t="s">
        <v>42</v>
      </c>
      <c r="C243" s="17" t="s">
        <v>46</v>
      </c>
      <c r="D243" s="17" t="s">
        <v>51</v>
      </c>
      <c r="E243" s="17" t="s">
        <v>53</v>
      </c>
      <c r="F243" s="25" t="n">
        <f aca="false">SUMPRODUCT(--((('Yellow Bosses'!$J$5:$J$53&gt;=2)+('Yellow Bosses'!$N$5:$N$53&gt;=2)+('Yellow Bosses'!$S$5:$S$53&gt;=2)+('Yellow Bosses'!$U$5:$U$53&gt;=2))&gt;0))</f>
        <v>37</v>
      </c>
      <c r="G243" s="26" t="n">
        <f aca="false">F243/49</f>
        <v>0.755102040816327</v>
      </c>
      <c r="H243" s="25" t="n">
        <f aca="false">49-SUMPRODUCT(--((('Yellow Bosses'!$J$5:$J$53&gt;=1)+('Yellow Bosses'!$N$5:$N$53&gt;=1)+('Yellow Bosses'!$S$5:$S$53&gt;=1)+('Yellow Bosses'!$U$5:$U$53&gt;=1))&gt;0))</f>
        <v>0</v>
      </c>
      <c r="I243" s="25" t="n">
        <f aca="false">SUMPRODUCT(--((('Yellow Bosses'!$J$5:$J$53&gt;0)+('Yellow Bosses'!$N$5:$N$53&gt;0)+('Yellow Bosses'!$S$5:$S$53&gt;0)+('Yellow Bosses'!$U$5:$U$53&gt;0))=0))</f>
        <v>0</v>
      </c>
      <c r="J243" s="25" t="n">
        <f aca="false">SUMPRODUCT(--(((Effectiveness!$G$5:$G$155&gt;=2)+(Effectiveness!$K$5:$K$155&gt;=2)+(Effectiveness!$P$5:$P$155&gt;=2)+(Effectiveness!$R$5:$R$155&gt;=2))&gt;0))</f>
        <v>96</v>
      </c>
      <c r="K243" s="26" t="n">
        <f aca="false">J243/151</f>
        <v>0.635761589403974</v>
      </c>
      <c r="L243" s="25" t="n">
        <f aca="false">MIN(INDEX('Move Reality'!$F$5:$F$19,MATCH(B243,'Move Reality'!$A$5:$A$19,0)),INDEX('Move Reality'!$F$5:$F$19,MATCH(C243,'Move Reality'!$A$5:$A$19,0)),INDEX('Move Reality'!$F$5:$F$19,MATCH(D243,'Move Reality'!$A$5:$A$19,0)),INDEX('Move Reality'!$F$5:$F$19,MATCH(E243,'Move Reality'!$A$5:$A$19,0)))</f>
        <v>1</v>
      </c>
      <c r="M243" s="28" t="str">
        <f aca="false">IF(L243&gt;=5,"YES","no - dead move")</f>
        <v>no - dead move</v>
      </c>
    </row>
    <row r="244" customFormat="false" ht="15" hidden="false" customHeight="false" outlineLevel="0" collapsed="false">
      <c r="A244" s="17" t="n">
        <v>240</v>
      </c>
      <c r="B244" s="17" t="s">
        <v>42</v>
      </c>
      <c r="C244" s="17" t="s">
        <v>46</v>
      </c>
      <c r="D244" s="17" t="s">
        <v>51</v>
      </c>
      <c r="E244" s="17" t="s">
        <v>54</v>
      </c>
      <c r="F244" s="25" t="n">
        <f aca="false">SUMPRODUCT(--((('Yellow Bosses'!$J$5:$J$53&gt;=2)+('Yellow Bosses'!$N$5:$N$53&gt;=2)+('Yellow Bosses'!$S$5:$S$53&gt;=2)+('Yellow Bosses'!$V$5:$V$53&gt;=2))&gt;0))</f>
        <v>37</v>
      </c>
      <c r="G244" s="26" t="n">
        <f aca="false">F244/49</f>
        <v>0.755102040816327</v>
      </c>
      <c r="H244" s="25" t="n">
        <f aca="false">49-SUMPRODUCT(--((('Yellow Bosses'!$J$5:$J$53&gt;=1)+('Yellow Bosses'!$N$5:$N$53&gt;=1)+('Yellow Bosses'!$S$5:$S$53&gt;=1)+('Yellow Bosses'!$V$5:$V$53&gt;=1))&gt;0))</f>
        <v>0</v>
      </c>
      <c r="I244" s="25" t="n">
        <f aca="false">SUMPRODUCT(--((('Yellow Bosses'!$J$5:$J$53&gt;0)+('Yellow Bosses'!$N$5:$N$53&gt;0)+('Yellow Bosses'!$S$5:$S$53&gt;0)+('Yellow Bosses'!$V$5:$V$53&gt;0))=0))</f>
        <v>0</v>
      </c>
      <c r="J244" s="25" t="n">
        <f aca="false">SUMPRODUCT(--(((Effectiveness!$G$5:$G$155&gt;=2)+(Effectiveness!$K$5:$K$155&gt;=2)+(Effectiveness!$P$5:$P$155&gt;=2)+(Effectiveness!$S$5:$S$155&gt;=2))&gt;0))</f>
        <v>96</v>
      </c>
      <c r="K244" s="26" t="n">
        <f aca="false">J244/151</f>
        <v>0.635761589403974</v>
      </c>
      <c r="L244" s="25" t="n">
        <f aca="false">MIN(INDEX('Move Reality'!$F$5:$F$19,MATCH(B244,'Move Reality'!$A$5:$A$19,0)),INDEX('Move Reality'!$F$5:$F$19,MATCH(C244,'Move Reality'!$A$5:$A$19,0)),INDEX('Move Reality'!$F$5:$F$19,MATCH(D244,'Move Reality'!$A$5:$A$19,0)),INDEX('Move Reality'!$F$5:$F$19,MATCH(E244,'Move Reality'!$A$5:$A$19,0)))</f>
        <v>1</v>
      </c>
      <c r="M244" s="28" t="str">
        <f aca="false">IF(L244&gt;=5,"YES","no - dead move")</f>
        <v>no - dead move</v>
      </c>
    </row>
    <row r="245" customFormat="false" ht="15" hidden="false" customHeight="false" outlineLevel="0" collapsed="false">
      <c r="A245" s="17" t="n">
        <v>241</v>
      </c>
      <c r="B245" s="17" t="s">
        <v>40</v>
      </c>
      <c r="C245" s="17" t="s">
        <v>44</v>
      </c>
      <c r="D245" s="17" t="s">
        <v>50</v>
      </c>
      <c r="E245" s="17" t="s">
        <v>51</v>
      </c>
      <c r="F245" s="25" t="n">
        <f aca="false">SUMPRODUCT(--((('Yellow Bosses'!$H$5:$H$53&gt;=2)+('Yellow Bosses'!$L$5:$L$53&gt;=2)+('Yellow Bosses'!$R$5:$R$53&gt;=2)+('Yellow Bosses'!$S$5:$S$53&gt;=2))&gt;0))</f>
        <v>37</v>
      </c>
      <c r="G245" s="26" t="n">
        <f aca="false">F245/49</f>
        <v>0.755102040816327</v>
      </c>
      <c r="H245" s="25" t="n">
        <f aca="false">49-SUMPRODUCT(--((('Yellow Bosses'!$H$5:$H$53&gt;=1)+('Yellow Bosses'!$L$5:$L$53&gt;=1)+('Yellow Bosses'!$R$5:$R$53&gt;=1)+('Yellow Bosses'!$S$5:$S$53&gt;=1))&gt;0))</f>
        <v>0</v>
      </c>
      <c r="I245" s="25" t="n">
        <f aca="false">SUMPRODUCT(--((('Yellow Bosses'!$H$5:$H$53&gt;0)+('Yellow Bosses'!$L$5:$L$53&gt;0)+('Yellow Bosses'!$R$5:$R$53&gt;0)+('Yellow Bosses'!$S$5:$S$53&gt;0))=0))</f>
        <v>0</v>
      </c>
      <c r="J245" s="25" t="n">
        <f aca="false">SUMPRODUCT(--(((Effectiveness!$E$5:$E$155&gt;=2)+(Effectiveness!$I$5:$I$155&gt;=2)+(Effectiveness!$O$5:$O$155&gt;=2)+(Effectiveness!$P$5:$P$155&gt;=2))&gt;0))</f>
        <v>95</v>
      </c>
      <c r="K245" s="26" t="n">
        <f aca="false">J245/151</f>
        <v>0.629139072847682</v>
      </c>
      <c r="L245" s="25" t="n">
        <f aca="false">MIN(INDEX('Move Reality'!$F$5:$F$19,MATCH(B245,'Move Reality'!$A$5:$A$19,0)),INDEX('Move Reality'!$F$5:$F$19,MATCH(C245,'Move Reality'!$A$5:$A$19,0)),INDEX('Move Reality'!$F$5:$F$19,MATCH(D245,'Move Reality'!$A$5:$A$19,0)),INDEX('Move Reality'!$F$5:$F$19,MATCH(E245,'Move Reality'!$A$5:$A$19,0)))</f>
        <v>1</v>
      </c>
      <c r="M245" s="28" t="str">
        <f aca="false">IF(L245&gt;=5,"YES","no - dead move")</f>
        <v>no - dead move</v>
      </c>
    </row>
    <row r="246" customFormat="false" ht="15" hidden="false" customHeight="false" outlineLevel="0" collapsed="false">
      <c r="A246" s="17" t="n">
        <v>242</v>
      </c>
      <c r="B246" s="17" t="s">
        <v>44</v>
      </c>
      <c r="C246" s="17" t="s">
        <v>50</v>
      </c>
      <c r="D246" s="17" t="s">
        <v>51</v>
      </c>
      <c r="E246" s="17" t="s">
        <v>53</v>
      </c>
      <c r="F246" s="25" t="n">
        <f aca="false">SUMPRODUCT(--((('Yellow Bosses'!$L$5:$L$53&gt;=2)+('Yellow Bosses'!$R$5:$R$53&gt;=2)+('Yellow Bosses'!$S$5:$S$53&gt;=2)+('Yellow Bosses'!$U$5:$U$53&gt;=2))&gt;0))</f>
        <v>37</v>
      </c>
      <c r="G246" s="26" t="n">
        <f aca="false">F246/49</f>
        <v>0.755102040816327</v>
      </c>
      <c r="H246" s="25" t="n">
        <f aca="false">49-SUMPRODUCT(--((('Yellow Bosses'!$L$5:$L$53&gt;=1)+('Yellow Bosses'!$R$5:$R$53&gt;=1)+('Yellow Bosses'!$S$5:$S$53&gt;=1)+('Yellow Bosses'!$U$5:$U$53&gt;=1))&gt;0))</f>
        <v>0</v>
      </c>
      <c r="I246" s="25" t="n">
        <f aca="false">SUMPRODUCT(--((('Yellow Bosses'!$L$5:$L$53&gt;0)+('Yellow Bosses'!$R$5:$R$53&gt;0)+('Yellow Bosses'!$S$5:$S$53&gt;0)+('Yellow Bosses'!$U$5:$U$53&gt;0))=0))</f>
        <v>0</v>
      </c>
      <c r="J246" s="25" t="n">
        <f aca="false">SUMPRODUCT(--(((Effectiveness!$I$5:$I$155&gt;=2)+(Effectiveness!$O$5:$O$155&gt;=2)+(Effectiveness!$P$5:$P$155&gt;=2)+(Effectiveness!$R$5:$R$155&gt;=2))&gt;0))</f>
        <v>95</v>
      </c>
      <c r="K246" s="26" t="n">
        <f aca="false">J246/151</f>
        <v>0.629139072847682</v>
      </c>
      <c r="L246" s="25" t="n">
        <f aca="false">MIN(INDEX('Move Reality'!$F$5:$F$19,MATCH(B246,'Move Reality'!$A$5:$A$19,0)),INDEX('Move Reality'!$F$5:$F$19,MATCH(C246,'Move Reality'!$A$5:$A$19,0)),INDEX('Move Reality'!$F$5:$F$19,MATCH(D246,'Move Reality'!$A$5:$A$19,0)),INDEX('Move Reality'!$F$5:$F$19,MATCH(E246,'Move Reality'!$A$5:$A$19,0)))</f>
        <v>1</v>
      </c>
      <c r="M246" s="28" t="str">
        <f aca="false">IF(L246&gt;=5,"YES","no - dead move")</f>
        <v>no - dead move</v>
      </c>
    </row>
    <row r="247" customFormat="false" ht="15" hidden="false" customHeight="false" outlineLevel="0" collapsed="false">
      <c r="A247" s="17" t="n">
        <v>243</v>
      </c>
      <c r="B247" s="17" t="s">
        <v>50</v>
      </c>
      <c r="C247" s="17" t="s">
        <v>51</v>
      </c>
      <c r="D247" s="17" t="s">
        <v>52</v>
      </c>
      <c r="E247" s="17" t="s">
        <v>54</v>
      </c>
      <c r="F247" s="25" t="n">
        <f aca="false">SUMPRODUCT(--((('Yellow Bosses'!$R$5:$R$53&gt;=2)+('Yellow Bosses'!$S$5:$S$53&gt;=2)+('Yellow Bosses'!$T$5:$T$53&gt;=2)+('Yellow Bosses'!$V$5:$V$53&gt;=2))&gt;0))</f>
        <v>37</v>
      </c>
      <c r="G247" s="26" t="n">
        <f aca="false">F247/49</f>
        <v>0.755102040816327</v>
      </c>
      <c r="H247" s="25" t="n">
        <f aca="false">49-SUMPRODUCT(--((('Yellow Bosses'!$R$5:$R$53&gt;=1)+('Yellow Bosses'!$S$5:$S$53&gt;=1)+('Yellow Bosses'!$T$5:$T$53&gt;=1)+('Yellow Bosses'!$V$5:$V$53&gt;=1))&gt;0))</f>
        <v>0</v>
      </c>
      <c r="I247" s="25" t="n">
        <f aca="false">SUMPRODUCT(--((('Yellow Bosses'!$R$5:$R$53&gt;0)+('Yellow Bosses'!$S$5:$S$53&gt;0)+('Yellow Bosses'!$T$5:$T$53&gt;0)+('Yellow Bosses'!$V$5:$V$53&gt;0))=0))</f>
        <v>0</v>
      </c>
      <c r="J247" s="25" t="n">
        <f aca="false">SUMPRODUCT(--(((Effectiveness!$O$5:$O$155&gt;=2)+(Effectiveness!$P$5:$P$155&gt;=2)+(Effectiveness!$Q$5:$Q$155&gt;=2)+(Effectiveness!$S$5:$S$155&gt;=2))&gt;0))</f>
        <v>93</v>
      </c>
      <c r="K247" s="26" t="n">
        <f aca="false">J247/151</f>
        <v>0.615894039735099</v>
      </c>
      <c r="L247" s="25" t="n">
        <f aca="false">MIN(INDEX('Move Reality'!$F$5:$F$19,MATCH(B247,'Move Reality'!$A$5:$A$19,0)),INDEX('Move Reality'!$F$5:$F$19,MATCH(C247,'Move Reality'!$A$5:$A$19,0)),INDEX('Move Reality'!$F$5:$F$19,MATCH(D247,'Move Reality'!$A$5:$A$19,0)),INDEX('Move Reality'!$F$5:$F$19,MATCH(E247,'Move Reality'!$A$5:$A$19,0)))</f>
        <v>1</v>
      </c>
      <c r="M247" s="28" t="str">
        <f aca="false">IF(L247&gt;=5,"YES","no - dead move")</f>
        <v>no - dead move</v>
      </c>
    </row>
    <row r="248" customFormat="false" ht="15" hidden="false" customHeight="false" outlineLevel="0" collapsed="false">
      <c r="A248" s="17" t="n">
        <v>244</v>
      </c>
      <c r="B248" s="17" t="s">
        <v>46</v>
      </c>
      <c r="C248" s="17" t="s">
        <v>50</v>
      </c>
      <c r="D248" s="17" t="s">
        <v>51</v>
      </c>
      <c r="E248" s="17" t="s">
        <v>54</v>
      </c>
      <c r="F248" s="25" t="n">
        <f aca="false">SUMPRODUCT(--((('Yellow Bosses'!$N$5:$N$53&gt;=2)+('Yellow Bosses'!$R$5:$R$53&gt;=2)+('Yellow Bosses'!$S$5:$S$53&gt;=2)+('Yellow Bosses'!$V$5:$V$53&gt;=2))&gt;0))</f>
        <v>37</v>
      </c>
      <c r="G248" s="26" t="n">
        <f aca="false">F248/49</f>
        <v>0.755102040816327</v>
      </c>
      <c r="H248" s="25" t="n">
        <f aca="false">49-SUMPRODUCT(--((('Yellow Bosses'!$N$5:$N$53&gt;=1)+('Yellow Bosses'!$R$5:$R$53&gt;=1)+('Yellow Bosses'!$S$5:$S$53&gt;=1)+('Yellow Bosses'!$V$5:$V$53&gt;=1))&gt;0))</f>
        <v>0</v>
      </c>
      <c r="I248" s="25" t="n">
        <f aca="false">SUMPRODUCT(--((('Yellow Bosses'!$N$5:$N$53&gt;0)+('Yellow Bosses'!$R$5:$R$53&gt;0)+('Yellow Bosses'!$S$5:$S$53&gt;0)+('Yellow Bosses'!$V$5:$V$53&gt;0))=0))</f>
        <v>0</v>
      </c>
      <c r="J248" s="25" t="n">
        <f aca="false">SUMPRODUCT(--(((Effectiveness!$K$5:$K$155&gt;=2)+(Effectiveness!$O$5:$O$155&gt;=2)+(Effectiveness!$P$5:$P$155&gt;=2)+(Effectiveness!$S$5:$S$155&gt;=2))&gt;0))</f>
        <v>90</v>
      </c>
      <c r="K248" s="26" t="n">
        <f aca="false">J248/151</f>
        <v>0.596026490066225</v>
      </c>
      <c r="L248" s="25" t="n">
        <f aca="false">MIN(INDEX('Move Reality'!$F$5:$F$19,MATCH(B248,'Move Reality'!$A$5:$A$19,0)),INDEX('Move Reality'!$F$5:$F$19,MATCH(C248,'Move Reality'!$A$5:$A$19,0)),INDEX('Move Reality'!$F$5:$F$19,MATCH(D248,'Move Reality'!$A$5:$A$19,0)),INDEX('Move Reality'!$F$5:$F$19,MATCH(E248,'Move Reality'!$A$5:$A$19,0)))</f>
        <v>1</v>
      </c>
      <c r="M248" s="28" t="str">
        <f aca="false">IF(L248&gt;=5,"YES","no - dead move")</f>
        <v>no - dead move</v>
      </c>
    </row>
    <row r="249" customFormat="false" ht="15" hidden="false" customHeight="false" outlineLevel="0" collapsed="false">
      <c r="A249" s="17" t="n">
        <v>245</v>
      </c>
      <c r="B249" s="17" t="s">
        <v>41</v>
      </c>
      <c r="C249" s="17" t="s">
        <v>42</v>
      </c>
      <c r="D249" s="17" t="s">
        <v>50</v>
      </c>
      <c r="E249" s="17" t="s">
        <v>51</v>
      </c>
      <c r="F249" s="25" t="n">
        <f aca="false">SUMPRODUCT(--((('Yellow Bosses'!$I$5:$I$53&gt;=2)+('Yellow Bosses'!$J$5:$J$53&gt;=2)+('Yellow Bosses'!$R$5:$R$53&gt;=2)+('Yellow Bosses'!$S$5:$S$53&gt;=2))&gt;0))</f>
        <v>37</v>
      </c>
      <c r="G249" s="26" t="n">
        <f aca="false">F249/49</f>
        <v>0.755102040816327</v>
      </c>
      <c r="H249" s="25" t="n">
        <f aca="false">49-SUMPRODUCT(--((('Yellow Bosses'!$I$5:$I$53&gt;=1)+('Yellow Bosses'!$J$5:$J$53&gt;=1)+('Yellow Bosses'!$R$5:$R$53&gt;=1)+('Yellow Bosses'!$S$5:$S$53&gt;=1))&gt;0))</f>
        <v>0</v>
      </c>
      <c r="I249" s="25" t="n">
        <f aca="false">SUMPRODUCT(--((('Yellow Bosses'!$I$5:$I$53&gt;0)+('Yellow Bosses'!$J$5:$J$53&gt;0)+('Yellow Bosses'!$R$5:$R$53&gt;0)+('Yellow Bosses'!$S$5:$S$53&gt;0))=0))</f>
        <v>0</v>
      </c>
      <c r="J249" s="25" t="n">
        <f aca="false">SUMPRODUCT(--(((Effectiveness!$F$5:$F$155&gt;=2)+(Effectiveness!$G$5:$G$155&gt;=2)+(Effectiveness!$O$5:$O$155&gt;=2)+(Effectiveness!$P$5:$P$155&gt;=2))&gt;0))</f>
        <v>89</v>
      </c>
      <c r="K249" s="26" t="n">
        <f aca="false">J249/151</f>
        <v>0.589403973509934</v>
      </c>
      <c r="L249" s="25" t="n">
        <f aca="false">MIN(INDEX('Move Reality'!$F$5:$F$19,MATCH(B249,'Move Reality'!$A$5:$A$19,0)),INDEX('Move Reality'!$F$5:$F$19,MATCH(C249,'Move Reality'!$A$5:$A$19,0)),INDEX('Move Reality'!$F$5:$F$19,MATCH(D249,'Move Reality'!$A$5:$A$19,0)),INDEX('Move Reality'!$F$5:$F$19,MATCH(E249,'Move Reality'!$A$5:$A$19,0)))</f>
        <v>1</v>
      </c>
      <c r="M249" s="28" t="str">
        <f aca="false">IF(L249&gt;=5,"YES","no - dead move")</f>
        <v>no - dead move</v>
      </c>
    </row>
    <row r="250" customFormat="false" ht="15" hidden="false" customHeight="false" outlineLevel="0" collapsed="false">
      <c r="A250" s="17" t="n">
        <v>246</v>
      </c>
      <c r="B250" s="17" t="s">
        <v>42</v>
      </c>
      <c r="C250" s="17" t="s">
        <v>45</v>
      </c>
      <c r="D250" s="17" t="s">
        <v>51</v>
      </c>
      <c r="E250" s="17" t="s">
        <v>53</v>
      </c>
      <c r="F250" s="25" t="n">
        <f aca="false">SUMPRODUCT(--((('Yellow Bosses'!$J$5:$J$53&gt;=2)+('Yellow Bosses'!$M$5:$M$53&gt;=2)+('Yellow Bosses'!$S$5:$S$53&gt;=2)+('Yellow Bosses'!$U$5:$U$53&gt;=2))&gt;0))</f>
        <v>37</v>
      </c>
      <c r="G250" s="26" t="n">
        <f aca="false">F250/49</f>
        <v>0.755102040816327</v>
      </c>
      <c r="H250" s="25" t="n">
        <f aca="false">49-SUMPRODUCT(--((('Yellow Bosses'!$J$5:$J$53&gt;=1)+('Yellow Bosses'!$M$5:$M$53&gt;=1)+('Yellow Bosses'!$S$5:$S$53&gt;=1)+('Yellow Bosses'!$U$5:$U$53&gt;=1))&gt;0))</f>
        <v>0</v>
      </c>
      <c r="I250" s="25" t="n">
        <f aca="false">SUMPRODUCT(--((('Yellow Bosses'!$J$5:$J$53&gt;0)+('Yellow Bosses'!$M$5:$M$53&gt;0)+('Yellow Bosses'!$S$5:$S$53&gt;0)+('Yellow Bosses'!$U$5:$U$53&gt;0))=0))</f>
        <v>0</v>
      </c>
      <c r="J250" s="25" t="n">
        <f aca="false">SUMPRODUCT(--(((Effectiveness!$G$5:$G$155&gt;=2)+(Effectiveness!$J$5:$J$155&gt;=2)+(Effectiveness!$P$5:$P$155&gt;=2)+(Effectiveness!$R$5:$R$155&gt;=2))&gt;0))</f>
        <v>89</v>
      </c>
      <c r="K250" s="26" t="n">
        <f aca="false">J250/151</f>
        <v>0.589403973509934</v>
      </c>
      <c r="L250" s="25" t="n">
        <f aca="false">MIN(INDEX('Move Reality'!$F$5:$F$19,MATCH(B250,'Move Reality'!$A$5:$A$19,0)),INDEX('Move Reality'!$F$5:$F$19,MATCH(C250,'Move Reality'!$A$5:$A$19,0)),INDEX('Move Reality'!$F$5:$F$19,MATCH(D250,'Move Reality'!$A$5:$A$19,0)),INDEX('Move Reality'!$F$5:$F$19,MATCH(E250,'Move Reality'!$A$5:$A$19,0)))</f>
        <v>1</v>
      </c>
      <c r="M250" s="28" t="str">
        <f aca="false">IF(L250&gt;=5,"YES","no - dead move")</f>
        <v>no - dead move</v>
      </c>
    </row>
    <row r="251" customFormat="false" ht="15" hidden="false" customHeight="false" outlineLevel="0" collapsed="false">
      <c r="A251" s="17" t="n">
        <v>247</v>
      </c>
      <c r="B251" s="17" t="s">
        <v>42</v>
      </c>
      <c r="C251" s="17" t="s">
        <v>47</v>
      </c>
      <c r="D251" s="17" t="s">
        <v>50</v>
      </c>
      <c r="E251" s="17" t="s">
        <v>51</v>
      </c>
      <c r="F251" s="25" t="n">
        <f aca="false">SUMPRODUCT(--((('Yellow Bosses'!$J$5:$J$53&gt;=2)+('Yellow Bosses'!$O$5:$O$53&gt;=2)+('Yellow Bosses'!$R$5:$R$53&gt;=2)+('Yellow Bosses'!$S$5:$S$53&gt;=2))&gt;0))</f>
        <v>37</v>
      </c>
      <c r="G251" s="26" t="n">
        <f aca="false">F251/49</f>
        <v>0.755102040816327</v>
      </c>
      <c r="H251" s="25" t="n">
        <f aca="false">49-SUMPRODUCT(--((('Yellow Bosses'!$J$5:$J$53&gt;=1)+('Yellow Bosses'!$O$5:$O$53&gt;=1)+('Yellow Bosses'!$R$5:$R$53&gt;=1)+('Yellow Bosses'!$S$5:$S$53&gt;=1))&gt;0))</f>
        <v>0</v>
      </c>
      <c r="I251" s="25" t="n">
        <f aca="false">SUMPRODUCT(--((('Yellow Bosses'!$J$5:$J$53&gt;0)+('Yellow Bosses'!$O$5:$O$53&gt;0)+('Yellow Bosses'!$R$5:$R$53&gt;0)+('Yellow Bosses'!$S$5:$S$53&gt;0))=0))</f>
        <v>0</v>
      </c>
      <c r="J251" s="25" t="n">
        <f aca="false">SUMPRODUCT(--(((Effectiveness!$G$5:$G$155&gt;=2)+(Effectiveness!$L$5:$L$155&gt;=2)+(Effectiveness!$O$5:$O$155&gt;=2)+(Effectiveness!$P$5:$P$155&gt;=2))&gt;0))</f>
        <v>88</v>
      </c>
      <c r="K251" s="26" t="n">
        <f aca="false">J251/151</f>
        <v>0.582781456953642</v>
      </c>
      <c r="L251" s="25" t="n">
        <f aca="false">MIN(INDEX('Move Reality'!$F$5:$F$19,MATCH(B251,'Move Reality'!$A$5:$A$19,0)),INDEX('Move Reality'!$F$5:$F$19,MATCH(C251,'Move Reality'!$A$5:$A$19,0)),INDEX('Move Reality'!$F$5:$F$19,MATCH(D251,'Move Reality'!$A$5:$A$19,0)),INDEX('Move Reality'!$F$5:$F$19,MATCH(E251,'Move Reality'!$A$5:$A$19,0)))</f>
        <v>1</v>
      </c>
      <c r="M251" s="28" t="str">
        <f aca="false">IF(L251&gt;=5,"YES","no - dead move")</f>
        <v>no - dead move</v>
      </c>
    </row>
    <row r="252" customFormat="false" ht="15" hidden="false" customHeight="false" outlineLevel="0" collapsed="false">
      <c r="A252" s="17" t="n">
        <v>248</v>
      </c>
      <c r="B252" s="17" t="s">
        <v>42</v>
      </c>
      <c r="C252" s="17" t="s">
        <v>49</v>
      </c>
      <c r="D252" s="17" t="s">
        <v>50</v>
      </c>
      <c r="E252" s="17" t="s">
        <v>51</v>
      </c>
      <c r="F252" s="25" t="n">
        <f aca="false">SUMPRODUCT(--((('Yellow Bosses'!$J$5:$J$53&gt;=2)+('Yellow Bosses'!$Q$5:$Q$53&gt;=2)+('Yellow Bosses'!$R$5:$R$53&gt;=2)+('Yellow Bosses'!$S$5:$S$53&gt;=2))&gt;0))</f>
        <v>37</v>
      </c>
      <c r="G252" s="26" t="n">
        <f aca="false">F252/49</f>
        <v>0.755102040816327</v>
      </c>
      <c r="H252" s="25" t="n">
        <f aca="false">49-SUMPRODUCT(--((('Yellow Bosses'!$J$5:$J$53&gt;=1)+('Yellow Bosses'!$Q$5:$Q$53&gt;=1)+('Yellow Bosses'!$R$5:$R$53&gt;=1)+('Yellow Bosses'!$S$5:$S$53&gt;=1))&gt;0))</f>
        <v>0</v>
      </c>
      <c r="I252" s="25" t="n">
        <f aca="false">SUMPRODUCT(--((('Yellow Bosses'!$J$5:$J$53&gt;0)+('Yellow Bosses'!$Q$5:$Q$53&gt;0)+('Yellow Bosses'!$R$5:$R$53&gt;0)+('Yellow Bosses'!$S$5:$S$53&gt;0))=0))</f>
        <v>0</v>
      </c>
      <c r="J252" s="25" t="n">
        <f aca="false">SUMPRODUCT(--(((Effectiveness!$G$5:$G$155&gt;=2)+(Effectiveness!$N$5:$N$155&gt;=2)+(Effectiveness!$O$5:$O$155&gt;=2)+(Effectiveness!$P$5:$P$155&gt;=2))&gt;0))</f>
        <v>88</v>
      </c>
      <c r="K252" s="26" t="n">
        <f aca="false">J252/151</f>
        <v>0.582781456953642</v>
      </c>
      <c r="L252" s="25" t="n">
        <f aca="false">MIN(INDEX('Move Reality'!$F$5:$F$19,MATCH(B252,'Move Reality'!$A$5:$A$19,0)),INDEX('Move Reality'!$F$5:$F$19,MATCH(C252,'Move Reality'!$A$5:$A$19,0)),INDEX('Move Reality'!$F$5:$F$19,MATCH(D252,'Move Reality'!$A$5:$A$19,0)),INDEX('Move Reality'!$F$5:$F$19,MATCH(E252,'Move Reality'!$A$5:$A$19,0)))</f>
        <v>1</v>
      </c>
      <c r="M252" s="28" t="str">
        <f aca="false">IF(L252&gt;=5,"YES","no - dead move")</f>
        <v>no - dead move</v>
      </c>
    </row>
    <row r="253" customFormat="false" ht="15" hidden="false" customHeight="false" outlineLevel="0" collapsed="false">
      <c r="A253" s="17" t="n">
        <v>249</v>
      </c>
      <c r="B253" s="17" t="s">
        <v>40</v>
      </c>
      <c r="C253" s="17" t="s">
        <v>42</v>
      </c>
      <c r="D253" s="17" t="s">
        <v>50</v>
      </c>
      <c r="E253" s="17" t="s">
        <v>51</v>
      </c>
      <c r="F253" s="25" t="n">
        <f aca="false">SUMPRODUCT(--((('Yellow Bosses'!$H$5:$H$53&gt;=2)+('Yellow Bosses'!$J$5:$J$53&gt;=2)+('Yellow Bosses'!$R$5:$R$53&gt;=2)+('Yellow Bosses'!$S$5:$S$53&gt;=2))&gt;0))</f>
        <v>37</v>
      </c>
      <c r="G253" s="26" t="n">
        <f aca="false">F253/49</f>
        <v>0.755102040816327</v>
      </c>
      <c r="H253" s="25" t="n">
        <f aca="false">49-SUMPRODUCT(--((('Yellow Bosses'!$H$5:$H$53&gt;=1)+('Yellow Bosses'!$J$5:$J$53&gt;=1)+('Yellow Bosses'!$R$5:$R$53&gt;=1)+('Yellow Bosses'!$S$5:$S$53&gt;=1))&gt;0))</f>
        <v>0</v>
      </c>
      <c r="I253" s="25" t="n">
        <f aca="false">SUMPRODUCT(--((('Yellow Bosses'!$H$5:$H$53&gt;0)+('Yellow Bosses'!$J$5:$J$53&gt;0)+('Yellow Bosses'!$R$5:$R$53&gt;0)+('Yellow Bosses'!$S$5:$S$53&gt;0))=0))</f>
        <v>0</v>
      </c>
      <c r="J253" s="25" t="n">
        <f aca="false">SUMPRODUCT(--(((Effectiveness!$E$5:$E$155&gt;=2)+(Effectiveness!$G$5:$G$155&gt;=2)+(Effectiveness!$O$5:$O$155&gt;=2)+(Effectiveness!$P$5:$P$155&gt;=2))&gt;0))</f>
        <v>83</v>
      </c>
      <c r="K253" s="26" t="n">
        <f aca="false">J253/151</f>
        <v>0.549668874172186</v>
      </c>
      <c r="L253" s="25" t="n">
        <f aca="false">MIN(INDEX('Move Reality'!$F$5:$F$19,MATCH(B253,'Move Reality'!$A$5:$A$19,0)),INDEX('Move Reality'!$F$5:$F$19,MATCH(C253,'Move Reality'!$A$5:$A$19,0)),INDEX('Move Reality'!$F$5:$F$19,MATCH(D253,'Move Reality'!$A$5:$A$19,0)),INDEX('Move Reality'!$F$5:$F$19,MATCH(E253,'Move Reality'!$A$5:$A$19,0)))</f>
        <v>1</v>
      </c>
      <c r="M253" s="28" t="str">
        <f aca="false">IF(L253&gt;=5,"YES","no - dead move")</f>
        <v>no - dead move</v>
      </c>
    </row>
    <row r="254" customFormat="false" ht="15" hidden="false" customHeight="false" outlineLevel="0" collapsed="false">
      <c r="A254" s="17" t="n">
        <v>250</v>
      </c>
      <c r="B254" s="17" t="s">
        <v>42</v>
      </c>
      <c r="C254" s="17" t="s">
        <v>50</v>
      </c>
      <c r="D254" s="17" t="s">
        <v>51</v>
      </c>
      <c r="E254" s="17" t="s">
        <v>53</v>
      </c>
      <c r="F254" s="25" t="n">
        <f aca="false">SUMPRODUCT(--((('Yellow Bosses'!$J$5:$J$53&gt;=2)+('Yellow Bosses'!$R$5:$R$53&gt;=2)+('Yellow Bosses'!$S$5:$S$53&gt;=2)+('Yellow Bosses'!$U$5:$U$53&gt;=2))&gt;0))</f>
        <v>37</v>
      </c>
      <c r="G254" s="26" t="n">
        <f aca="false">F254/49</f>
        <v>0.755102040816327</v>
      </c>
      <c r="H254" s="25" t="n">
        <f aca="false">49-SUMPRODUCT(--((('Yellow Bosses'!$J$5:$J$53&gt;=1)+('Yellow Bosses'!$R$5:$R$53&gt;=1)+('Yellow Bosses'!$S$5:$S$53&gt;=1)+('Yellow Bosses'!$U$5:$U$53&gt;=1))&gt;0))</f>
        <v>0</v>
      </c>
      <c r="I254" s="25" t="n">
        <f aca="false">SUMPRODUCT(--((('Yellow Bosses'!$J$5:$J$53&gt;0)+('Yellow Bosses'!$R$5:$R$53&gt;0)+('Yellow Bosses'!$S$5:$S$53&gt;0)+('Yellow Bosses'!$U$5:$U$53&gt;0))=0))</f>
        <v>0</v>
      </c>
      <c r="J254" s="25" t="n">
        <f aca="false">SUMPRODUCT(--(((Effectiveness!$G$5:$G$155&gt;=2)+(Effectiveness!$O$5:$O$155&gt;=2)+(Effectiveness!$P$5:$P$155&gt;=2)+(Effectiveness!$R$5:$R$155&gt;=2))&gt;0))</f>
        <v>83</v>
      </c>
      <c r="K254" s="26" t="n">
        <f aca="false">J254/151</f>
        <v>0.549668874172186</v>
      </c>
      <c r="L254" s="25" t="n">
        <f aca="false">MIN(INDEX('Move Reality'!$F$5:$F$19,MATCH(B254,'Move Reality'!$A$5:$A$19,0)),INDEX('Move Reality'!$F$5:$F$19,MATCH(C254,'Move Reality'!$A$5:$A$19,0)),INDEX('Move Reality'!$F$5:$F$19,MATCH(D254,'Move Reality'!$A$5:$A$19,0)),INDEX('Move Reality'!$F$5:$F$19,MATCH(E254,'Move Reality'!$A$5:$A$19,0)))</f>
        <v>1</v>
      </c>
      <c r="M254" s="28" t="str">
        <f aca="false">IF(L254&gt;=5,"YES","no - dead move")</f>
        <v>no - dead move</v>
      </c>
    </row>
    <row r="255" customFormat="false" ht="15" hidden="false" customHeight="false" outlineLevel="0" collapsed="false">
      <c r="A255" s="17" t="n">
        <v>251</v>
      </c>
      <c r="B255" s="17" t="s">
        <v>45</v>
      </c>
      <c r="C255" s="17" t="s">
        <v>49</v>
      </c>
      <c r="D255" s="17" t="s">
        <v>52</v>
      </c>
      <c r="E255" s="17" t="s">
        <v>53</v>
      </c>
      <c r="F255" s="25" t="n">
        <f aca="false">SUMPRODUCT(--((('Yellow Bosses'!$M$5:$M$53&gt;=2)+('Yellow Bosses'!$Q$5:$Q$53&gt;=2)+('Yellow Bosses'!$T$5:$T$53&gt;=2)+('Yellow Bosses'!$U$5:$U$53&gt;=2))&gt;0))</f>
        <v>37</v>
      </c>
      <c r="G255" s="26" t="n">
        <f aca="false">F255/49</f>
        <v>0.755102040816327</v>
      </c>
      <c r="H255" s="25" t="n">
        <f aca="false">49-SUMPRODUCT(--((('Yellow Bosses'!$M$5:$M$53&gt;=1)+('Yellow Bosses'!$Q$5:$Q$53&gt;=1)+('Yellow Bosses'!$T$5:$T$53&gt;=1)+('Yellow Bosses'!$U$5:$U$53&gt;=1))&gt;0))</f>
        <v>0</v>
      </c>
      <c r="I255" s="25" t="n">
        <f aca="false">SUMPRODUCT(--((('Yellow Bosses'!$M$5:$M$53&gt;0)+('Yellow Bosses'!$Q$5:$Q$53&gt;0)+('Yellow Bosses'!$T$5:$T$53&gt;0)+('Yellow Bosses'!$U$5:$U$53&gt;0))=0))</f>
        <v>0</v>
      </c>
      <c r="J255" s="25" t="n">
        <f aca="false">SUMPRODUCT(--(((Effectiveness!$J$5:$J$155&gt;=2)+(Effectiveness!$N$5:$N$155&gt;=2)+(Effectiveness!$Q$5:$Q$155&gt;=2)+(Effectiveness!$R$5:$R$155&gt;=2))&gt;0))</f>
        <v>82</v>
      </c>
      <c r="K255" s="26" t="n">
        <f aca="false">J255/151</f>
        <v>0.543046357615894</v>
      </c>
      <c r="L255" s="25" t="n">
        <f aca="false">MIN(INDEX('Move Reality'!$F$5:$F$19,MATCH(B255,'Move Reality'!$A$5:$A$19,0)),INDEX('Move Reality'!$F$5:$F$19,MATCH(C255,'Move Reality'!$A$5:$A$19,0)),INDEX('Move Reality'!$F$5:$F$19,MATCH(D255,'Move Reality'!$A$5:$A$19,0)),INDEX('Move Reality'!$F$5:$F$19,MATCH(E255,'Move Reality'!$A$5:$A$19,0)))</f>
        <v>1</v>
      </c>
      <c r="M255" s="28" t="str">
        <f aca="false">IF(L255&gt;=5,"YES","no - dead move")</f>
        <v>no - dead move</v>
      </c>
    </row>
    <row r="256" customFormat="false" ht="15" hidden="false" customHeight="false" outlineLevel="0" collapsed="false">
      <c r="A256" s="17" t="n">
        <v>252</v>
      </c>
      <c r="B256" s="17" t="s">
        <v>44</v>
      </c>
      <c r="C256" s="17" t="s">
        <v>45</v>
      </c>
      <c r="D256" s="17" t="s">
        <v>46</v>
      </c>
      <c r="E256" s="17" t="s">
        <v>48</v>
      </c>
      <c r="F256" s="25" t="n">
        <f aca="false">SUMPRODUCT(--((('Yellow Bosses'!$L$5:$L$53&gt;=2)+('Yellow Bosses'!$M$5:$M$53&gt;=2)+('Yellow Bosses'!$N$5:$N$53&gt;=2)+('Yellow Bosses'!$P$5:$P$53&gt;=2))&gt;0))</f>
        <v>36</v>
      </c>
      <c r="G256" s="26" t="n">
        <f aca="false">F256/49</f>
        <v>0.73469387755102</v>
      </c>
      <c r="H256" s="25" t="n">
        <f aca="false">49-SUMPRODUCT(--((('Yellow Bosses'!$L$5:$L$53&gt;=1)+('Yellow Bosses'!$M$5:$M$53&gt;=1)+('Yellow Bosses'!$N$5:$N$53&gt;=1)+('Yellow Bosses'!$P$5:$P$53&gt;=1))&gt;0))</f>
        <v>0</v>
      </c>
      <c r="I256" s="25" t="n">
        <f aca="false">SUMPRODUCT(--((('Yellow Bosses'!$L$5:$L$53&gt;0)+('Yellow Bosses'!$M$5:$M$53&gt;0)+('Yellow Bosses'!$N$5:$N$53&gt;0)+('Yellow Bosses'!$P$5:$P$53&gt;0))=0))</f>
        <v>0</v>
      </c>
      <c r="J256" s="25" t="n">
        <f aca="false">SUMPRODUCT(--(((Effectiveness!$I$5:$I$155&gt;=2)+(Effectiveness!$J$5:$J$155&gt;=2)+(Effectiveness!$K$5:$K$155&gt;=2)+(Effectiveness!$M$5:$M$155&gt;=2))&gt;0))</f>
        <v>125</v>
      </c>
      <c r="K256" s="26" t="n">
        <f aca="false">J256/151</f>
        <v>0.827814569536424</v>
      </c>
      <c r="L256" s="25" t="n">
        <f aca="false">MIN(INDEX('Move Reality'!$F$5:$F$19,MATCH(B256,'Move Reality'!$A$5:$A$19,0)),INDEX('Move Reality'!$F$5:$F$19,MATCH(C256,'Move Reality'!$A$5:$A$19,0)),INDEX('Move Reality'!$F$5:$F$19,MATCH(D256,'Move Reality'!$A$5:$A$19,0)),INDEX('Move Reality'!$F$5:$F$19,MATCH(E256,'Move Reality'!$A$5:$A$19,0)))</f>
        <v>4</v>
      </c>
      <c r="M256" s="28" t="str">
        <f aca="false">IF(L256&gt;=5,"YES","no - dead move")</f>
        <v>no - dead move</v>
      </c>
    </row>
    <row r="257" customFormat="false" ht="15" hidden="false" customHeight="false" outlineLevel="0" collapsed="false">
      <c r="A257" s="17" t="n">
        <v>253</v>
      </c>
      <c r="B257" s="17" t="s">
        <v>44</v>
      </c>
      <c r="C257" s="17" t="s">
        <v>46</v>
      </c>
      <c r="D257" s="17" t="s">
        <v>48</v>
      </c>
      <c r="E257" s="17" t="s">
        <v>52</v>
      </c>
      <c r="F257" s="25" t="n">
        <f aca="false">SUMPRODUCT(--((('Yellow Bosses'!$L$5:$L$53&gt;=2)+('Yellow Bosses'!$N$5:$N$53&gt;=2)+('Yellow Bosses'!$P$5:$P$53&gt;=2)+('Yellow Bosses'!$T$5:$T$53&gt;=2))&gt;0))</f>
        <v>36</v>
      </c>
      <c r="G257" s="26" t="n">
        <f aca="false">F257/49</f>
        <v>0.73469387755102</v>
      </c>
      <c r="H257" s="25" t="n">
        <f aca="false">49-SUMPRODUCT(--((('Yellow Bosses'!$L$5:$L$53&gt;=1)+('Yellow Bosses'!$N$5:$N$53&gt;=1)+('Yellow Bosses'!$P$5:$P$53&gt;=1)+('Yellow Bosses'!$T$5:$T$53&gt;=1))&gt;0))</f>
        <v>0</v>
      </c>
      <c r="I257" s="25" t="n">
        <f aca="false">SUMPRODUCT(--((('Yellow Bosses'!$L$5:$L$53&gt;0)+('Yellow Bosses'!$N$5:$N$53&gt;0)+('Yellow Bosses'!$P$5:$P$53&gt;0)+('Yellow Bosses'!$T$5:$T$53&gt;0))=0))</f>
        <v>0</v>
      </c>
      <c r="J257" s="25" t="n">
        <f aca="false">SUMPRODUCT(--(((Effectiveness!$I$5:$I$155&gt;=2)+(Effectiveness!$K$5:$K$155&gt;=2)+(Effectiveness!$M$5:$M$155&gt;=2)+(Effectiveness!$Q$5:$Q$155&gt;=2))&gt;0))</f>
        <v>122</v>
      </c>
      <c r="K257" s="26" t="n">
        <f aca="false">J257/151</f>
        <v>0.80794701986755</v>
      </c>
      <c r="L257" s="25" t="n">
        <f aca="false">MIN(INDEX('Move Reality'!$F$5:$F$19,MATCH(B257,'Move Reality'!$A$5:$A$19,0)),INDEX('Move Reality'!$F$5:$F$19,MATCH(C257,'Move Reality'!$A$5:$A$19,0)),INDEX('Move Reality'!$F$5:$F$19,MATCH(D257,'Move Reality'!$A$5:$A$19,0)),INDEX('Move Reality'!$F$5:$F$19,MATCH(E257,'Move Reality'!$A$5:$A$19,0)))</f>
        <v>4</v>
      </c>
      <c r="M257" s="28" t="str">
        <f aca="false">IF(L257&gt;=5,"YES","no - dead move")</f>
        <v>no - dead move</v>
      </c>
    </row>
    <row r="258" customFormat="false" ht="15" hidden="false" customHeight="false" outlineLevel="0" collapsed="false">
      <c r="A258" s="17" t="n">
        <v>254</v>
      </c>
      <c r="B258" s="17" t="s">
        <v>41</v>
      </c>
      <c r="C258" s="17" t="s">
        <v>44</v>
      </c>
      <c r="D258" s="17" t="s">
        <v>46</v>
      </c>
      <c r="E258" s="17" t="s">
        <v>48</v>
      </c>
      <c r="F258" s="25" t="n">
        <f aca="false">SUMPRODUCT(--((('Yellow Bosses'!$I$5:$I$53&gt;=2)+('Yellow Bosses'!$L$5:$L$53&gt;=2)+('Yellow Bosses'!$N$5:$N$53&gt;=2)+('Yellow Bosses'!$P$5:$P$53&gt;=2))&gt;0))</f>
        <v>36</v>
      </c>
      <c r="G258" s="26" t="n">
        <f aca="false">F258/49</f>
        <v>0.73469387755102</v>
      </c>
      <c r="H258" s="25" t="n">
        <f aca="false">49-SUMPRODUCT(--((('Yellow Bosses'!$I$5:$I$53&gt;=1)+('Yellow Bosses'!$L$5:$L$53&gt;=1)+('Yellow Bosses'!$N$5:$N$53&gt;=1)+('Yellow Bosses'!$P$5:$P$53&gt;=1))&gt;0))</f>
        <v>1</v>
      </c>
      <c r="I258" s="25" t="n">
        <f aca="false">SUMPRODUCT(--((('Yellow Bosses'!$I$5:$I$53&gt;0)+('Yellow Bosses'!$L$5:$L$53&gt;0)+('Yellow Bosses'!$N$5:$N$53&gt;0)+('Yellow Bosses'!$P$5:$P$53&gt;0))=0))</f>
        <v>0</v>
      </c>
      <c r="J258" s="25" t="n">
        <f aca="false">SUMPRODUCT(--(((Effectiveness!$F$5:$F$155&gt;=2)+(Effectiveness!$I$5:$I$155&gt;=2)+(Effectiveness!$K$5:$K$155&gt;=2)+(Effectiveness!$M$5:$M$155&gt;=2))&gt;0))</f>
        <v>118</v>
      </c>
      <c r="K258" s="26" t="n">
        <f aca="false">J258/151</f>
        <v>0.781456953642384</v>
      </c>
      <c r="L258" s="25" t="n">
        <f aca="false">MIN(INDEX('Move Reality'!$F$5:$F$19,MATCH(B258,'Move Reality'!$A$5:$A$19,0)),INDEX('Move Reality'!$F$5:$F$19,MATCH(C258,'Move Reality'!$A$5:$A$19,0)),INDEX('Move Reality'!$F$5:$F$19,MATCH(D258,'Move Reality'!$A$5:$A$19,0)),INDEX('Move Reality'!$F$5:$F$19,MATCH(E258,'Move Reality'!$A$5:$A$19,0)))</f>
        <v>4</v>
      </c>
      <c r="M258" s="28" t="str">
        <f aca="false">IF(L258&gt;=5,"YES","no - dead move")</f>
        <v>no - dead move</v>
      </c>
    </row>
    <row r="259" customFormat="false" ht="15" hidden="false" customHeight="false" outlineLevel="0" collapsed="false">
      <c r="A259" s="17" t="n">
        <v>255</v>
      </c>
      <c r="B259" s="17" t="s">
        <v>44</v>
      </c>
      <c r="C259" s="17" t="s">
        <v>45</v>
      </c>
      <c r="D259" s="17" t="s">
        <v>46</v>
      </c>
      <c r="E259" s="17" t="s">
        <v>51</v>
      </c>
      <c r="F259" s="25" t="n">
        <f aca="false">SUMPRODUCT(--((('Yellow Bosses'!$L$5:$L$53&gt;=2)+('Yellow Bosses'!$M$5:$M$53&gt;=2)+('Yellow Bosses'!$N$5:$N$53&gt;=2)+('Yellow Bosses'!$S$5:$S$53&gt;=2))&gt;0))</f>
        <v>36</v>
      </c>
      <c r="G259" s="26" t="n">
        <f aca="false">F259/49</f>
        <v>0.73469387755102</v>
      </c>
      <c r="H259" s="25" t="n">
        <f aca="false">49-SUMPRODUCT(--((('Yellow Bosses'!$L$5:$L$53&gt;=1)+('Yellow Bosses'!$M$5:$M$53&gt;=1)+('Yellow Bosses'!$N$5:$N$53&gt;=1)+('Yellow Bosses'!$S$5:$S$53&gt;=1))&gt;0))</f>
        <v>0</v>
      </c>
      <c r="I259" s="25" t="n">
        <f aca="false">SUMPRODUCT(--((('Yellow Bosses'!$L$5:$L$53&gt;0)+('Yellow Bosses'!$M$5:$M$53&gt;0)+('Yellow Bosses'!$N$5:$N$53&gt;0)+('Yellow Bosses'!$S$5:$S$53&gt;0))=0))</f>
        <v>0</v>
      </c>
      <c r="J259" s="25" t="n">
        <f aca="false">SUMPRODUCT(--(((Effectiveness!$I$5:$I$155&gt;=2)+(Effectiveness!$J$5:$J$155&gt;=2)+(Effectiveness!$K$5:$K$155&gt;=2)+(Effectiveness!$P$5:$P$155&gt;=2))&gt;0))</f>
        <v>118</v>
      </c>
      <c r="K259" s="26" t="n">
        <f aca="false">J259/151</f>
        <v>0.781456953642384</v>
      </c>
      <c r="L259" s="25" t="n">
        <f aca="false">MIN(INDEX('Move Reality'!$F$5:$F$19,MATCH(B259,'Move Reality'!$A$5:$A$19,0)),INDEX('Move Reality'!$F$5:$F$19,MATCH(C259,'Move Reality'!$A$5:$A$19,0)),INDEX('Move Reality'!$F$5:$F$19,MATCH(D259,'Move Reality'!$A$5:$A$19,0)),INDEX('Move Reality'!$F$5:$F$19,MATCH(E259,'Move Reality'!$A$5:$A$19,0)))</f>
        <v>1</v>
      </c>
      <c r="M259" s="28" t="str">
        <f aca="false">IF(L259&gt;=5,"YES","no - dead move")</f>
        <v>no - dead move</v>
      </c>
    </row>
    <row r="260" customFormat="false" ht="15" hidden="false" customHeight="false" outlineLevel="0" collapsed="false">
      <c r="A260" s="17" t="n">
        <v>256</v>
      </c>
      <c r="B260" s="17" t="s">
        <v>43</v>
      </c>
      <c r="C260" s="17" t="s">
        <v>45</v>
      </c>
      <c r="D260" s="17" t="s">
        <v>46</v>
      </c>
      <c r="E260" s="17" t="s">
        <v>52</v>
      </c>
      <c r="F260" s="25" t="n">
        <f aca="false">SUMPRODUCT(--((('Yellow Bosses'!$K$5:$K$53&gt;=2)+('Yellow Bosses'!$M$5:$M$53&gt;=2)+('Yellow Bosses'!$N$5:$N$53&gt;=2)+('Yellow Bosses'!$T$5:$T$53&gt;=2))&gt;0))</f>
        <v>36</v>
      </c>
      <c r="G260" s="26" t="n">
        <f aca="false">F260/49</f>
        <v>0.73469387755102</v>
      </c>
      <c r="H260" s="25" t="n">
        <f aca="false">49-SUMPRODUCT(--((('Yellow Bosses'!$K$5:$K$53&gt;=1)+('Yellow Bosses'!$M$5:$M$53&gt;=1)+('Yellow Bosses'!$N$5:$N$53&gt;=1)+('Yellow Bosses'!$T$5:$T$53&gt;=1))&gt;0))</f>
        <v>0</v>
      </c>
      <c r="I260" s="25" t="n">
        <f aca="false">SUMPRODUCT(--((('Yellow Bosses'!$K$5:$K$53&gt;0)+('Yellow Bosses'!$M$5:$M$53&gt;0)+('Yellow Bosses'!$N$5:$N$53&gt;0)+('Yellow Bosses'!$T$5:$T$53&gt;0))=0))</f>
        <v>0</v>
      </c>
      <c r="J260" s="25" t="n">
        <f aca="false">SUMPRODUCT(--(((Effectiveness!$H$5:$H$155&gt;=2)+(Effectiveness!$J$5:$J$155&gt;=2)+(Effectiveness!$K$5:$K$155&gt;=2)+(Effectiveness!$Q$5:$Q$155&gt;=2))&gt;0))</f>
        <v>115</v>
      </c>
      <c r="K260" s="26" t="n">
        <f aca="false">J260/151</f>
        <v>0.76158940397351</v>
      </c>
      <c r="L260" s="25" t="n">
        <f aca="false">MIN(INDEX('Move Reality'!$F$5:$F$19,MATCH(B260,'Move Reality'!$A$5:$A$19,0)),INDEX('Move Reality'!$F$5:$F$19,MATCH(C260,'Move Reality'!$A$5:$A$19,0)),INDEX('Move Reality'!$F$5:$F$19,MATCH(D260,'Move Reality'!$A$5:$A$19,0)),INDEX('Move Reality'!$F$5:$F$19,MATCH(E260,'Move Reality'!$A$5:$A$19,0)))</f>
        <v>5</v>
      </c>
      <c r="M260" s="28" t="str">
        <f aca="false">IF(L260&gt;=5,"YES","no - dead move")</f>
        <v>YES</v>
      </c>
    </row>
    <row r="261" customFormat="false" ht="15" hidden="false" customHeight="false" outlineLevel="0" collapsed="false">
      <c r="A261" s="17" t="n">
        <v>257</v>
      </c>
      <c r="B261" s="17" t="s">
        <v>43</v>
      </c>
      <c r="C261" s="17" t="s">
        <v>45</v>
      </c>
      <c r="D261" s="17" t="s">
        <v>47</v>
      </c>
      <c r="E261" s="17" t="s">
        <v>48</v>
      </c>
      <c r="F261" s="25" t="n">
        <f aca="false">SUMPRODUCT(--((('Yellow Bosses'!$K$5:$K$53&gt;=2)+('Yellow Bosses'!$M$5:$M$53&gt;=2)+('Yellow Bosses'!$O$5:$O$53&gt;=2)+('Yellow Bosses'!$P$5:$P$53&gt;=2))&gt;0))</f>
        <v>36</v>
      </c>
      <c r="G261" s="26" t="n">
        <f aca="false">F261/49</f>
        <v>0.73469387755102</v>
      </c>
      <c r="H261" s="25" t="n">
        <f aca="false">49-SUMPRODUCT(--((('Yellow Bosses'!$K$5:$K$53&gt;=1)+('Yellow Bosses'!$M$5:$M$53&gt;=1)+('Yellow Bosses'!$O$5:$O$53&gt;=1)+('Yellow Bosses'!$P$5:$P$53&gt;=1))&gt;0))</f>
        <v>0</v>
      </c>
      <c r="I261" s="25" t="n">
        <f aca="false">SUMPRODUCT(--((('Yellow Bosses'!$K$5:$K$53&gt;0)+('Yellow Bosses'!$M$5:$M$53&gt;0)+('Yellow Bosses'!$O$5:$O$53&gt;0)+('Yellow Bosses'!$P$5:$P$53&gt;0))=0))</f>
        <v>0</v>
      </c>
      <c r="J261" s="25" t="n">
        <f aca="false">SUMPRODUCT(--(((Effectiveness!$H$5:$H$155&gt;=2)+(Effectiveness!$J$5:$J$155&gt;=2)+(Effectiveness!$L$5:$L$155&gt;=2)+(Effectiveness!$M$5:$M$155&gt;=2))&gt;0))</f>
        <v>114</v>
      </c>
      <c r="K261" s="26" t="n">
        <f aca="false">J261/151</f>
        <v>0.754966887417219</v>
      </c>
      <c r="L261" s="25" t="n">
        <f aca="false">MIN(INDEX('Move Reality'!$F$5:$F$19,MATCH(B261,'Move Reality'!$A$5:$A$19,0)),INDEX('Move Reality'!$F$5:$F$19,MATCH(C261,'Move Reality'!$A$5:$A$19,0)),INDEX('Move Reality'!$F$5:$F$19,MATCH(D261,'Move Reality'!$A$5:$A$19,0)),INDEX('Move Reality'!$F$5:$F$19,MATCH(E261,'Move Reality'!$A$5:$A$19,0)))</f>
        <v>2</v>
      </c>
      <c r="M261" s="28" t="str">
        <f aca="false">IF(L261&gt;=5,"YES","no - dead move")</f>
        <v>no - dead move</v>
      </c>
    </row>
    <row r="262" customFormat="false" ht="15" hidden="false" customHeight="false" outlineLevel="0" collapsed="false">
      <c r="A262" s="17" t="n">
        <v>258</v>
      </c>
      <c r="B262" s="17" t="s">
        <v>44</v>
      </c>
      <c r="C262" s="17" t="s">
        <v>45</v>
      </c>
      <c r="D262" s="17" t="s">
        <v>46</v>
      </c>
      <c r="E262" s="17" t="s">
        <v>52</v>
      </c>
      <c r="F262" s="25" t="n">
        <f aca="false">SUMPRODUCT(--((('Yellow Bosses'!$L$5:$L$53&gt;=2)+('Yellow Bosses'!$M$5:$M$53&gt;=2)+('Yellow Bosses'!$N$5:$N$53&gt;=2)+('Yellow Bosses'!$T$5:$T$53&gt;=2))&gt;0))</f>
        <v>36</v>
      </c>
      <c r="G262" s="26" t="n">
        <f aca="false">F262/49</f>
        <v>0.73469387755102</v>
      </c>
      <c r="H262" s="25" t="n">
        <f aca="false">49-SUMPRODUCT(--((('Yellow Bosses'!$L$5:$L$53&gt;=1)+('Yellow Bosses'!$M$5:$M$53&gt;=1)+('Yellow Bosses'!$N$5:$N$53&gt;=1)+('Yellow Bosses'!$T$5:$T$53&gt;=1))&gt;0))</f>
        <v>0</v>
      </c>
      <c r="I262" s="25" t="n">
        <f aca="false">SUMPRODUCT(--((('Yellow Bosses'!$L$5:$L$53&gt;0)+('Yellow Bosses'!$M$5:$M$53&gt;0)+('Yellow Bosses'!$N$5:$N$53&gt;0)+('Yellow Bosses'!$T$5:$T$53&gt;0))=0))</f>
        <v>0</v>
      </c>
      <c r="J262" s="25" t="n">
        <f aca="false">SUMPRODUCT(--(((Effectiveness!$I$5:$I$155&gt;=2)+(Effectiveness!$J$5:$J$155&gt;=2)+(Effectiveness!$K$5:$K$155&gt;=2)+(Effectiveness!$Q$5:$Q$155&gt;=2))&gt;0))</f>
        <v>113</v>
      </c>
      <c r="K262" s="26" t="n">
        <f aca="false">J262/151</f>
        <v>0.748344370860927</v>
      </c>
      <c r="L262" s="25" t="n">
        <f aca="false">MIN(INDEX('Move Reality'!$F$5:$F$19,MATCH(B262,'Move Reality'!$A$5:$A$19,0)),INDEX('Move Reality'!$F$5:$F$19,MATCH(C262,'Move Reality'!$A$5:$A$19,0)),INDEX('Move Reality'!$F$5:$F$19,MATCH(D262,'Move Reality'!$A$5:$A$19,0)),INDEX('Move Reality'!$F$5:$F$19,MATCH(E262,'Move Reality'!$A$5:$A$19,0)))</f>
        <v>4</v>
      </c>
      <c r="M262" s="28" t="str">
        <f aca="false">IF(L262&gt;=5,"YES","no - dead move")</f>
        <v>no - dead move</v>
      </c>
    </row>
    <row r="263" customFormat="false" ht="15" hidden="false" customHeight="false" outlineLevel="0" collapsed="false">
      <c r="A263" s="17" t="n">
        <v>259</v>
      </c>
      <c r="B263" s="17" t="s">
        <v>42</v>
      </c>
      <c r="C263" s="17" t="s">
        <v>44</v>
      </c>
      <c r="D263" s="17" t="s">
        <v>46</v>
      </c>
      <c r="E263" s="17" t="s">
        <v>51</v>
      </c>
      <c r="F263" s="25" t="n">
        <f aca="false">SUMPRODUCT(--((('Yellow Bosses'!$J$5:$J$53&gt;=2)+('Yellow Bosses'!$L$5:$L$53&gt;=2)+('Yellow Bosses'!$N$5:$N$53&gt;=2)+('Yellow Bosses'!$S$5:$S$53&gt;=2))&gt;0))</f>
        <v>36</v>
      </c>
      <c r="G263" s="26" t="n">
        <f aca="false">F263/49</f>
        <v>0.73469387755102</v>
      </c>
      <c r="H263" s="25" t="n">
        <f aca="false">49-SUMPRODUCT(--((('Yellow Bosses'!$J$5:$J$53&gt;=1)+('Yellow Bosses'!$L$5:$L$53&gt;=1)+('Yellow Bosses'!$N$5:$N$53&gt;=1)+('Yellow Bosses'!$S$5:$S$53&gt;=1))&gt;0))</f>
        <v>1</v>
      </c>
      <c r="I263" s="25" t="n">
        <f aca="false">SUMPRODUCT(--((('Yellow Bosses'!$J$5:$J$53&gt;0)+('Yellow Bosses'!$L$5:$L$53&gt;0)+('Yellow Bosses'!$N$5:$N$53&gt;0)+('Yellow Bosses'!$S$5:$S$53&gt;0))=0))</f>
        <v>0</v>
      </c>
      <c r="J263" s="25" t="n">
        <f aca="false">SUMPRODUCT(--(((Effectiveness!$G$5:$G$155&gt;=2)+(Effectiveness!$I$5:$I$155&gt;=2)+(Effectiveness!$K$5:$K$155&gt;=2)+(Effectiveness!$P$5:$P$155&gt;=2))&gt;0))</f>
        <v>112</v>
      </c>
      <c r="K263" s="26" t="n">
        <f aca="false">J263/151</f>
        <v>0.741721854304636</v>
      </c>
      <c r="L263" s="25" t="n">
        <f aca="false">MIN(INDEX('Move Reality'!$F$5:$F$19,MATCH(B263,'Move Reality'!$A$5:$A$19,0)),INDEX('Move Reality'!$F$5:$F$19,MATCH(C263,'Move Reality'!$A$5:$A$19,0)),INDEX('Move Reality'!$F$5:$F$19,MATCH(D263,'Move Reality'!$A$5:$A$19,0)),INDEX('Move Reality'!$F$5:$F$19,MATCH(E263,'Move Reality'!$A$5:$A$19,0)))</f>
        <v>1</v>
      </c>
      <c r="M263" s="28" t="str">
        <f aca="false">IF(L263&gt;=5,"YES","no - dead move")</f>
        <v>no - dead move</v>
      </c>
    </row>
    <row r="264" customFormat="false" ht="15" hidden="false" customHeight="false" outlineLevel="0" collapsed="false">
      <c r="A264" s="17" t="n">
        <v>260</v>
      </c>
      <c r="B264" s="17" t="s">
        <v>40</v>
      </c>
      <c r="C264" s="17" t="s">
        <v>43</v>
      </c>
      <c r="D264" s="17" t="s">
        <v>45</v>
      </c>
      <c r="E264" s="17" t="s">
        <v>48</v>
      </c>
      <c r="F264" s="25" t="n">
        <f aca="false">SUMPRODUCT(--((('Yellow Bosses'!$H$5:$H$53&gt;=2)+('Yellow Bosses'!$K$5:$K$53&gt;=2)+('Yellow Bosses'!$M$5:$M$53&gt;=2)+('Yellow Bosses'!$P$5:$P$53&gt;=2))&gt;0))</f>
        <v>36</v>
      </c>
      <c r="G264" s="26" t="n">
        <f aca="false">F264/49</f>
        <v>0.73469387755102</v>
      </c>
      <c r="H264" s="25" t="n">
        <f aca="false">49-SUMPRODUCT(--((('Yellow Bosses'!$H$5:$H$53&gt;=1)+('Yellow Bosses'!$K$5:$K$53&gt;=1)+('Yellow Bosses'!$M$5:$M$53&gt;=1)+('Yellow Bosses'!$P$5:$P$53&gt;=1))&gt;0))</f>
        <v>0</v>
      </c>
      <c r="I264" s="25" t="n">
        <f aca="false">SUMPRODUCT(--((('Yellow Bosses'!$H$5:$H$53&gt;0)+('Yellow Bosses'!$K$5:$K$53&gt;0)+('Yellow Bosses'!$M$5:$M$53&gt;0)+('Yellow Bosses'!$P$5:$P$53&gt;0))=0))</f>
        <v>0</v>
      </c>
      <c r="J264" s="25" t="n">
        <f aca="false">SUMPRODUCT(--(((Effectiveness!$E$5:$E$155&gt;=2)+(Effectiveness!$H$5:$H$155&gt;=2)+(Effectiveness!$J$5:$J$155&gt;=2)+(Effectiveness!$M$5:$M$155&gt;=2))&gt;0))</f>
        <v>111</v>
      </c>
      <c r="K264" s="26" t="n">
        <f aca="false">J264/151</f>
        <v>0.735099337748344</v>
      </c>
      <c r="L264" s="25" t="n">
        <f aca="false">MIN(INDEX('Move Reality'!$F$5:$F$19,MATCH(B264,'Move Reality'!$A$5:$A$19,0)),INDEX('Move Reality'!$F$5:$F$19,MATCH(C264,'Move Reality'!$A$5:$A$19,0)),INDEX('Move Reality'!$F$5:$F$19,MATCH(D264,'Move Reality'!$A$5:$A$19,0)),INDEX('Move Reality'!$F$5:$F$19,MATCH(E264,'Move Reality'!$A$5:$A$19,0)))</f>
        <v>9</v>
      </c>
      <c r="M264" s="28" t="str">
        <f aca="false">IF(L264&gt;=5,"YES","no - dead move")</f>
        <v>YES</v>
      </c>
    </row>
    <row r="265" customFormat="false" ht="15" hidden="false" customHeight="false" outlineLevel="0" collapsed="false">
      <c r="A265" s="17" t="n">
        <v>261</v>
      </c>
      <c r="B265" s="17" t="s">
        <v>42</v>
      </c>
      <c r="C265" s="17" t="s">
        <v>43</v>
      </c>
      <c r="D265" s="17" t="s">
        <v>45</v>
      </c>
      <c r="E265" s="17" t="s">
        <v>48</v>
      </c>
      <c r="F265" s="25" t="n">
        <f aca="false">SUMPRODUCT(--((('Yellow Bosses'!$J$5:$J$53&gt;=2)+('Yellow Bosses'!$K$5:$K$53&gt;=2)+('Yellow Bosses'!$M$5:$M$53&gt;=2)+('Yellow Bosses'!$P$5:$P$53&gt;=2))&gt;0))</f>
        <v>36</v>
      </c>
      <c r="G265" s="26" t="n">
        <f aca="false">F265/49</f>
        <v>0.73469387755102</v>
      </c>
      <c r="H265" s="25" t="n">
        <f aca="false">49-SUMPRODUCT(--((('Yellow Bosses'!$J$5:$J$53&gt;=1)+('Yellow Bosses'!$K$5:$K$53&gt;=1)+('Yellow Bosses'!$M$5:$M$53&gt;=1)+('Yellow Bosses'!$P$5:$P$53&gt;=1))&gt;0))</f>
        <v>0</v>
      </c>
      <c r="I265" s="25" t="n">
        <f aca="false">SUMPRODUCT(--((('Yellow Bosses'!$J$5:$J$53&gt;0)+('Yellow Bosses'!$K$5:$K$53&gt;0)+('Yellow Bosses'!$M$5:$M$53&gt;0)+('Yellow Bosses'!$P$5:$P$53&gt;0))=0))</f>
        <v>0</v>
      </c>
      <c r="J265" s="25" t="n">
        <f aca="false">SUMPRODUCT(--(((Effectiveness!$G$5:$G$155&gt;=2)+(Effectiveness!$H$5:$H$155&gt;=2)+(Effectiveness!$J$5:$J$155&gt;=2)+(Effectiveness!$M$5:$M$155&gt;=2))&gt;0))</f>
        <v>111</v>
      </c>
      <c r="K265" s="26" t="n">
        <f aca="false">J265/151</f>
        <v>0.735099337748344</v>
      </c>
      <c r="L265" s="25" t="n">
        <f aca="false">MIN(INDEX('Move Reality'!$F$5:$F$19,MATCH(B265,'Move Reality'!$A$5:$A$19,0)),INDEX('Move Reality'!$F$5:$F$19,MATCH(C265,'Move Reality'!$A$5:$A$19,0)),INDEX('Move Reality'!$F$5:$F$19,MATCH(D265,'Move Reality'!$A$5:$A$19,0)),INDEX('Move Reality'!$F$5:$F$19,MATCH(E265,'Move Reality'!$A$5:$A$19,0)))</f>
        <v>9</v>
      </c>
      <c r="M265" s="28" t="str">
        <f aca="false">IF(L265&gt;=5,"YES","no - dead move")</f>
        <v>YES</v>
      </c>
    </row>
    <row r="266" customFormat="false" ht="15" hidden="false" customHeight="false" outlineLevel="0" collapsed="false">
      <c r="A266" s="17" t="n">
        <v>262</v>
      </c>
      <c r="B266" s="17" t="s">
        <v>43</v>
      </c>
      <c r="C266" s="17" t="s">
        <v>44</v>
      </c>
      <c r="D266" s="17" t="s">
        <v>45</v>
      </c>
      <c r="E266" s="17" t="s">
        <v>48</v>
      </c>
      <c r="F266" s="25" t="n">
        <f aca="false">SUMPRODUCT(--((('Yellow Bosses'!$K$5:$K$53&gt;=2)+('Yellow Bosses'!$L$5:$L$53&gt;=2)+('Yellow Bosses'!$M$5:$M$53&gt;=2)+('Yellow Bosses'!$P$5:$P$53&gt;=2))&gt;0))</f>
        <v>36</v>
      </c>
      <c r="G266" s="26" t="n">
        <f aca="false">F266/49</f>
        <v>0.73469387755102</v>
      </c>
      <c r="H266" s="25" t="n">
        <f aca="false">49-SUMPRODUCT(--((('Yellow Bosses'!$K$5:$K$53&gt;=1)+('Yellow Bosses'!$L$5:$L$53&gt;=1)+('Yellow Bosses'!$M$5:$M$53&gt;=1)+('Yellow Bosses'!$P$5:$P$53&gt;=1))&gt;0))</f>
        <v>0</v>
      </c>
      <c r="I266" s="25" t="n">
        <f aca="false">SUMPRODUCT(--((('Yellow Bosses'!$K$5:$K$53&gt;0)+('Yellow Bosses'!$L$5:$L$53&gt;0)+('Yellow Bosses'!$M$5:$M$53&gt;0)+('Yellow Bosses'!$P$5:$P$53&gt;0))=0))</f>
        <v>0</v>
      </c>
      <c r="J266" s="25" t="n">
        <f aca="false">SUMPRODUCT(--(((Effectiveness!$H$5:$H$155&gt;=2)+(Effectiveness!$I$5:$I$155&gt;=2)+(Effectiveness!$J$5:$J$155&gt;=2)+(Effectiveness!$M$5:$M$155&gt;=2))&gt;0))</f>
        <v>111</v>
      </c>
      <c r="K266" s="26" t="n">
        <f aca="false">J266/151</f>
        <v>0.735099337748344</v>
      </c>
      <c r="L266" s="25" t="n">
        <f aca="false">MIN(INDEX('Move Reality'!$F$5:$F$19,MATCH(B266,'Move Reality'!$A$5:$A$19,0)),INDEX('Move Reality'!$F$5:$F$19,MATCH(C266,'Move Reality'!$A$5:$A$19,0)),INDEX('Move Reality'!$F$5:$F$19,MATCH(D266,'Move Reality'!$A$5:$A$19,0)),INDEX('Move Reality'!$F$5:$F$19,MATCH(E266,'Move Reality'!$A$5:$A$19,0)))</f>
        <v>4</v>
      </c>
      <c r="M266" s="28" t="str">
        <f aca="false">IF(L266&gt;=5,"YES","no - dead move")</f>
        <v>no - dead move</v>
      </c>
    </row>
    <row r="267" customFormat="false" ht="15" hidden="false" customHeight="false" outlineLevel="0" collapsed="false">
      <c r="A267" s="17" t="n">
        <v>263</v>
      </c>
      <c r="B267" s="17" t="s">
        <v>43</v>
      </c>
      <c r="C267" s="17" t="s">
        <v>45</v>
      </c>
      <c r="D267" s="17" t="s">
        <v>48</v>
      </c>
      <c r="E267" s="17" t="s">
        <v>53</v>
      </c>
      <c r="F267" s="25" t="n">
        <f aca="false">SUMPRODUCT(--((('Yellow Bosses'!$K$5:$K$53&gt;=2)+('Yellow Bosses'!$M$5:$M$53&gt;=2)+('Yellow Bosses'!$P$5:$P$53&gt;=2)+('Yellow Bosses'!$U$5:$U$53&gt;=2))&gt;0))</f>
        <v>36</v>
      </c>
      <c r="G267" s="26" t="n">
        <f aca="false">F267/49</f>
        <v>0.73469387755102</v>
      </c>
      <c r="H267" s="25" t="n">
        <f aca="false">49-SUMPRODUCT(--((('Yellow Bosses'!$K$5:$K$53&gt;=1)+('Yellow Bosses'!$M$5:$M$53&gt;=1)+('Yellow Bosses'!$P$5:$P$53&gt;=1)+('Yellow Bosses'!$U$5:$U$53&gt;=1))&gt;0))</f>
        <v>0</v>
      </c>
      <c r="I267" s="25" t="n">
        <f aca="false">SUMPRODUCT(--((('Yellow Bosses'!$K$5:$K$53&gt;0)+('Yellow Bosses'!$M$5:$M$53&gt;0)+('Yellow Bosses'!$P$5:$P$53&gt;0)+('Yellow Bosses'!$U$5:$U$53&gt;0))=0))</f>
        <v>0</v>
      </c>
      <c r="J267" s="25" t="n">
        <f aca="false">SUMPRODUCT(--(((Effectiveness!$H$5:$H$155&gt;=2)+(Effectiveness!$J$5:$J$155&gt;=2)+(Effectiveness!$M$5:$M$155&gt;=2)+(Effectiveness!$R$5:$R$155&gt;=2))&gt;0))</f>
        <v>111</v>
      </c>
      <c r="K267" s="26" t="n">
        <f aca="false">J267/151</f>
        <v>0.735099337748344</v>
      </c>
      <c r="L267" s="25" t="n">
        <f aca="false">MIN(INDEX('Move Reality'!$F$5:$F$19,MATCH(B267,'Move Reality'!$A$5:$A$19,0)),INDEX('Move Reality'!$F$5:$F$19,MATCH(C267,'Move Reality'!$A$5:$A$19,0)),INDEX('Move Reality'!$F$5:$F$19,MATCH(D267,'Move Reality'!$A$5:$A$19,0)),INDEX('Move Reality'!$F$5:$F$19,MATCH(E267,'Move Reality'!$A$5:$A$19,0)))</f>
        <v>1</v>
      </c>
      <c r="M267" s="28" t="str">
        <f aca="false">IF(L267&gt;=5,"YES","no - dead move")</f>
        <v>no - dead move</v>
      </c>
    </row>
    <row r="268" customFormat="false" ht="15" hidden="false" customHeight="false" outlineLevel="0" collapsed="false">
      <c r="A268" s="17" t="n">
        <v>264</v>
      </c>
      <c r="B268" s="17" t="s">
        <v>43</v>
      </c>
      <c r="C268" s="17" t="s">
        <v>45</v>
      </c>
      <c r="D268" s="17" t="s">
        <v>48</v>
      </c>
      <c r="E268" s="17" t="s">
        <v>54</v>
      </c>
      <c r="F268" s="25" t="n">
        <f aca="false">SUMPRODUCT(--((('Yellow Bosses'!$K$5:$K$53&gt;=2)+('Yellow Bosses'!$M$5:$M$53&gt;=2)+('Yellow Bosses'!$P$5:$P$53&gt;=2)+('Yellow Bosses'!$V$5:$V$53&gt;=2))&gt;0))</f>
        <v>36</v>
      </c>
      <c r="G268" s="26" t="n">
        <f aca="false">F268/49</f>
        <v>0.73469387755102</v>
      </c>
      <c r="H268" s="25" t="n">
        <f aca="false">49-SUMPRODUCT(--((('Yellow Bosses'!$K$5:$K$53&gt;=1)+('Yellow Bosses'!$M$5:$M$53&gt;=1)+('Yellow Bosses'!$P$5:$P$53&gt;=1)+('Yellow Bosses'!$V$5:$V$53&gt;=1))&gt;0))</f>
        <v>0</v>
      </c>
      <c r="I268" s="25" t="n">
        <f aca="false">SUMPRODUCT(--((('Yellow Bosses'!$K$5:$K$53&gt;0)+('Yellow Bosses'!$M$5:$M$53&gt;0)+('Yellow Bosses'!$P$5:$P$53&gt;0)+('Yellow Bosses'!$V$5:$V$53&gt;0))=0))</f>
        <v>0</v>
      </c>
      <c r="J268" s="25" t="n">
        <f aca="false">SUMPRODUCT(--(((Effectiveness!$H$5:$H$155&gt;=2)+(Effectiveness!$J$5:$J$155&gt;=2)+(Effectiveness!$M$5:$M$155&gt;=2)+(Effectiveness!$S$5:$S$155&gt;=2))&gt;0))</f>
        <v>111</v>
      </c>
      <c r="K268" s="26" t="n">
        <f aca="false">J268/151</f>
        <v>0.735099337748344</v>
      </c>
      <c r="L268" s="25" t="n">
        <f aca="false">MIN(INDEX('Move Reality'!$F$5:$F$19,MATCH(B268,'Move Reality'!$A$5:$A$19,0)),INDEX('Move Reality'!$F$5:$F$19,MATCH(C268,'Move Reality'!$A$5:$A$19,0)),INDEX('Move Reality'!$F$5:$F$19,MATCH(D268,'Move Reality'!$A$5:$A$19,0)),INDEX('Move Reality'!$F$5:$F$19,MATCH(E268,'Move Reality'!$A$5:$A$19,0)))</f>
        <v>1</v>
      </c>
      <c r="M268" s="28" t="str">
        <f aca="false">IF(L268&gt;=5,"YES","no - dead move")</f>
        <v>no - dead move</v>
      </c>
    </row>
    <row r="269" customFormat="false" ht="15" hidden="false" customHeight="false" outlineLevel="0" collapsed="false">
      <c r="A269" s="17" t="n">
        <v>265</v>
      </c>
      <c r="B269" s="17" t="s">
        <v>40</v>
      </c>
      <c r="C269" s="17" t="s">
        <v>41</v>
      </c>
      <c r="D269" s="17" t="s">
        <v>43</v>
      </c>
      <c r="E269" s="17" t="s">
        <v>48</v>
      </c>
      <c r="F269" s="25" t="n">
        <f aca="false">SUMPRODUCT(--((('Yellow Bosses'!$H$5:$H$53&gt;=2)+('Yellow Bosses'!$I$5:$I$53&gt;=2)+('Yellow Bosses'!$K$5:$K$53&gt;=2)+('Yellow Bosses'!$P$5:$P$53&gt;=2))&gt;0))</f>
        <v>36</v>
      </c>
      <c r="G269" s="26" t="n">
        <f aca="false">F269/49</f>
        <v>0.73469387755102</v>
      </c>
      <c r="H269" s="25" t="n">
        <f aca="false">49-SUMPRODUCT(--((('Yellow Bosses'!$H$5:$H$53&gt;=1)+('Yellow Bosses'!$I$5:$I$53&gt;=1)+('Yellow Bosses'!$K$5:$K$53&gt;=1)+('Yellow Bosses'!$P$5:$P$53&gt;=1))&gt;0))</f>
        <v>0</v>
      </c>
      <c r="I269" s="25" t="n">
        <f aca="false">SUMPRODUCT(--((('Yellow Bosses'!$H$5:$H$53&gt;0)+('Yellow Bosses'!$I$5:$I$53&gt;0)+('Yellow Bosses'!$K$5:$K$53&gt;0)+('Yellow Bosses'!$P$5:$P$53&gt;0))=0))</f>
        <v>0</v>
      </c>
      <c r="J269" s="25" t="n">
        <f aca="false">SUMPRODUCT(--(((Effectiveness!$E$5:$E$155&gt;=2)+(Effectiveness!$F$5:$F$155&gt;=2)+(Effectiveness!$H$5:$H$155&gt;=2)+(Effectiveness!$M$5:$M$155&gt;=2))&gt;0))</f>
        <v>110</v>
      </c>
      <c r="K269" s="26" t="n">
        <f aca="false">J269/151</f>
        <v>0.728476821192053</v>
      </c>
      <c r="L269" s="25" t="n">
        <f aca="false">MIN(INDEX('Move Reality'!$F$5:$F$19,MATCH(B269,'Move Reality'!$A$5:$A$19,0)),INDEX('Move Reality'!$F$5:$F$19,MATCH(C269,'Move Reality'!$A$5:$A$19,0)),INDEX('Move Reality'!$F$5:$F$19,MATCH(D269,'Move Reality'!$A$5:$A$19,0)),INDEX('Move Reality'!$F$5:$F$19,MATCH(E269,'Move Reality'!$A$5:$A$19,0)))</f>
        <v>7</v>
      </c>
      <c r="M269" s="28" t="str">
        <f aca="false">IF(L269&gt;=5,"YES","no - dead move")</f>
        <v>YES</v>
      </c>
    </row>
    <row r="270" customFormat="false" ht="15" hidden="false" customHeight="false" outlineLevel="0" collapsed="false">
      <c r="A270" s="17" t="n">
        <v>266</v>
      </c>
      <c r="B270" s="17" t="s">
        <v>41</v>
      </c>
      <c r="C270" s="17" t="s">
        <v>43</v>
      </c>
      <c r="D270" s="17" t="s">
        <v>47</v>
      </c>
      <c r="E270" s="17" t="s">
        <v>48</v>
      </c>
      <c r="F270" s="25" t="n">
        <f aca="false">SUMPRODUCT(--((('Yellow Bosses'!$I$5:$I$53&gt;=2)+('Yellow Bosses'!$K$5:$K$53&gt;=2)+('Yellow Bosses'!$O$5:$O$53&gt;=2)+('Yellow Bosses'!$P$5:$P$53&gt;=2))&gt;0))</f>
        <v>36</v>
      </c>
      <c r="G270" s="26" t="n">
        <f aca="false">F270/49</f>
        <v>0.73469387755102</v>
      </c>
      <c r="H270" s="25" t="n">
        <f aca="false">49-SUMPRODUCT(--((('Yellow Bosses'!$I$5:$I$53&gt;=1)+('Yellow Bosses'!$K$5:$K$53&gt;=1)+('Yellow Bosses'!$O$5:$O$53&gt;=1)+('Yellow Bosses'!$P$5:$P$53&gt;=1))&gt;0))</f>
        <v>0</v>
      </c>
      <c r="I270" s="25" t="n">
        <f aca="false">SUMPRODUCT(--((('Yellow Bosses'!$I$5:$I$53&gt;0)+('Yellow Bosses'!$K$5:$K$53&gt;0)+('Yellow Bosses'!$O$5:$O$53&gt;0)+('Yellow Bosses'!$P$5:$P$53&gt;0))=0))</f>
        <v>0</v>
      </c>
      <c r="J270" s="25" t="n">
        <f aca="false">SUMPRODUCT(--(((Effectiveness!$F$5:$F$155&gt;=2)+(Effectiveness!$H$5:$H$155&gt;=2)+(Effectiveness!$L$5:$L$155&gt;=2)+(Effectiveness!$M$5:$M$155&gt;=2))&gt;0))</f>
        <v>110</v>
      </c>
      <c r="K270" s="26" t="n">
        <f aca="false">J270/151</f>
        <v>0.728476821192053</v>
      </c>
      <c r="L270" s="25" t="n">
        <f aca="false">MIN(INDEX('Move Reality'!$F$5:$F$19,MATCH(B270,'Move Reality'!$A$5:$A$19,0)),INDEX('Move Reality'!$F$5:$F$19,MATCH(C270,'Move Reality'!$A$5:$A$19,0)),INDEX('Move Reality'!$F$5:$F$19,MATCH(D270,'Move Reality'!$A$5:$A$19,0)),INDEX('Move Reality'!$F$5:$F$19,MATCH(E270,'Move Reality'!$A$5:$A$19,0)))</f>
        <v>2</v>
      </c>
      <c r="M270" s="28" t="str">
        <f aca="false">IF(L270&gt;=5,"YES","no - dead move")</f>
        <v>no - dead move</v>
      </c>
    </row>
    <row r="271" customFormat="false" ht="15" hidden="false" customHeight="false" outlineLevel="0" collapsed="false">
      <c r="A271" s="17" t="n">
        <v>267</v>
      </c>
      <c r="B271" s="17" t="s">
        <v>41</v>
      </c>
      <c r="C271" s="17" t="s">
        <v>43</v>
      </c>
      <c r="D271" s="17" t="s">
        <v>48</v>
      </c>
      <c r="E271" s="17" t="s">
        <v>53</v>
      </c>
      <c r="F271" s="25" t="n">
        <f aca="false">SUMPRODUCT(--((('Yellow Bosses'!$I$5:$I$53&gt;=2)+('Yellow Bosses'!$K$5:$K$53&gt;=2)+('Yellow Bosses'!$P$5:$P$53&gt;=2)+('Yellow Bosses'!$U$5:$U$53&gt;=2))&gt;0))</f>
        <v>36</v>
      </c>
      <c r="G271" s="26" t="n">
        <f aca="false">F271/49</f>
        <v>0.73469387755102</v>
      </c>
      <c r="H271" s="25" t="n">
        <f aca="false">49-SUMPRODUCT(--((('Yellow Bosses'!$I$5:$I$53&gt;=1)+('Yellow Bosses'!$K$5:$K$53&gt;=1)+('Yellow Bosses'!$P$5:$P$53&gt;=1)+('Yellow Bosses'!$U$5:$U$53&gt;=1))&gt;0))</f>
        <v>0</v>
      </c>
      <c r="I271" s="25" t="n">
        <f aca="false">SUMPRODUCT(--((('Yellow Bosses'!$I$5:$I$53&gt;0)+('Yellow Bosses'!$K$5:$K$53&gt;0)+('Yellow Bosses'!$P$5:$P$53&gt;0)+('Yellow Bosses'!$U$5:$U$53&gt;0))=0))</f>
        <v>0</v>
      </c>
      <c r="J271" s="25" t="n">
        <f aca="false">SUMPRODUCT(--(((Effectiveness!$F$5:$F$155&gt;=2)+(Effectiveness!$H$5:$H$155&gt;=2)+(Effectiveness!$M$5:$M$155&gt;=2)+(Effectiveness!$R$5:$R$155&gt;=2))&gt;0))</f>
        <v>110</v>
      </c>
      <c r="K271" s="26" t="n">
        <f aca="false">J271/151</f>
        <v>0.728476821192053</v>
      </c>
      <c r="L271" s="25" t="n">
        <f aca="false">MIN(INDEX('Move Reality'!$F$5:$F$19,MATCH(B271,'Move Reality'!$A$5:$A$19,0)),INDEX('Move Reality'!$F$5:$F$19,MATCH(C271,'Move Reality'!$A$5:$A$19,0)),INDEX('Move Reality'!$F$5:$F$19,MATCH(D271,'Move Reality'!$A$5:$A$19,0)),INDEX('Move Reality'!$F$5:$F$19,MATCH(E271,'Move Reality'!$A$5:$A$19,0)))</f>
        <v>1</v>
      </c>
      <c r="M271" s="28" t="str">
        <f aca="false">IF(L271&gt;=5,"YES","no - dead move")</f>
        <v>no - dead move</v>
      </c>
    </row>
    <row r="272" customFormat="false" ht="15" hidden="false" customHeight="false" outlineLevel="0" collapsed="false">
      <c r="A272" s="17" t="n">
        <v>268</v>
      </c>
      <c r="B272" s="17" t="s">
        <v>42</v>
      </c>
      <c r="C272" s="17" t="s">
        <v>44</v>
      </c>
      <c r="D272" s="17" t="s">
        <v>46</v>
      </c>
      <c r="E272" s="17" t="s">
        <v>50</v>
      </c>
      <c r="F272" s="25" t="n">
        <f aca="false">SUMPRODUCT(--((('Yellow Bosses'!$J$5:$J$53&gt;=2)+('Yellow Bosses'!$L$5:$L$53&gt;=2)+('Yellow Bosses'!$N$5:$N$53&gt;=2)+('Yellow Bosses'!$R$5:$R$53&gt;=2))&gt;0))</f>
        <v>36</v>
      </c>
      <c r="G272" s="26" t="n">
        <f aca="false">F272/49</f>
        <v>0.73469387755102</v>
      </c>
      <c r="H272" s="25" t="n">
        <f aca="false">49-SUMPRODUCT(--((('Yellow Bosses'!$J$5:$J$53&gt;=1)+('Yellow Bosses'!$L$5:$L$53&gt;=1)+('Yellow Bosses'!$N$5:$N$53&gt;=1)+('Yellow Bosses'!$R$5:$R$53&gt;=1))&gt;0))</f>
        <v>1</v>
      </c>
      <c r="I272" s="25" t="n">
        <f aca="false">SUMPRODUCT(--((('Yellow Bosses'!$J$5:$J$53&gt;0)+('Yellow Bosses'!$L$5:$L$53&gt;0)+('Yellow Bosses'!$N$5:$N$53&gt;0)+('Yellow Bosses'!$R$5:$R$53&gt;0))=0))</f>
        <v>0</v>
      </c>
      <c r="J272" s="25" t="n">
        <f aca="false">SUMPRODUCT(--(((Effectiveness!$G$5:$G$155&gt;=2)+(Effectiveness!$I$5:$I$155&gt;=2)+(Effectiveness!$K$5:$K$155&gt;=2)+(Effectiveness!$O$5:$O$155&gt;=2))&gt;0))</f>
        <v>110</v>
      </c>
      <c r="K272" s="26" t="n">
        <f aca="false">J272/151</f>
        <v>0.728476821192053</v>
      </c>
      <c r="L272" s="25" t="n">
        <f aca="false">MIN(INDEX('Move Reality'!$F$5:$F$19,MATCH(B272,'Move Reality'!$A$5:$A$19,0)),INDEX('Move Reality'!$F$5:$F$19,MATCH(C272,'Move Reality'!$A$5:$A$19,0)),INDEX('Move Reality'!$F$5:$F$19,MATCH(D272,'Move Reality'!$A$5:$A$19,0)),INDEX('Move Reality'!$F$5:$F$19,MATCH(E272,'Move Reality'!$A$5:$A$19,0)))</f>
        <v>4</v>
      </c>
      <c r="M272" s="28" t="str">
        <f aca="false">IF(L272&gt;=5,"YES","no - dead move")</f>
        <v>no - dead move</v>
      </c>
    </row>
    <row r="273" customFormat="false" ht="15" hidden="false" customHeight="false" outlineLevel="0" collapsed="false">
      <c r="A273" s="17" t="n">
        <v>269</v>
      </c>
      <c r="B273" s="17" t="s">
        <v>43</v>
      </c>
      <c r="C273" s="17" t="s">
        <v>44</v>
      </c>
      <c r="D273" s="17" t="s">
        <v>49</v>
      </c>
      <c r="E273" s="17" t="s">
        <v>51</v>
      </c>
      <c r="F273" s="25" t="n">
        <f aca="false">SUMPRODUCT(--((('Yellow Bosses'!$K$5:$K$53&gt;=2)+('Yellow Bosses'!$L$5:$L$53&gt;=2)+('Yellow Bosses'!$Q$5:$Q$53&gt;=2)+('Yellow Bosses'!$S$5:$S$53&gt;=2))&gt;0))</f>
        <v>36</v>
      </c>
      <c r="G273" s="26" t="n">
        <f aca="false">F273/49</f>
        <v>0.73469387755102</v>
      </c>
      <c r="H273" s="25" t="n">
        <f aca="false">49-SUMPRODUCT(--((('Yellow Bosses'!$K$5:$K$53&gt;=1)+('Yellow Bosses'!$L$5:$L$53&gt;=1)+('Yellow Bosses'!$Q$5:$Q$53&gt;=1)+('Yellow Bosses'!$S$5:$S$53&gt;=1))&gt;0))</f>
        <v>0</v>
      </c>
      <c r="I273" s="25" t="n">
        <f aca="false">SUMPRODUCT(--((('Yellow Bosses'!$K$5:$K$53&gt;0)+('Yellow Bosses'!$L$5:$L$53&gt;0)+('Yellow Bosses'!$Q$5:$Q$53&gt;0)+('Yellow Bosses'!$S$5:$S$53&gt;0))=0))</f>
        <v>0</v>
      </c>
      <c r="J273" s="25" t="n">
        <f aca="false">SUMPRODUCT(--(((Effectiveness!$H$5:$H$155&gt;=2)+(Effectiveness!$I$5:$I$155&gt;=2)+(Effectiveness!$N$5:$N$155&gt;=2)+(Effectiveness!$P$5:$P$155&gt;=2))&gt;0))</f>
        <v>110</v>
      </c>
      <c r="K273" s="26" t="n">
        <f aca="false">J273/151</f>
        <v>0.728476821192053</v>
      </c>
      <c r="L273" s="25" t="n">
        <f aca="false">MIN(INDEX('Move Reality'!$F$5:$F$19,MATCH(B273,'Move Reality'!$A$5:$A$19,0)),INDEX('Move Reality'!$F$5:$F$19,MATCH(C273,'Move Reality'!$A$5:$A$19,0)),INDEX('Move Reality'!$F$5:$F$19,MATCH(D273,'Move Reality'!$A$5:$A$19,0)),INDEX('Move Reality'!$F$5:$F$19,MATCH(E273,'Move Reality'!$A$5:$A$19,0)))</f>
        <v>1</v>
      </c>
      <c r="M273" s="28" t="str">
        <f aca="false">IF(L273&gt;=5,"YES","no - dead move")</f>
        <v>no - dead move</v>
      </c>
    </row>
    <row r="274" customFormat="false" ht="15" hidden="false" customHeight="false" outlineLevel="0" collapsed="false">
      <c r="A274" s="17" t="n">
        <v>270</v>
      </c>
      <c r="B274" s="17" t="s">
        <v>40</v>
      </c>
      <c r="C274" s="17" t="s">
        <v>43</v>
      </c>
      <c r="D274" s="17" t="s">
        <v>48</v>
      </c>
      <c r="E274" s="17" t="s">
        <v>50</v>
      </c>
      <c r="F274" s="25" t="n">
        <f aca="false">SUMPRODUCT(--((('Yellow Bosses'!$H$5:$H$53&gt;=2)+('Yellow Bosses'!$K$5:$K$53&gt;=2)+('Yellow Bosses'!$P$5:$P$53&gt;=2)+('Yellow Bosses'!$R$5:$R$53&gt;=2))&gt;0))</f>
        <v>36</v>
      </c>
      <c r="G274" s="26" t="n">
        <f aca="false">F274/49</f>
        <v>0.73469387755102</v>
      </c>
      <c r="H274" s="25" t="n">
        <f aca="false">49-SUMPRODUCT(--((('Yellow Bosses'!$H$5:$H$53&gt;=1)+('Yellow Bosses'!$K$5:$K$53&gt;=1)+('Yellow Bosses'!$P$5:$P$53&gt;=1)+('Yellow Bosses'!$R$5:$R$53&gt;=1))&gt;0))</f>
        <v>0</v>
      </c>
      <c r="I274" s="25" t="n">
        <f aca="false">SUMPRODUCT(--((('Yellow Bosses'!$H$5:$H$53&gt;0)+('Yellow Bosses'!$K$5:$K$53&gt;0)+('Yellow Bosses'!$P$5:$P$53&gt;0)+('Yellow Bosses'!$R$5:$R$53&gt;0))=0))</f>
        <v>0</v>
      </c>
      <c r="J274" s="25" t="n">
        <f aca="false">SUMPRODUCT(--(((Effectiveness!$E$5:$E$155&gt;=2)+(Effectiveness!$H$5:$H$155&gt;=2)+(Effectiveness!$M$5:$M$155&gt;=2)+(Effectiveness!$O$5:$O$155&gt;=2))&gt;0))</f>
        <v>108</v>
      </c>
      <c r="K274" s="26" t="n">
        <f aca="false">J274/151</f>
        <v>0.71523178807947</v>
      </c>
      <c r="L274" s="25" t="n">
        <f aca="false">MIN(INDEX('Move Reality'!$F$5:$F$19,MATCH(B274,'Move Reality'!$A$5:$A$19,0)),INDEX('Move Reality'!$F$5:$F$19,MATCH(C274,'Move Reality'!$A$5:$A$19,0)),INDEX('Move Reality'!$F$5:$F$19,MATCH(D274,'Move Reality'!$A$5:$A$19,0)),INDEX('Move Reality'!$F$5:$F$19,MATCH(E274,'Move Reality'!$A$5:$A$19,0)))</f>
        <v>9</v>
      </c>
      <c r="M274" s="28" t="str">
        <f aca="false">IF(L274&gt;=5,"YES","no - dead move")</f>
        <v>YES</v>
      </c>
    </row>
    <row r="275" customFormat="false" ht="15" hidden="false" customHeight="false" outlineLevel="0" collapsed="false">
      <c r="A275" s="17" t="n">
        <v>271</v>
      </c>
      <c r="B275" s="17" t="s">
        <v>43</v>
      </c>
      <c r="C275" s="17" t="s">
        <v>48</v>
      </c>
      <c r="D275" s="17" t="s">
        <v>50</v>
      </c>
      <c r="E275" s="17" t="s">
        <v>53</v>
      </c>
      <c r="F275" s="25" t="n">
        <f aca="false">SUMPRODUCT(--((('Yellow Bosses'!$K$5:$K$53&gt;=2)+('Yellow Bosses'!$P$5:$P$53&gt;=2)+('Yellow Bosses'!$R$5:$R$53&gt;=2)+('Yellow Bosses'!$U$5:$U$53&gt;=2))&gt;0))</f>
        <v>36</v>
      </c>
      <c r="G275" s="26" t="n">
        <f aca="false">F275/49</f>
        <v>0.73469387755102</v>
      </c>
      <c r="H275" s="25" t="n">
        <f aca="false">49-SUMPRODUCT(--((('Yellow Bosses'!$K$5:$K$53&gt;=1)+('Yellow Bosses'!$P$5:$P$53&gt;=1)+('Yellow Bosses'!$R$5:$R$53&gt;=1)+('Yellow Bosses'!$U$5:$U$53&gt;=1))&gt;0))</f>
        <v>1</v>
      </c>
      <c r="I275" s="25" t="n">
        <f aca="false">SUMPRODUCT(--((('Yellow Bosses'!$K$5:$K$53&gt;0)+('Yellow Bosses'!$P$5:$P$53&gt;0)+('Yellow Bosses'!$R$5:$R$53&gt;0)+('Yellow Bosses'!$U$5:$U$53&gt;0))=0))</f>
        <v>0</v>
      </c>
      <c r="J275" s="25" t="n">
        <f aca="false">SUMPRODUCT(--(((Effectiveness!$H$5:$H$155&gt;=2)+(Effectiveness!$M$5:$M$155&gt;=2)+(Effectiveness!$O$5:$O$155&gt;=2)+(Effectiveness!$R$5:$R$155&gt;=2))&gt;0))</f>
        <v>108</v>
      </c>
      <c r="K275" s="26" t="n">
        <f aca="false">J275/151</f>
        <v>0.71523178807947</v>
      </c>
      <c r="L275" s="25" t="n">
        <f aca="false">MIN(INDEX('Move Reality'!$F$5:$F$19,MATCH(B275,'Move Reality'!$A$5:$A$19,0)),INDEX('Move Reality'!$F$5:$F$19,MATCH(C275,'Move Reality'!$A$5:$A$19,0)),INDEX('Move Reality'!$F$5:$F$19,MATCH(D275,'Move Reality'!$A$5:$A$19,0)),INDEX('Move Reality'!$F$5:$F$19,MATCH(E275,'Move Reality'!$A$5:$A$19,0)))</f>
        <v>1</v>
      </c>
      <c r="M275" s="28" t="str">
        <f aca="false">IF(L275&gt;=5,"YES","no - dead move")</f>
        <v>no - dead move</v>
      </c>
    </row>
    <row r="276" customFormat="false" ht="15" hidden="false" customHeight="false" outlineLevel="0" collapsed="false">
      <c r="A276" s="17" t="n">
        <v>272</v>
      </c>
      <c r="B276" s="17" t="s">
        <v>41</v>
      </c>
      <c r="C276" s="17" t="s">
        <v>43</v>
      </c>
      <c r="D276" s="17" t="s">
        <v>45</v>
      </c>
      <c r="E276" s="17" t="s">
        <v>51</v>
      </c>
      <c r="F276" s="25" t="n">
        <f aca="false">SUMPRODUCT(--((('Yellow Bosses'!$I$5:$I$53&gt;=2)+('Yellow Bosses'!$K$5:$K$53&gt;=2)+('Yellow Bosses'!$M$5:$M$53&gt;=2)+('Yellow Bosses'!$S$5:$S$53&gt;=2))&gt;0))</f>
        <v>36</v>
      </c>
      <c r="G276" s="26" t="n">
        <f aca="false">F276/49</f>
        <v>0.73469387755102</v>
      </c>
      <c r="H276" s="25" t="n">
        <f aca="false">49-SUMPRODUCT(--((('Yellow Bosses'!$I$5:$I$53&gt;=1)+('Yellow Bosses'!$K$5:$K$53&gt;=1)+('Yellow Bosses'!$M$5:$M$53&gt;=1)+('Yellow Bosses'!$S$5:$S$53&gt;=1))&gt;0))</f>
        <v>0</v>
      </c>
      <c r="I276" s="25" t="n">
        <f aca="false">SUMPRODUCT(--((('Yellow Bosses'!$I$5:$I$53&gt;0)+('Yellow Bosses'!$K$5:$K$53&gt;0)+('Yellow Bosses'!$M$5:$M$53&gt;0)+('Yellow Bosses'!$S$5:$S$53&gt;0))=0))</f>
        <v>0</v>
      </c>
      <c r="J276" s="25" t="n">
        <f aca="false">SUMPRODUCT(--(((Effectiveness!$F$5:$F$155&gt;=2)+(Effectiveness!$H$5:$H$155&gt;=2)+(Effectiveness!$J$5:$J$155&gt;=2)+(Effectiveness!$P$5:$P$155&gt;=2))&gt;0))</f>
        <v>107</v>
      </c>
      <c r="K276" s="26" t="n">
        <f aca="false">J276/151</f>
        <v>0.708609271523179</v>
      </c>
      <c r="L276" s="25" t="n">
        <f aca="false">MIN(INDEX('Move Reality'!$F$5:$F$19,MATCH(B276,'Move Reality'!$A$5:$A$19,0)),INDEX('Move Reality'!$F$5:$F$19,MATCH(C276,'Move Reality'!$A$5:$A$19,0)),INDEX('Move Reality'!$F$5:$F$19,MATCH(D276,'Move Reality'!$A$5:$A$19,0)),INDEX('Move Reality'!$F$5:$F$19,MATCH(E276,'Move Reality'!$A$5:$A$19,0)))</f>
        <v>1</v>
      </c>
      <c r="M276" s="28" t="str">
        <f aca="false">IF(L276&gt;=5,"YES","no - dead move")</f>
        <v>no - dead move</v>
      </c>
    </row>
    <row r="277" customFormat="false" ht="15" hidden="false" customHeight="false" outlineLevel="0" collapsed="false">
      <c r="A277" s="17" t="n">
        <v>273</v>
      </c>
      <c r="B277" s="17" t="s">
        <v>43</v>
      </c>
      <c r="C277" s="17" t="s">
        <v>45</v>
      </c>
      <c r="D277" s="17" t="s">
        <v>47</v>
      </c>
      <c r="E277" s="17" t="s">
        <v>51</v>
      </c>
      <c r="F277" s="25" t="n">
        <f aca="false">SUMPRODUCT(--((('Yellow Bosses'!$K$5:$K$53&gt;=2)+('Yellow Bosses'!$M$5:$M$53&gt;=2)+('Yellow Bosses'!$O$5:$O$53&gt;=2)+('Yellow Bosses'!$S$5:$S$53&gt;=2))&gt;0))</f>
        <v>36</v>
      </c>
      <c r="G277" s="26" t="n">
        <f aca="false">F277/49</f>
        <v>0.73469387755102</v>
      </c>
      <c r="H277" s="25" t="n">
        <f aca="false">49-SUMPRODUCT(--((('Yellow Bosses'!$K$5:$K$53&gt;=1)+('Yellow Bosses'!$M$5:$M$53&gt;=1)+('Yellow Bosses'!$O$5:$O$53&gt;=1)+('Yellow Bosses'!$S$5:$S$53&gt;=1))&gt;0))</f>
        <v>0</v>
      </c>
      <c r="I277" s="25" t="n">
        <f aca="false">SUMPRODUCT(--((('Yellow Bosses'!$K$5:$K$53&gt;0)+('Yellow Bosses'!$M$5:$M$53&gt;0)+('Yellow Bosses'!$O$5:$O$53&gt;0)+('Yellow Bosses'!$S$5:$S$53&gt;0))=0))</f>
        <v>0</v>
      </c>
      <c r="J277" s="25" t="n">
        <f aca="false">SUMPRODUCT(--(((Effectiveness!$H$5:$H$155&gt;=2)+(Effectiveness!$J$5:$J$155&gt;=2)+(Effectiveness!$L$5:$L$155&gt;=2)+(Effectiveness!$P$5:$P$155&gt;=2))&gt;0))</f>
        <v>107</v>
      </c>
      <c r="K277" s="26" t="n">
        <f aca="false">J277/151</f>
        <v>0.708609271523179</v>
      </c>
      <c r="L277" s="25" t="n">
        <f aca="false">MIN(INDEX('Move Reality'!$F$5:$F$19,MATCH(B277,'Move Reality'!$A$5:$A$19,0)),INDEX('Move Reality'!$F$5:$F$19,MATCH(C277,'Move Reality'!$A$5:$A$19,0)),INDEX('Move Reality'!$F$5:$F$19,MATCH(D277,'Move Reality'!$A$5:$A$19,0)),INDEX('Move Reality'!$F$5:$F$19,MATCH(E277,'Move Reality'!$A$5:$A$19,0)))</f>
        <v>1</v>
      </c>
      <c r="M277" s="28" t="str">
        <f aca="false">IF(L277&gt;=5,"YES","no - dead move")</f>
        <v>no - dead move</v>
      </c>
    </row>
    <row r="278" customFormat="false" ht="15" hidden="false" customHeight="false" outlineLevel="0" collapsed="false">
      <c r="A278" s="17" t="n">
        <v>274</v>
      </c>
      <c r="B278" s="17" t="s">
        <v>40</v>
      </c>
      <c r="C278" s="17" t="s">
        <v>42</v>
      </c>
      <c r="D278" s="17" t="s">
        <v>43</v>
      </c>
      <c r="E278" s="17" t="s">
        <v>50</v>
      </c>
      <c r="F278" s="25" t="n">
        <f aca="false">SUMPRODUCT(--((('Yellow Bosses'!$H$5:$H$53&gt;=2)+('Yellow Bosses'!$J$5:$J$53&gt;=2)+('Yellow Bosses'!$K$5:$K$53&gt;=2)+('Yellow Bosses'!$R$5:$R$53&gt;=2))&gt;0))</f>
        <v>36</v>
      </c>
      <c r="G278" s="26" t="n">
        <f aca="false">F278/49</f>
        <v>0.73469387755102</v>
      </c>
      <c r="H278" s="25" t="n">
        <f aca="false">49-SUMPRODUCT(--((('Yellow Bosses'!$H$5:$H$53&gt;=1)+('Yellow Bosses'!$J$5:$J$53&gt;=1)+('Yellow Bosses'!$K$5:$K$53&gt;=1)+('Yellow Bosses'!$R$5:$R$53&gt;=1))&gt;0))</f>
        <v>0</v>
      </c>
      <c r="I278" s="25" t="n">
        <f aca="false">SUMPRODUCT(--((('Yellow Bosses'!$H$5:$H$53&gt;0)+('Yellow Bosses'!$J$5:$J$53&gt;0)+('Yellow Bosses'!$K$5:$K$53&gt;0)+('Yellow Bosses'!$R$5:$R$53&gt;0))=0))</f>
        <v>0</v>
      </c>
      <c r="J278" s="25" t="n">
        <f aca="false">SUMPRODUCT(--(((Effectiveness!$E$5:$E$155&gt;=2)+(Effectiveness!$G$5:$G$155&gt;=2)+(Effectiveness!$H$5:$H$155&gt;=2)+(Effectiveness!$O$5:$O$155&gt;=2))&gt;0))</f>
        <v>106</v>
      </c>
      <c r="K278" s="26" t="n">
        <f aca="false">J278/151</f>
        <v>0.701986754966887</v>
      </c>
      <c r="L278" s="25" t="n">
        <f aca="false">MIN(INDEX('Move Reality'!$F$5:$F$19,MATCH(B278,'Move Reality'!$A$5:$A$19,0)),INDEX('Move Reality'!$F$5:$F$19,MATCH(C278,'Move Reality'!$A$5:$A$19,0)),INDEX('Move Reality'!$F$5:$F$19,MATCH(D278,'Move Reality'!$A$5:$A$19,0)),INDEX('Move Reality'!$F$5:$F$19,MATCH(E278,'Move Reality'!$A$5:$A$19,0)))</f>
        <v>9</v>
      </c>
      <c r="M278" s="28" t="str">
        <f aca="false">IF(L278&gt;=5,"YES","no - dead move")</f>
        <v>YES</v>
      </c>
    </row>
    <row r="279" customFormat="false" ht="15" hidden="false" customHeight="false" outlineLevel="0" collapsed="false">
      <c r="A279" s="17" t="n">
        <v>275</v>
      </c>
      <c r="B279" s="17" t="s">
        <v>42</v>
      </c>
      <c r="C279" s="17" t="s">
        <v>43</v>
      </c>
      <c r="D279" s="17" t="s">
        <v>44</v>
      </c>
      <c r="E279" s="17" t="s">
        <v>50</v>
      </c>
      <c r="F279" s="25" t="n">
        <f aca="false">SUMPRODUCT(--((('Yellow Bosses'!$J$5:$J$53&gt;=2)+('Yellow Bosses'!$K$5:$K$53&gt;=2)+('Yellow Bosses'!$L$5:$L$53&gt;=2)+('Yellow Bosses'!$R$5:$R$53&gt;=2))&gt;0))</f>
        <v>36</v>
      </c>
      <c r="G279" s="26" t="n">
        <f aca="false">F279/49</f>
        <v>0.73469387755102</v>
      </c>
      <c r="H279" s="25" t="n">
        <f aca="false">49-SUMPRODUCT(--((('Yellow Bosses'!$J$5:$J$53&gt;=1)+('Yellow Bosses'!$K$5:$K$53&gt;=1)+('Yellow Bosses'!$L$5:$L$53&gt;=1)+('Yellow Bosses'!$R$5:$R$53&gt;=1))&gt;0))</f>
        <v>1</v>
      </c>
      <c r="I279" s="25" t="n">
        <f aca="false">SUMPRODUCT(--((('Yellow Bosses'!$J$5:$J$53&gt;0)+('Yellow Bosses'!$K$5:$K$53&gt;0)+('Yellow Bosses'!$L$5:$L$53&gt;0)+('Yellow Bosses'!$R$5:$R$53&gt;0))=0))</f>
        <v>0</v>
      </c>
      <c r="J279" s="25" t="n">
        <f aca="false">SUMPRODUCT(--(((Effectiveness!$G$5:$G$155&gt;=2)+(Effectiveness!$H$5:$H$155&gt;=2)+(Effectiveness!$I$5:$I$155&gt;=2)+(Effectiveness!$O$5:$O$155&gt;=2))&gt;0))</f>
        <v>106</v>
      </c>
      <c r="K279" s="26" t="n">
        <f aca="false">J279/151</f>
        <v>0.701986754966887</v>
      </c>
      <c r="L279" s="25" t="n">
        <f aca="false">MIN(INDEX('Move Reality'!$F$5:$F$19,MATCH(B279,'Move Reality'!$A$5:$A$19,0)),INDEX('Move Reality'!$F$5:$F$19,MATCH(C279,'Move Reality'!$A$5:$A$19,0)),INDEX('Move Reality'!$F$5:$F$19,MATCH(D279,'Move Reality'!$A$5:$A$19,0)),INDEX('Move Reality'!$F$5:$F$19,MATCH(E279,'Move Reality'!$A$5:$A$19,0)))</f>
        <v>4</v>
      </c>
      <c r="M279" s="28" t="str">
        <f aca="false">IF(L279&gt;=5,"YES","no - dead move")</f>
        <v>no - dead move</v>
      </c>
    </row>
    <row r="280" customFormat="false" ht="15" hidden="false" customHeight="false" outlineLevel="0" collapsed="false">
      <c r="A280" s="17" t="n">
        <v>276</v>
      </c>
      <c r="B280" s="17" t="s">
        <v>42</v>
      </c>
      <c r="C280" s="17" t="s">
        <v>43</v>
      </c>
      <c r="D280" s="17" t="s">
        <v>50</v>
      </c>
      <c r="E280" s="17" t="s">
        <v>53</v>
      </c>
      <c r="F280" s="25" t="n">
        <f aca="false">SUMPRODUCT(--((('Yellow Bosses'!$J$5:$J$53&gt;=2)+('Yellow Bosses'!$K$5:$K$53&gt;=2)+('Yellow Bosses'!$R$5:$R$53&gt;=2)+('Yellow Bosses'!$U$5:$U$53&gt;=2))&gt;0))</f>
        <v>36</v>
      </c>
      <c r="G280" s="26" t="n">
        <f aca="false">F280/49</f>
        <v>0.73469387755102</v>
      </c>
      <c r="H280" s="25" t="n">
        <f aca="false">49-SUMPRODUCT(--((('Yellow Bosses'!$J$5:$J$53&gt;=1)+('Yellow Bosses'!$K$5:$K$53&gt;=1)+('Yellow Bosses'!$R$5:$R$53&gt;=1)+('Yellow Bosses'!$U$5:$U$53&gt;=1))&gt;0))</f>
        <v>1</v>
      </c>
      <c r="I280" s="25" t="n">
        <f aca="false">SUMPRODUCT(--((('Yellow Bosses'!$J$5:$J$53&gt;0)+('Yellow Bosses'!$K$5:$K$53&gt;0)+('Yellow Bosses'!$R$5:$R$53&gt;0)+('Yellow Bosses'!$U$5:$U$53&gt;0))=0))</f>
        <v>0</v>
      </c>
      <c r="J280" s="25" t="n">
        <f aca="false">SUMPRODUCT(--(((Effectiveness!$G$5:$G$155&gt;=2)+(Effectiveness!$H$5:$H$155&gt;=2)+(Effectiveness!$O$5:$O$155&gt;=2)+(Effectiveness!$R$5:$R$155&gt;=2))&gt;0))</f>
        <v>106</v>
      </c>
      <c r="K280" s="26" t="n">
        <f aca="false">J280/151</f>
        <v>0.701986754966887</v>
      </c>
      <c r="L280" s="25" t="n">
        <f aca="false">MIN(INDEX('Move Reality'!$F$5:$F$19,MATCH(B280,'Move Reality'!$A$5:$A$19,0)),INDEX('Move Reality'!$F$5:$F$19,MATCH(C280,'Move Reality'!$A$5:$A$19,0)),INDEX('Move Reality'!$F$5:$F$19,MATCH(D280,'Move Reality'!$A$5:$A$19,0)),INDEX('Move Reality'!$F$5:$F$19,MATCH(E280,'Move Reality'!$A$5:$A$19,0)))</f>
        <v>1</v>
      </c>
      <c r="M280" s="28" t="str">
        <f aca="false">IF(L280&gt;=5,"YES","no - dead move")</f>
        <v>no - dead move</v>
      </c>
    </row>
    <row r="281" customFormat="false" ht="15" hidden="false" customHeight="false" outlineLevel="0" collapsed="false">
      <c r="A281" s="17" t="n">
        <v>277</v>
      </c>
      <c r="B281" s="17" t="s">
        <v>44</v>
      </c>
      <c r="C281" s="17" t="s">
        <v>45</v>
      </c>
      <c r="D281" s="17" t="s">
        <v>47</v>
      </c>
      <c r="E281" s="17" t="s">
        <v>50</v>
      </c>
      <c r="F281" s="25" t="n">
        <f aca="false">SUMPRODUCT(--((('Yellow Bosses'!$L$5:$L$53&gt;=2)+('Yellow Bosses'!$M$5:$M$53&gt;=2)+('Yellow Bosses'!$O$5:$O$53&gt;=2)+('Yellow Bosses'!$R$5:$R$53&gt;=2))&gt;0))</f>
        <v>36</v>
      </c>
      <c r="G281" s="26" t="n">
        <f aca="false">F281/49</f>
        <v>0.73469387755102</v>
      </c>
      <c r="H281" s="25" t="n">
        <f aca="false">49-SUMPRODUCT(--((('Yellow Bosses'!$L$5:$L$53&gt;=1)+('Yellow Bosses'!$M$5:$M$53&gt;=1)+('Yellow Bosses'!$O$5:$O$53&gt;=1)+('Yellow Bosses'!$R$5:$R$53&gt;=1))&gt;0))</f>
        <v>0</v>
      </c>
      <c r="I281" s="25" t="n">
        <f aca="false">SUMPRODUCT(--((('Yellow Bosses'!$L$5:$L$53&gt;0)+('Yellow Bosses'!$M$5:$M$53&gt;0)+('Yellow Bosses'!$O$5:$O$53&gt;0)+('Yellow Bosses'!$R$5:$R$53&gt;0))=0))</f>
        <v>0</v>
      </c>
      <c r="J281" s="25" t="n">
        <f aca="false">SUMPRODUCT(--(((Effectiveness!$I$5:$I$155&gt;=2)+(Effectiveness!$J$5:$J$155&gt;=2)+(Effectiveness!$L$5:$L$155&gt;=2)+(Effectiveness!$O$5:$O$155&gt;=2))&gt;0))</f>
        <v>106</v>
      </c>
      <c r="K281" s="26" t="n">
        <f aca="false">J281/151</f>
        <v>0.701986754966887</v>
      </c>
      <c r="L281" s="25" t="n">
        <f aca="false">MIN(INDEX('Move Reality'!$F$5:$F$19,MATCH(B281,'Move Reality'!$A$5:$A$19,0)),INDEX('Move Reality'!$F$5:$F$19,MATCH(C281,'Move Reality'!$A$5:$A$19,0)),INDEX('Move Reality'!$F$5:$F$19,MATCH(D281,'Move Reality'!$A$5:$A$19,0)),INDEX('Move Reality'!$F$5:$F$19,MATCH(E281,'Move Reality'!$A$5:$A$19,0)))</f>
        <v>2</v>
      </c>
      <c r="M281" s="28" t="str">
        <f aca="false">IF(L281&gt;=5,"YES","no - dead move")</f>
        <v>no - dead move</v>
      </c>
    </row>
    <row r="282" customFormat="false" ht="15" hidden="false" customHeight="false" outlineLevel="0" collapsed="false">
      <c r="A282" s="17" t="n">
        <v>278</v>
      </c>
      <c r="B282" s="17" t="s">
        <v>44</v>
      </c>
      <c r="C282" s="17" t="s">
        <v>45</v>
      </c>
      <c r="D282" s="17" t="s">
        <v>49</v>
      </c>
      <c r="E282" s="17" t="s">
        <v>50</v>
      </c>
      <c r="F282" s="25" t="n">
        <f aca="false">SUMPRODUCT(--((('Yellow Bosses'!$L$5:$L$53&gt;=2)+('Yellow Bosses'!$M$5:$M$53&gt;=2)+('Yellow Bosses'!$Q$5:$Q$53&gt;=2)+('Yellow Bosses'!$R$5:$R$53&gt;=2))&gt;0))</f>
        <v>36</v>
      </c>
      <c r="G282" s="26" t="n">
        <f aca="false">F282/49</f>
        <v>0.73469387755102</v>
      </c>
      <c r="H282" s="25" t="n">
        <f aca="false">49-SUMPRODUCT(--((('Yellow Bosses'!$L$5:$L$53&gt;=1)+('Yellow Bosses'!$M$5:$M$53&gt;=1)+('Yellow Bosses'!$Q$5:$Q$53&gt;=1)+('Yellow Bosses'!$R$5:$R$53&gt;=1))&gt;0))</f>
        <v>0</v>
      </c>
      <c r="I282" s="25" t="n">
        <f aca="false">SUMPRODUCT(--((('Yellow Bosses'!$L$5:$L$53&gt;0)+('Yellow Bosses'!$M$5:$M$53&gt;0)+('Yellow Bosses'!$Q$5:$Q$53&gt;0)+('Yellow Bosses'!$R$5:$R$53&gt;0))=0))</f>
        <v>0</v>
      </c>
      <c r="J282" s="25" t="n">
        <f aca="false">SUMPRODUCT(--(((Effectiveness!$I$5:$I$155&gt;=2)+(Effectiveness!$J$5:$J$155&gt;=2)+(Effectiveness!$N$5:$N$155&gt;=2)+(Effectiveness!$O$5:$O$155&gt;=2))&gt;0))</f>
        <v>106</v>
      </c>
      <c r="K282" s="26" t="n">
        <f aca="false">J282/151</f>
        <v>0.701986754966887</v>
      </c>
      <c r="L282" s="25" t="n">
        <f aca="false">MIN(INDEX('Move Reality'!$F$5:$F$19,MATCH(B282,'Move Reality'!$A$5:$A$19,0)),INDEX('Move Reality'!$F$5:$F$19,MATCH(C282,'Move Reality'!$A$5:$A$19,0)),INDEX('Move Reality'!$F$5:$F$19,MATCH(D282,'Move Reality'!$A$5:$A$19,0)),INDEX('Move Reality'!$F$5:$F$19,MATCH(E282,'Move Reality'!$A$5:$A$19,0)))</f>
        <v>4</v>
      </c>
      <c r="M282" s="28" t="str">
        <f aca="false">IF(L282&gt;=5,"YES","no - dead move")</f>
        <v>no - dead move</v>
      </c>
    </row>
    <row r="283" customFormat="false" ht="15" hidden="false" customHeight="false" outlineLevel="0" collapsed="false">
      <c r="A283" s="17" t="n">
        <v>279</v>
      </c>
      <c r="B283" s="17" t="s">
        <v>41</v>
      </c>
      <c r="C283" s="17" t="s">
        <v>42</v>
      </c>
      <c r="D283" s="17" t="s">
        <v>44</v>
      </c>
      <c r="E283" s="17" t="s">
        <v>48</v>
      </c>
      <c r="F283" s="25" t="n">
        <f aca="false">SUMPRODUCT(--((('Yellow Bosses'!$I$5:$I$53&gt;=2)+('Yellow Bosses'!$J$5:$J$53&gt;=2)+('Yellow Bosses'!$L$5:$L$53&gt;=2)+('Yellow Bosses'!$P$5:$P$53&gt;=2))&gt;0))</f>
        <v>36</v>
      </c>
      <c r="G283" s="26" t="n">
        <f aca="false">F283/49</f>
        <v>0.73469387755102</v>
      </c>
      <c r="H283" s="25" t="n">
        <f aca="false">49-SUMPRODUCT(--((('Yellow Bosses'!$I$5:$I$53&gt;=1)+('Yellow Bosses'!$J$5:$J$53&gt;=1)+('Yellow Bosses'!$L$5:$L$53&gt;=1)+('Yellow Bosses'!$P$5:$P$53&gt;=1))&gt;0))</f>
        <v>1</v>
      </c>
      <c r="I283" s="25" t="n">
        <f aca="false">SUMPRODUCT(--((('Yellow Bosses'!$I$5:$I$53&gt;0)+('Yellow Bosses'!$J$5:$J$53&gt;0)+('Yellow Bosses'!$L$5:$L$53&gt;0)+('Yellow Bosses'!$P$5:$P$53&gt;0))=0))</f>
        <v>0</v>
      </c>
      <c r="J283" s="25" t="n">
        <f aca="false">SUMPRODUCT(--(((Effectiveness!$F$5:$F$155&gt;=2)+(Effectiveness!$G$5:$G$155&gt;=2)+(Effectiveness!$I$5:$I$155&gt;=2)+(Effectiveness!$M$5:$M$155&gt;=2))&gt;0))</f>
        <v>105</v>
      </c>
      <c r="K283" s="26" t="n">
        <f aca="false">J283/151</f>
        <v>0.695364238410596</v>
      </c>
      <c r="L283" s="25" t="n">
        <f aca="false">MIN(INDEX('Move Reality'!$F$5:$F$19,MATCH(B283,'Move Reality'!$A$5:$A$19,0)),INDEX('Move Reality'!$F$5:$F$19,MATCH(C283,'Move Reality'!$A$5:$A$19,0)),INDEX('Move Reality'!$F$5:$F$19,MATCH(D283,'Move Reality'!$A$5:$A$19,0)),INDEX('Move Reality'!$F$5:$F$19,MATCH(E283,'Move Reality'!$A$5:$A$19,0)))</f>
        <v>4</v>
      </c>
      <c r="M283" s="28" t="str">
        <f aca="false">IF(L283&gt;=5,"YES","no - dead move")</f>
        <v>no - dead move</v>
      </c>
    </row>
    <row r="284" customFormat="false" ht="15" hidden="false" customHeight="false" outlineLevel="0" collapsed="false">
      <c r="A284" s="17" t="n">
        <v>280</v>
      </c>
      <c r="B284" s="17" t="s">
        <v>40</v>
      </c>
      <c r="C284" s="17" t="s">
        <v>43</v>
      </c>
      <c r="D284" s="17" t="s">
        <v>45</v>
      </c>
      <c r="E284" s="17" t="s">
        <v>51</v>
      </c>
      <c r="F284" s="25" t="n">
        <f aca="false">SUMPRODUCT(--((('Yellow Bosses'!$H$5:$H$53&gt;=2)+('Yellow Bosses'!$K$5:$K$53&gt;=2)+('Yellow Bosses'!$M$5:$M$53&gt;=2)+('Yellow Bosses'!$S$5:$S$53&gt;=2))&gt;0))</f>
        <v>36</v>
      </c>
      <c r="G284" s="26" t="n">
        <f aca="false">F284/49</f>
        <v>0.73469387755102</v>
      </c>
      <c r="H284" s="25" t="n">
        <f aca="false">49-SUMPRODUCT(--((('Yellow Bosses'!$H$5:$H$53&gt;=1)+('Yellow Bosses'!$K$5:$K$53&gt;=1)+('Yellow Bosses'!$M$5:$M$53&gt;=1)+('Yellow Bosses'!$S$5:$S$53&gt;=1))&gt;0))</f>
        <v>0</v>
      </c>
      <c r="I284" s="25" t="n">
        <f aca="false">SUMPRODUCT(--((('Yellow Bosses'!$H$5:$H$53&gt;0)+('Yellow Bosses'!$K$5:$K$53&gt;0)+('Yellow Bosses'!$M$5:$M$53&gt;0)+('Yellow Bosses'!$S$5:$S$53&gt;0))=0))</f>
        <v>0</v>
      </c>
      <c r="J284" s="25" t="n">
        <f aca="false">SUMPRODUCT(--(((Effectiveness!$E$5:$E$155&gt;=2)+(Effectiveness!$H$5:$H$155&gt;=2)+(Effectiveness!$J$5:$J$155&gt;=2)+(Effectiveness!$P$5:$P$155&gt;=2))&gt;0))</f>
        <v>104</v>
      </c>
      <c r="K284" s="26" t="n">
        <f aca="false">J284/151</f>
        <v>0.688741721854305</v>
      </c>
      <c r="L284" s="25" t="n">
        <f aca="false">MIN(INDEX('Move Reality'!$F$5:$F$19,MATCH(B284,'Move Reality'!$A$5:$A$19,0)),INDEX('Move Reality'!$F$5:$F$19,MATCH(C284,'Move Reality'!$A$5:$A$19,0)),INDEX('Move Reality'!$F$5:$F$19,MATCH(D284,'Move Reality'!$A$5:$A$19,0)),INDEX('Move Reality'!$F$5:$F$19,MATCH(E284,'Move Reality'!$A$5:$A$19,0)))</f>
        <v>1</v>
      </c>
      <c r="M284" s="28" t="str">
        <f aca="false">IF(L284&gt;=5,"YES","no - dead move")</f>
        <v>no - dead move</v>
      </c>
    </row>
    <row r="285" customFormat="false" ht="15" hidden="false" customHeight="false" outlineLevel="0" collapsed="false">
      <c r="A285" s="17" t="n">
        <v>281</v>
      </c>
      <c r="B285" s="17" t="s">
        <v>42</v>
      </c>
      <c r="C285" s="17" t="s">
        <v>43</v>
      </c>
      <c r="D285" s="17" t="s">
        <v>49</v>
      </c>
      <c r="E285" s="17" t="s">
        <v>52</v>
      </c>
      <c r="F285" s="25" t="n">
        <f aca="false">SUMPRODUCT(--((('Yellow Bosses'!$J$5:$J$53&gt;=2)+('Yellow Bosses'!$K$5:$K$53&gt;=2)+('Yellow Bosses'!$Q$5:$Q$53&gt;=2)+('Yellow Bosses'!$T$5:$T$53&gt;=2))&gt;0))</f>
        <v>36</v>
      </c>
      <c r="G285" s="26" t="n">
        <f aca="false">F285/49</f>
        <v>0.73469387755102</v>
      </c>
      <c r="H285" s="25" t="n">
        <f aca="false">49-SUMPRODUCT(--((('Yellow Bosses'!$J$5:$J$53&gt;=1)+('Yellow Bosses'!$K$5:$K$53&gt;=1)+('Yellow Bosses'!$Q$5:$Q$53&gt;=1)+('Yellow Bosses'!$T$5:$T$53&gt;=1))&gt;0))</f>
        <v>0</v>
      </c>
      <c r="I285" s="25" t="n">
        <f aca="false">SUMPRODUCT(--((('Yellow Bosses'!$J$5:$J$53&gt;0)+('Yellow Bosses'!$K$5:$K$53&gt;0)+('Yellow Bosses'!$Q$5:$Q$53&gt;0)+('Yellow Bosses'!$T$5:$T$53&gt;0))=0))</f>
        <v>0</v>
      </c>
      <c r="J285" s="25" t="n">
        <f aca="false">SUMPRODUCT(--(((Effectiveness!$G$5:$G$155&gt;=2)+(Effectiveness!$H$5:$H$155&gt;=2)+(Effectiveness!$N$5:$N$155&gt;=2)+(Effectiveness!$Q$5:$Q$155&gt;=2))&gt;0))</f>
        <v>104</v>
      </c>
      <c r="K285" s="26" t="n">
        <f aca="false">J285/151</f>
        <v>0.688741721854305</v>
      </c>
      <c r="L285" s="25" t="n">
        <f aca="false">MIN(INDEX('Move Reality'!$F$5:$F$19,MATCH(B285,'Move Reality'!$A$5:$A$19,0)),INDEX('Move Reality'!$F$5:$F$19,MATCH(C285,'Move Reality'!$A$5:$A$19,0)),INDEX('Move Reality'!$F$5:$F$19,MATCH(D285,'Move Reality'!$A$5:$A$19,0)),INDEX('Move Reality'!$F$5:$F$19,MATCH(E285,'Move Reality'!$A$5:$A$19,0)))</f>
        <v>5</v>
      </c>
      <c r="M285" s="28" t="str">
        <f aca="false">IF(L285&gt;=5,"YES","no - dead move")</f>
        <v>YES</v>
      </c>
    </row>
    <row r="286" customFormat="false" ht="15" hidden="false" customHeight="false" outlineLevel="0" collapsed="false">
      <c r="A286" s="17" t="n">
        <v>282</v>
      </c>
      <c r="B286" s="17" t="s">
        <v>43</v>
      </c>
      <c r="C286" s="17" t="s">
        <v>44</v>
      </c>
      <c r="D286" s="17" t="s">
        <v>45</v>
      </c>
      <c r="E286" s="17" t="s">
        <v>51</v>
      </c>
      <c r="F286" s="25" t="n">
        <f aca="false">SUMPRODUCT(--((('Yellow Bosses'!$K$5:$K$53&gt;=2)+('Yellow Bosses'!$L$5:$L$53&gt;=2)+('Yellow Bosses'!$M$5:$M$53&gt;=2)+('Yellow Bosses'!$S$5:$S$53&gt;=2))&gt;0))</f>
        <v>36</v>
      </c>
      <c r="G286" s="26" t="n">
        <f aca="false">F286/49</f>
        <v>0.73469387755102</v>
      </c>
      <c r="H286" s="25" t="n">
        <f aca="false">49-SUMPRODUCT(--((('Yellow Bosses'!$K$5:$K$53&gt;=1)+('Yellow Bosses'!$L$5:$L$53&gt;=1)+('Yellow Bosses'!$M$5:$M$53&gt;=1)+('Yellow Bosses'!$S$5:$S$53&gt;=1))&gt;0))</f>
        <v>0</v>
      </c>
      <c r="I286" s="25" t="n">
        <f aca="false">SUMPRODUCT(--((('Yellow Bosses'!$K$5:$K$53&gt;0)+('Yellow Bosses'!$L$5:$L$53&gt;0)+('Yellow Bosses'!$M$5:$M$53&gt;0)+('Yellow Bosses'!$S$5:$S$53&gt;0))=0))</f>
        <v>0</v>
      </c>
      <c r="J286" s="25" t="n">
        <f aca="false">SUMPRODUCT(--(((Effectiveness!$H$5:$H$155&gt;=2)+(Effectiveness!$I$5:$I$155&gt;=2)+(Effectiveness!$J$5:$J$155&gt;=2)+(Effectiveness!$P$5:$P$155&gt;=2))&gt;0))</f>
        <v>104</v>
      </c>
      <c r="K286" s="26" t="n">
        <f aca="false">J286/151</f>
        <v>0.688741721854305</v>
      </c>
      <c r="L286" s="25" t="n">
        <f aca="false">MIN(INDEX('Move Reality'!$F$5:$F$19,MATCH(B286,'Move Reality'!$A$5:$A$19,0)),INDEX('Move Reality'!$F$5:$F$19,MATCH(C286,'Move Reality'!$A$5:$A$19,0)),INDEX('Move Reality'!$F$5:$F$19,MATCH(D286,'Move Reality'!$A$5:$A$19,0)),INDEX('Move Reality'!$F$5:$F$19,MATCH(E286,'Move Reality'!$A$5:$A$19,0)))</f>
        <v>1</v>
      </c>
      <c r="M286" s="28" t="str">
        <f aca="false">IF(L286&gt;=5,"YES","no - dead move")</f>
        <v>no - dead move</v>
      </c>
    </row>
    <row r="287" customFormat="false" ht="15" hidden="false" customHeight="false" outlineLevel="0" collapsed="false">
      <c r="A287" s="17" t="n">
        <v>283</v>
      </c>
      <c r="B287" s="17" t="s">
        <v>43</v>
      </c>
      <c r="C287" s="17" t="s">
        <v>45</v>
      </c>
      <c r="D287" s="17" t="s">
        <v>51</v>
      </c>
      <c r="E287" s="17" t="s">
        <v>54</v>
      </c>
      <c r="F287" s="25" t="n">
        <f aca="false">SUMPRODUCT(--((('Yellow Bosses'!$K$5:$K$53&gt;=2)+('Yellow Bosses'!$M$5:$M$53&gt;=2)+('Yellow Bosses'!$S$5:$S$53&gt;=2)+('Yellow Bosses'!$V$5:$V$53&gt;=2))&gt;0))</f>
        <v>36</v>
      </c>
      <c r="G287" s="26" t="n">
        <f aca="false">F287/49</f>
        <v>0.73469387755102</v>
      </c>
      <c r="H287" s="25" t="n">
        <f aca="false">49-SUMPRODUCT(--((('Yellow Bosses'!$K$5:$K$53&gt;=1)+('Yellow Bosses'!$M$5:$M$53&gt;=1)+('Yellow Bosses'!$S$5:$S$53&gt;=1)+('Yellow Bosses'!$V$5:$V$53&gt;=1))&gt;0))</f>
        <v>0</v>
      </c>
      <c r="I287" s="25" t="n">
        <f aca="false">SUMPRODUCT(--((('Yellow Bosses'!$K$5:$K$53&gt;0)+('Yellow Bosses'!$M$5:$M$53&gt;0)+('Yellow Bosses'!$S$5:$S$53&gt;0)+('Yellow Bosses'!$V$5:$V$53&gt;0))=0))</f>
        <v>0</v>
      </c>
      <c r="J287" s="25" t="n">
        <f aca="false">SUMPRODUCT(--(((Effectiveness!$H$5:$H$155&gt;=2)+(Effectiveness!$J$5:$J$155&gt;=2)+(Effectiveness!$P$5:$P$155&gt;=2)+(Effectiveness!$S$5:$S$155&gt;=2))&gt;0))</f>
        <v>104</v>
      </c>
      <c r="K287" s="26" t="n">
        <f aca="false">J287/151</f>
        <v>0.688741721854305</v>
      </c>
      <c r="L287" s="25" t="n">
        <f aca="false">MIN(INDEX('Move Reality'!$F$5:$F$19,MATCH(B287,'Move Reality'!$A$5:$A$19,0)),INDEX('Move Reality'!$F$5:$F$19,MATCH(C287,'Move Reality'!$A$5:$A$19,0)),INDEX('Move Reality'!$F$5:$F$19,MATCH(D287,'Move Reality'!$A$5:$A$19,0)),INDEX('Move Reality'!$F$5:$F$19,MATCH(E287,'Move Reality'!$A$5:$A$19,0)))</f>
        <v>1</v>
      </c>
      <c r="M287" s="28" t="str">
        <f aca="false">IF(L287&gt;=5,"YES","no - dead move")</f>
        <v>no - dead move</v>
      </c>
    </row>
    <row r="288" customFormat="false" ht="15" hidden="false" customHeight="false" outlineLevel="0" collapsed="false">
      <c r="A288" s="17" t="n">
        <v>284</v>
      </c>
      <c r="B288" s="17" t="s">
        <v>40</v>
      </c>
      <c r="C288" s="17" t="s">
        <v>44</v>
      </c>
      <c r="D288" s="17" t="s">
        <v>45</v>
      </c>
      <c r="E288" s="17" t="s">
        <v>50</v>
      </c>
      <c r="F288" s="25" t="n">
        <f aca="false">SUMPRODUCT(--((('Yellow Bosses'!$H$5:$H$53&gt;=2)+('Yellow Bosses'!$L$5:$L$53&gt;=2)+('Yellow Bosses'!$M$5:$M$53&gt;=2)+('Yellow Bosses'!$R$5:$R$53&gt;=2))&gt;0))</f>
        <v>36</v>
      </c>
      <c r="G288" s="26" t="n">
        <f aca="false">F288/49</f>
        <v>0.73469387755102</v>
      </c>
      <c r="H288" s="25" t="n">
        <f aca="false">49-SUMPRODUCT(--((('Yellow Bosses'!$H$5:$H$53&gt;=1)+('Yellow Bosses'!$L$5:$L$53&gt;=1)+('Yellow Bosses'!$M$5:$M$53&gt;=1)+('Yellow Bosses'!$R$5:$R$53&gt;=1))&gt;0))</f>
        <v>0</v>
      </c>
      <c r="I288" s="25" t="n">
        <f aca="false">SUMPRODUCT(--((('Yellow Bosses'!$H$5:$H$53&gt;0)+('Yellow Bosses'!$L$5:$L$53&gt;0)+('Yellow Bosses'!$M$5:$M$53&gt;0)+('Yellow Bosses'!$R$5:$R$53&gt;0))=0))</f>
        <v>0</v>
      </c>
      <c r="J288" s="25" t="n">
        <f aca="false">SUMPRODUCT(--(((Effectiveness!$E$5:$E$155&gt;=2)+(Effectiveness!$I$5:$I$155&gt;=2)+(Effectiveness!$J$5:$J$155&gt;=2)+(Effectiveness!$O$5:$O$155&gt;=2))&gt;0))</f>
        <v>103</v>
      </c>
      <c r="K288" s="26" t="n">
        <f aca="false">J288/151</f>
        <v>0.682119205298013</v>
      </c>
      <c r="L288" s="25" t="n">
        <f aca="false">MIN(INDEX('Move Reality'!$F$5:$F$19,MATCH(B288,'Move Reality'!$A$5:$A$19,0)),INDEX('Move Reality'!$F$5:$F$19,MATCH(C288,'Move Reality'!$A$5:$A$19,0)),INDEX('Move Reality'!$F$5:$F$19,MATCH(D288,'Move Reality'!$A$5:$A$19,0)),INDEX('Move Reality'!$F$5:$F$19,MATCH(E288,'Move Reality'!$A$5:$A$19,0)))</f>
        <v>4</v>
      </c>
      <c r="M288" s="28" t="str">
        <f aca="false">IF(L288&gt;=5,"YES","no - dead move")</f>
        <v>no - dead move</v>
      </c>
    </row>
    <row r="289" customFormat="false" ht="15" hidden="false" customHeight="false" outlineLevel="0" collapsed="false">
      <c r="A289" s="17" t="n">
        <v>285</v>
      </c>
      <c r="B289" s="17" t="s">
        <v>43</v>
      </c>
      <c r="C289" s="17" t="s">
        <v>44</v>
      </c>
      <c r="D289" s="17" t="s">
        <v>51</v>
      </c>
      <c r="E289" s="17" t="s">
        <v>53</v>
      </c>
      <c r="F289" s="25" t="n">
        <f aca="false">SUMPRODUCT(--((('Yellow Bosses'!$K$5:$K$53&gt;=2)+('Yellow Bosses'!$L$5:$L$53&gt;=2)+('Yellow Bosses'!$S$5:$S$53&gt;=2)+('Yellow Bosses'!$U$5:$U$53&gt;=2))&gt;0))</f>
        <v>36</v>
      </c>
      <c r="G289" s="26" t="n">
        <f aca="false">F289/49</f>
        <v>0.73469387755102</v>
      </c>
      <c r="H289" s="25" t="n">
        <f aca="false">49-SUMPRODUCT(--((('Yellow Bosses'!$K$5:$K$53&gt;=1)+('Yellow Bosses'!$L$5:$L$53&gt;=1)+('Yellow Bosses'!$S$5:$S$53&gt;=1)+('Yellow Bosses'!$U$5:$U$53&gt;=1))&gt;0))</f>
        <v>0</v>
      </c>
      <c r="I289" s="25" t="n">
        <f aca="false">SUMPRODUCT(--((('Yellow Bosses'!$K$5:$K$53&gt;0)+('Yellow Bosses'!$L$5:$L$53&gt;0)+('Yellow Bosses'!$S$5:$S$53&gt;0)+('Yellow Bosses'!$U$5:$U$53&gt;0))=0))</f>
        <v>0</v>
      </c>
      <c r="J289" s="25" t="n">
        <f aca="false">SUMPRODUCT(--(((Effectiveness!$H$5:$H$155&gt;=2)+(Effectiveness!$I$5:$I$155&gt;=2)+(Effectiveness!$P$5:$P$155&gt;=2)+(Effectiveness!$R$5:$R$155&gt;=2))&gt;0))</f>
        <v>103</v>
      </c>
      <c r="K289" s="26" t="n">
        <f aca="false">J289/151</f>
        <v>0.682119205298013</v>
      </c>
      <c r="L289" s="25" t="n">
        <f aca="false">MIN(INDEX('Move Reality'!$F$5:$F$19,MATCH(B289,'Move Reality'!$A$5:$A$19,0)),INDEX('Move Reality'!$F$5:$F$19,MATCH(C289,'Move Reality'!$A$5:$A$19,0)),INDEX('Move Reality'!$F$5:$F$19,MATCH(D289,'Move Reality'!$A$5:$A$19,0)),INDEX('Move Reality'!$F$5:$F$19,MATCH(E289,'Move Reality'!$A$5:$A$19,0)))</f>
        <v>1</v>
      </c>
      <c r="M289" s="28" t="str">
        <f aca="false">IF(L289&gt;=5,"YES","no - dead move")</f>
        <v>no - dead move</v>
      </c>
    </row>
    <row r="290" customFormat="false" ht="15" hidden="false" customHeight="false" outlineLevel="0" collapsed="false">
      <c r="A290" s="17" t="n">
        <v>286</v>
      </c>
      <c r="B290" s="17" t="s">
        <v>43</v>
      </c>
      <c r="C290" s="17" t="s">
        <v>44</v>
      </c>
      <c r="D290" s="17" t="s">
        <v>51</v>
      </c>
      <c r="E290" s="17" t="s">
        <v>54</v>
      </c>
      <c r="F290" s="25" t="n">
        <f aca="false">SUMPRODUCT(--((('Yellow Bosses'!$K$5:$K$53&gt;=2)+('Yellow Bosses'!$L$5:$L$53&gt;=2)+('Yellow Bosses'!$S$5:$S$53&gt;=2)+('Yellow Bosses'!$V$5:$V$53&gt;=2))&gt;0))</f>
        <v>36</v>
      </c>
      <c r="G290" s="26" t="n">
        <f aca="false">F290/49</f>
        <v>0.73469387755102</v>
      </c>
      <c r="H290" s="25" t="n">
        <f aca="false">49-SUMPRODUCT(--((('Yellow Bosses'!$K$5:$K$53&gt;=1)+('Yellow Bosses'!$L$5:$L$53&gt;=1)+('Yellow Bosses'!$S$5:$S$53&gt;=1)+('Yellow Bosses'!$V$5:$V$53&gt;=1))&gt;0))</f>
        <v>0</v>
      </c>
      <c r="I290" s="25" t="n">
        <f aca="false">SUMPRODUCT(--((('Yellow Bosses'!$K$5:$K$53&gt;0)+('Yellow Bosses'!$L$5:$L$53&gt;0)+('Yellow Bosses'!$S$5:$S$53&gt;0)+('Yellow Bosses'!$V$5:$V$53&gt;0))=0))</f>
        <v>0</v>
      </c>
      <c r="J290" s="25" t="n">
        <f aca="false">SUMPRODUCT(--(((Effectiveness!$H$5:$H$155&gt;=2)+(Effectiveness!$I$5:$I$155&gt;=2)+(Effectiveness!$P$5:$P$155&gt;=2)+(Effectiveness!$S$5:$S$155&gt;=2))&gt;0))</f>
        <v>103</v>
      </c>
      <c r="K290" s="26" t="n">
        <f aca="false">J290/151</f>
        <v>0.682119205298013</v>
      </c>
      <c r="L290" s="25" t="n">
        <f aca="false">MIN(INDEX('Move Reality'!$F$5:$F$19,MATCH(B290,'Move Reality'!$A$5:$A$19,0)),INDEX('Move Reality'!$F$5:$F$19,MATCH(C290,'Move Reality'!$A$5:$A$19,0)),INDEX('Move Reality'!$F$5:$F$19,MATCH(D290,'Move Reality'!$A$5:$A$19,0)),INDEX('Move Reality'!$F$5:$F$19,MATCH(E290,'Move Reality'!$A$5:$A$19,0)))</f>
        <v>1</v>
      </c>
      <c r="M290" s="28" t="str">
        <f aca="false">IF(L290&gt;=5,"YES","no - dead move")</f>
        <v>no - dead move</v>
      </c>
    </row>
    <row r="291" customFormat="false" ht="15" hidden="false" customHeight="false" outlineLevel="0" collapsed="false">
      <c r="A291" s="17" t="n">
        <v>287</v>
      </c>
      <c r="B291" s="17" t="s">
        <v>44</v>
      </c>
      <c r="C291" s="17" t="s">
        <v>45</v>
      </c>
      <c r="D291" s="17" t="s">
        <v>50</v>
      </c>
      <c r="E291" s="17" t="s">
        <v>53</v>
      </c>
      <c r="F291" s="25" t="n">
        <f aca="false">SUMPRODUCT(--((('Yellow Bosses'!$L$5:$L$53&gt;=2)+('Yellow Bosses'!$M$5:$M$53&gt;=2)+('Yellow Bosses'!$R$5:$R$53&gt;=2)+('Yellow Bosses'!$U$5:$U$53&gt;=2))&gt;0))</f>
        <v>36</v>
      </c>
      <c r="G291" s="26" t="n">
        <f aca="false">F291/49</f>
        <v>0.73469387755102</v>
      </c>
      <c r="H291" s="25" t="n">
        <f aca="false">49-SUMPRODUCT(--((('Yellow Bosses'!$L$5:$L$53&gt;=1)+('Yellow Bosses'!$M$5:$M$53&gt;=1)+('Yellow Bosses'!$R$5:$R$53&gt;=1)+('Yellow Bosses'!$U$5:$U$53&gt;=1))&gt;0))</f>
        <v>0</v>
      </c>
      <c r="I291" s="25" t="n">
        <f aca="false">SUMPRODUCT(--((('Yellow Bosses'!$L$5:$L$53&gt;0)+('Yellow Bosses'!$M$5:$M$53&gt;0)+('Yellow Bosses'!$R$5:$R$53&gt;0)+('Yellow Bosses'!$U$5:$U$53&gt;0))=0))</f>
        <v>0</v>
      </c>
      <c r="J291" s="25" t="n">
        <f aca="false">SUMPRODUCT(--(((Effectiveness!$I$5:$I$155&gt;=2)+(Effectiveness!$J$5:$J$155&gt;=2)+(Effectiveness!$O$5:$O$155&gt;=2)+(Effectiveness!$R$5:$R$155&gt;=2))&gt;0))</f>
        <v>103</v>
      </c>
      <c r="K291" s="26" t="n">
        <f aca="false">J291/151</f>
        <v>0.682119205298013</v>
      </c>
      <c r="L291" s="25" t="n">
        <f aca="false">MIN(INDEX('Move Reality'!$F$5:$F$19,MATCH(B291,'Move Reality'!$A$5:$A$19,0)),INDEX('Move Reality'!$F$5:$F$19,MATCH(C291,'Move Reality'!$A$5:$A$19,0)),INDEX('Move Reality'!$F$5:$F$19,MATCH(D291,'Move Reality'!$A$5:$A$19,0)),INDEX('Move Reality'!$F$5:$F$19,MATCH(E291,'Move Reality'!$A$5:$A$19,0)))</f>
        <v>1</v>
      </c>
      <c r="M291" s="28" t="str">
        <f aca="false">IF(L291&gt;=5,"YES","no - dead move")</f>
        <v>no - dead move</v>
      </c>
    </row>
    <row r="292" customFormat="false" ht="15" hidden="false" customHeight="false" outlineLevel="0" collapsed="false">
      <c r="A292" s="17" t="n">
        <v>288</v>
      </c>
      <c r="B292" s="17" t="s">
        <v>44</v>
      </c>
      <c r="C292" s="17" t="s">
        <v>45</v>
      </c>
      <c r="D292" s="17" t="s">
        <v>50</v>
      </c>
      <c r="E292" s="17" t="s">
        <v>54</v>
      </c>
      <c r="F292" s="25" t="n">
        <f aca="false">SUMPRODUCT(--((('Yellow Bosses'!$L$5:$L$53&gt;=2)+('Yellow Bosses'!$M$5:$M$53&gt;=2)+('Yellow Bosses'!$R$5:$R$53&gt;=2)+('Yellow Bosses'!$V$5:$V$53&gt;=2))&gt;0))</f>
        <v>36</v>
      </c>
      <c r="G292" s="26" t="n">
        <f aca="false">F292/49</f>
        <v>0.73469387755102</v>
      </c>
      <c r="H292" s="25" t="n">
        <f aca="false">49-SUMPRODUCT(--((('Yellow Bosses'!$L$5:$L$53&gt;=1)+('Yellow Bosses'!$M$5:$M$53&gt;=1)+('Yellow Bosses'!$R$5:$R$53&gt;=1)+('Yellow Bosses'!$V$5:$V$53&gt;=1))&gt;0))</f>
        <v>0</v>
      </c>
      <c r="I292" s="25" t="n">
        <f aca="false">SUMPRODUCT(--((('Yellow Bosses'!$L$5:$L$53&gt;0)+('Yellow Bosses'!$M$5:$M$53&gt;0)+('Yellow Bosses'!$R$5:$R$53&gt;0)+('Yellow Bosses'!$V$5:$V$53&gt;0))=0))</f>
        <v>0</v>
      </c>
      <c r="J292" s="25" t="n">
        <f aca="false">SUMPRODUCT(--(((Effectiveness!$I$5:$I$155&gt;=2)+(Effectiveness!$J$5:$J$155&gt;=2)+(Effectiveness!$O$5:$O$155&gt;=2)+(Effectiveness!$S$5:$S$155&gt;=2))&gt;0))</f>
        <v>103</v>
      </c>
      <c r="K292" s="26" t="n">
        <f aca="false">J292/151</f>
        <v>0.682119205298013</v>
      </c>
      <c r="L292" s="25" t="n">
        <f aca="false">MIN(INDEX('Move Reality'!$F$5:$F$19,MATCH(B292,'Move Reality'!$A$5:$A$19,0)),INDEX('Move Reality'!$F$5:$F$19,MATCH(C292,'Move Reality'!$A$5:$A$19,0)),INDEX('Move Reality'!$F$5:$F$19,MATCH(D292,'Move Reality'!$A$5:$A$19,0)),INDEX('Move Reality'!$F$5:$F$19,MATCH(E292,'Move Reality'!$A$5:$A$19,0)))</f>
        <v>1</v>
      </c>
      <c r="M292" s="28" t="str">
        <f aca="false">IF(L292&gt;=5,"YES","no - dead move")</f>
        <v>no - dead move</v>
      </c>
    </row>
    <row r="293" customFormat="false" ht="15" hidden="false" customHeight="false" outlineLevel="0" collapsed="false">
      <c r="A293" s="17" t="n">
        <v>289</v>
      </c>
      <c r="B293" s="17" t="s">
        <v>41</v>
      </c>
      <c r="C293" s="17" t="s">
        <v>45</v>
      </c>
      <c r="D293" s="17" t="s">
        <v>48</v>
      </c>
      <c r="E293" s="17" t="s">
        <v>49</v>
      </c>
      <c r="F293" s="25" t="n">
        <f aca="false">SUMPRODUCT(--((('Yellow Bosses'!$I$5:$I$53&gt;=2)+('Yellow Bosses'!$M$5:$M$53&gt;=2)+('Yellow Bosses'!$P$5:$P$53&gt;=2)+('Yellow Bosses'!$Q$5:$Q$53&gt;=2))&gt;0))</f>
        <v>36</v>
      </c>
      <c r="G293" s="26" t="n">
        <f aca="false">F293/49</f>
        <v>0.73469387755102</v>
      </c>
      <c r="H293" s="25" t="n">
        <f aca="false">49-SUMPRODUCT(--((('Yellow Bosses'!$I$5:$I$53&gt;=1)+('Yellow Bosses'!$M$5:$M$53&gt;=1)+('Yellow Bosses'!$P$5:$P$53&gt;=1)+('Yellow Bosses'!$Q$5:$Q$53&gt;=1))&gt;0))</f>
        <v>0</v>
      </c>
      <c r="I293" s="25" t="n">
        <f aca="false">SUMPRODUCT(--((('Yellow Bosses'!$I$5:$I$53&gt;0)+('Yellow Bosses'!$M$5:$M$53&gt;0)+('Yellow Bosses'!$P$5:$P$53&gt;0)+('Yellow Bosses'!$Q$5:$Q$53&gt;0))=0))</f>
        <v>0</v>
      </c>
      <c r="J293" s="25" t="n">
        <f aca="false">SUMPRODUCT(--(((Effectiveness!$F$5:$F$155&gt;=2)+(Effectiveness!$J$5:$J$155&gt;=2)+(Effectiveness!$M$5:$M$155&gt;=2)+(Effectiveness!$N$5:$N$155&gt;=2))&gt;0))</f>
        <v>102</v>
      </c>
      <c r="K293" s="26" t="n">
        <f aca="false">J293/151</f>
        <v>0.675496688741722</v>
      </c>
      <c r="L293" s="25" t="n">
        <f aca="false">MIN(INDEX('Move Reality'!$F$5:$F$19,MATCH(B293,'Move Reality'!$A$5:$A$19,0)),INDEX('Move Reality'!$F$5:$F$19,MATCH(C293,'Move Reality'!$A$5:$A$19,0)),INDEX('Move Reality'!$F$5:$F$19,MATCH(D293,'Move Reality'!$A$5:$A$19,0)),INDEX('Move Reality'!$F$5:$F$19,MATCH(E293,'Move Reality'!$A$5:$A$19,0)))</f>
        <v>5</v>
      </c>
      <c r="M293" s="28" t="str">
        <f aca="false">IF(L293&gt;=5,"YES","no - dead move")</f>
        <v>YES</v>
      </c>
    </row>
    <row r="294" customFormat="false" ht="15" hidden="false" customHeight="false" outlineLevel="0" collapsed="false">
      <c r="A294" s="17" t="n">
        <v>290</v>
      </c>
      <c r="B294" s="17" t="s">
        <v>41</v>
      </c>
      <c r="C294" s="17" t="s">
        <v>45</v>
      </c>
      <c r="D294" s="17" t="s">
        <v>48</v>
      </c>
      <c r="E294" s="17" t="s">
        <v>50</v>
      </c>
      <c r="F294" s="25" t="n">
        <f aca="false">SUMPRODUCT(--((('Yellow Bosses'!$I$5:$I$53&gt;=2)+('Yellow Bosses'!$M$5:$M$53&gt;=2)+('Yellow Bosses'!$P$5:$P$53&gt;=2)+('Yellow Bosses'!$R$5:$R$53&gt;=2))&gt;0))</f>
        <v>36</v>
      </c>
      <c r="G294" s="26" t="n">
        <f aca="false">F294/49</f>
        <v>0.73469387755102</v>
      </c>
      <c r="H294" s="25" t="n">
        <f aca="false">49-SUMPRODUCT(--((('Yellow Bosses'!$I$5:$I$53&gt;=1)+('Yellow Bosses'!$M$5:$M$53&gt;=1)+('Yellow Bosses'!$P$5:$P$53&gt;=1)+('Yellow Bosses'!$R$5:$R$53&gt;=1))&gt;0))</f>
        <v>0</v>
      </c>
      <c r="I294" s="25" t="n">
        <f aca="false">SUMPRODUCT(--((('Yellow Bosses'!$I$5:$I$53&gt;0)+('Yellow Bosses'!$M$5:$M$53&gt;0)+('Yellow Bosses'!$P$5:$P$53&gt;0)+('Yellow Bosses'!$R$5:$R$53&gt;0))=0))</f>
        <v>0</v>
      </c>
      <c r="J294" s="25" t="n">
        <f aca="false">SUMPRODUCT(--(((Effectiveness!$F$5:$F$155&gt;=2)+(Effectiveness!$J$5:$J$155&gt;=2)+(Effectiveness!$M$5:$M$155&gt;=2)+(Effectiveness!$O$5:$O$155&gt;=2))&gt;0))</f>
        <v>102</v>
      </c>
      <c r="K294" s="26" t="n">
        <f aca="false">J294/151</f>
        <v>0.675496688741722</v>
      </c>
      <c r="L294" s="25" t="n">
        <f aca="false">MIN(INDEX('Move Reality'!$F$5:$F$19,MATCH(B294,'Move Reality'!$A$5:$A$19,0)),INDEX('Move Reality'!$F$5:$F$19,MATCH(C294,'Move Reality'!$A$5:$A$19,0)),INDEX('Move Reality'!$F$5:$F$19,MATCH(D294,'Move Reality'!$A$5:$A$19,0)),INDEX('Move Reality'!$F$5:$F$19,MATCH(E294,'Move Reality'!$A$5:$A$19,0)))</f>
        <v>7</v>
      </c>
      <c r="M294" s="28" t="str">
        <f aca="false">IF(L294&gt;=5,"YES","no - dead move")</f>
        <v>YES</v>
      </c>
    </row>
    <row r="295" customFormat="false" ht="15" hidden="false" customHeight="false" outlineLevel="0" collapsed="false">
      <c r="A295" s="17" t="n">
        <v>291</v>
      </c>
      <c r="B295" s="17" t="s">
        <v>42</v>
      </c>
      <c r="C295" s="17" t="s">
        <v>44</v>
      </c>
      <c r="D295" s="17" t="s">
        <v>49</v>
      </c>
      <c r="E295" s="17" t="s">
        <v>52</v>
      </c>
      <c r="F295" s="25" t="n">
        <f aca="false">SUMPRODUCT(--((('Yellow Bosses'!$J$5:$J$53&gt;=2)+('Yellow Bosses'!$L$5:$L$53&gt;=2)+('Yellow Bosses'!$Q$5:$Q$53&gt;=2)+('Yellow Bosses'!$T$5:$T$53&gt;=2))&gt;0))</f>
        <v>36</v>
      </c>
      <c r="G295" s="26" t="n">
        <f aca="false">F295/49</f>
        <v>0.73469387755102</v>
      </c>
      <c r="H295" s="25" t="n">
        <f aca="false">49-SUMPRODUCT(--((('Yellow Bosses'!$J$5:$J$53&gt;=1)+('Yellow Bosses'!$L$5:$L$53&gt;=1)+('Yellow Bosses'!$Q$5:$Q$53&gt;=1)+('Yellow Bosses'!$T$5:$T$53&gt;=1))&gt;0))</f>
        <v>0</v>
      </c>
      <c r="I295" s="25" t="n">
        <f aca="false">SUMPRODUCT(--((('Yellow Bosses'!$J$5:$J$53&gt;0)+('Yellow Bosses'!$L$5:$L$53&gt;0)+('Yellow Bosses'!$Q$5:$Q$53&gt;0)+('Yellow Bosses'!$T$5:$T$53&gt;0))=0))</f>
        <v>0</v>
      </c>
      <c r="J295" s="25" t="n">
        <f aca="false">SUMPRODUCT(--(((Effectiveness!$G$5:$G$155&gt;=2)+(Effectiveness!$I$5:$I$155&gt;=2)+(Effectiveness!$N$5:$N$155&gt;=2)+(Effectiveness!$Q$5:$Q$155&gt;=2))&gt;0))</f>
        <v>102</v>
      </c>
      <c r="K295" s="26" t="n">
        <f aca="false">J295/151</f>
        <v>0.675496688741722</v>
      </c>
      <c r="L295" s="25" t="n">
        <f aca="false">MIN(INDEX('Move Reality'!$F$5:$F$19,MATCH(B295,'Move Reality'!$A$5:$A$19,0)),INDEX('Move Reality'!$F$5:$F$19,MATCH(C295,'Move Reality'!$A$5:$A$19,0)),INDEX('Move Reality'!$F$5:$F$19,MATCH(D295,'Move Reality'!$A$5:$A$19,0)),INDEX('Move Reality'!$F$5:$F$19,MATCH(E295,'Move Reality'!$A$5:$A$19,0)))</f>
        <v>4</v>
      </c>
      <c r="M295" s="28" t="str">
        <f aca="false">IF(L295&gt;=5,"YES","no - dead move")</f>
        <v>no - dead move</v>
      </c>
    </row>
    <row r="296" customFormat="false" ht="15" hidden="false" customHeight="false" outlineLevel="0" collapsed="false">
      <c r="A296" s="17" t="n">
        <v>292</v>
      </c>
      <c r="B296" s="17" t="s">
        <v>44</v>
      </c>
      <c r="C296" s="17" t="s">
        <v>49</v>
      </c>
      <c r="D296" s="17" t="s">
        <v>52</v>
      </c>
      <c r="E296" s="17" t="s">
        <v>54</v>
      </c>
      <c r="F296" s="25" t="n">
        <f aca="false">SUMPRODUCT(--((('Yellow Bosses'!$L$5:$L$53&gt;=2)+('Yellow Bosses'!$Q$5:$Q$53&gt;=2)+('Yellow Bosses'!$T$5:$T$53&gt;=2)+('Yellow Bosses'!$V$5:$V$53&gt;=2))&gt;0))</f>
        <v>36</v>
      </c>
      <c r="G296" s="26" t="n">
        <f aca="false">F296/49</f>
        <v>0.73469387755102</v>
      </c>
      <c r="H296" s="25" t="n">
        <f aca="false">49-SUMPRODUCT(--((('Yellow Bosses'!$L$5:$L$53&gt;=1)+('Yellow Bosses'!$Q$5:$Q$53&gt;=1)+('Yellow Bosses'!$T$5:$T$53&gt;=1)+('Yellow Bosses'!$V$5:$V$53&gt;=1))&gt;0))</f>
        <v>0</v>
      </c>
      <c r="I296" s="25" t="n">
        <f aca="false">SUMPRODUCT(--((('Yellow Bosses'!$L$5:$L$53&gt;0)+('Yellow Bosses'!$Q$5:$Q$53&gt;0)+('Yellow Bosses'!$T$5:$T$53&gt;0)+('Yellow Bosses'!$V$5:$V$53&gt;0))=0))</f>
        <v>0</v>
      </c>
      <c r="J296" s="25" t="n">
        <f aca="false">SUMPRODUCT(--(((Effectiveness!$I$5:$I$155&gt;=2)+(Effectiveness!$N$5:$N$155&gt;=2)+(Effectiveness!$Q$5:$Q$155&gt;=2)+(Effectiveness!$S$5:$S$155&gt;=2))&gt;0))</f>
        <v>102</v>
      </c>
      <c r="K296" s="26" t="n">
        <f aca="false">J296/151</f>
        <v>0.675496688741722</v>
      </c>
      <c r="L296" s="25" t="n">
        <f aca="false">MIN(INDEX('Move Reality'!$F$5:$F$19,MATCH(B296,'Move Reality'!$A$5:$A$19,0)),INDEX('Move Reality'!$F$5:$F$19,MATCH(C296,'Move Reality'!$A$5:$A$19,0)),INDEX('Move Reality'!$F$5:$F$19,MATCH(D296,'Move Reality'!$A$5:$A$19,0)),INDEX('Move Reality'!$F$5:$F$19,MATCH(E296,'Move Reality'!$A$5:$A$19,0)))</f>
        <v>1</v>
      </c>
      <c r="M296" s="28" t="str">
        <f aca="false">IF(L296&gt;=5,"YES","no - dead move")</f>
        <v>no - dead move</v>
      </c>
    </row>
    <row r="297" customFormat="false" ht="15" hidden="false" customHeight="false" outlineLevel="0" collapsed="false">
      <c r="A297" s="17" t="n">
        <v>293</v>
      </c>
      <c r="B297" s="17" t="s">
        <v>41</v>
      </c>
      <c r="C297" s="17" t="s">
        <v>46</v>
      </c>
      <c r="D297" s="17" t="s">
        <v>48</v>
      </c>
      <c r="E297" s="17" t="s">
        <v>51</v>
      </c>
      <c r="F297" s="25" t="n">
        <f aca="false">SUMPRODUCT(--((('Yellow Bosses'!$I$5:$I$53&gt;=2)+('Yellow Bosses'!$N$5:$N$53&gt;=2)+('Yellow Bosses'!$P$5:$P$53&gt;=2)+('Yellow Bosses'!$S$5:$S$53&gt;=2))&gt;0))</f>
        <v>36</v>
      </c>
      <c r="G297" s="26" t="n">
        <f aca="false">F297/49</f>
        <v>0.73469387755102</v>
      </c>
      <c r="H297" s="25" t="n">
        <f aca="false">49-SUMPRODUCT(--((('Yellow Bosses'!$I$5:$I$53&gt;=1)+('Yellow Bosses'!$N$5:$N$53&gt;=1)+('Yellow Bosses'!$P$5:$P$53&gt;=1)+('Yellow Bosses'!$S$5:$S$53&gt;=1))&gt;0))</f>
        <v>2</v>
      </c>
      <c r="I297" s="25" t="n">
        <f aca="false">SUMPRODUCT(--((('Yellow Bosses'!$I$5:$I$53&gt;0)+('Yellow Bosses'!$N$5:$N$53&gt;0)+('Yellow Bosses'!$P$5:$P$53&gt;0)+('Yellow Bosses'!$S$5:$S$53&gt;0))=0))</f>
        <v>0</v>
      </c>
      <c r="J297" s="25" t="n">
        <f aca="false">SUMPRODUCT(--(((Effectiveness!$F$5:$F$155&gt;=2)+(Effectiveness!$K$5:$K$155&gt;=2)+(Effectiveness!$M$5:$M$155&gt;=2)+(Effectiveness!$P$5:$P$155&gt;=2))&gt;0))</f>
        <v>101</v>
      </c>
      <c r="K297" s="26" t="n">
        <f aca="false">J297/151</f>
        <v>0.66887417218543</v>
      </c>
      <c r="L297" s="25" t="n">
        <f aca="false">MIN(INDEX('Move Reality'!$F$5:$F$19,MATCH(B297,'Move Reality'!$A$5:$A$19,0)),INDEX('Move Reality'!$F$5:$F$19,MATCH(C297,'Move Reality'!$A$5:$A$19,0)),INDEX('Move Reality'!$F$5:$F$19,MATCH(D297,'Move Reality'!$A$5:$A$19,0)),INDEX('Move Reality'!$F$5:$F$19,MATCH(E297,'Move Reality'!$A$5:$A$19,0)))</f>
        <v>1</v>
      </c>
      <c r="M297" s="28" t="str">
        <f aca="false">IF(L297&gt;=5,"YES","no - dead move")</f>
        <v>no - dead move</v>
      </c>
    </row>
    <row r="298" customFormat="false" ht="15" hidden="false" customHeight="false" outlineLevel="0" collapsed="false">
      <c r="A298" s="17" t="n">
        <v>294</v>
      </c>
      <c r="B298" s="17" t="s">
        <v>42</v>
      </c>
      <c r="C298" s="17" t="s">
        <v>44</v>
      </c>
      <c r="D298" s="17" t="s">
        <v>45</v>
      </c>
      <c r="E298" s="17" t="s">
        <v>49</v>
      </c>
      <c r="F298" s="25" t="n">
        <f aca="false">SUMPRODUCT(--((('Yellow Bosses'!$J$5:$J$53&gt;=2)+('Yellow Bosses'!$L$5:$L$53&gt;=2)+('Yellow Bosses'!$M$5:$M$53&gt;=2)+('Yellow Bosses'!$Q$5:$Q$53&gt;=2))&gt;0))</f>
        <v>36</v>
      </c>
      <c r="G298" s="26" t="n">
        <f aca="false">F298/49</f>
        <v>0.73469387755102</v>
      </c>
      <c r="H298" s="25" t="n">
        <f aca="false">49-SUMPRODUCT(--((('Yellow Bosses'!$J$5:$J$53&gt;=1)+('Yellow Bosses'!$L$5:$L$53&gt;=1)+('Yellow Bosses'!$M$5:$M$53&gt;=1)+('Yellow Bosses'!$Q$5:$Q$53&gt;=1))&gt;0))</f>
        <v>0</v>
      </c>
      <c r="I298" s="25" t="n">
        <f aca="false">SUMPRODUCT(--((('Yellow Bosses'!$J$5:$J$53&gt;0)+('Yellow Bosses'!$L$5:$L$53&gt;0)+('Yellow Bosses'!$M$5:$M$53&gt;0)+('Yellow Bosses'!$Q$5:$Q$53&gt;0))=0))</f>
        <v>0</v>
      </c>
      <c r="J298" s="25" t="n">
        <f aca="false">SUMPRODUCT(--(((Effectiveness!$G$5:$G$155&gt;=2)+(Effectiveness!$I$5:$I$155&gt;=2)+(Effectiveness!$J$5:$J$155&gt;=2)+(Effectiveness!$N$5:$N$155&gt;=2))&gt;0))</f>
        <v>101</v>
      </c>
      <c r="K298" s="26" t="n">
        <f aca="false">J298/151</f>
        <v>0.66887417218543</v>
      </c>
      <c r="L298" s="25" t="n">
        <f aca="false">MIN(INDEX('Move Reality'!$F$5:$F$19,MATCH(B298,'Move Reality'!$A$5:$A$19,0)),INDEX('Move Reality'!$F$5:$F$19,MATCH(C298,'Move Reality'!$A$5:$A$19,0)),INDEX('Move Reality'!$F$5:$F$19,MATCH(D298,'Move Reality'!$A$5:$A$19,0)),INDEX('Move Reality'!$F$5:$F$19,MATCH(E298,'Move Reality'!$A$5:$A$19,0)))</f>
        <v>4</v>
      </c>
      <c r="M298" s="28" t="str">
        <f aca="false">IF(L298&gt;=5,"YES","no - dead move")</f>
        <v>no - dead move</v>
      </c>
    </row>
    <row r="299" customFormat="false" ht="15" hidden="false" customHeight="false" outlineLevel="0" collapsed="false">
      <c r="A299" s="17" t="n">
        <v>295</v>
      </c>
      <c r="B299" s="17" t="s">
        <v>42</v>
      </c>
      <c r="C299" s="17" t="s">
        <v>48</v>
      </c>
      <c r="D299" s="17" t="s">
        <v>50</v>
      </c>
      <c r="E299" s="17" t="s">
        <v>52</v>
      </c>
      <c r="F299" s="25" t="n">
        <f aca="false">SUMPRODUCT(--((('Yellow Bosses'!$J$5:$J$53&gt;=2)+('Yellow Bosses'!$P$5:$P$53&gt;=2)+('Yellow Bosses'!$R$5:$R$53&gt;=2)+('Yellow Bosses'!$T$5:$T$53&gt;=2))&gt;0))</f>
        <v>36</v>
      </c>
      <c r="G299" s="26" t="n">
        <f aca="false">F299/49</f>
        <v>0.73469387755102</v>
      </c>
      <c r="H299" s="25" t="n">
        <f aca="false">49-SUMPRODUCT(--((('Yellow Bosses'!$J$5:$J$53&gt;=1)+('Yellow Bosses'!$P$5:$P$53&gt;=1)+('Yellow Bosses'!$R$5:$R$53&gt;=1)+('Yellow Bosses'!$T$5:$T$53&gt;=1))&gt;0))</f>
        <v>0</v>
      </c>
      <c r="I299" s="25" t="n">
        <f aca="false">SUMPRODUCT(--((('Yellow Bosses'!$J$5:$J$53&gt;0)+('Yellow Bosses'!$P$5:$P$53&gt;0)+('Yellow Bosses'!$R$5:$R$53&gt;0)+('Yellow Bosses'!$T$5:$T$53&gt;0))=0))</f>
        <v>0</v>
      </c>
      <c r="J299" s="25" t="n">
        <f aca="false">SUMPRODUCT(--(((Effectiveness!$G$5:$G$155&gt;=2)+(Effectiveness!$M$5:$M$155&gt;=2)+(Effectiveness!$O$5:$O$155&gt;=2)+(Effectiveness!$Q$5:$Q$155&gt;=2))&gt;0))</f>
        <v>101</v>
      </c>
      <c r="K299" s="26" t="n">
        <f aca="false">J299/151</f>
        <v>0.66887417218543</v>
      </c>
      <c r="L299" s="25" t="n">
        <f aca="false">MIN(INDEX('Move Reality'!$F$5:$F$19,MATCH(B299,'Move Reality'!$A$5:$A$19,0)),INDEX('Move Reality'!$F$5:$F$19,MATCH(C299,'Move Reality'!$A$5:$A$19,0)),INDEX('Move Reality'!$F$5:$F$19,MATCH(D299,'Move Reality'!$A$5:$A$19,0)),INDEX('Move Reality'!$F$5:$F$19,MATCH(E299,'Move Reality'!$A$5:$A$19,0)))</f>
        <v>6</v>
      </c>
      <c r="M299" s="28" t="str">
        <f aca="false">IF(L299&gt;=5,"YES","no - dead move")</f>
        <v>YES</v>
      </c>
    </row>
    <row r="300" customFormat="false" ht="15" hidden="false" customHeight="false" outlineLevel="0" collapsed="false">
      <c r="A300" s="17" t="n">
        <v>296</v>
      </c>
      <c r="B300" s="17" t="s">
        <v>46</v>
      </c>
      <c r="C300" s="17" t="s">
        <v>47</v>
      </c>
      <c r="D300" s="17" t="s">
        <v>48</v>
      </c>
      <c r="E300" s="17" t="s">
        <v>51</v>
      </c>
      <c r="F300" s="25" t="n">
        <f aca="false">SUMPRODUCT(--((('Yellow Bosses'!$N$5:$N$53&gt;=2)+('Yellow Bosses'!$O$5:$O$53&gt;=2)+('Yellow Bosses'!$P$5:$P$53&gt;=2)+('Yellow Bosses'!$S$5:$S$53&gt;=2))&gt;0))</f>
        <v>36</v>
      </c>
      <c r="G300" s="26" t="n">
        <f aca="false">F300/49</f>
        <v>0.73469387755102</v>
      </c>
      <c r="H300" s="25" t="n">
        <f aca="false">49-SUMPRODUCT(--((('Yellow Bosses'!$N$5:$N$53&gt;=1)+('Yellow Bosses'!$O$5:$O$53&gt;=1)+('Yellow Bosses'!$P$5:$P$53&gt;=1)+('Yellow Bosses'!$S$5:$S$53&gt;=1))&gt;0))</f>
        <v>0</v>
      </c>
      <c r="I300" s="25" t="n">
        <f aca="false">SUMPRODUCT(--((('Yellow Bosses'!$N$5:$N$53&gt;0)+('Yellow Bosses'!$O$5:$O$53&gt;0)+('Yellow Bosses'!$P$5:$P$53&gt;0)+('Yellow Bosses'!$S$5:$S$53&gt;0))=0))</f>
        <v>0</v>
      </c>
      <c r="J300" s="25" t="n">
        <f aca="false">SUMPRODUCT(--(((Effectiveness!$K$5:$K$155&gt;=2)+(Effectiveness!$L$5:$L$155&gt;=2)+(Effectiveness!$M$5:$M$155&gt;=2)+(Effectiveness!$P$5:$P$155&gt;=2))&gt;0))</f>
        <v>100</v>
      </c>
      <c r="K300" s="26" t="n">
        <f aca="false">J300/151</f>
        <v>0.662251655629139</v>
      </c>
      <c r="L300" s="25" t="n">
        <f aca="false">MIN(INDEX('Move Reality'!$F$5:$F$19,MATCH(B300,'Move Reality'!$A$5:$A$19,0)),INDEX('Move Reality'!$F$5:$F$19,MATCH(C300,'Move Reality'!$A$5:$A$19,0)),INDEX('Move Reality'!$F$5:$F$19,MATCH(D300,'Move Reality'!$A$5:$A$19,0)),INDEX('Move Reality'!$F$5:$F$19,MATCH(E300,'Move Reality'!$A$5:$A$19,0)))</f>
        <v>1</v>
      </c>
      <c r="M300" s="28" t="str">
        <f aca="false">IF(L300&gt;=5,"YES","no - dead move")</f>
        <v>no - dead move</v>
      </c>
    </row>
    <row r="301" customFormat="false" ht="15" hidden="false" customHeight="false" outlineLevel="0" collapsed="false">
      <c r="A301" s="17" t="n">
        <v>297</v>
      </c>
      <c r="B301" s="17" t="s">
        <v>40</v>
      </c>
      <c r="C301" s="17" t="s">
        <v>44</v>
      </c>
      <c r="D301" s="17" t="s">
        <v>48</v>
      </c>
      <c r="E301" s="17" t="s">
        <v>50</v>
      </c>
      <c r="F301" s="25" t="n">
        <f aca="false">SUMPRODUCT(--((('Yellow Bosses'!$H$5:$H$53&gt;=2)+('Yellow Bosses'!$L$5:$L$53&gt;=2)+('Yellow Bosses'!$P$5:$P$53&gt;=2)+('Yellow Bosses'!$R$5:$R$53&gt;=2))&gt;0))</f>
        <v>36</v>
      </c>
      <c r="G301" s="26" t="n">
        <f aca="false">F301/49</f>
        <v>0.73469387755102</v>
      </c>
      <c r="H301" s="25" t="n">
        <f aca="false">49-SUMPRODUCT(--((('Yellow Bosses'!$H$5:$H$53&gt;=1)+('Yellow Bosses'!$L$5:$L$53&gt;=1)+('Yellow Bosses'!$P$5:$P$53&gt;=1)+('Yellow Bosses'!$R$5:$R$53&gt;=1))&gt;0))</f>
        <v>0</v>
      </c>
      <c r="I301" s="25" t="n">
        <f aca="false">SUMPRODUCT(--((('Yellow Bosses'!$H$5:$H$53&gt;0)+('Yellow Bosses'!$L$5:$L$53&gt;0)+('Yellow Bosses'!$P$5:$P$53&gt;0)+('Yellow Bosses'!$R$5:$R$53&gt;0))=0))</f>
        <v>0</v>
      </c>
      <c r="J301" s="25" t="n">
        <f aca="false">SUMPRODUCT(--(((Effectiveness!$E$5:$E$155&gt;=2)+(Effectiveness!$I$5:$I$155&gt;=2)+(Effectiveness!$M$5:$M$155&gt;=2)+(Effectiveness!$O$5:$O$155&gt;=2))&gt;0))</f>
        <v>99</v>
      </c>
      <c r="K301" s="26" t="n">
        <f aca="false">J301/151</f>
        <v>0.655629139072848</v>
      </c>
      <c r="L301" s="25" t="n">
        <f aca="false">MIN(INDEX('Move Reality'!$F$5:$F$19,MATCH(B301,'Move Reality'!$A$5:$A$19,0)),INDEX('Move Reality'!$F$5:$F$19,MATCH(C301,'Move Reality'!$A$5:$A$19,0)),INDEX('Move Reality'!$F$5:$F$19,MATCH(D301,'Move Reality'!$A$5:$A$19,0)),INDEX('Move Reality'!$F$5:$F$19,MATCH(E301,'Move Reality'!$A$5:$A$19,0)))</f>
        <v>4</v>
      </c>
      <c r="M301" s="28" t="str">
        <f aca="false">IF(L301&gt;=5,"YES","no - dead move")</f>
        <v>no - dead move</v>
      </c>
    </row>
    <row r="302" customFormat="false" ht="15" hidden="false" customHeight="false" outlineLevel="0" collapsed="false">
      <c r="A302" s="17" t="n">
        <v>298</v>
      </c>
      <c r="B302" s="17" t="s">
        <v>44</v>
      </c>
      <c r="C302" s="17" t="s">
        <v>48</v>
      </c>
      <c r="D302" s="17" t="s">
        <v>50</v>
      </c>
      <c r="E302" s="17" t="s">
        <v>53</v>
      </c>
      <c r="F302" s="25" t="n">
        <f aca="false">SUMPRODUCT(--((('Yellow Bosses'!$L$5:$L$53&gt;=2)+('Yellow Bosses'!$P$5:$P$53&gt;=2)+('Yellow Bosses'!$R$5:$R$53&gt;=2)+('Yellow Bosses'!$U$5:$U$53&gt;=2))&gt;0))</f>
        <v>36</v>
      </c>
      <c r="G302" s="26" t="n">
        <f aca="false">F302/49</f>
        <v>0.73469387755102</v>
      </c>
      <c r="H302" s="25" t="n">
        <f aca="false">49-SUMPRODUCT(--((('Yellow Bosses'!$L$5:$L$53&gt;=1)+('Yellow Bosses'!$P$5:$P$53&gt;=1)+('Yellow Bosses'!$R$5:$R$53&gt;=1)+('Yellow Bosses'!$U$5:$U$53&gt;=1))&gt;0))</f>
        <v>1</v>
      </c>
      <c r="I302" s="25" t="n">
        <f aca="false">SUMPRODUCT(--((('Yellow Bosses'!$L$5:$L$53&gt;0)+('Yellow Bosses'!$P$5:$P$53&gt;0)+('Yellow Bosses'!$R$5:$R$53&gt;0)+('Yellow Bosses'!$U$5:$U$53&gt;0))=0))</f>
        <v>0</v>
      </c>
      <c r="J302" s="25" t="n">
        <f aca="false">SUMPRODUCT(--(((Effectiveness!$I$5:$I$155&gt;=2)+(Effectiveness!$M$5:$M$155&gt;=2)+(Effectiveness!$O$5:$O$155&gt;=2)+(Effectiveness!$R$5:$R$155&gt;=2))&gt;0))</f>
        <v>99</v>
      </c>
      <c r="K302" s="26" t="n">
        <f aca="false">J302/151</f>
        <v>0.655629139072848</v>
      </c>
      <c r="L302" s="25" t="n">
        <f aca="false">MIN(INDEX('Move Reality'!$F$5:$F$19,MATCH(B302,'Move Reality'!$A$5:$A$19,0)),INDEX('Move Reality'!$F$5:$F$19,MATCH(C302,'Move Reality'!$A$5:$A$19,0)),INDEX('Move Reality'!$F$5:$F$19,MATCH(D302,'Move Reality'!$A$5:$A$19,0)),INDEX('Move Reality'!$F$5:$F$19,MATCH(E302,'Move Reality'!$A$5:$A$19,0)))</f>
        <v>1</v>
      </c>
      <c r="M302" s="28" t="str">
        <f aca="false">IF(L302&gt;=5,"YES","no - dead move")</f>
        <v>no - dead move</v>
      </c>
    </row>
    <row r="303" customFormat="false" ht="15" hidden="false" customHeight="false" outlineLevel="0" collapsed="false">
      <c r="A303" s="17" t="n">
        <v>299</v>
      </c>
      <c r="B303" s="17" t="s">
        <v>40</v>
      </c>
      <c r="C303" s="17" t="s">
        <v>48</v>
      </c>
      <c r="D303" s="17" t="s">
        <v>49</v>
      </c>
      <c r="E303" s="17" t="s">
        <v>52</v>
      </c>
      <c r="F303" s="25" t="n">
        <f aca="false">SUMPRODUCT(--((('Yellow Bosses'!$H$5:$H$53&gt;=2)+('Yellow Bosses'!$P$5:$P$53&gt;=2)+('Yellow Bosses'!$Q$5:$Q$53&gt;=2)+('Yellow Bosses'!$T$5:$T$53&gt;=2))&gt;0))</f>
        <v>36</v>
      </c>
      <c r="G303" s="26" t="n">
        <f aca="false">F303/49</f>
        <v>0.73469387755102</v>
      </c>
      <c r="H303" s="25" t="n">
        <f aca="false">49-SUMPRODUCT(--((('Yellow Bosses'!$H$5:$H$53&gt;=1)+('Yellow Bosses'!$P$5:$P$53&gt;=1)+('Yellow Bosses'!$Q$5:$Q$53&gt;=1)+('Yellow Bosses'!$T$5:$T$53&gt;=1))&gt;0))</f>
        <v>0</v>
      </c>
      <c r="I303" s="25" t="n">
        <f aca="false">SUMPRODUCT(--((('Yellow Bosses'!$H$5:$H$53&gt;0)+('Yellow Bosses'!$P$5:$P$53&gt;0)+('Yellow Bosses'!$Q$5:$Q$53&gt;0)+('Yellow Bosses'!$T$5:$T$53&gt;0))=0))</f>
        <v>0</v>
      </c>
      <c r="J303" s="25" t="n">
        <f aca="false">SUMPRODUCT(--(((Effectiveness!$E$5:$E$155&gt;=2)+(Effectiveness!$M$5:$M$155&gt;=2)+(Effectiveness!$N$5:$N$155&gt;=2)+(Effectiveness!$Q$5:$Q$155&gt;=2))&gt;0))</f>
        <v>98</v>
      </c>
      <c r="K303" s="26" t="n">
        <f aca="false">J303/151</f>
        <v>0.649006622516556</v>
      </c>
      <c r="L303" s="25" t="n">
        <f aca="false">MIN(INDEX('Move Reality'!$F$5:$F$19,MATCH(B303,'Move Reality'!$A$5:$A$19,0)),INDEX('Move Reality'!$F$5:$F$19,MATCH(C303,'Move Reality'!$A$5:$A$19,0)),INDEX('Move Reality'!$F$5:$F$19,MATCH(D303,'Move Reality'!$A$5:$A$19,0)),INDEX('Move Reality'!$F$5:$F$19,MATCH(E303,'Move Reality'!$A$5:$A$19,0)))</f>
        <v>5</v>
      </c>
      <c r="M303" s="28" t="str">
        <f aca="false">IF(L303&gt;=5,"YES","no - dead move")</f>
        <v>YES</v>
      </c>
    </row>
    <row r="304" customFormat="false" ht="15" hidden="false" customHeight="false" outlineLevel="0" collapsed="false">
      <c r="A304" s="17" t="n">
        <v>300</v>
      </c>
      <c r="B304" s="17" t="s">
        <v>41</v>
      </c>
      <c r="C304" s="17" t="s">
        <v>48</v>
      </c>
      <c r="D304" s="17" t="s">
        <v>49</v>
      </c>
      <c r="E304" s="17" t="s">
        <v>52</v>
      </c>
      <c r="F304" s="25" t="n">
        <f aca="false">SUMPRODUCT(--((('Yellow Bosses'!$I$5:$I$53&gt;=2)+('Yellow Bosses'!$P$5:$P$53&gt;=2)+('Yellow Bosses'!$Q$5:$Q$53&gt;=2)+('Yellow Bosses'!$T$5:$T$53&gt;=2))&gt;0))</f>
        <v>36</v>
      </c>
      <c r="G304" s="26" t="n">
        <f aca="false">F304/49</f>
        <v>0.73469387755102</v>
      </c>
      <c r="H304" s="25" t="n">
        <f aca="false">49-SUMPRODUCT(--((('Yellow Bosses'!$I$5:$I$53&gt;=1)+('Yellow Bosses'!$P$5:$P$53&gt;=1)+('Yellow Bosses'!$Q$5:$Q$53&gt;=1)+('Yellow Bosses'!$T$5:$T$53&gt;=1))&gt;0))</f>
        <v>0</v>
      </c>
      <c r="I304" s="25" t="n">
        <f aca="false">SUMPRODUCT(--((('Yellow Bosses'!$I$5:$I$53&gt;0)+('Yellow Bosses'!$P$5:$P$53&gt;0)+('Yellow Bosses'!$Q$5:$Q$53&gt;0)+('Yellow Bosses'!$T$5:$T$53&gt;0))=0))</f>
        <v>0</v>
      </c>
      <c r="J304" s="25" t="n">
        <f aca="false">SUMPRODUCT(--(((Effectiveness!$F$5:$F$155&gt;=2)+(Effectiveness!$M$5:$M$155&gt;=2)+(Effectiveness!$N$5:$N$155&gt;=2)+(Effectiveness!$Q$5:$Q$155&gt;=2))&gt;0))</f>
        <v>98</v>
      </c>
      <c r="K304" s="26" t="n">
        <f aca="false">J304/151</f>
        <v>0.649006622516556</v>
      </c>
      <c r="L304" s="25" t="n">
        <f aca="false">MIN(INDEX('Move Reality'!$F$5:$F$19,MATCH(B304,'Move Reality'!$A$5:$A$19,0)),INDEX('Move Reality'!$F$5:$F$19,MATCH(C304,'Move Reality'!$A$5:$A$19,0)),INDEX('Move Reality'!$F$5:$F$19,MATCH(D304,'Move Reality'!$A$5:$A$19,0)),INDEX('Move Reality'!$F$5:$F$19,MATCH(E304,'Move Reality'!$A$5:$A$19,0)))</f>
        <v>5</v>
      </c>
      <c r="M304" s="28" t="str">
        <f aca="false">IF(L304&gt;=5,"YES","no - dead move")</f>
        <v>YES</v>
      </c>
    </row>
    <row r="305" customFormat="false" ht="15" hidden="false" customHeight="false" outlineLevel="0" collapsed="false">
      <c r="A305" s="17" t="n">
        <v>301</v>
      </c>
      <c r="B305" s="17" t="s">
        <v>41</v>
      </c>
      <c r="C305" s="17" t="s">
        <v>48</v>
      </c>
      <c r="D305" s="17" t="s">
        <v>50</v>
      </c>
      <c r="E305" s="17" t="s">
        <v>52</v>
      </c>
      <c r="F305" s="25" t="n">
        <f aca="false">SUMPRODUCT(--((('Yellow Bosses'!$I$5:$I$53&gt;=2)+('Yellow Bosses'!$P$5:$P$53&gt;=2)+('Yellow Bosses'!$R$5:$R$53&gt;=2)+('Yellow Bosses'!$T$5:$T$53&gt;=2))&gt;0))</f>
        <v>36</v>
      </c>
      <c r="G305" s="26" t="n">
        <f aca="false">F305/49</f>
        <v>0.73469387755102</v>
      </c>
      <c r="H305" s="25" t="n">
        <f aca="false">49-SUMPRODUCT(--((('Yellow Bosses'!$I$5:$I$53&gt;=1)+('Yellow Bosses'!$P$5:$P$53&gt;=1)+('Yellow Bosses'!$R$5:$R$53&gt;=1)+('Yellow Bosses'!$T$5:$T$53&gt;=1))&gt;0))</f>
        <v>0</v>
      </c>
      <c r="I305" s="25" t="n">
        <f aca="false">SUMPRODUCT(--((('Yellow Bosses'!$I$5:$I$53&gt;0)+('Yellow Bosses'!$P$5:$P$53&gt;0)+('Yellow Bosses'!$R$5:$R$53&gt;0)+('Yellow Bosses'!$T$5:$T$53&gt;0))=0))</f>
        <v>0</v>
      </c>
      <c r="J305" s="25" t="n">
        <f aca="false">SUMPRODUCT(--(((Effectiveness!$F$5:$F$155&gt;=2)+(Effectiveness!$M$5:$M$155&gt;=2)+(Effectiveness!$O$5:$O$155&gt;=2)+(Effectiveness!$Q$5:$Q$155&gt;=2))&gt;0))</f>
        <v>98</v>
      </c>
      <c r="K305" s="26" t="n">
        <f aca="false">J305/151</f>
        <v>0.649006622516556</v>
      </c>
      <c r="L305" s="25" t="n">
        <f aca="false">MIN(INDEX('Move Reality'!$F$5:$F$19,MATCH(B305,'Move Reality'!$A$5:$A$19,0)),INDEX('Move Reality'!$F$5:$F$19,MATCH(C305,'Move Reality'!$A$5:$A$19,0)),INDEX('Move Reality'!$F$5:$F$19,MATCH(D305,'Move Reality'!$A$5:$A$19,0)),INDEX('Move Reality'!$F$5:$F$19,MATCH(E305,'Move Reality'!$A$5:$A$19,0)))</f>
        <v>6</v>
      </c>
      <c r="M305" s="28" t="str">
        <f aca="false">IF(L305&gt;=5,"YES","no - dead move")</f>
        <v>YES</v>
      </c>
    </row>
    <row r="306" customFormat="false" ht="15" hidden="false" customHeight="false" outlineLevel="0" collapsed="false">
      <c r="A306" s="17" t="n">
        <v>302</v>
      </c>
      <c r="B306" s="17" t="s">
        <v>43</v>
      </c>
      <c r="C306" s="17" t="s">
        <v>45</v>
      </c>
      <c r="D306" s="17" t="s">
        <v>49</v>
      </c>
      <c r="E306" s="17" t="s">
        <v>53</v>
      </c>
      <c r="F306" s="25" t="n">
        <f aca="false">SUMPRODUCT(--((('Yellow Bosses'!$K$5:$K$53&gt;=2)+('Yellow Bosses'!$M$5:$M$53&gt;=2)+('Yellow Bosses'!$Q$5:$Q$53&gt;=2)+('Yellow Bosses'!$U$5:$U$53&gt;=2))&gt;0))</f>
        <v>36</v>
      </c>
      <c r="G306" s="26" t="n">
        <f aca="false">F306/49</f>
        <v>0.73469387755102</v>
      </c>
      <c r="H306" s="25" t="n">
        <f aca="false">49-SUMPRODUCT(--((('Yellow Bosses'!$K$5:$K$53&gt;=1)+('Yellow Bosses'!$M$5:$M$53&gt;=1)+('Yellow Bosses'!$Q$5:$Q$53&gt;=1)+('Yellow Bosses'!$U$5:$U$53&gt;=1))&gt;0))</f>
        <v>0</v>
      </c>
      <c r="I306" s="25" t="n">
        <f aca="false">SUMPRODUCT(--((('Yellow Bosses'!$K$5:$K$53&gt;0)+('Yellow Bosses'!$M$5:$M$53&gt;0)+('Yellow Bosses'!$Q$5:$Q$53&gt;0)+('Yellow Bosses'!$U$5:$U$53&gt;0))=0))</f>
        <v>0</v>
      </c>
      <c r="J306" s="25" t="n">
        <f aca="false">SUMPRODUCT(--(((Effectiveness!$H$5:$H$155&gt;=2)+(Effectiveness!$J$5:$J$155&gt;=2)+(Effectiveness!$N$5:$N$155&gt;=2)+(Effectiveness!$R$5:$R$155&gt;=2))&gt;0))</f>
        <v>98</v>
      </c>
      <c r="K306" s="26" t="n">
        <f aca="false">J306/151</f>
        <v>0.649006622516556</v>
      </c>
      <c r="L306" s="25" t="n">
        <f aca="false">MIN(INDEX('Move Reality'!$F$5:$F$19,MATCH(B306,'Move Reality'!$A$5:$A$19,0)),INDEX('Move Reality'!$F$5:$F$19,MATCH(C306,'Move Reality'!$A$5:$A$19,0)),INDEX('Move Reality'!$F$5:$F$19,MATCH(D306,'Move Reality'!$A$5:$A$19,0)),INDEX('Move Reality'!$F$5:$F$19,MATCH(E306,'Move Reality'!$A$5:$A$19,0)))</f>
        <v>1</v>
      </c>
      <c r="M306" s="28" t="str">
        <f aca="false">IF(L306&gt;=5,"YES","no - dead move")</f>
        <v>no - dead move</v>
      </c>
    </row>
    <row r="307" customFormat="false" ht="15" hidden="false" customHeight="false" outlineLevel="0" collapsed="false">
      <c r="A307" s="17" t="n">
        <v>303</v>
      </c>
      <c r="B307" s="17" t="s">
        <v>44</v>
      </c>
      <c r="C307" s="17" t="s">
        <v>49</v>
      </c>
      <c r="D307" s="17" t="s">
        <v>51</v>
      </c>
      <c r="E307" s="17" t="s">
        <v>53</v>
      </c>
      <c r="F307" s="25" t="n">
        <f aca="false">SUMPRODUCT(--((('Yellow Bosses'!$L$5:$L$53&gt;=2)+('Yellow Bosses'!$Q$5:$Q$53&gt;=2)+('Yellow Bosses'!$S$5:$S$53&gt;=2)+('Yellow Bosses'!$U$5:$U$53&gt;=2))&gt;0))</f>
        <v>36</v>
      </c>
      <c r="G307" s="26" t="n">
        <f aca="false">F307/49</f>
        <v>0.73469387755102</v>
      </c>
      <c r="H307" s="25" t="n">
        <f aca="false">49-SUMPRODUCT(--((('Yellow Bosses'!$L$5:$L$53&gt;=1)+('Yellow Bosses'!$Q$5:$Q$53&gt;=1)+('Yellow Bosses'!$S$5:$S$53&gt;=1)+('Yellow Bosses'!$U$5:$U$53&gt;=1))&gt;0))</f>
        <v>0</v>
      </c>
      <c r="I307" s="25" t="n">
        <f aca="false">SUMPRODUCT(--((('Yellow Bosses'!$L$5:$L$53&gt;0)+('Yellow Bosses'!$Q$5:$Q$53&gt;0)+('Yellow Bosses'!$S$5:$S$53&gt;0)+('Yellow Bosses'!$U$5:$U$53&gt;0))=0))</f>
        <v>0</v>
      </c>
      <c r="J307" s="25" t="n">
        <f aca="false">SUMPRODUCT(--(((Effectiveness!$I$5:$I$155&gt;=2)+(Effectiveness!$N$5:$N$155&gt;=2)+(Effectiveness!$P$5:$P$155&gt;=2)+(Effectiveness!$R$5:$R$155&gt;=2))&gt;0))</f>
        <v>98</v>
      </c>
      <c r="K307" s="26" t="n">
        <f aca="false">J307/151</f>
        <v>0.649006622516556</v>
      </c>
      <c r="L307" s="25" t="n">
        <f aca="false">MIN(INDEX('Move Reality'!$F$5:$F$19,MATCH(B307,'Move Reality'!$A$5:$A$19,0)),INDEX('Move Reality'!$F$5:$F$19,MATCH(C307,'Move Reality'!$A$5:$A$19,0)),INDEX('Move Reality'!$F$5:$F$19,MATCH(D307,'Move Reality'!$A$5:$A$19,0)),INDEX('Move Reality'!$F$5:$F$19,MATCH(E307,'Move Reality'!$A$5:$A$19,0)))</f>
        <v>1</v>
      </c>
      <c r="M307" s="28" t="str">
        <f aca="false">IF(L307&gt;=5,"YES","no - dead move")</f>
        <v>no - dead move</v>
      </c>
    </row>
    <row r="308" customFormat="false" ht="15" hidden="false" customHeight="false" outlineLevel="0" collapsed="false">
      <c r="A308" s="17" t="n">
        <v>304</v>
      </c>
      <c r="B308" s="17" t="s">
        <v>44</v>
      </c>
      <c r="C308" s="17" t="s">
        <v>49</v>
      </c>
      <c r="D308" s="17" t="s">
        <v>51</v>
      </c>
      <c r="E308" s="17" t="s">
        <v>54</v>
      </c>
      <c r="F308" s="25" t="n">
        <f aca="false">SUMPRODUCT(--((('Yellow Bosses'!$L$5:$L$53&gt;=2)+('Yellow Bosses'!$Q$5:$Q$53&gt;=2)+('Yellow Bosses'!$S$5:$S$53&gt;=2)+('Yellow Bosses'!$V$5:$V$53&gt;=2))&gt;0))</f>
        <v>36</v>
      </c>
      <c r="G308" s="26" t="n">
        <f aca="false">F308/49</f>
        <v>0.73469387755102</v>
      </c>
      <c r="H308" s="25" t="n">
        <f aca="false">49-SUMPRODUCT(--((('Yellow Bosses'!$L$5:$L$53&gt;=1)+('Yellow Bosses'!$Q$5:$Q$53&gt;=1)+('Yellow Bosses'!$S$5:$S$53&gt;=1)+('Yellow Bosses'!$V$5:$V$53&gt;=1))&gt;0))</f>
        <v>0</v>
      </c>
      <c r="I308" s="25" t="n">
        <f aca="false">SUMPRODUCT(--((('Yellow Bosses'!$L$5:$L$53&gt;0)+('Yellow Bosses'!$Q$5:$Q$53&gt;0)+('Yellow Bosses'!$S$5:$S$53&gt;0)+('Yellow Bosses'!$V$5:$V$53&gt;0))=0))</f>
        <v>0</v>
      </c>
      <c r="J308" s="25" t="n">
        <f aca="false">SUMPRODUCT(--(((Effectiveness!$I$5:$I$155&gt;=2)+(Effectiveness!$N$5:$N$155&gt;=2)+(Effectiveness!$P$5:$P$155&gt;=2)+(Effectiveness!$S$5:$S$155&gt;=2))&gt;0))</f>
        <v>98</v>
      </c>
      <c r="K308" s="26" t="n">
        <f aca="false">J308/151</f>
        <v>0.649006622516556</v>
      </c>
      <c r="L308" s="25" t="n">
        <f aca="false">MIN(INDEX('Move Reality'!$F$5:$F$19,MATCH(B308,'Move Reality'!$A$5:$A$19,0)),INDEX('Move Reality'!$F$5:$F$19,MATCH(C308,'Move Reality'!$A$5:$A$19,0)),INDEX('Move Reality'!$F$5:$F$19,MATCH(D308,'Move Reality'!$A$5:$A$19,0)),INDEX('Move Reality'!$F$5:$F$19,MATCH(E308,'Move Reality'!$A$5:$A$19,0)))</f>
        <v>1</v>
      </c>
      <c r="M308" s="28" t="str">
        <f aca="false">IF(L308&gt;=5,"YES","no - dead move")</f>
        <v>no - dead move</v>
      </c>
    </row>
    <row r="309" customFormat="false" ht="15" hidden="false" customHeight="false" outlineLevel="0" collapsed="false">
      <c r="A309" s="17" t="n">
        <v>305</v>
      </c>
      <c r="B309" s="17" t="s">
        <v>47</v>
      </c>
      <c r="C309" s="17" t="s">
        <v>48</v>
      </c>
      <c r="D309" s="17" t="s">
        <v>49</v>
      </c>
      <c r="E309" s="17" t="s">
        <v>52</v>
      </c>
      <c r="F309" s="25" t="n">
        <f aca="false">SUMPRODUCT(--((('Yellow Bosses'!$O$5:$O$53&gt;=2)+('Yellow Bosses'!$P$5:$P$53&gt;=2)+('Yellow Bosses'!$Q$5:$Q$53&gt;=2)+('Yellow Bosses'!$T$5:$T$53&gt;=2))&gt;0))</f>
        <v>36</v>
      </c>
      <c r="G309" s="26" t="n">
        <f aca="false">F309/49</f>
        <v>0.73469387755102</v>
      </c>
      <c r="H309" s="25" t="n">
        <f aca="false">49-SUMPRODUCT(--((('Yellow Bosses'!$O$5:$O$53&gt;=1)+('Yellow Bosses'!$P$5:$P$53&gt;=1)+('Yellow Bosses'!$Q$5:$Q$53&gt;=1)+('Yellow Bosses'!$T$5:$T$53&gt;=1))&gt;0))</f>
        <v>0</v>
      </c>
      <c r="I309" s="25" t="n">
        <f aca="false">SUMPRODUCT(--((('Yellow Bosses'!$O$5:$O$53&gt;0)+('Yellow Bosses'!$P$5:$P$53&gt;0)+('Yellow Bosses'!$Q$5:$Q$53&gt;0)+('Yellow Bosses'!$T$5:$T$53&gt;0))=0))</f>
        <v>0</v>
      </c>
      <c r="J309" s="25" t="n">
        <f aca="false">SUMPRODUCT(--(((Effectiveness!$L$5:$L$155&gt;=2)+(Effectiveness!$M$5:$M$155&gt;=2)+(Effectiveness!$N$5:$N$155&gt;=2)+(Effectiveness!$Q$5:$Q$155&gt;=2))&gt;0))</f>
        <v>98</v>
      </c>
      <c r="K309" s="26" t="n">
        <f aca="false">J309/151</f>
        <v>0.649006622516556</v>
      </c>
      <c r="L309" s="25" t="n">
        <f aca="false">MIN(INDEX('Move Reality'!$F$5:$F$19,MATCH(B309,'Move Reality'!$A$5:$A$19,0)),INDEX('Move Reality'!$F$5:$F$19,MATCH(C309,'Move Reality'!$A$5:$A$19,0)),INDEX('Move Reality'!$F$5:$F$19,MATCH(D309,'Move Reality'!$A$5:$A$19,0)),INDEX('Move Reality'!$F$5:$F$19,MATCH(E309,'Move Reality'!$A$5:$A$19,0)))</f>
        <v>2</v>
      </c>
      <c r="M309" s="28" t="str">
        <f aca="false">IF(L309&gt;=5,"YES","no - dead move")</f>
        <v>no - dead move</v>
      </c>
    </row>
    <row r="310" customFormat="false" ht="15" hidden="false" customHeight="false" outlineLevel="0" collapsed="false">
      <c r="A310" s="17" t="n">
        <v>306</v>
      </c>
      <c r="B310" s="17" t="s">
        <v>47</v>
      </c>
      <c r="C310" s="17" t="s">
        <v>48</v>
      </c>
      <c r="D310" s="17" t="s">
        <v>50</v>
      </c>
      <c r="E310" s="17" t="s">
        <v>52</v>
      </c>
      <c r="F310" s="25" t="n">
        <f aca="false">SUMPRODUCT(--((('Yellow Bosses'!$O$5:$O$53&gt;=2)+('Yellow Bosses'!$P$5:$P$53&gt;=2)+('Yellow Bosses'!$R$5:$R$53&gt;=2)+('Yellow Bosses'!$T$5:$T$53&gt;=2))&gt;0))</f>
        <v>36</v>
      </c>
      <c r="G310" s="26" t="n">
        <f aca="false">F310/49</f>
        <v>0.73469387755102</v>
      </c>
      <c r="H310" s="25" t="n">
        <f aca="false">49-SUMPRODUCT(--((('Yellow Bosses'!$O$5:$O$53&gt;=1)+('Yellow Bosses'!$P$5:$P$53&gt;=1)+('Yellow Bosses'!$R$5:$R$53&gt;=1)+('Yellow Bosses'!$T$5:$T$53&gt;=1))&gt;0))</f>
        <v>0</v>
      </c>
      <c r="I310" s="25" t="n">
        <f aca="false">SUMPRODUCT(--((('Yellow Bosses'!$O$5:$O$53&gt;0)+('Yellow Bosses'!$P$5:$P$53&gt;0)+('Yellow Bosses'!$R$5:$R$53&gt;0)+('Yellow Bosses'!$T$5:$T$53&gt;0))=0))</f>
        <v>0</v>
      </c>
      <c r="J310" s="25" t="n">
        <f aca="false">SUMPRODUCT(--(((Effectiveness!$L$5:$L$155&gt;=2)+(Effectiveness!$M$5:$M$155&gt;=2)+(Effectiveness!$O$5:$O$155&gt;=2)+(Effectiveness!$Q$5:$Q$155&gt;=2))&gt;0))</f>
        <v>98</v>
      </c>
      <c r="K310" s="26" t="n">
        <f aca="false">J310/151</f>
        <v>0.649006622516556</v>
      </c>
      <c r="L310" s="25" t="n">
        <f aca="false">MIN(INDEX('Move Reality'!$F$5:$F$19,MATCH(B310,'Move Reality'!$A$5:$A$19,0)),INDEX('Move Reality'!$F$5:$F$19,MATCH(C310,'Move Reality'!$A$5:$A$19,0)),INDEX('Move Reality'!$F$5:$F$19,MATCH(D310,'Move Reality'!$A$5:$A$19,0)),INDEX('Move Reality'!$F$5:$F$19,MATCH(E310,'Move Reality'!$A$5:$A$19,0)))</f>
        <v>2</v>
      </c>
      <c r="M310" s="28" t="str">
        <f aca="false">IF(L310&gt;=5,"YES","no - dead move")</f>
        <v>no - dead move</v>
      </c>
    </row>
    <row r="311" customFormat="false" ht="15" hidden="false" customHeight="false" outlineLevel="0" collapsed="false">
      <c r="A311" s="17" t="n">
        <v>307</v>
      </c>
      <c r="B311" s="17" t="s">
        <v>48</v>
      </c>
      <c r="C311" s="17" t="s">
        <v>49</v>
      </c>
      <c r="D311" s="17" t="s">
        <v>50</v>
      </c>
      <c r="E311" s="17" t="s">
        <v>52</v>
      </c>
      <c r="F311" s="25" t="n">
        <f aca="false">SUMPRODUCT(--((('Yellow Bosses'!$P$5:$P$53&gt;=2)+('Yellow Bosses'!$Q$5:$Q$53&gt;=2)+('Yellow Bosses'!$R$5:$R$53&gt;=2)+('Yellow Bosses'!$T$5:$T$53&gt;=2))&gt;0))</f>
        <v>36</v>
      </c>
      <c r="G311" s="26" t="n">
        <f aca="false">F311/49</f>
        <v>0.73469387755102</v>
      </c>
      <c r="H311" s="25" t="n">
        <f aca="false">49-SUMPRODUCT(--((('Yellow Bosses'!$P$5:$P$53&gt;=1)+('Yellow Bosses'!$Q$5:$Q$53&gt;=1)+('Yellow Bosses'!$R$5:$R$53&gt;=1)+('Yellow Bosses'!$T$5:$T$53&gt;=1))&gt;0))</f>
        <v>0</v>
      </c>
      <c r="I311" s="25" t="n">
        <f aca="false">SUMPRODUCT(--((('Yellow Bosses'!$P$5:$P$53&gt;0)+('Yellow Bosses'!$Q$5:$Q$53&gt;0)+('Yellow Bosses'!$R$5:$R$53&gt;0)+('Yellow Bosses'!$T$5:$T$53&gt;0))=0))</f>
        <v>0</v>
      </c>
      <c r="J311" s="25" t="n">
        <f aca="false">SUMPRODUCT(--(((Effectiveness!$M$5:$M$155&gt;=2)+(Effectiveness!$N$5:$N$155&gt;=2)+(Effectiveness!$O$5:$O$155&gt;=2)+(Effectiveness!$Q$5:$Q$155&gt;=2))&gt;0))</f>
        <v>98</v>
      </c>
      <c r="K311" s="26" t="n">
        <f aca="false">J311/151</f>
        <v>0.649006622516556</v>
      </c>
      <c r="L311" s="25" t="n">
        <f aca="false">MIN(INDEX('Move Reality'!$F$5:$F$19,MATCH(B311,'Move Reality'!$A$5:$A$19,0)),INDEX('Move Reality'!$F$5:$F$19,MATCH(C311,'Move Reality'!$A$5:$A$19,0)),INDEX('Move Reality'!$F$5:$F$19,MATCH(D311,'Move Reality'!$A$5:$A$19,0)),INDEX('Move Reality'!$F$5:$F$19,MATCH(E311,'Move Reality'!$A$5:$A$19,0)))</f>
        <v>5</v>
      </c>
      <c r="M311" s="28" t="str">
        <f aca="false">IF(L311&gt;=5,"YES","no - dead move")</f>
        <v>YES</v>
      </c>
    </row>
    <row r="312" customFormat="false" ht="15" hidden="false" customHeight="false" outlineLevel="0" collapsed="false">
      <c r="A312" s="17" t="n">
        <v>308</v>
      </c>
      <c r="B312" s="17" t="s">
        <v>48</v>
      </c>
      <c r="C312" s="17" t="s">
        <v>49</v>
      </c>
      <c r="D312" s="17" t="s">
        <v>52</v>
      </c>
      <c r="E312" s="17" t="s">
        <v>53</v>
      </c>
      <c r="F312" s="25" t="n">
        <f aca="false">SUMPRODUCT(--((('Yellow Bosses'!$P$5:$P$53&gt;=2)+('Yellow Bosses'!$Q$5:$Q$53&gt;=2)+('Yellow Bosses'!$T$5:$T$53&gt;=2)+('Yellow Bosses'!$U$5:$U$53&gt;=2))&gt;0))</f>
        <v>36</v>
      </c>
      <c r="G312" s="26" t="n">
        <f aca="false">F312/49</f>
        <v>0.73469387755102</v>
      </c>
      <c r="H312" s="25" t="n">
        <f aca="false">49-SUMPRODUCT(--((('Yellow Bosses'!$P$5:$P$53&gt;=1)+('Yellow Bosses'!$Q$5:$Q$53&gt;=1)+('Yellow Bosses'!$T$5:$T$53&gt;=1)+('Yellow Bosses'!$U$5:$U$53&gt;=1))&gt;0))</f>
        <v>0</v>
      </c>
      <c r="I312" s="25" t="n">
        <f aca="false">SUMPRODUCT(--((('Yellow Bosses'!$P$5:$P$53&gt;0)+('Yellow Bosses'!$Q$5:$Q$53&gt;0)+('Yellow Bosses'!$T$5:$T$53&gt;0)+('Yellow Bosses'!$U$5:$U$53&gt;0))=0))</f>
        <v>0</v>
      </c>
      <c r="J312" s="25" t="n">
        <f aca="false">SUMPRODUCT(--(((Effectiveness!$M$5:$M$155&gt;=2)+(Effectiveness!$N$5:$N$155&gt;=2)+(Effectiveness!$Q$5:$Q$155&gt;=2)+(Effectiveness!$R$5:$R$155&gt;=2))&gt;0))</f>
        <v>98</v>
      </c>
      <c r="K312" s="26" t="n">
        <f aca="false">J312/151</f>
        <v>0.649006622516556</v>
      </c>
      <c r="L312" s="25" t="n">
        <f aca="false">MIN(INDEX('Move Reality'!$F$5:$F$19,MATCH(B312,'Move Reality'!$A$5:$A$19,0)),INDEX('Move Reality'!$F$5:$F$19,MATCH(C312,'Move Reality'!$A$5:$A$19,0)),INDEX('Move Reality'!$F$5:$F$19,MATCH(D312,'Move Reality'!$A$5:$A$19,0)),INDEX('Move Reality'!$F$5:$F$19,MATCH(E312,'Move Reality'!$A$5:$A$19,0)))</f>
        <v>1</v>
      </c>
      <c r="M312" s="28" t="str">
        <f aca="false">IF(L312&gt;=5,"YES","no - dead move")</f>
        <v>no - dead move</v>
      </c>
    </row>
    <row r="313" customFormat="false" ht="15" hidden="false" customHeight="false" outlineLevel="0" collapsed="false">
      <c r="A313" s="17" t="n">
        <v>309</v>
      </c>
      <c r="B313" s="17" t="s">
        <v>48</v>
      </c>
      <c r="C313" s="17" t="s">
        <v>50</v>
      </c>
      <c r="D313" s="17" t="s">
        <v>52</v>
      </c>
      <c r="E313" s="17" t="s">
        <v>54</v>
      </c>
      <c r="F313" s="25" t="n">
        <f aca="false">SUMPRODUCT(--((('Yellow Bosses'!$P$5:$P$53&gt;=2)+('Yellow Bosses'!$R$5:$R$53&gt;=2)+('Yellow Bosses'!$T$5:$T$53&gt;=2)+('Yellow Bosses'!$V$5:$V$53&gt;=2))&gt;0))</f>
        <v>36</v>
      </c>
      <c r="G313" s="26" t="n">
        <f aca="false">F313/49</f>
        <v>0.73469387755102</v>
      </c>
      <c r="H313" s="25" t="n">
        <f aca="false">49-SUMPRODUCT(--((('Yellow Bosses'!$P$5:$P$53&gt;=1)+('Yellow Bosses'!$R$5:$R$53&gt;=1)+('Yellow Bosses'!$T$5:$T$53&gt;=1)+('Yellow Bosses'!$V$5:$V$53&gt;=1))&gt;0))</f>
        <v>0</v>
      </c>
      <c r="I313" s="25" t="n">
        <f aca="false">SUMPRODUCT(--((('Yellow Bosses'!$P$5:$P$53&gt;0)+('Yellow Bosses'!$R$5:$R$53&gt;0)+('Yellow Bosses'!$T$5:$T$53&gt;0)+('Yellow Bosses'!$V$5:$V$53&gt;0))=0))</f>
        <v>0</v>
      </c>
      <c r="J313" s="25" t="n">
        <f aca="false">SUMPRODUCT(--(((Effectiveness!$M$5:$M$155&gt;=2)+(Effectiveness!$O$5:$O$155&gt;=2)+(Effectiveness!$Q$5:$Q$155&gt;=2)+(Effectiveness!$S$5:$S$155&gt;=2))&gt;0))</f>
        <v>97</v>
      </c>
      <c r="K313" s="26" t="n">
        <f aca="false">J313/151</f>
        <v>0.642384105960265</v>
      </c>
      <c r="L313" s="25" t="n">
        <f aca="false">MIN(INDEX('Move Reality'!$F$5:$F$19,MATCH(B313,'Move Reality'!$A$5:$A$19,0)),INDEX('Move Reality'!$F$5:$F$19,MATCH(C313,'Move Reality'!$A$5:$A$19,0)),INDEX('Move Reality'!$F$5:$F$19,MATCH(D313,'Move Reality'!$A$5:$A$19,0)),INDEX('Move Reality'!$F$5:$F$19,MATCH(E313,'Move Reality'!$A$5:$A$19,0)))</f>
        <v>1</v>
      </c>
      <c r="M313" s="28" t="str">
        <f aca="false">IF(L313&gt;=5,"YES","no - dead move")</f>
        <v>no - dead move</v>
      </c>
    </row>
    <row r="314" customFormat="false" ht="15" hidden="false" customHeight="false" outlineLevel="0" collapsed="false">
      <c r="A314" s="17" t="n">
        <v>310</v>
      </c>
      <c r="B314" s="17" t="s">
        <v>41</v>
      </c>
      <c r="C314" s="17" t="s">
        <v>44</v>
      </c>
      <c r="D314" s="17" t="s">
        <v>50</v>
      </c>
      <c r="E314" s="17" t="s">
        <v>54</v>
      </c>
      <c r="F314" s="25" t="n">
        <f aca="false">SUMPRODUCT(--((('Yellow Bosses'!$I$5:$I$53&gt;=2)+('Yellow Bosses'!$L$5:$L$53&gt;=2)+('Yellow Bosses'!$R$5:$R$53&gt;=2)+('Yellow Bosses'!$V$5:$V$53&gt;=2))&gt;0))</f>
        <v>36</v>
      </c>
      <c r="G314" s="26" t="n">
        <f aca="false">F314/49</f>
        <v>0.73469387755102</v>
      </c>
      <c r="H314" s="25" t="n">
        <f aca="false">49-SUMPRODUCT(--((('Yellow Bosses'!$I$5:$I$53&gt;=1)+('Yellow Bosses'!$L$5:$L$53&gt;=1)+('Yellow Bosses'!$R$5:$R$53&gt;=1)+('Yellow Bosses'!$V$5:$V$53&gt;=1))&gt;0))</f>
        <v>0</v>
      </c>
      <c r="I314" s="25" t="n">
        <f aca="false">SUMPRODUCT(--((('Yellow Bosses'!$I$5:$I$53&gt;0)+('Yellow Bosses'!$L$5:$L$53&gt;0)+('Yellow Bosses'!$R$5:$R$53&gt;0)+('Yellow Bosses'!$V$5:$V$53&gt;0))=0))</f>
        <v>0</v>
      </c>
      <c r="J314" s="25" t="n">
        <f aca="false">SUMPRODUCT(--(((Effectiveness!$F$5:$F$155&gt;=2)+(Effectiveness!$I$5:$I$155&gt;=2)+(Effectiveness!$O$5:$O$155&gt;=2)+(Effectiveness!$S$5:$S$155&gt;=2))&gt;0))</f>
        <v>96</v>
      </c>
      <c r="K314" s="26" t="n">
        <f aca="false">J314/151</f>
        <v>0.635761589403974</v>
      </c>
      <c r="L314" s="25" t="n">
        <f aca="false">MIN(INDEX('Move Reality'!$F$5:$F$19,MATCH(B314,'Move Reality'!$A$5:$A$19,0)),INDEX('Move Reality'!$F$5:$F$19,MATCH(C314,'Move Reality'!$A$5:$A$19,0)),INDEX('Move Reality'!$F$5:$F$19,MATCH(D314,'Move Reality'!$A$5:$A$19,0)),INDEX('Move Reality'!$F$5:$F$19,MATCH(E314,'Move Reality'!$A$5:$A$19,0)))</f>
        <v>1</v>
      </c>
      <c r="M314" s="28" t="str">
        <f aca="false">IF(L314&gt;=5,"YES","no - dead move")</f>
        <v>no - dead move</v>
      </c>
    </row>
    <row r="315" customFormat="false" ht="15" hidden="false" customHeight="false" outlineLevel="0" collapsed="false">
      <c r="A315" s="17" t="n">
        <v>311</v>
      </c>
      <c r="B315" s="17" t="s">
        <v>40</v>
      </c>
      <c r="C315" s="17" t="s">
        <v>46</v>
      </c>
      <c r="D315" s="17" t="s">
        <v>48</v>
      </c>
      <c r="E315" s="17" t="s">
        <v>51</v>
      </c>
      <c r="F315" s="25" t="n">
        <f aca="false">SUMPRODUCT(--((('Yellow Bosses'!$H$5:$H$53&gt;=2)+('Yellow Bosses'!$N$5:$N$53&gt;=2)+('Yellow Bosses'!$P$5:$P$53&gt;=2)+('Yellow Bosses'!$S$5:$S$53&gt;=2))&gt;0))</f>
        <v>36</v>
      </c>
      <c r="G315" s="26" t="n">
        <f aca="false">F315/49</f>
        <v>0.73469387755102</v>
      </c>
      <c r="H315" s="25" t="n">
        <f aca="false">49-SUMPRODUCT(--((('Yellow Bosses'!$H$5:$H$53&gt;=1)+('Yellow Bosses'!$N$5:$N$53&gt;=1)+('Yellow Bosses'!$P$5:$P$53&gt;=1)+('Yellow Bosses'!$S$5:$S$53&gt;=1))&gt;0))</f>
        <v>0</v>
      </c>
      <c r="I315" s="25" t="n">
        <f aca="false">SUMPRODUCT(--((('Yellow Bosses'!$H$5:$H$53&gt;0)+('Yellow Bosses'!$N$5:$N$53&gt;0)+('Yellow Bosses'!$P$5:$P$53&gt;0)+('Yellow Bosses'!$S$5:$S$53&gt;0))=0))</f>
        <v>0</v>
      </c>
      <c r="J315" s="25" t="n">
        <f aca="false">SUMPRODUCT(--(((Effectiveness!$E$5:$E$155&gt;=2)+(Effectiveness!$K$5:$K$155&gt;=2)+(Effectiveness!$M$5:$M$155&gt;=2)+(Effectiveness!$P$5:$P$155&gt;=2))&gt;0))</f>
        <v>95</v>
      </c>
      <c r="K315" s="26" t="n">
        <f aca="false">J315/151</f>
        <v>0.629139072847682</v>
      </c>
      <c r="L315" s="25" t="n">
        <f aca="false">MIN(INDEX('Move Reality'!$F$5:$F$19,MATCH(B315,'Move Reality'!$A$5:$A$19,0)),INDEX('Move Reality'!$F$5:$F$19,MATCH(C315,'Move Reality'!$A$5:$A$19,0)),INDEX('Move Reality'!$F$5:$F$19,MATCH(D315,'Move Reality'!$A$5:$A$19,0)),INDEX('Move Reality'!$F$5:$F$19,MATCH(E315,'Move Reality'!$A$5:$A$19,0)))</f>
        <v>1</v>
      </c>
      <c r="M315" s="28" t="str">
        <f aca="false">IF(L315&gt;=5,"YES","no - dead move")</f>
        <v>no - dead move</v>
      </c>
    </row>
    <row r="316" customFormat="false" ht="15" hidden="false" customHeight="false" outlineLevel="0" collapsed="false">
      <c r="A316" s="17" t="n">
        <v>312</v>
      </c>
      <c r="B316" s="17" t="s">
        <v>46</v>
      </c>
      <c r="C316" s="17" t="s">
        <v>48</v>
      </c>
      <c r="D316" s="17" t="s">
        <v>51</v>
      </c>
      <c r="E316" s="17" t="s">
        <v>53</v>
      </c>
      <c r="F316" s="25" t="n">
        <f aca="false">SUMPRODUCT(--((('Yellow Bosses'!$N$5:$N$53&gt;=2)+('Yellow Bosses'!$P$5:$P$53&gt;=2)+('Yellow Bosses'!$S$5:$S$53&gt;=2)+('Yellow Bosses'!$U$5:$U$53&gt;=2))&gt;0))</f>
        <v>36</v>
      </c>
      <c r="G316" s="26" t="n">
        <f aca="false">F316/49</f>
        <v>0.73469387755102</v>
      </c>
      <c r="H316" s="25" t="n">
        <f aca="false">49-SUMPRODUCT(--((('Yellow Bosses'!$N$5:$N$53&gt;=1)+('Yellow Bosses'!$P$5:$P$53&gt;=1)+('Yellow Bosses'!$S$5:$S$53&gt;=1)+('Yellow Bosses'!$U$5:$U$53&gt;=1))&gt;0))</f>
        <v>0</v>
      </c>
      <c r="I316" s="25" t="n">
        <f aca="false">SUMPRODUCT(--((('Yellow Bosses'!$N$5:$N$53&gt;0)+('Yellow Bosses'!$P$5:$P$53&gt;0)+('Yellow Bosses'!$S$5:$S$53&gt;0)+('Yellow Bosses'!$U$5:$U$53&gt;0))=0))</f>
        <v>0</v>
      </c>
      <c r="J316" s="25" t="n">
        <f aca="false">SUMPRODUCT(--(((Effectiveness!$K$5:$K$155&gt;=2)+(Effectiveness!$M$5:$M$155&gt;=2)+(Effectiveness!$P$5:$P$155&gt;=2)+(Effectiveness!$R$5:$R$155&gt;=2))&gt;0))</f>
        <v>95</v>
      </c>
      <c r="K316" s="26" t="n">
        <f aca="false">J316/151</f>
        <v>0.629139072847682</v>
      </c>
      <c r="L316" s="25" t="n">
        <f aca="false">MIN(INDEX('Move Reality'!$F$5:$F$19,MATCH(B316,'Move Reality'!$A$5:$A$19,0)),INDEX('Move Reality'!$F$5:$F$19,MATCH(C316,'Move Reality'!$A$5:$A$19,0)),INDEX('Move Reality'!$F$5:$F$19,MATCH(D316,'Move Reality'!$A$5:$A$19,0)),INDEX('Move Reality'!$F$5:$F$19,MATCH(E316,'Move Reality'!$A$5:$A$19,0)))</f>
        <v>1</v>
      </c>
      <c r="M316" s="28" t="str">
        <f aca="false">IF(L316&gt;=5,"YES","no - dead move")</f>
        <v>no - dead move</v>
      </c>
    </row>
    <row r="317" customFormat="false" ht="15" hidden="false" customHeight="false" outlineLevel="0" collapsed="false">
      <c r="A317" s="17" t="n">
        <v>313</v>
      </c>
      <c r="B317" s="17" t="s">
        <v>40</v>
      </c>
      <c r="C317" s="17" t="s">
        <v>42</v>
      </c>
      <c r="D317" s="17" t="s">
        <v>51</v>
      </c>
      <c r="E317" s="17" t="s">
        <v>52</v>
      </c>
      <c r="F317" s="25" t="n">
        <f aca="false">SUMPRODUCT(--((('Yellow Bosses'!$H$5:$H$53&gt;=2)+('Yellow Bosses'!$J$5:$J$53&gt;=2)+('Yellow Bosses'!$S$5:$S$53&gt;=2)+('Yellow Bosses'!$T$5:$T$53&gt;=2))&gt;0))</f>
        <v>36</v>
      </c>
      <c r="G317" s="26" t="n">
        <f aca="false">F317/49</f>
        <v>0.73469387755102</v>
      </c>
      <c r="H317" s="25" t="n">
        <f aca="false">49-SUMPRODUCT(--((('Yellow Bosses'!$H$5:$H$53&gt;=1)+('Yellow Bosses'!$J$5:$J$53&gt;=1)+('Yellow Bosses'!$S$5:$S$53&gt;=1)+('Yellow Bosses'!$T$5:$T$53&gt;=1))&gt;0))</f>
        <v>0</v>
      </c>
      <c r="I317" s="25" t="n">
        <f aca="false">SUMPRODUCT(--((('Yellow Bosses'!$H$5:$H$53&gt;0)+('Yellow Bosses'!$J$5:$J$53&gt;0)+('Yellow Bosses'!$S$5:$S$53&gt;0)+('Yellow Bosses'!$T$5:$T$53&gt;0))=0))</f>
        <v>0</v>
      </c>
      <c r="J317" s="25" t="n">
        <f aca="false">SUMPRODUCT(--(((Effectiveness!$E$5:$E$155&gt;=2)+(Effectiveness!$G$5:$G$155&gt;=2)+(Effectiveness!$P$5:$P$155&gt;=2)+(Effectiveness!$Q$5:$Q$155&gt;=2))&gt;0))</f>
        <v>92</v>
      </c>
      <c r="K317" s="26" t="n">
        <f aca="false">J317/151</f>
        <v>0.609271523178808</v>
      </c>
      <c r="L317" s="25" t="n">
        <f aca="false">MIN(INDEX('Move Reality'!$F$5:$F$19,MATCH(B317,'Move Reality'!$A$5:$A$19,0)),INDEX('Move Reality'!$F$5:$F$19,MATCH(C317,'Move Reality'!$A$5:$A$19,0)),INDEX('Move Reality'!$F$5:$F$19,MATCH(D317,'Move Reality'!$A$5:$A$19,0)),INDEX('Move Reality'!$F$5:$F$19,MATCH(E317,'Move Reality'!$A$5:$A$19,0)))</f>
        <v>1</v>
      </c>
      <c r="M317" s="28" t="str">
        <f aca="false">IF(L317&gt;=5,"YES","no - dead move")</f>
        <v>no - dead move</v>
      </c>
    </row>
    <row r="318" customFormat="false" ht="15" hidden="false" customHeight="false" outlineLevel="0" collapsed="false">
      <c r="A318" s="17" t="n">
        <v>314</v>
      </c>
      <c r="B318" s="17" t="s">
        <v>41</v>
      </c>
      <c r="C318" s="17" t="s">
        <v>42</v>
      </c>
      <c r="D318" s="17" t="s">
        <v>50</v>
      </c>
      <c r="E318" s="17" t="s">
        <v>52</v>
      </c>
      <c r="F318" s="25" t="n">
        <f aca="false">SUMPRODUCT(--((('Yellow Bosses'!$I$5:$I$53&gt;=2)+('Yellow Bosses'!$J$5:$J$53&gt;=2)+('Yellow Bosses'!$R$5:$R$53&gt;=2)+('Yellow Bosses'!$T$5:$T$53&gt;=2))&gt;0))</f>
        <v>36</v>
      </c>
      <c r="G318" s="26" t="n">
        <f aca="false">F318/49</f>
        <v>0.73469387755102</v>
      </c>
      <c r="H318" s="25" t="n">
        <f aca="false">49-SUMPRODUCT(--((('Yellow Bosses'!$I$5:$I$53&gt;=1)+('Yellow Bosses'!$J$5:$J$53&gt;=1)+('Yellow Bosses'!$R$5:$R$53&gt;=1)+('Yellow Bosses'!$T$5:$T$53&gt;=1))&gt;0))</f>
        <v>0</v>
      </c>
      <c r="I318" s="25" t="n">
        <f aca="false">SUMPRODUCT(--((('Yellow Bosses'!$I$5:$I$53&gt;0)+('Yellow Bosses'!$J$5:$J$53&gt;0)+('Yellow Bosses'!$R$5:$R$53&gt;0)+('Yellow Bosses'!$T$5:$T$53&gt;0))=0))</f>
        <v>0</v>
      </c>
      <c r="J318" s="25" t="n">
        <f aca="false">SUMPRODUCT(--(((Effectiveness!$F$5:$F$155&gt;=2)+(Effectiveness!$G$5:$G$155&gt;=2)+(Effectiveness!$O$5:$O$155&gt;=2)+(Effectiveness!$Q$5:$Q$155&gt;=2))&gt;0))</f>
        <v>92</v>
      </c>
      <c r="K318" s="26" t="n">
        <f aca="false">J318/151</f>
        <v>0.609271523178808</v>
      </c>
      <c r="L318" s="25" t="n">
        <f aca="false">MIN(INDEX('Move Reality'!$F$5:$F$19,MATCH(B318,'Move Reality'!$A$5:$A$19,0)),INDEX('Move Reality'!$F$5:$F$19,MATCH(C318,'Move Reality'!$A$5:$A$19,0)),INDEX('Move Reality'!$F$5:$F$19,MATCH(D318,'Move Reality'!$A$5:$A$19,0)),INDEX('Move Reality'!$F$5:$F$19,MATCH(E318,'Move Reality'!$A$5:$A$19,0)))</f>
        <v>6</v>
      </c>
      <c r="M318" s="28" t="str">
        <f aca="false">IF(L318&gt;=5,"YES","no - dead move")</f>
        <v>YES</v>
      </c>
    </row>
    <row r="319" customFormat="false" ht="15" hidden="false" customHeight="false" outlineLevel="0" collapsed="false">
      <c r="A319" s="17" t="n">
        <v>315</v>
      </c>
      <c r="B319" s="17" t="s">
        <v>41</v>
      </c>
      <c r="C319" s="17" t="s">
        <v>42</v>
      </c>
      <c r="D319" s="17" t="s">
        <v>51</v>
      </c>
      <c r="E319" s="17" t="s">
        <v>52</v>
      </c>
      <c r="F319" s="25" t="n">
        <f aca="false">SUMPRODUCT(--((('Yellow Bosses'!$I$5:$I$53&gt;=2)+('Yellow Bosses'!$J$5:$J$53&gt;=2)+('Yellow Bosses'!$S$5:$S$53&gt;=2)+('Yellow Bosses'!$T$5:$T$53&gt;=2))&gt;0))</f>
        <v>36</v>
      </c>
      <c r="G319" s="26" t="n">
        <f aca="false">F319/49</f>
        <v>0.73469387755102</v>
      </c>
      <c r="H319" s="25" t="n">
        <f aca="false">49-SUMPRODUCT(--((('Yellow Bosses'!$I$5:$I$53&gt;=1)+('Yellow Bosses'!$J$5:$J$53&gt;=1)+('Yellow Bosses'!$S$5:$S$53&gt;=1)+('Yellow Bosses'!$T$5:$T$53&gt;=1))&gt;0))</f>
        <v>0</v>
      </c>
      <c r="I319" s="25" t="n">
        <f aca="false">SUMPRODUCT(--((('Yellow Bosses'!$I$5:$I$53&gt;0)+('Yellow Bosses'!$J$5:$J$53&gt;0)+('Yellow Bosses'!$S$5:$S$53&gt;0)+('Yellow Bosses'!$T$5:$T$53&gt;0))=0))</f>
        <v>0</v>
      </c>
      <c r="J319" s="25" t="n">
        <f aca="false">SUMPRODUCT(--(((Effectiveness!$F$5:$F$155&gt;=2)+(Effectiveness!$G$5:$G$155&gt;=2)+(Effectiveness!$P$5:$P$155&gt;=2)+(Effectiveness!$Q$5:$Q$155&gt;=2))&gt;0))</f>
        <v>92</v>
      </c>
      <c r="K319" s="26" t="n">
        <f aca="false">J319/151</f>
        <v>0.609271523178808</v>
      </c>
      <c r="L319" s="25" t="n">
        <f aca="false">MIN(INDEX('Move Reality'!$F$5:$F$19,MATCH(B319,'Move Reality'!$A$5:$A$19,0)),INDEX('Move Reality'!$F$5:$F$19,MATCH(C319,'Move Reality'!$A$5:$A$19,0)),INDEX('Move Reality'!$F$5:$F$19,MATCH(D319,'Move Reality'!$A$5:$A$19,0)),INDEX('Move Reality'!$F$5:$F$19,MATCH(E319,'Move Reality'!$A$5:$A$19,0)))</f>
        <v>1</v>
      </c>
      <c r="M319" s="28" t="str">
        <f aca="false">IF(L319&gt;=5,"YES","no - dead move")</f>
        <v>no - dead move</v>
      </c>
    </row>
    <row r="320" customFormat="false" ht="15" hidden="false" customHeight="false" outlineLevel="0" collapsed="false">
      <c r="A320" s="17" t="n">
        <v>316</v>
      </c>
      <c r="B320" s="17" t="s">
        <v>41</v>
      </c>
      <c r="C320" s="17" t="s">
        <v>48</v>
      </c>
      <c r="D320" s="17" t="s">
        <v>50</v>
      </c>
      <c r="E320" s="17" t="s">
        <v>51</v>
      </c>
      <c r="F320" s="25" t="n">
        <f aca="false">SUMPRODUCT(--((('Yellow Bosses'!$I$5:$I$53&gt;=2)+('Yellow Bosses'!$P$5:$P$53&gt;=2)+('Yellow Bosses'!$R$5:$R$53&gt;=2)+('Yellow Bosses'!$S$5:$S$53&gt;=2))&gt;0))</f>
        <v>36</v>
      </c>
      <c r="G320" s="26" t="n">
        <f aca="false">F320/49</f>
        <v>0.73469387755102</v>
      </c>
      <c r="H320" s="25" t="n">
        <f aca="false">49-SUMPRODUCT(--((('Yellow Bosses'!$I$5:$I$53&gt;=1)+('Yellow Bosses'!$P$5:$P$53&gt;=1)+('Yellow Bosses'!$R$5:$R$53&gt;=1)+('Yellow Bosses'!$S$5:$S$53&gt;=1))&gt;0))</f>
        <v>0</v>
      </c>
      <c r="I320" s="25" t="n">
        <f aca="false">SUMPRODUCT(--((('Yellow Bosses'!$I$5:$I$53&gt;0)+('Yellow Bosses'!$P$5:$P$53&gt;0)+('Yellow Bosses'!$R$5:$R$53&gt;0)+('Yellow Bosses'!$S$5:$S$53&gt;0))=0))</f>
        <v>0</v>
      </c>
      <c r="J320" s="25" t="n">
        <f aca="false">SUMPRODUCT(--(((Effectiveness!$F$5:$F$155&gt;=2)+(Effectiveness!$M$5:$M$155&gt;=2)+(Effectiveness!$O$5:$O$155&gt;=2)+(Effectiveness!$P$5:$P$155&gt;=2))&gt;0))</f>
        <v>92</v>
      </c>
      <c r="K320" s="26" t="n">
        <f aca="false">J320/151</f>
        <v>0.609271523178808</v>
      </c>
      <c r="L320" s="25" t="n">
        <f aca="false">MIN(INDEX('Move Reality'!$F$5:$F$19,MATCH(B320,'Move Reality'!$A$5:$A$19,0)),INDEX('Move Reality'!$F$5:$F$19,MATCH(C320,'Move Reality'!$A$5:$A$19,0)),INDEX('Move Reality'!$F$5:$F$19,MATCH(D320,'Move Reality'!$A$5:$A$19,0)),INDEX('Move Reality'!$F$5:$F$19,MATCH(E320,'Move Reality'!$A$5:$A$19,0)))</f>
        <v>1</v>
      </c>
      <c r="M320" s="28" t="str">
        <f aca="false">IF(L320&gt;=5,"YES","no - dead move")</f>
        <v>no - dead move</v>
      </c>
    </row>
    <row r="321" customFormat="false" ht="15" hidden="false" customHeight="false" outlineLevel="0" collapsed="false">
      <c r="A321" s="17" t="n">
        <v>317</v>
      </c>
      <c r="B321" s="17" t="s">
        <v>42</v>
      </c>
      <c r="C321" s="17" t="s">
        <v>47</v>
      </c>
      <c r="D321" s="17" t="s">
        <v>50</v>
      </c>
      <c r="E321" s="17" t="s">
        <v>52</v>
      </c>
      <c r="F321" s="25" t="n">
        <f aca="false">SUMPRODUCT(--((('Yellow Bosses'!$J$5:$J$53&gt;=2)+('Yellow Bosses'!$O$5:$O$53&gt;=2)+('Yellow Bosses'!$R$5:$R$53&gt;=2)+('Yellow Bosses'!$T$5:$T$53&gt;=2))&gt;0))</f>
        <v>36</v>
      </c>
      <c r="G321" s="26" t="n">
        <f aca="false">F321/49</f>
        <v>0.73469387755102</v>
      </c>
      <c r="H321" s="25" t="n">
        <f aca="false">49-SUMPRODUCT(--((('Yellow Bosses'!$J$5:$J$53&gt;=1)+('Yellow Bosses'!$O$5:$O$53&gt;=1)+('Yellow Bosses'!$R$5:$R$53&gt;=1)+('Yellow Bosses'!$T$5:$T$53&gt;=1))&gt;0))</f>
        <v>0</v>
      </c>
      <c r="I321" s="25" t="n">
        <f aca="false">SUMPRODUCT(--((('Yellow Bosses'!$J$5:$J$53&gt;0)+('Yellow Bosses'!$O$5:$O$53&gt;0)+('Yellow Bosses'!$R$5:$R$53&gt;0)+('Yellow Bosses'!$T$5:$T$53&gt;0))=0))</f>
        <v>0</v>
      </c>
      <c r="J321" s="25" t="n">
        <f aca="false">SUMPRODUCT(--(((Effectiveness!$G$5:$G$155&gt;=2)+(Effectiveness!$L$5:$L$155&gt;=2)+(Effectiveness!$O$5:$O$155&gt;=2)+(Effectiveness!$Q$5:$Q$155&gt;=2))&gt;0))</f>
        <v>92</v>
      </c>
      <c r="K321" s="26" t="n">
        <f aca="false">J321/151</f>
        <v>0.609271523178808</v>
      </c>
      <c r="L321" s="25" t="n">
        <f aca="false">MIN(INDEX('Move Reality'!$F$5:$F$19,MATCH(B321,'Move Reality'!$A$5:$A$19,0)),INDEX('Move Reality'!$F$5:$F$19,MATCH(C321,'Move Reality'!$A$5:$A$19,0)),INDEX('Move Reality'!$F$5:$F$19,MATCH(D321,'Move Reality'!$A$5:$A$19,0)),INDEX('Move Reality'!$F$5:$F$19,MATCH(E321,'Move Reality'!$A$5:$A$19,0)))</f>
        <v>2</v>
      </c>
      <c r="M321" s="28" t="str">
        <f aca="false">IF(L321&gt;=5,"YES","no - dead move")</f>
        <v>no - dead move</v>
      </c>
    </row>
    <row r="322" customFormat="false" ht="15" hidden="false" customHeight="false" outlineLevel="0" collapsed="false">
      <c r="A322" s="17" t="n">
        <v>318</v>
      </c>
      <c r="B322" s="17" t="s">
        <v>42</v>
      </c>
      <c r="C322" s="17" t="s">
        <v>47</v>
      </c>
      <c r="D322" s="17" t="s">
        <v>51</v>
      </c>
      <c r="E322" s="17" t="s">
        <v>52</v>
      </c>
      <c r="F322" s="25" t="n">
        <f aca="false">SUMPRODUCT(--((('Yellow Bosses'!$J$5:$J$53&gt;=2)+('Yellow Bosses'!$O$5:$O$53&gt;=2)+('Yellow Bosses'!$S$5:$S$53&gt;=2)+('Yellow Bosses'!$T$5:$T$53&gt;=2))&gt;0))</f>
        <v>36</v>
      </c>
      <c r="G322" s="26" t="n">
        <f aca="false">F322/49</f>
        <v>0.73469387755102</v>
      </c>
      <c r="H322" s="25" t="n">
        <f aca="false">49-SUMPRODUCT(--((('Yellow Bosses'!$J$5:$J$53&gt;=1)+('Yellow Bosses'!$O$5:$O$53&gt;=1)+('Yellow Bosses'!$S$5:$S$53&gt;=1)+('Yellow Bosses'!$T$5:$T$53&gt;=1))&gt;0))</f>
        <v>0</v>
      </c>
      <c r="I322" s="25" t="n">
        <f aca="false">SUMPRODUCT(--((('Yellow Bosses'!$J$5:$J$53&gt;0)+('Yellow Bosses'!$O$5:$O$53&gt;0)+('Yellow Bosses'!$S$5:$S$53&gt;0)+('Yellow Bosses'!$T$5:$T$53&gt;0))=0))</f>
        <v>0</v>
      </c>
      <c r="J322" s="25" t="n">
        <f aca="false">SUMPRODUCT(--(((Effectiveness!$G$5:$G$155&gt;=2)+(Effectiveness!$L$5:$L$155&gt;=2)+(Effectiveness!$P$5:$P$155&gt;=2)+(Effectiveness!$Q$5:$Q$155&gt;=2))&gt;0))</f>
        <v>92</v>
      </c>
      <c r="K322" s="26" t="n">
        <f aca="false">J322/151</f>
        <v>0.609271523178808</v>
      </c>
      <c r="L322" s="25" t="n">
        <f aca="false">MIN(INDEX('Move Reality'!$F$5:$F$19,MATCH(B322,'Move Reality'!$A$5:$A$19,0)),INDEX('Move Reality'!$F$5:$F$19,MATCH(C322,'Move Reality'!$A$5:$A$19,0)),INDEX('Move Reality'!$F$5:$F$19,MATCH(D322,'Move Reality'!$A$5:$A$19,0)),INDEX('Move Reality'!$F$5:$F$19,MATCH(E322,'Move Reality'!$A$5:$A$19,0)))</f>
        <v>1</v>
      </c>
      <c r="M322" s="28" t="str">
        <f aca="false">IF(L322&gt;=5,"YES","no - dead move")</f>
        <v>no - dead move</v>
      </c>
    </row>
    <row r="323" customFormat="false" ht="15" hidden="false" customHeight="false" outlineLevel="0" collapsed="false">
      <c r="A323" s="17" t="n">
        <v>319</v>
      </c>
      <c r="B323" s="17" t="s">
        <v>42</v>
      </c>
      <c r="C323" s="17" t="s">
        <v>49</v>
      </c>
      <c r="D323" s="17" t="s">
        <v>50</v>
      </c>
      <c r="E323" s="17" t="s">
        <v>52</v>
      </c>
      <c r="F323" s="25" t="n">
        <f aca="false">SUMPRODUCT(--((('Yellow Bosses'!$J$5:$J$53&gt;=2)+('Yellow Bosses'!$Q$5:$Q$53&gt;=2)+('Yellow Bosses'!$R$5:$R$53&gt;=2)+('Yellow Bosses'!$T$5:$T$53&gt;=2))&gt;0))</f>
        <v>36</v>
      </c>
      <c r="G323" s="26" t="n">
        <f aca="false">F323/49</f>
        <v>0.73469387755102</v>
      </c>
      <c r="H323" s="25" t="n">
        <f aca="false">49-SUMPRODUCT(--((('Yellow Bosses'!$J$5:$J$53&gt;=1)+('Yellow Bosses'!$Q$5:$Q$53&gt;=1)+('Yellow Bosses'!$R$5:$R$53&gt;=1)+('Yellow Bosses'!$T$5:$T$53&gt;=1))&gt;0))</f>
        <v>0</v>
      </c>
      <c r="I323" s="25" t="n">
        <f aca="false">SUMPRODUCT(--((('Yellow Bosses'!$J$5:$J$53&gt;0)+('Yellow Bosses'!$Q$5:$Q$53&gt;0)+('Yellow Bosses'!$R$5:$R$53&gt;0)+('Yellow Bosses'!$T$5:$T$53&gt;0))=0))</f>
        <v>0</v>
      </c>
      <c r="J323" s="25" t="n">
        <f aca="false">SUMPRODUCT(--(((Effectiveness!$G$5:$G$155&gt;=2)+(Effectiveness!$N$5:$N$155&gt;=2)+(Effectiveness!$O$5:$O$155&gt;=2)+(Effectiveness!$Q$5:$Q$155&gt;=2))&gt;0))</f>
        <v>92</v>
      </c>
      <c r="K323" s="26" t="n">
        <f aca="false">J323/151</f>
        <v>0.609271523178808</v>
      </c>
      <c r="L323" s="25" t="n">
        <f aca="false">MIN(INDEX('Move Reality'!$F$5:$F$19,MATCH(B323,'Move Reality'!$A$5:$A$19,0)),INDEX('Move Reality'!$F$5:$F$19,MATCH(C323,'Move Reality'!$A$5:$A$19,0)),INDEX('Move Reality'!$F$5:$F$19,MATCH(D323,'Move Reality'!$A$5:$A$19,0)),INDEX('Move Reality'!$F$5:$F$19,MATCH(E323,'Move Reality'!$A$5:$A$19,0)))</f>
        <v>5</v>
      </c>
      <c r="M323" s="28" t="str">
        <f aca="false">IF(L323&gt;=5,"YES","no - dead move")</f>
        <v>YES</v>
      </c>
    </row>
    <row r="324" customFormat="false" ht="15" hidden="false" customHeight="false" outlineLevel="0" collapsed="false">
      <c r="A324" s="17" t="n">
        <v>320</v>
      </c>
      <c r="B324" s="17" t="s">
        <v>41</v>
      </c>
      <c r="C324" s="17" t="s">
        <v>45</v>
      </c>
      <c r="D324" s="17" t="s">
        <v>50</v>
      </c>
      <c r="E324" s="17" t="s">
        <v>51</v>
      </c>
      <c r="F324" s="25" t="n">
        <f aca="false">SUMPRODUCT(--((('Yellow Bosses'!$I$5:$I$53&gt;=2)+('Yellow Bosses'!$M$5:$M$53&gt;=2)+('Yellow Bosses'!$R$5:$R$53&gt;=2)+('Yellow Bosses'!$S$5:$S$53&gt;=2))&gt;0))</f>
        <v>36</v>
      </c>
      <c r="G324" s="26" t="n">
        <f aca="false">F324/49</f>
        <v>0.73469387755102</v>
      </c>
      <c r="H324" s="25" t="n">
        <f aca="false">49-SUMPRODUCT(--((('Yellow Bosses'!$I$5:$I$53&gt;=1)+('Yellow Bosses'!$M$5:$M$53&gt;=1)+('Yellow Bosses'!$R$5:$R$53&gt;=1)+('Yellow Bosses'!$S$5:$S$53&gt;=1))&gt;0))</f>
        <v>0</v>
      </c>
      <c r="I324" s="25" t="n">
        <f aca="false">SUMPRODUCT(--((('Yellow Bosses'!$I$5:$I$53&gt;0)+('Yellow Bosses'!$M$5:$M$53&gt;0)+('Yellow Bosses'!$R$5:$R$53&gt;0)+('Yellow Bosses'!$S$5:$S$53&gt;0))=0))</f>
        <v>0</v>
      </c>
      <c r="J324" s="25" t="n">
        <f aca="false">SUMPRODUCT(--(((Effectiveness!$F$5:$F$155&gt;=2)+(Effectiveness!$J$5:$J$155&gt;=2)+(Effectiveness!$O$5:$O$155&gt;=2)+(Effectiveness!$P$5:$P$155&gt;=2))&gt;0))</f>
        <v>91</v>
      </c>
      <c r="K324" s="26" t="n">
        <f aca="false">J324/151</f>
        <v>0.602649006622517</v>
      </c>
      <c r="L324" s="25" t="n">
        <f aca="false">MIN(INDEX('Move Reality'!$F$5:$F$19,MATCH(B324,'Move Reality'!$A$5:$A$19,0)),INDEX('Move Reality'!$F$5:$F$19,MATCH(C324,'Move Reality'!$A$5:$A$19,0)),INDEX('Move Reality'!$F$5:$F$19,MATCH(D324,'Move Reality'!$A$5:$A$19,0)),INDEX('Move Reality'!$F$5:$F$19,MATCH(E324,'Move Reality'!$A$5:$A$19,0)))</f>
        <v>1</v>
      </c>
      <c r="M324" s="28" t="str">
        <f aca="false">IF(L324&gt;=5,"YES","no - dead move")</f>
        <v>no - dead move</v>
      </c>
    </row>
    <row r="325" customFormat="false" ht="15" hidden="false" customHeight="false" outlineLevel="0" collapsed="false">
      <c r="A325" s="17" t="n">
        <v>321</v>
      </c>
      <c r="B325" s="17" t="s">
        <v>42</v>
      </c>
      <c r="C325" s="17" t="s">
        <v>50</v>
      </c>
      <c r="D325" s="17" t="s">
        <v>52</v>
      </c>
      <c r="E325" s="17" t="s">
        <v>54</v>
      </c>
      <c r="F325" s="25" t="n">
        <f aca="false">SUMPRODUCT(--((('Yellow Bosses'!$J$5:$J$53&gt;=2)+('Yellow Bosses'!$R$5:$R$53&gt;=2)+('Yellow Bosses'!$T$5:$T$53&gt;=2)+('Yellow Bosses'!$V$5:$V$53&gt;=2))&gt;0))</f>
        <v>36</v>
      </c>
      <c r="G325" s="26" t="n">
        <f aca="false">F325/49</f>
        <v>0.73469387755102</v>
      </c>
      <c r="H325" s="25" t="n">
        <f aca="false">49-SUMPRODUCT(--((('Yellow Bosses'!$J$5:$J$53&gt;=1)+('Yellow Bosses'!$R$5:$R$53&gt;=1)+('Yellow Bosses'!$T$5:$T$53&gt;=1)+('Yellow Bosses'!$V$5:$V$53&gt;=1))&gt;0))</f>
        <v>0</v>
      </c>
      <c r="I325" s="25" t="n">
        <f aca="false">SUMPRODUCT(--((('Yellow Bosses'!$J$5:$J$53&gt;0)+('Yellow Bosses'!$R$5:$R$53&gt;0)+('Yellow Bosses'!$T$5:$T$53&gt;0)+('Yellow Bosses'!$V$5:$V$53&gt;0))=0))</f>
        <v>0</v>
      </c>
      <c r="J325" s="25" t="n">
        <f aca="false">SUMPRODUCT(--(((Effectiveness!$G$5:$G$155&gt;=2)+(Effectiveness!$O$5:$O$155&gt;=2)+(Effectiveness!$Q$5:$Q$155&gt;=2)+(Effectiveness!$S$5:$S$155&gt;=2))&gt;0))</f>
        <v>91</v>
      </c>
      <c r="K325" s="26" t="n">
        <f aca="false">J325/151</f>
        <v>0.602649006622517</v>
      </c>
      <c r="L325" s="25" t="n">
        <f aca="false">MIN(INDEX('Move Reality'!$F$5:$F$19,MATCH(B325,'Move Reality'!$A$5:$A$19,0)),INDEX('Move Reality'!$F$5:$F$19,MATCH(C325,'Move Reality'!$A$5:$A$19,0)),INDEX('Move Reality'!$F$5:$F$19,MATCH(D325,'Move Reality'!$A$5:$A$19,0)),INDEX('Move Reality'!$F$5:$F$19,MATCH(E325,'Move Reality'!$A$5:$A$19,0)))</f>
        <v>1</v>
      </c>
      <c r="M325" s="28" t="str">
        <f aca="false">IF(L325&gt;=5,"YES","no - dead move")</f>
        <v>no - dead move</v>
      </c>
    </row>
    <row r="326" customFormat="false" ht="15" hidden="false" customHeight="false" outlineLevel="0" collapsed="false">
      <c r="A326" s="17" t="n">
        <v>322</v>
      </c>
      <c r="B326" s="17" t="s">
        <v>47</v>
      </c>
      <c r="C326" s="17" t="s">
        <v>48</v>
      </c>
      <c r="D326" s="17" t="s">
        <v>50</v>
      </c>
      <c r="E326" s="17" t="s">
        <v>51</v>
      </c>
      <c r="F326" s="25" t="n">
        <f aca="false">SUMPRODUCT(--((('Yellow Bosses'!$O$5:$O$53&gt;=2)+('Yellow Bosses'!$P$5:$P$53&gt;=2)+('Yellow Bosses'!$R$5:$R$53&gt;=2)+('Yellow Bosses'!$S$5:$S$53&gt;=2))&gt;0))</f>
        <v>36</v>
      </c>
      <c r="G326" s="26" t="n">
        <f aca="false">F326/49</f>
        <v>0.73469387755102</v>
      </c>
      <c r="H326" s="25" t="n">
        <f aca="false">49-SUMPRODUCT(--((('Yellow Bosses'!$O$5:$O$53&gt;=1)+('Yellow Bosses'!$P$5:$P$53&gt;=1)+('Yellow Bosses'!$R$5:$R$53&gt;=1)+('Yellow Bosses'!$S$5:$S$53&gt;=1))&gt;0))</f>
        <v>0</v>
      </c>
      <c r="I326" s="25" t="n">
        <f aca="false">SUMPRODUCT(--((('Yellow Bosses'!$O$5:$O$53&gt;0)+('Yellow Bosses'!$P$5:$P$53&gt;0)+('Yellow Bosses'!$R$5:$R$53&gt;0)+('Yellow Bosses'!$S$5:$S$53&gt;0))=0))</f>
        <v>0</v>
      </c>
      <c r="J326" s="25" t="n">
        <f aca="false">SUMPRODUCT(--(((Effectiveness!$L$5:$L$155&gt;=2)+(Effectiveness!$M$5:$M$155&gt;=2)+(Effectiveness!$O$5:$O$155&gt;=2)+(Effectiveness!$P$5:$P$155&gt;=2))&gt;0))</f>
        <v>91</v>
      </c>
      <c r="K326" s="26" t="n">
        <f aca="false">J326/151</f>
        <v>0.602649006622517</v>
      </c>
      <c r="L326" s="25" t="n">
        <f aca="false">MIN(INDEX('Move Reality'!$F$5:$F$19,MATCH(B326,'Move Reality'!$A$5:$A$19,0)),INDEX('Move Reality'!$F$5:$F$19,MATCH(C326,'Move Reality'!$A$5:$A$19,0)),INDEX('Move Reality'!$F$5:$F$19,MATCH(D326,'Move Reality'!$A$5:$A$19,0)),INDEX('Move Reality'!$F$5:$F$19,MATCH(E326,'Move Reality'!$A$5:$A$19,0)))</f>
        <v>1</v>
      </c>
      <c r="M326" s="28" t="str">
        <f aca="false">IF(L326&gt;=5,"YES","no - dead move")</f>
        <v>no - dead move</v>
      </c>
    </row>
    <row r="327" customFormat="false" ht="15" hidden="false" customHeight="false" outlineLevel="0" collapsed="false">
      <c r="A327" s="17" t="n">
        <v>323</v>
      </c>
      <c r="B327" s="17" t="s">
        <v>48</v>
      </c>
      <c r="C327" s="17" t="s">
        <v>49</v>
      </c>
      <c r="D327" s="17" t="s">
        <v>50</v>
      </c>
      <c r="E327" s="17" t="s">
        <v>51</v>
      </c>
      <c r="F327" s="25" t="n">
        <f aca="false">SUMPRODUCT(--((('Yellow Bosses'!$P$5:$P$53&gt;=2)+('Yellow Bosses'!$Q$5:$Q$53&gt;=2)+('Yellow Bosses'!$R$5:$R$53&gt;=2)+('Yellow Bosses'!$S$5:$S$53&gt;=2))&gt;0))</f>
        <v>36</v>
      </c>
      <c r="G327" s="26" t="n">
        <f aca="false">F327/49</f>
        <v>0.73469387755102</v>
      </c>
      <c r="H327" s="25" t="n">
        <f aca="false">49-SUMPRODUCT(--((('Yellow Bosses'!$P$5:$P$53&gt;=1)+('Yellow Bosses'!$Q$5:$Q$53&gt;=1)+('Yellow Bosses'!$R$5:$R$53&gt;=1)+('Yellow Bosses'!$S$5:$S$53&gt;=1))&gt;0))</f>
        <v>0</v>
      </c>
      <c r="I327" s="25" t="n">
        <f aca="false">SUMPRODUCT(--((('Yellow Bosses'!$P$5:$P$53&gt;0)+('Yellow Bosses'!$Q$5:$Q$53&gt;0)+('Yellow Bosses'!$R$5:$R$53&gt;0)+('Yellow Bosses'!$S$5:$S$53&gt;0))=0))</f>
        <v>0</v>
      </c>
      <c r="J327" s="25" t="n">
        <f aca="false">SUMPRODUCT(--(((Effectiveness!$M$5:$M$155&gt;=2)+(Effectiveness!$N$5:$N$155&gt;=2)+(Effectiveness!$O$5:$O$155&gt;=2)+(Effectiveness!$P$5:$P$155&gt;=2))&gt;0))</f>
        <v>91</v>
      </c>
      <c r="K327" s="26" t="n">
        <f aca="false">J327/151</f>
        <v>0.602649006622517</v>
      </c>
      <c r="L327" s="25" t="n">
        <f aca="false">MIN(INDEX('Move Reality'!$F$5:$F$19,MATCH(B327,'Move Reality'!$A$5:$A$19,0)),INDEX('Move Reality'!$F$5:$F$19,MATCH(C327,'Move Reality'!$A$5:$A$19,0)),INDEX('Move Reality'!$F$5:$F$19,MATCH(D327,'Move Reality'!$A$5:$A$19,0)),INDEX('Move Reality'!$F$5:$F$19,MATCH(E327,'Move Reality'!$A$5:$A$19,0)))</f>
        <v>1</v>
      </c>
      <c r="M327" s="28" t="str">
        <f aca="false">IF(L327&gt;=5,"YES","no - dead move")</f>
        <v>no - dead move</v>
      </c>
    </row>
    <row r="328" customFormat="false" ht="15" hidden="false" customHeight="false" outlineLevel="0" collapsed="false">
      <c r="A328" s="17" t="n">
        <v>324</v>
      </c>
      <c r="B328" s="17" t="s">
        <v>45</v>
      </c>
      <c r="C328" s="17" t="s">
        <v>47</v>
      </c>
      <c r="D328" s="17" t="s">
        <v>50</v>
      </c>
      <c r="E328" s="17" t="s">
        <v>51</v>
      </c>
      <c r="F328" s="25" t="n">
        <f aca="false">SUMPRODUCT(--((('Yellow Bosses'!$M$5:$M$53&gt;=2)+('Yellow Bosses'!$O$5:$O$53&gt;=2)+('Yellow Bosses'!$R$5:$R$53&gt;=2)+('Yellow Bosses'!$S$5:$S$53&gt;=2))&gt;0))</f>
        <v>36</v>
      </c>
      <c r="G328" s="26" t="n">
        <f aca="false">F328/49</f>
        <v>0.73469387755102</v>
      </c>
      <c r="H328" s="25" t="n">
        <f aca="false">49-SUMPRODUCT(--((('Yellow Bosses'!$M$5:$M$53&gt;=1)+('Yellow Bosses'!$O$5:$O$53&gt;=1)+('Yellow Bosses'!$R$5:$R$53&gt;=1)+('Yellow Bosses'!$S$5:$S$53&gt;=1))&gt;0))</f>
        <v>0</v>
      </c>
      <c r="I328" s="25" t="n">
        <f aca="false">SUMPRODUCT(--((('Yellow Bosses'!$M$5:$M$53&gt;0)+('Yellow Bosses'!$O$5:$O$53&gt;0)+('Yellow Bosses'!$R$5:$R$53&gt;0)+('Yellow Bosses'!$S$5:$S$53&gt;0))=0))</f>
        <v>0</v>
      </c>
      <c r="J328" s="25" t="n">
        <f aca="false">SUMPRODUCT(--(((Effectiveness!$J$5:$J$155&gt;=2)+(Effectiveness!$L$5:$L$155&gt;=2)+(Effectiveness!$O$5:$O$155&gt;=2)+(Effectiveness!$P$5:$P$155&gt;=2))&gt;0))</f>
        <v>90</v>
      </c>
      <c r="K328" s="26" t="n">
        <f aca="false">J328/151</f>
        <v>0.596026490066225</v>
      </c>
      <c r="L328" s="25" t="n">
        <f aca="false">MIN(INDEX('Move Reality'!$F$5:$F$19,MATCH(B328,'Move Reality'!$A$5:$A$19,0)),INDEX('Move Reality'!$F$5:$F$19,MATCH(C328,'Move Reality'!$A$5:$A$19,0)),INDEX('Move Reality'!$F$5:$F$19,MATCH(D328,'Move Reality'!$A$5:$A$19,0)),INDEX('Move Reality'!$F$5:$F$19,MATCH(E328,'Move Reality'!$A$5:$A$19,0)))</f>
        <v>1</v>
      </c>
      <c r="M328" s="28" t="str">
        <f aca="false">IF(L328&gt;=5,"YES","no - dead move")</f>
        <v>no - dead move</v>
      </c>
    </row>
    <row r="329" customFormat="false" ht="15" hidden="false" customHeight="false" outlineLevel="0" collapsed="false">
      <c r="A329" s="17" t="n">
        <v>325</v>
      </c>
      <c r="B329" s="17" t="s">
        <v>45</v>
      </c>
      <c r="C329" s="17" t="s">
        <v>49</v>
      </c>
      <c r="D329" s="17" t="s">
        <v>50</v>
      </c>
      <c r="E329" s="17" t="s">
        <v>51</v>
      </c>
      <c r="F329" s="25" t="n">
        <f aca="false">SUMPRODUCT(--((('Yellow Bosses'!$M$5:$M$53&gt;=2)+('Yellow Bosses'!$Q$5:$Q$53&gt;=2)+('Yellow Bosses'!$R$5:$R$53&gt;=2)+('Yellow Bosses'!$S$5:$S$53&gt;=2))&gt;0))</f>
        <v>36</v>
      </c>
      <c r="G329" s="26" t="n">
        <f aca="false">F329/49</f>
        <v>0.73469387755102</v>
      </c>
      <c r="H329" s="25" t="n">
        <f aca="false">49-SUMPRODUCT(--((('Yellow Bosses'!$M$5:$M$53&gt;=1)+('Yellow Bosses'!$Q$5:$Q$53&gt;=1)+('Yellow Bosses'!$R$5:$R$53&gt;=1)+('Yellow Bosses'!$S$5:$S$53&gt;=1))&gt;0))</f>
        <v>0</v>
      </c>
      <c r="I329" s="25" t="n">
        <f aca="false">SUMPRODUCT(--((('Yellow Bosses'!$M$5:$M$53&gt;0)+('Yellow Bosses'!$Q$5:$Q$53&gt;0)+('Yellow Bosses'!$R$5:$R$53&gt;0)+('Yellow Bosses'!$S$5:$S$53&gt;0))=0))</f>
        <v>0</v>
      </c>
      <c r="J329" s="25" t="n">
        <f aca="false">SUMPRODUCT(--(((Effectiveness!$J$5:$J$155&gt;=2)+(Effectiveness!$N$5:$N$155&gt;=2)+(Effectiveness!$O$5:$O$155&gt;=2)+(Effectiveness!$P$5:$P$155&gt;=2))&gt;0))</f>
        <v>90</v>
      </c>
      <c r="K329" s="26" t="n">
        <f aca="false">J329/151</f>
        <v>0.596026490066225</v>
      </c>
      <c r="L329" s="25" t="n">
        <f aca="false">MIN(INDEX('Move Reality'!$F$5:$F$19,MATCH(B329,'Move Reality'!$A$5:$A$19,0)),INDEX('Move Reality'!$F$5:$F$19,MATCH(C329,'Move Reality'!$A$5:$A$19,0)),INDEX('Move Reality'!$F$5:$F$19,MATCH(D329,'Move Reality'!$A$5:$A$19,0)),INDEX('Move Reality'!$F$5:$F$19,MATCH(E329,'Move Reality'!$A$5:$A$19,0)))</f>
        <v>1</v>
      </c>
      <c r="M329" s="28" t="str">
        <f aca="false">IF(L329&gt;=5,"YES","no - dead move")</f>
        <v>no - dead move</v>
      </c>
    </row>
    <row r="330" customFormat="false" ht="15" hidden="false" customHeight="false" outlineLevel="0" collapsed="false">
      <c r="A330" s="17" t="n">
        <v>326</v>
      </c>
      <c r="B330" s="17" t="s">
        <v>45</v>
      </c>
      <c r="C330" s="17" t="s">
        <v>49</v>
      </c>
      <c r="D330" s="17" t="s">
        <v>51</v>
      </c>
      <c r="E330" s="17" t="s">
        <v>53</v>
      </c>
      <c r="F330" s="25" t="n">
        <f aca="false">SUMPRODUCT(--((('Yellow Bosses'!$M$5:$M$53&gt;=2)+('Yellow Bosses'!$Q$5:$Q$53&gt;=2)+('Yellow Bosses'!$S$5:$S$53&gt;=2)+('Yellow Bosses'!$U$5:$U$53&gt;=2))&gt;0))</f>
        <v>36</v>
      </c>
      <c r="G330" s="26" t="n">
        <f aca="false">F330/49</f>
        <v>0.73469387755102</v>
      </c>
      <c r="H330" s="25" t="n">
        <f aca="false">49-SUMPRODUCT(--((('Yellow Bosses'!$M$5:$M$53&gt;=1)+('Yellow Bosses'!$Q$5:$Q$53&gt;=1)+('Yellow Bosses'!$S$5:$S$53&gt;=1)+('Yellow Bosses'!$U$5:$U$53&gt;=1))&gt;0))</f>
        <v>0</v>
      </c>
      <c r="I330" s="25" t="n">
        <f aca="false">SUMPRODUCT(--((('Yellow Bosses'!$M$5:$M$53&gt;0)+('Yellow Bosses'!$Q$5:$Q$53&gt;0)+('Yellow Bosses'!$S$5:$S$53&gt;0)+('Yellow Bosses'!$U$5:$U$53&gt;0))=0))</f>
        <v>0</v>
      </c>
      <c r="J330" s="25" t="n">
        <f aca="false">SUMPRODUCT(--(((Effectiveness!$J$5:$J$155&gt;=2)+(Effectiveness!$N$5:$N$155&gt;=2)+(Effectiveness!$P$5:$P$155&gt;=2)+(Effectiveness!$R$5:$R$155&gt;=2))&gt;0))</f>
        <v>90</v>
      </c>
      <c r="K330" s="26" t="n">
        <f aca="false">J330/151</f>
        <v>0.596026490066225</v>
      </c>
      <c r="L330" s="25" t="n">
        <f aca="false">MIN(INDEX('Move Reality'!$F$5:$F$19,MATCH(B330,'Move Reality'!$A$5:$A$19,0)),INDEX('Move Reality'!$F$5:$F$19,MATCH(C330,'Move Reality'!$A$5:$A$19,0)),INDEX('Move Reality'!$F$5:$F$19,MATCH(D330,'Move Reality'!$A$5:$A$19,0)),INDEX('Move Reality'!$F$5:$F$19,MATCH(E330,'Move Reality'!$A$5:$A$19,0)))</f>
        <v>1</v>
      </c>
      <c r="M330" s="28" t="str">
        <f aca="false">IF(L330&gt;=5,"YES","no - dead move")</f>
        <v>no - dead move</v>
      </c>
    </row>
    <row r="331" customFormat="false" ht="15" hidden="false" customHeight="false" outlineLevel="0" collapsed="false">
      <c r="A331" s="17" t="n">
        <v>327</v>
      </c>
      <c r="B331" s="17" t="s">
        <v>44</v>
      </c>
      <c r="C331" s="17" t="s">
        <v>51</v>
      </c>
      <c r="D331" s="17" t="s">
        <v>53</v>
      </c>
      <c r="E331" s="17" t="s">
        <v>54</v>
      </c>
      <c r="F331" s="25" t="n">
        <f aca="false">SUMPRODUCT(--((('Yellow Bosses'!$L$5:$L$53&gt;=2)+('Yellow Bosses'!$S$5:$S$53&gt;=2)+('Yellow Bosses'!$U$5:$U$53&gt;=2)+('Yellow Bosses'!$V$5:$V$53&gt;=2))&gt;0))</f>
        <v>36</v>
      </c>
      <c r="G331" s="26" t="n">
        <f aca="false">F331/49</f>
        <v>0.73469387755102</v>
      </c>
      <c r="H331" s="25" t="n">
        <f aca="false">49-SUMPRODUCT(--((('Yellow Bosses'!$L$5:$L$53&gt;=1)+('Yellow Bosses'!$S$5:$S$53&gt;=1)+('Yellow Bosses'!$U$5:$U$53&gt;=1)+('Yellow Bosses'!$V$5:$V$53&gt;=1))&gt;0))</f>
        <v>0</v>
      </c>
      <c r="I331" s="25" t="n">
        <f aca="false">SUMPRODUCT(--((('Yellow Bosses'!$L$5:$L$53&gt;0)+('Yellow Bosses'!$S$5:$S$53&gt;0)+('Yellow Bosses'!$U$5:$U$53&gt;0)+('Yellow Bosses'!$V$5:$V$53&gt;0))=0))</f>
        <v>0</v>
      </c>
      <c r="J331" s="25" t="n">
        <f aca="false">SUMPRODUCT(--(((Effectiveness!$I$5:$I$155&gt;=2)+(Effectiveness!$P$5:$P$155&gt;=2)+(Effectiveness!$R$5:$R$155&gt;=2)+(Effectiveness!$S$5:$S$155&gt;=2))&gt;0))</f>
        <v>89</v>
      </c>
      <c r="K331" s="26" t="n">
        <f aca="false">J331/151</f>
        <v>0.589403973509934</v>
      </c>
      <c r="L331" s="25" t="n">
        <f aca="false">MIN(INDEX('Move Reality'!$F$5:$F$19,MATCH(B331,'Move Reality'!$A$5:$A$19,0)),INDEX('Move Reality'!$F$5:$F$19,MATCH(C331,'Move Reality'!$A$5:$A$19,0)),INDEX('Move Reality'!$F$5:$F$19,MATCH(D331,'Move Reality'!$A$5:$A$19,0)),INDEX('Move Reality'!$F$5:$F$19,MATCH(E331,'Move Reality'!$A$5:$A$19,0)))</f>
        <v>1</v>
      </c>
      <c r="M331" s="28" t="str">
        <f aca="false">IF(L331&gt;=5,"YES","no - dead move")</f>
        <v>no - dead move</v>
      </c>
    </row>
    <row r="332" customFormat="false" ht="15" hidden="false" customHeight="false" outlineLevel="0" collapsed="false">
      <c r="A332" s="17" t="n">
        <v>328</v>
      </c>
      <c r="B332" s="17" t="s">
        <v>40</v>
      </c>
      <c r="C332" s="17" t="s">
        <v>45</v>
      </c>
      <c r="D332" s="17" t="s">
        <v>50</v>
      </c>
      <c r="E332" s="17" t="s">
        <v>51</v>
      </c>
      <c r="F332" s="25" t="n">
        <f aca="false">SUMPRODUCT(--((('Yellow Bosses'!$H$5:$H$53&gt;=2)+('Yellow Bosses'!$M$5:$M$53&gt;=2)+('Yellow Bosses'!$R$5:$R$53&gt;=2)+('Yellow Bosses'!$S$5:$S$53&gt;=2))&gt;0))</f>
        <v>36</v>
      </c>
      <c r="G332" s="26" t="n">
        <f aca="false">F332/49</f>
        <v>0.73469387755102</v>
      </c>
      <c r="H332" s="25" t="n">
        <f aca="false">49-SUMPRODUCT(--((('Yellow Bosses'!$H$5:$H$53&gt;=1)+('Yellow Bosses'!$M$5:$M$53&gt;=1)+('Yellow Bosses'!$R$5:$R$53&gt;=1)+('Yellow Bosses'!$S$5:$S$53&gt;=1))&gt;0))</f>
        <v>0</v>
      </c>
      <c r="I332" s="25" t="n">
        <f aca="false">SUMPRODUCT(--((('Yellow Bosses'!$H$5:$H$53&gt;0)+('Yellow Bosses'!$M$5:$M$53&gt;0)+('Yellow Bosses'!$R$5:$R$53&gt;0)+('Yellow Bosses'!$S$5:$S$53&gt;0))=0))</f>
        <v>0</v>
      </c>
      <c r="J332" s="25" t="n">
        <f aca="false">SUMPRODUCT(--(((Effectiveness!$E$5:$E$155&gt;=2)+(Effectiveness!$J$5:$J$155&gt;=2)+(Effectiveness!$O$5:$O$155&gt;=2)+(Effectiveness!$P$5:$P$155&gt;=2))&gt;0))</f>
        <v>87</v>
      </c>
      <c r="K332" s="26" t="n">
        <f aca="false">J332/151</f>
        <v>0.576158940397351</v>
      </c>
      <c r="L332" s="25" t="n">
        <f aca="false">MIN(INDEX('Move Reality'!$F$5:$F$19,MATCH(B332,'Move Reality'!$A$5:$A$19,0)),INDEX('Move Reality'!$F$5:$F$19,MATCH(C332,'Move Reality'!$A$5:$A$19,0)),INDEX('Move Reality'!$F$5:$F$19,MATCH(D332,'Move Reality'!$A$5:$A$19,0)),INDEX('Move Reality'!$F$5:$F$19,MATCH(E332,'Move Reality'!$A$5:$A$19,0)))</f>
        <v>1</v>
      </c>
      <c r="M332" s="28" t="str">
        <f aca="false">IF(L332&gt;=5,"YES","no - dead move")</f>
        <v>no - dead move</v>
      </c>
    </row>
    <row r="333" customFormat="false" ht="15" hidden="false" customHeight="false" outlineLevel="0" collapsed="false">
      <c r="A333" s="17" t="n">
        <v>329</v>
      </c>
      <c r="B333" s="17" t="s">
        <v>45</v>
      </c>
      <c r="C333" s="17" t="s">
        <v>50</v>
      </c>
      <c r="D333" s="17" t="s">
        <v>51</v>
      </c>
      <c r="E333" s="17" t="s">
        <v>53</v>
      </c>
      <c r="F333" s="25" t="n">
        <f aca="false">SUMPRODUCT(--((('Yellow Bosses'!$M$5:$M$53&gt;=2)+('Yellow Bosses'!$R$5:$R$53&gt;=2)+('Yellow Bosses'!$S$5:$S$53&gt;=2)+('Yellow Bosses'!$U$5:$U$53&gt;=2))&gt;0))</f>
        <v>36</v>
      </c>
      <c r="G333" s="26" t="n">
        <f aca="false">F333/49</f>
        <v>0.73469387755102</v>
      </c>
      <c r="H333" s="25" t="n">
        <f aca="false">49-SUMPRODUCT(--((('Yellow Bosses'!$M$5:$M$53&gt;=1)+('Yellow Bosses'!$R$5:$R$53&gt;=1)+('Yellow Bosses'!$S$5:$S$53&gt;=1)+('Yellow Bosses'!$U$5:$U$53&gt;=1))&gt;0))</f>
        <v>0</v>
      </c>
      <c r="I333" s="25" t="n">
        <f aca="false">SUMPRODUCT(--((('Yellow Bosses'!$M$5:$M$53&gt;0)+('Yellow Bosses'!$R$5:$R$53&gt;0)+('Yellow Bosses'!$S$5:$S$53&gt;0)+('Yellow Bosses'!$U$5:$U$53&gt;0))=0))</f>
        <v>0</v>
      </c>
      <c r="J333" s="25" t="n">
        <f aca="false">SUMPRODUCT(--(((Effectiveness!$J$5:$J$155&gt;=2)+(Effectiveness!$O$5:$O$155&gt;=2)+(Effectiveness!$P$5:$P$155&gt;=2)+(Effectiveness!$R$5:$R$155&gt;=2))&gt;0))</f>
        <v>87</v>
      </c>
      <c r="K333" s="26" t="n">
        <f aca="false">J333/151</f>
        <v>0.576158940397351</v>
      </c>
      <c r="L333" s="25" t="n">
        <f aca="false">MIN(INDEX('Move Reality'!$F$5:$F$19,MATCH(B333,'Move Reality'!$A$5:$A$19,0)),INDEX('Move Reality'!$F$5:$F$19,MATCH(C333,'Move Reality'!$A$5:$A$19,0)),INDEX('Move Reality'!$F$5:$F$19,MATCH(D333,'Move Reality'!$A$5:$A$19,0)),INDEX('Move Reality'!$F$5:$F$19,MATCH(E333,'Move Reality'!$A$5:$A$19,0)))</f>
        <v>1</v>
      </c>
      <c r="M333" s="28" t="str">
        <f aca="false">IF(L333&gt;=5,"YES","no - dead move")</f>
        <v>no - dead move</v>
      </c>
    </row>
    <row r="334" customFormat="false" ht="15" hidden="false" customHeight="false" outlineLevel="0" collapsed="false">
      <c r="A334" s="17" t="n">
        <v>330</v>
      </c>
      <c r="B334" s="17" t="s">
        <v>45</v>
      </c>
      <c r="C334" s="17" t="s">
        <v>50</v>
      </c>
      <c r="D334" s="17" t="s">
        <v>51</v>
      </c>
      <c r="E334" s="17" t="s">
        <v>54</v>
      </c>
      <c r="F334" s="25" t="n">
        <f aca="false">SUMPRODUCT(--((('Yellow Bosses'!$M$5:$M$53&gt;=2)+('Yellow Bosses'!$R$5:$R$53&gt;=2)+('Yellow Bosses'!$S$5:$S$53&gt;=2)+('Yellow Bosses'!$V$5:$V$53&gt;=2))&gt;0))</f>
        <v>36</v>
      </c>
      <c r="G334" s="26" t="n">
        <f aca="false">F334/49</f>
        <v>0.73469387755102</v>
      </c>
      <c r="H334" s="25" t="n">
        <f aca="false">49-SUMPRODUCT(--((('Yellow Bosses'!$M$5:$M$53&gt;=1)+('Yellow Bosses'!$R$5:$R$53&gt;=1)+('Yellow Bosses'!$S$5:$S$53&gt;=1)+('Yellow Bosses'!$V$5:$V$53&gt;=1))&gt;0))</f>
        <v>0</v>
      </c>
      <c r="I334" s="25" t="n">
        <f aca="false">SUMPRODUCT(--((('Yellow Bosses'!$M$5:$M$53&gt;0)+('Yellow Bosses'!$R$5:$R$53&gt;0)+('Yellow Bosses'!$S$5:$S$53&gt;0)+('Yellow Bosses'!$V$5:$V$53&gt;0))=0))</f>
        <v>0</v>
      </c>
      <c r="J334" s="25" t="n">
        <f aca="false">SUMPRODUCT(--(((Effectiveness!$J$5:$J$155&gt;=2)+(Effectiveness!$O$5:$O$155&gt;=2)+(Effectiveness!$P$5:$P$155&gt;=2)+(Effectiveness!$S$5:$S$155&gt;=2))&gt;0))</f>
        <v>87</v>
      </c>
      <c r="K334" s="26" t="n">
        <f aca="false">J334/151</f>
        <v>0.576158940397351</v>
      </c>
      <c r="L334" s="25" t="n">
        <f aca="false">MIN(INDEX('Move Reality'!$F$5:$F$19,MATCH(B334,'Move Reality'!$A$5:$A$19,0)),INDEX('Move Reality'!$F$5:$F$19,MATCH(C334,'Move Reality'!$A$5:$A$19,0)),INDEX('Move Reality'!$F$5:$F$19,MATCH(D334,'Move Reality'!$A$5:$A$19,0)),INDEX('Move Reality'!$F$5:$F$19,MATCH(E334,'Move Reality'!$A$5:$A$19,0)))</f>
        <v>1</v>
      </c>
      <c r="M334" s="28" t="str">
        <f aca="false">IF(L334&gt;=5,"YES","no - dead move")</f>
        <v>no - dead move</v>
      </c>
    </row>
    <row r="335" customFormat="false" ht="15" hidden="false" customHeight="false" outlineLevel="0" collapsed="false">
      <c r="A335" s="17" t="n">
        <v>331</v>
      </c>
      <c r="B335" s="17" t="s">
        <v>40</v>
      </c>
      <c r="C335" s="17" t="s">
        <v>48</v>
      </c>
      <c r="D335" s="17" t="s">
        <v>50</v>
      </c>
      <c r="E335" s="17" t="s">
        <v>51</v>
      </c>
      <c r="F335" s="25" t="n">
        <f aca="false">SUMPRODUCT(--((('Yellow Bosses'!$H$5:$H$53&gt;=2)+('Yellow Bosses'!$P$5:$P$53&gt;=2)+('Yellow Bosses'!$R$5:$R$53&gt;=2)+('Yellow Bosses'!$S$5:$S$53&gt;=2))&gt;0))</f>
        <v>36</v>
      </c>
      <c r="G335" s="26" t="n">
        <f aca="false">F335/49</f>
        <v>0.73469387755102</v>
      </c>
      <c r="H335" s="25" t="n">
        <f aca="false">49-SUMPRODUCT(--((('Yellow Bosses'!$H$5:$H$53&gt;=1)+('Yellow Bosses'!$P$5:$P$53&gt;=1)+('Yellow Bosses'!$R$5:$R$53&gt;=1)+('Yellow Bosses'!$S$5:$S$53&gt;=1))&gt;0))</f>
        <v>0</v>
      </c>
      <c r="I335" s="25" t="n">
        <f aca="false">SUMPRODUCT(--((('Yellow Bosses'!$H$5:$H$53&gt;0)+('Yellow Bosses'!$P$5:$P$53&gt;0)+('Yellow Bosses'!$R$5:$R$53&gt;0)+('Yellow Bosses'!$S$5:$S$53&gt;0))=0))</f>
        <v>0</v>
      </c>
      <c r="J335" s="25" t="n">
        <f aca="false">SUMPRODUCT(--(((Effectiveness!$E$5:$E$155&gt;=2)+(Effectiveness!$M$5:$M$155&gt;=2)+(Effectiveness!$O$5:$O$155&gt;=2)+(Effectiveness!$P$5:$P$155&gt;=2))&gt;0))</f>
        <v>86</v>
      </c>
      <c r="K335" s="26" t="n">
        <f aca="false">J335/151</f>
        <v>0.56953642384106</v>
      </c>
      <c r="L335" s="25" t="n">
        <f aca="false">MIN(INDEX('Move Reality'!$F$5:$F$19,MATCH(B335,'Move Reality'!$A$5:$A$19,0)),INDEX('Move Reality'!$F$5:$F$19,MATCH(C335,'Move Reality'!$A$5:$A$19,0)),INDEX('Move Reality'!$F$5:$F$19,MATCH(D335,'Move Reality'!$A$5:$A$19,0)),INDEX('Move Reality'!$F$5:$F$19,MATCH(E335,'Move Reality'!$A$5:$A$19,0)))</f>
        <v>1</v>
      </c>
      <c r="M335" s="28" t="str">
        <f aca="false">IF(L335&gt;=5,"YES","no - dead move")</f>
        <v>no - dead move</v>
      </c>
    </row>
    <row r="336" customFormat="false" ht="15" hidden="false" customHeight="false" outlineLevel="0" collapsed="false">
      <c r="A336" s="17" t="n">
        <v>332</v>
      </c>
      <c r="B336" s="17" t="s">
        <v>42</v>
      </c>
      <c r="C336" s="17" t="s">
        <v>49</v>
      </c>
      <c r="D336" s="17" t="s">
        <v>51</v>
      </c>
      <c r="E336" s="17" t="s">
        <v>53</v>
      </c>
      <c r="F336" s="25" t="n">
        <f aca="false">SUMPRODUCT(--((('Yellow Bosses'!$J$5:$J$53&gt;=2)+('Yellow Bosses'!$Q$5:$Q$53&gt;=2)+('Yellow Bosses'!$S$5:$S$53&gt;=2)+('Yellow Bosses'!$U$5:$U$53&gt;=2))&gt;0))</f>
        <v>36</v>
      </c>
      <c r="G336" s="26" t="n">
        <f aca="false">F336/49</f>
        <v>0.73469387755102</v>
      </c>
      <c r="H336" s="25" t="n">
        <f aca="false">49-SUMPRODUCT(--((('Yellow Bosses'!$J$5:$J$53&gt;=1)+('Yellow Bosses'!$Q$5:$Q$53&gt;=1)+('Yellow Bosses'!$S$5:$S$53&gt;=1)+('Yellow Bosses'!$U$5:$U$53&gt;=1))&gt;0))</f>
        <v>0</v>
      </c>
      <c r="I336" s="25" t="n">
        <f aca="false">SUMPRODUCT(--((('Yellow Bosses'!$J$5:$J$53&gt;0)+('Yellow Bosses'!$Q$5:$Q$53&gt;0)+('Yellow Bosses'!$S$5:$S$53&gt;0)+('Yellow Bosses'!$U$5:$U$53&gt;0))=0))</f>
        <v>0</v>
      </c>
      <c r="J336" s="25" t="n">
        <f aca="false">SUMPRODUCT(--(((Effectiveness!$G$5:$G$155&gt;=2)+(Effectiveness!$N$5:$N$155&gt;=2)+(Effectiveness!$P$5:$P$155&gt;=2)+(Effectiveness!$R$5:$R$155&gt;=2))&gt;0))</f>
        <v>86</v>
      </c>
      <c r="K336" s="26" t="n">
        <f aca="false">J336/151</f>
        <v>0.56953642384106</v>
      </c>
      <c r="L336" s="25" t="n">
        <f aca="false">MIN(INDEX('Move Reality'!$F$5:$F$19,MATCH(B336,'Move Reality'!$A$5:$A$19,0)),INDEX('Move Reality'!$F$5:$F$19,MATCH(C336,'Move Reality'!$A$5:$A$19,0)),INDEX('Move Reality'!$F$5:$F$19,MATCH(D336,'Move Reality'!$A$5:$A$19,0)),INDEX('Move Reality'!$F$5:$F$19,MATCH(E336,'Move Reality'!$A$5:$A$19,0)))</f>
        <v>1</v>
      </c>
      <c r="M336" s="28" t="str">
        <f aca="false">IF(L336&gt;=5,"YES","no - dead move")</f>
        <v>no - dead move</v>
      </c>
    </row>
    <row r="337" customFormat="false" ht="15" hidden="false" customHeight="false" outlineLevel="0" collapsed="false">
      <c r="A337" s="17" t="n">
        <v>333</v>
      </c>
      <c r="B337" s="17" t="s">
        <v>42</v>
      </c>
      <c r="C337" s="17" t="s">
        <v>49</v>
      </c>
      <c r="D337" s="17" t="s">
        <v>51</v>
      </c>
      <c r="E337" s="17" t="s">
        <v>54</v>
      </c>
      <c r="F337" s="25" t="n">
        <f aca="false">SUMPRODUCT(--((('Yellow Bosses'!$J$5:$J$53&gt;=2)+('Yellow Bosses'!$Q$5:$Q$53&gt;=2)+('Yellow Bosses'!$S$5:$S$53&gt;=2)+('Yellow Bosses'!$V$5:$V$53&gt;=2))&gt;0))</f>
        <v>36</v>
      </c>
      <c r="G337" s="26" t="n">
        <f aca="false">F337/49</f>
        <v>0.73469387755102</v>
      </c>
      <c r="H337" s="25" t="n">
        <f aca="false">49-SUMPRODUCT(--((('Yellow Bosses'!$J$5:$J$53&gt;=1)+('Yellow Bosses'!$Q$5:$Q$53&gt;=1)+('Yellow Bosses'!$S$5:$S$53&gt;=1)+('Yellow Bosses'!$V$5:$V$53&gt;=1))&gt;0))</f>
        <v>0</v>
      </c>
      <c r="I337" s="25" t="n">
        <f aca="false">SUMPRODUCT(--((('Yellow Bosses'!$J$5:$J$53&gt;0)+('Yellow Bosses'!$Q$5:$Q$53&gt;0)+('Yellow Bosses'!$S$5:$S$53&gt;0)+('Yellow Bosses'!$V$5:$V$53&gt;0))=0))</f>
        <v>0</v>
      </c>
      <c r="J337" s="25" t="n">
        <f aca="false">SUMPRODUCT(--(((Effectiveness!$G$5:$G$155&gt;=2)+(Effectiveness!$N$5:$N$155&gt;=2)+(Effectiveness!$P$5:$P$155&gt;=2)+(Effectiveness!$S$5:$S$155&gt;=2))&gt;0))</f>
        <v>86</v>
      </c>
      <c r="K337" s="26" t="n">
        <f aca="false">J337/151</f>
        <v>0.56953642384106</v>
      </c>
      <c r="L337" s="25" t="n">
        <f aca="false">MIN(INDEX('Move Reality'!$F$5:$F$19,MATCH(B337,'Move Reality'!$A$5:$A$19,0)),INDEX('Move Reality'!$F$5:$F$19,MATCH(C337,'Move Reality'!$A$5:$A$19,0)),INDEX('Move Reality'!$F$5:$F$19,MATCH(D337,'Move Reality'!$A$5:$A$19,0)),INDEX('Move Reality'!$F$5:$F$19,MATCH(E337,'Move Reality'!$A$5:$A$19,0)))</f>
        <v>1</v>
      </c>
      <c r="M337" s="28" t="str">
        <f aca="false">IF(L337&gt;=5,"YES","no - dead move")</f>
        <v>no - dead move</v>
      </c>
    </row>
    <row r="338" customFormat="false" ht="15" hidden="false" customHeight="false" outlineLevel="0" collapsed="false">
      <c r="A338" s="17" t="n">
        <v>334</v>
      </c>
      <c r="B338" s="17" t="s">
        <v>48</v>
      </c>
      <c r="C338" s="17" t="s">
        <v>50</v>
      </c>
      <c r="D338" s="17" t="s">
        <v>51</v>
      </c>
      <c r="E338" s="17" t="s">
        <v>53</v>
      </c>
      <c r="F338" s="25" t="n">
        <f aca="false">SUMPRODUCT(--((('Yellow Bosses'!$P$5:$P$53&gt;=2)+('Yellow Bosses'!$R$5:$R$53&gt;=2)+('Yellow Bosses'!$S$5:$S$53&gt;=2)+('Yellow Bosses'!$U$5:$U$53&gt;=2))&gt;0))</f>
        <v>36</v>
      </c>
      <c r="G338" s="26" t="n">
        <f aca="false">F338/49</f>
        <v>0.73469387755102</v>
      </c>
      <c r="H338" s="25" t="n">
        <f aca="false">49-SUMPRODUCT(--((('Yellow Bosses'!$P$5:$P$53&gt;=1)+('Yellow Bosses'!$R$5:$R$53&gt;=1)+('Yellow Bosses'!$S$5:$S$53&gt;=1)+('Yellow Bosses'!$U$5:$U$53&gt;=1))&gt;0))</f>
        <v>0</v>
      </c>
      <c r="I338" s="25" t="n">
        <f aca="false">SUMPRODUCT(--((('Yellow Bosses'!$P$5:$P$53&gt;0)+('Yellow Bosses'!$R$5:$R$53&gt;0)+('Yellow Bosses'!$S$5:$S$53&gt;0)+('Yellow Bosses'!$U$5:$U$53&gt;0))=0))</f>
        <v>0</v>
      </c>
      <c r="J338" s="25" t="n">
        <f aca="false">SUMPRODUCT(--(((Effectiveness!$M$5:$M$155&gt;=2)+(Effectiveness!$O$5:$O$155&gt;=2)+(Effectiveness!$P$5:$P$155&gt;=2)+(Effectiveness!$R$5:$R$155&gt;=2))&gt;0))</f>
        <v>86</v>
      </c>
      <c r="K338" s="26" t="n">
        <f aca="false">J338/151</f>
        <v>0.56953642384106</v>
      </c>
      <c r="L338" s="25" t="n">
        <f aca="false">MIN(INDEX('Move Reality'!$F$5:$F$19,MATCH(B338,'Move Reality'!$A$5:$A$19,0)),INDEX('Move Reality'!$F$5:$F$19,MATCH(C338,'Move Reality'!$A$5:$A$19,0)),INDEX('Move Reality'!$F$5:$F$19,MATCH(D338,'Move Reality'!$A$5:$A$19,0)),INDEX('Move Reality'!$F$5:$F$19,MATCH(E338,'Move Reality'!$A$5:$A$19,0)))</f>
        <v>1</v>
      </c>
      <c r="M338" s="28" t="str">
        <f aca="false">IF(L338&gt;=5,"YES","no - dead move")</f>
        <v>no - dead move</v>
      </c>
    </row>
    <row r="339" customFormat="false" ht="15" hidden="false" customHeight="false" outlineLevel="0" collapsed="false">
      <c r="A339" s="17" t="n">
        <v>335</v>
      </c>
      <c r="B339" s="17" t="s">
        <v>42</v>
      </c>
      <c r="C339" s="17" t="s">
        <v>51</v>
      </c>
      <c r="D339" s="17" t="s">
        <v>53</v>
      </c>
      <c r="E339" s="17" t="s">
        <v>54</v>
      </c>
      <c r="F339" s="25" t="n">
        <f aca="false">SUMPRODUCT(--((('Yellow Bosses'!$J$5:$J$53&gt;=2)+('Yellow Bosses'!$S$5:$S$53&gt;=2)+('Yellow Bosses'!$U$5:$U$53&gt;=2)+('Yellow Bosses'!$V$5:$V$53&gt;=2))&gt;0))</f>
        <v>36</v>
      </c>
      <c r="G339" s="26" t="n">
        <f aca="false">F339/49</f>
        <v>0.73469387755102</v>
      </c>
      <c r="H339" s="25" t="n">
        <f aca="false">49-SUMPRODUCT(--((('Yellow Bosses'!$J$5:$J$53&gt;=1)+('Yellow Bosses'!$S$5:$S$53&gt;=1)+('Yellow Bosses'!$U$5:$U$53&gt;=1)+('Yellow Bosses'!$V$5:$V$53&gt;=1))&gt;0))</f>
        <v>0</v>
      </c>
      <c r="I339" s="25" t="n">
        <f aca="false">SUMPRODUCT(--((('Yellow Bosses'!$J$5:$J$53&gt;0)+('Yellow Bosses'!$S$5:$S$53&gt;0)+('Yellow Bosses'!$U$5:$U$53&gt;0)+('Yellow Bosses'!$V$5:$V$53&gt;0))=0))</f>
        <v>0</v>
      </c>
      <c r="J339" s="25" t="n">
        <f aca="false">SUMPRODUCT(--(((Effectiveness!$G$5:$G$155&gt;=2)+(Effectiveness!$P$5:$P$155&gt;=2)+(Effectiveness!$R$5:$R$155&gt;=2)+(Effectiveness!$S$5:$S$155&gt;=2))&gt;0))</f>
        <v>76</v>
      </c>
      <c r="K339" s="26" t="n">
        <f aca="false">J339/151</f>
        <v>0.503311258278146</v>
      </c>
      <c r="L339" s="25" t="n">
        <f aca="false">MIN(INDEX('Move Reality'!$F$5:$F$19,MATCH(B339,'Move Reality'!$A$5:$A$19,0)),INDEX('Move Reality'!$F$5:$F$19,MATCH(C339,'Move Reality'!$A$5:$A$19,0)),INDEX('Move Reality'!$F$5:$F$19,MATCH(D339,'Move Reality'!$A$5:$A$19,0)),INDEX('Move Reality'!$F$5:$F$19,MATCH(E339,'Move Reality'!$A$5:$A$19,0)))</f>
        <v>1</v>
      </c>
      <c r="M339" s="28" t="str">
        <f aca="false">IF(L339&gt;=5,"YES","no - dead move")</f>
        <v>no - dead move</v>
      </c>
    </row>
    <row r="340" customFormat="false" ht="15" hidden="false" customHeight="false" outlineLevel="0" collapsed="false">
      <c r="A340" s="17" t="n">
        <v>336</v>
      </c>
      <c r="B340" s="17" t="s">
        <v>43</v>
      </c>
      <c r="C340" s="17" t="s">
        <v>46</v>
      </c>
      <c r="D340" s="17" t="s">
        <v>49</v>
      </c>
      <c r="E340" s="17" t="s">
        <v>51</v>
      </c>
      <c r="F340" s="25" t="n">
        <f aca="false">SUMPRODUCT(--((('Yellow Bosses'!$K$5:$K$53&gt;=2)+('Yellow Bosses'!$N$5:$N$53&gt;=2)+('Yellow Bosses'!$Q$5:$Q$53&gt;=2)+('Yellow Bosses'!$S$5:$S$53&gt;=2))&gt;0))</f>
        <v>35</v>
      </c>
      <c r="G340" s="26" t="n">
        <f aca="false">F340/49</f>
        <v>0.714285714285714</v>
      </c>
      <c r="H340" s="25" t="n">
        <f aca="false">49-SUMPRODUCT(--((('Yellow Bosses'!$K$5:$K$53&gt;=1)+('Yellow Bosses'!$N$5:$N$53&gt;=1)+('Yellow Bosses'!$Q$5:$Q$53&gt;=1)+('Yellow Bosses'!$S$5:$S$53&gt;=1))&gt;0))</f>
        <v>0</v>
      </c>
      <c r="I340" s="25" t="n">
        <f aca="false">SUMPRODUCT(--((('Yellow Bosses'!$K$5:$K$53&gt;0)+('Yellow Bosses'!$N$5:$N$53&gt;0)+('Yellow Bosses'!$Q$5:$Q$53&gt;0)+('Yellow Bosses'!$S$5:$S$53&gt;0))=0))</f>
        <v>0</v>
      </c>
      <c r="J340" s="25" t="n">
        <f aca="false">SUMPRODUCT(--(((Effectiveness!$H$5:$H$155&gt;=2)+(Effectiveness!$K$5:$K$155&gt;=2)+(Effectiveness!$N$5:$N$155&gt;=2)+(Effectiveness!$P$5:$P$155&gt;=2))&gt;0))</f>
        <v>120</v>
      </c>
      <c r="K340" s="26" t="n">
        <f aca="false">J340/151</f>
        <v>0.794701986754967</v>
      </c>
      <c r="L340" s="25" t="n">
        <f aca="false">MIN(INDEX('Move Reality'!$F$5:$F$19,MATCH(B340,'Move Reality'!$A$5:$A$19,0)),INDEX('Move Reality'!$F$5:$F$19,MATCH(C340,'Move Reality'!$A$5:$A$19,0)),INDEX('Move Reality'!$F$5:$F$19,MATCH(D340,'Move Reality'!$A$5:$A$19,0)),INDEX('Move Reality'!$F$5:$F$19,MATCH(E340,'Move Reality'!$A$5:$A$19,0)))</f>
        <v>1</v>
      </c>
      <c r="M340" s="28" t="str">
        <f aca="false">IF(L340&gt;=5,"YES","no - dead move")</f>
        <v>no - dead move</v>
      </c>
    </row>
    <row r="341" customFormat="false" ht="15" hidden="false" customHeight="false" outlineLevel="0" collapsed="false">
      <c r="A341" s="17" t="n">
        <v>337</v>
      </c>
      <c r="B341" s="17" t="s">
        <v>42</v>
      </c>
      <c r="C341" s="17" t="s">
        <v>43</v>
      </c>
      <c r="D341" s="17" t="s">
        <v>46</v>
      </c>
      <c r="E341" s="17" t="s">
        <v>49</v>
      </c>
      <c r="F341" s="25" t="n">
        <f aca="false">SUMPRODUCT(--((('Yellow Bosses'!$J$5:$J$53&gt;=2)+('Yellow Bosses'!$K$5:$K$53&gt;=2)+('Yellow Bosses'!$N$5:$N$53&gt;=2)+('Yellow Bosses'!$Q$5:$Q$53&gt;=2))&gt;0))</f>
        <v>35</v>
      </c>
      <c r="G341" s="26" t="n">
        <f aca="false">F341/49</f>
        <v>0.714285714285714</v>
      </c>
      <c r="H341" s="25" t="n">
        <f aca="false">49-SUMPRODUCT(--((('Yellow Bosses'!$J$5:$J$53&gt;=1)+('Yellow Bosses'!$K$5:$K$53&gt;=1)+('Yellow Bosses'!$N$5:$N$53&gt;=1)+('Yellow Bosses'!$Q$5:$Q$53&gt;=1))&gt;0))</f>
        <v>0</v>
      </c>
      <c r="I341" s="25" t="n">
        <f aca="false">SUMPRODUCT(--((('Yellow Bosses'!$J$5:$J$53&gt;0)+('Yellow Bosses'!$K$5:$K$53&gt;0)+('Yellow Bosses'!$N$5:$N$53&gt;0)+('Yellow Bosses'!$Q$5:$Q$53&gt;0))=0))</f>
        <v>0</v>
      </c>
      <c r="J341" s="25" t="n">
        <f aca="false">SUMPRODUCT(--(((Effectiveness!$G$5:$G$155&gt;=2)+(Effectiveness!$H$5:$H$155&gt;=2)+(Effectiveness!$K$5:$K$155&gt;=2)+(Effectiveness!$N$5:$N$155&gt;=2))&gt;0))</f>
        <v>117</v>
      </c>
      <c r="K341" s="26" t="n">
        <f aca="false">J341/151</f>
        <v>0.774834437086093</v>
      </c>
      <c r="L341" s="25" t="n">
        <f aca="false">MIN(INDEX('Move Reality'!$F$5:$F$19,MATCH(B341,'Move Reality'!$A$5:$A$19,0)),INDEX('Move Reality'!$F$5:$F$19,MATCH(C341,'Move Reality'!$A$5:$A$19,0)),INDEX('Move Reality'!$F$5:$F$19,MATCH(D341,'Move Reality'!$A$5:$A$19,0)),INDEX('Move Reality'!$F$5:$F$19,MATCH(E341,'Move Reality'!$A$5:$A$19,0)))</f>
        <v>5</v>
      </c>
      <c r="M341" s="28" t="str">
        <f aca="false">IF(L341&gt;=5,"YES","no - dead move")</f>
        <v>YES</v>
      </c>
    </row>
    <row r="342" customFormat="false" ht="15" hidden="false" customHeight="false" outlineLevel="0" collapsed="false">
      <c r="A342" s="17" t="n">
        <v>338</v>
      </c>
      <c r="B342" s="17" t="s">
        <v>44</v>
      </c>
      <c r="C342" s="17" t="s">
        <v>46</v>
      </c>
      <c r="D342" s="17" t="s">
        <v>49</v>
      </c>
      <c r="E342" s="17" t="s">
        <v>52</v>
      </c>
      <c r="F342" s="25" t="n">
        <f aca="false">SUMPRODUCT(--((('Yellow Bosses'!$L$5:$L$53&gt;=2)+('Yellow Bosses'!$N$5:$N$53&gt;=2)+('Yellow Bosses'!$Q$5:$Q$53&gt;=2)+('Yellow Bosses'!$T$5:$T$53&gt;=2))&gt;0))</f>
        <v>35</v>
      </c>
      <c r="G342" s="26" t="n">
        <f aca="false">F342/49</f>
        <v>0.714285714285714</v>
      </c>
      <c r="H342" s="25" t="n">
        <f aca="false">49-SUMPRODUCT(--((('Yellow Bosses'!$L$5:$L$53&gt;=1)+('Yellow Bosses'!$N$5:$N$53&gt;=1)+('Yellow Bosses'!$Q$5:$Q$53&gt;=1)+('Yellow Bosses'!$T$5:$T$53&gt;=1))&gt;0))</f>
        <v>0</v>
      </c>
      <c r="I342" s="25" t="n">
        <f aca="false">SUMPRODUCT(--((('Yellow Bosses'!$L$5:$L$53&gt;0)+('Yellow Bosses'!$N$5:$N$53&gt;0)+('Yellow Bosses'!$Q$5:$Q$53&gt;0)+('Yellow Bosses'!$T$5:$T$53&gt;0))=0))</f>
        <v>0</v>
      </c>
      <c r="J342" s="25" t="n">
        <f aca="false">SUMPRODUCT(--(((Effectiveness!$I$5:$I$155&gt;=2)+(Effectiveness!$K$5:$K$155&gt;=2)+(Effectiveness!$N$5:$N$155&gt;=2)+(Effectiveness!$Q$5:$Q$155&gt;=2))&gt;0))</f>
        <v>116</v>
      </c>
      <c r="K342" s="26" t="n">
        <f aca="false">J342/151</f>
        <v>0.768211920529801</v>
      </c>
      <c r="L342" s="25" t="n">
        <f aca="false">MIN(INDEX('Move Reality'!$F$5:$F$19,MATCH(B342,'Move Reality'!$A$5:$A$19,0)),INDEX('Move Reality'!$F$5:$F$19,MATCH(C342,'Move Reality'!$A$5:$A$19,0)),INDEX('Move Reality'!$F$5:$F$19,MATCH(D342,'Move Reality'!$A$5:$A$19,0)),INDEX('Move Reality'!$F$5:$F$19,MATCH(E342,'Move Reality'!$A$5:$A$19,0)))</f>
        <v>4</v>
      </c>
      <c r="M342" s="28" t="str">
        <f aca="false">IF(L342&gt;=5,"YES","no - dead move")</f>
        <v>no - dead move</v>
      </c>
    </row>
    <row r="343" customFormat="false" ht="15" hidden="false" customHeight="false" outlineLevel="0" collapsed="false">
      <c r="A343" s="17" t="n">
        <v>339</v>
      </c>
      <c r="B343" s="17" t="s">
        <v>43</v>
      </c>
      <c r="C343" s="17" t="s">
        <v>46</v>
      </c>
      <c r="D343" s="17" t="s">
        <v>51</v>
      </c>
      <c r="E343" s="17" t="s">
        <v>53</v>
      </c>
      <c r="F343" s="25" t="n">
        <f aca="false">SUMPRODUCT(--((('Yellow Bosses'!$K$5:$K$53&gt;=2)+('Yellow Bosses'!$N$5:$N$53&gt;=2)+('Yellow Bosses'!$S$5:$S$53&gt;=2)+('Yellow Bosses'!$U$5:$U$53&gt;=2))&gt;0))</f>
        <v>35</v>
      </c>
      <c r="G343" s="26" t="n">
        <f aca="false">F343/49</f>
        <v>0.714285714285714</v>
      </c>
      <c r="H343" s="25" t="n">
        <f aca="false">49-SUMPRODUCT(--((('Yellow Bosses'!$K$5:$K$53&gt;=1)+('Yellow Bosses'!$N$5:$N$53&gt;=1)+('Yellow Bosses'!$S$5:$S$53&gt;=1)+('Yellow Bosses'!$U$5:$U$53&gt;=1))&gt;0))</f>
        <v>0</v>
      </c>
      <c r="I343" s="25" t="n">
        <f aca="false">SUMPRODUCT(--((('Yellow Bosses'!$K$5:$K$53&gt;0)+('Yellow Bosses'!$N$5:$N$53&gt;0)+('Yellow Bosses'!$S$5:$S$53&gt;0)+('Yellow Bosses'!$U$5:$U$53&gt;0))=0))</f>
        <v>0</v>
      </c>
      <c r="J343" s="25" t="n">
        <f aca="false">SUMPRODUCT(--(((Effectiveness!$H$5:$H$155&gt;=2)+(Effectiveness!$K$5:$K$155&gt;=2)+(Effectiveness!$P$5:$P$155&gt;=2)+(Effectiveness!$R$5:$R$155&gt;=2))&gt;0))</f>
        <v>113</v>
      </c>
      <c r="K343" s="26" t="n">
        <f aca="false">J343/151</f>
        <v>0.748344370860927</v>
      </c>
      <c r="L343" s="25" t="n">
        <f aca="false">MIN(INDEX('Move Reality'!$F$5:$F$19,MATCH(B343,'Move Reality'!$A$5:$A$19,0)),INDEX('Move Reality'!$F$5:$F$19,MATCH(C343,'Move Reality'!$A$5:$A$19,0)),INDEX('Move Reality'!$F$5:$F$19,MATCH(D343,'Move Reality'!$A$5:$A$19,0)),INDEX('Move Reality'!$F$5:$F$19,MATCH(E343,'Move Reality'!$A$5:$A$19,0)))</f>
        <v>1</v>
      </c>
      <c r="M343" s="28" t="str">
        <f aca="false">IF(L343&gt;=5,"YES","no - dead move")</f>
        <v>no - dead move</v>
      </c>
    </row>
    <row r="344" customFormat="false" ht="15" hidden="false" customHeight="false" outlineLevel="0" collapsed="false">
      <c r="A344" s="17" t="n">
        <v>340</v>
      </c>
      <c r="B344" s="17" t="s">
        <v>43</v>
      </c>
      <c r="C344" s="17" t="s">
        <v>46</v>
      </c>
      <c r="D344" s="17" t="s">
        <v>51</v>
      </c>
      <c r="E344" s="17" t="s">
        <v>54</v>
      </c>
      <c r="F344" s="25" t="n">
        <f aca="false">SUMPRODUCT(--((('Yellow Bosses'!$K$5:$K$53&gt;=2)+('Yellow Bosses'!$N$5:$N$53&gt;=2)+('Yellow Bosses'!$S$5:$S$53&gt;=2)+('Yellow Bosses'!$V$5:$V$53&gt;=2))&gt;0))</f>
        <v>35</v>
      </c>
      <c r="G344" s="26" t="n">
        <f aca="false">F344/49</f>
        <v>0.714285714285714</v>
      </c>
      <c r="H344" s="25" t="n">
        <f aca="false">49-SUMPRODUCT(--((('Yellow Bosses'!$K$5:$K$53&gt;=1)+('Yellow Bosses'!$N$5:$N$53&gt;=1)+('Yellow Bosses'!$S$5:$S$53&gt;=1)+('Yellow Bosses'!$V$5:$V$53&gt;=1))&gt;0))</f>
        <v>0</v>
      </c>
      <c r="I344" s="25" t="n">
        <f aca="false">SUMPRODUCT(--((('Yellow Bosses'!$K$5:$K$53&gt;0)+('Yellow Bosses'!$N$5:$N$53&gt;0)+('Yellow Bosses'!$S$5:$S$53&gt;0)+('Yellow Bosses'!$V$5:$V$53&gt;0))=0))</f>
        <v>0</v>
      </c>
      <c r="J344" s="25" t="n">
        <f aca="false">SUMPRODUCT(--(((Effectiveness!$H$5:$H$155&gt;=2)+(Effectiveness!$K$5:$K$155&gt;=2)+(Effectiveness!$P$5:$P$155&gt;=2)+(Effectiveness!$S$5:$S$155&gt;=2))&gt;0))</f>
        <v>113</v>
      </c>
      <c r="K344" s="26" t="n">
        <f aca="false">J344/151</f>
        <v>0.748344370860927</v>
      </c>
      <c r="L344" s="25" t="n">
        <f aca="false">MIN(INDEX('Move Reality'!$F$5:$F$19,MATCH(B344,'Move Reality'!$A$5:$A$19,0)),INDEX('Move Reality'!$F$5:$F$19,MATCH(C344,'Move Reality'!$A$5:$A$19,0)),INDEX('Move Reality'!$F$5:$F$19,MATCH(D344,'Move Reality'!$A$5:$A$19,0)),INDEX('Move Reality'!$F$5:$F$19,MATCH(E344,'Move Reality'!$A$5:$A$19,0)))</f>
        <v>1</v>
      </c>
      <c r="M344" s="28" t="str">
        <f aca="false">IF(L344&gt;=5,"YES","no - dead move")</f>
        <v>no - dead move</v>
      </c>
    </row>
    <row r="345" customFormat="false" ht="15" hidden="false" customHeight="false" outlineLevel="0" collapsed="false">
      <c r="A345" s="17" t="n">
        <v>341</v>
      </c>
      <c r="B345" s="17" t="s">
        <v>44</v>
      </c>
      <c r="C345" s="17" t="s">
        <v>45</v>
      </c>
      <c r="D345" s="17" t="s">
        <v>47</v>
      </c>
      <c r="E345" s="17" t="s">
        <v>48</v>
      </c>
      <c r="F345" s="25" t="n">
        <f aca="false">SUMPRODUCT(--((('Yellow Bosses'!$L$5:$L$53&gt;=2)+('Yellow Bosses'!$M$5:$M$53&gt;=2)+('Yellow Bosses'!$O$5:$O$53&gt;=2)+('Yellow Bosses'!$P$5:$P$53&gt;=2))&gt;0))</f>
        <v>35</v>
      </c>
      <c r="G345" s="26" t="n">
        <f aca="false">F345/49</f>
        <v>0.714285714285714</v>
      </c>
      <c r="H345" s="25" t="n">
        <f aca="false">49-SUMPRODUCT(--((('Yellow Bosses'!$L$5:$L$53&gt;=1)+('Yellow Bosses'!$M$5:$M$53&gt;=1)+('Yellow Bosses'!$O$5:$O$53&gt;=1)+('Yellow Bosses'!$P$5:$P$53&gt;=1))&gt;0))</f>
        <v>0</v>
      </c>
      <c r="I345" s="25" t="n">
        <f aca="false">SUMPRODUCT(--((('Yellow Bosses'!$L$5:$L$53&gt;0)+('Yellow Bosses'!$M$5:$M$53&gt;0)+('Yellow Bosses'!$O$5:$O$53&gt;0)+('Yellow Bosses'!$P$5:$P$53&gt;0))=0))</f>
        <v>0</v>
      </c>
      <c r="J345" s="25" t="n">
        <f aca="false">SUMPRODUCT(--(((Effectiveness!$I$5:$I$155&gt;=2)+(Effectiveness!$J$5:$J$155&gt;=2)+(Effectiveness!$L$5:$L$155&gt;=2)+(Effectiveness!$M$5:$M$155&gt;=2))&gt;0))</f>
        <v>112</v>
      </c>
      <c r="K345" s="26" t="n">
        <f aca="false">J345/151</f>
        <v>0.741721854304636</v>
      </c>
      <c r="L345" s="25" t="n">
        <f aca="false">MIN(INDEX('Move Reality'!$F$5:$F$19,MATCH(B345,'Move Reality'!$A$5:$A$19,0)),INDEX('Move Reality'!$F$5:$F$19,MATCH(C345,'Move Reality'!$A$5:$A$19,0)),INDEX('Move Reality'!$F$5:$F$19,MATCH(D345,'Move Reality'!$A$5:$A$19,0)),INDEX('Move Reality'!$F$5:$F$19,MATCH(E345,'Move Reality'!$A$5:$A$19,0)))</f>
        <v>2</v>
      </c>
      <c r="M345" s="28" t="str">
        <f aca="false">IF(L345&gt;=5,"YES","no - dead move")</f>
        <v>no - dead move</v>
      </c>
    </row>
    <row r="346" customFormat="false" ht="15" hidden="false" customHeight="false" outlineLevel="0" collapsed="false">
      <c r="A346" s="17" t="n">
        <v>342</v>
      </c>
      <c r="B346" s="17" t="s">
        <v>46</v>
      </c>
      <c r="C346" s="17" t="s">
        <v>48</v>
      </c>
      <c r="D346" s="17" t="s">
        <v>50</v>
      </c>
      <c r="E346" s="17" t="s">
        <v>52</v>
      </c>
      <c r="F346" s="25" t="n">
        <f aca="false">SUMPRODUCT(--((('Yellow Bosses'!$N$5:$N$53&gt;=2)+('Yellow Bosses'!$P$5:$P$53&gt;=2)+('Yellow Bosses'!$R$5:$R$53&gt;=2)+('Yellow Bosses'!$T$5:$T$53&gt;=2))&gt;0))</f>
        <v>35</v>
      </c>
      <c r="G346" s="26" t="n">
        <f aca="false">F346/49</f>
        <v>0.714285714285714</v>
      </c>
      <c r="H346" s="25" t="n">
        <f aca="false">49-SUMPRODUCT(--((('Yellow Bosses'!$N$5:$N$53&gt;=1)+('Yellow Bosses'!$P$5:$P$53&gt;=1)+('Yellow Bosses'!$R$5:$R$53&gt;=1)+('Yellow Bosses'!$T$5:$T$53&gt;=1))&gt;0))</f>
        <v>0</v>
      </c>
      <c r="I346" s="25" t="n">
        <f aca="false">SUMPRODUCT(--((('Yellow Bosses'!$N$5:$N$53&gt;0)+('Yellow Bosses'!$P$5:$P$53&gt;0)+('Yellow Bosses'!$R$5:$R$53&gt;0)+('Yellow Bosses'!$T$5:$T$53&gt;0))=0))</f>
        <v>0</v>
      </c>
      <c r="J346" s="25" t="n">
        <f aca="false">SUMPRODUCT(--(((Effectiveness!$K$5:$K$155&gt;=2)+(Effectiveness!$M$5:$M$155&gt;=2)+(Effectiveness!$O$5:$O$155&gt;=2)+(Effectiveness!$Q$5:$Q$155&gt;=2))&gt;0))</f>
        <v>111</v>
      </c>
      <c r="K346" s="26" t="n">
        <f aca="false">J346/151</f>
        <v>0.735099337748344</v>
      </c>
      <c r="L346" s="25" t="n">
        <f aca="false">MIN(INDEX('Move Reality'!$F$5:$F$19,MATCH(B346,'Move Reality'!$A$5:$A$19,0)),INDEX('Move Reality'!$F$5:$F$19,MATCH(C346,'Move Reality'!$A$5:$A$19,0)),INDEX('Move Reality'!$F$5:$F$19,MATCH(D346,'Move Reality'!$A$5:$A$19,0)),INDEX('Move Reality'!$F$5:$F$19,MATCH(E346,'Move Reality'!$A$5:$A$19,0)))</f>
        <v>5</v>
      </c>
      <c r="M346" s="28" t="str">
        <f aca="false">IF(L346&gt;=5,"YES","no - dead move")</f>
        <v>YES</v>
      </c>
    </row>
    <row r="347" customFormat="false" ht="15" hidden="false" customHeight="false" outlineLevel="0" collapsed="false">
      <c r="A347" s="17" t="n">
        <v>343</v>
      </c>
      <c r="B347" s="17" t="s">
        <v>40</v>
      </c>
      <c r="C347" s="17" t="s">
        <v>44</v>
      </c>
      <c r="D347" s="17" t="s">
        <v>45</v>
      </c>
      <c r="E347" s="17" t="s">
        <v>48</v>
      </c>
      <c r="F347" s="25" t="n">
        <f aca="false">SUMPRODUCT(--((('Yellow Bosses'!$H$5:$H$53&gt;=2)+('Yellow Bosses'!$L$5:$L$53&gt;=2)+('Yellow Bosses'!$M$5:$M$53&gt;=2)+('Yellow Bosses'!$P$5:$P$53&gt;=2))&gt;0))</f>
        <v>35</v>
      </c>
      <c r="G347" s="26" t="n">
        <f aca="false">F347/49</f>
        <v>0.714285714285714</v>
      </c>
      <c r="H347" s="25" t="n">
        <f aca="false">49-SUMPRODUCT(--((('Yellow Bosses'!$H$5:$H$53&gt;=1)+('Yellow Bosses'!$L$5:$L$53&gt;=1)+('Yellow Bosses'!$M$5:$M$53&gt;=1)+('Yellow Bosses'!$P$5:$P$53&gt;=1))&gt;0))</f>
        <v>0</v>
      </c>
      <c r="I347" s="25" t="n">
        <f aca="false">SUMPRODUCT(--((('Yellow Bosses'!$H$5:$H$53&gt;0)+('Yellow Bosses'!$L$5:$L$53&gt;0)+('Yellow Bosses'!$M$5:$M$53&gt;0)+('Yellow Bosses'!$P$5:$P$53&gt;0))=0))</f>
        <v>0</v>
      </c>
      <c r="J347" s="25" t="n">
        <f aca="false">SUMPRODUCT(--(((Effectiveness!$E$5:$E$155&gt;=2)+(Effectiveness!$I$5:$I$155&gt;=2)+(Effectiveness!$J$5:$J$155&gt;=2)+(Effectiveness!$M$5:$M$155&gt;=2))&gt;0))</f>
        <v>109</v>
      </c>
      <c r="K347" s="26" t="n">
        <f aca="false">J347/151</f>
        <v>0.721854304635762</v>
      </c>
      <c r="L347" s="25" t="n">
        <f aca="false">MIN(INDEX('Move Reality'!$F$5:$F$19,MATCH(B347,'Move Reality'!$A$5:$A$19,0)),INDEX('Move Reality'!$F$5:$F$19,MATCH(C347,'Move Reality'!$A$5:$A$19,0)),INDEX('Move Reality'!$F$5:$F$19,MATCH(D347,'Move Reality'!$A$5:$A$19,0)),INDEX('Move Reality'!$F$5:$F$19,MATCH(E347,'Move Reality'!$A$5:$A$19,0)))</f>
        <v>4</v>
      </c>
      <c r="M347" s="28" t="str">
        <f aca="false">IF(L347&gt;=5,"YES","no - dead move")</f>
        <v>no - dead move</v>
      </c>
    </row>
    <row r="348" customFormat="false" ht="15" hidden="false" customHeight="false" outlineLevel="0" collapsed="false">
      <c r="A348" s="17" t="n">
        <v>344</v>
      </c>
      <c r="B348" s="17" t="s">
        <v>42</v>
      </c>
      <c r="C348" s="17" t="s">
        <v>44</v>
      </c>
      <c r="D348" s="17" t="s">
        <v>45</v>
      </c>
      <c r="E348" s="17" t="s">
        <v>48</v>
      </c>
      <c r="F348" s="25" t="n">
        <f aca="false">SUMPRODUCT(--((('Yellow Bosses'!$J$5:$J$53&gt;=2)+('Yellow Bosses'!$L$5:$L$53&gt;=2)+('Yellow Bosses'!$M$5:$M$53&gt;=2)+('Yellow Bosses'!$P$5:$P$53&gt;=2))&gt;0))</f>
        <v>35</v>
      </c>
      <c r="G348" s="26" t="n">
        <f aca="false">F348/49</f>
        <v>0.714285714285714</v>
      </c>
      <c r="H348" s="25" t="n">
        <f aca="false">49-SUMPRODUCT(--((('Yellow Bosses'!$J$5:$J$53&gt;=1)+('Yellow Bosses'!$L$5:$L$53&gt;=1)+('Yellow Bosses'!$M$5:$M$53&gt;=1)+('Yellow Bosses'!$P$5:$P$53&gt;=1))&gt;0))</f>
        <v>0</v>
      </c>
      <c r="I348" s="25" t="n">
        <f aca="false">SUMPRODUCT(--((('Yellow Bosses'!$J$5:$J$53&gt;0)+('Yellow Bosses'!$L$5:$L$53&gt;0)+('Yellow Bosses'!$M$5:$M$53&gt;0)+('Yellow Bosses'!$P$5:$P$53&gt;0))=0))</f>
        <v>0</v>
      </c>
      <c r="J348" s="25" t="n">
        <f aca="false">SUMPRODUCT(--(((Effectiveness!$G$5:$G$155&gt;=2)+(Effectiveness!$I$5:$I$155&gt;=2)+(Effectiveness!$J$5:$J$155&gt;=2)+(Effectiveness!$M$5:$M$155&gt;=2))&gt;0))</f>
        <v>109</v>
      </c>
      <c r="K348" s="26" t="n">
        <f aca="false">J348/151</f>
        <v>0.721854304635762</v>
      </c>
      <c r="L348" s="25" t="n">
        <f aca="false">MIN(INDEX('Move Reality'!$F$5:$F$19,MATCH(B348,'Move Reality'!$A$5:$A$19,0)),INDEX('Move Reality'!$F$5:$F$19,MATCH(C348,'Move Reality'!$A$5:$A$19,0)),INDEX('Move Reality'!$F$5:$F$19,MATCH(D348,'Move Reality'!$A$5:$A$19,0)),INDEX('Move Reality'!$F$5:$F$19,MATCH(E348,'Move Reality'!$A$5:$A$19,0)))</f>
        <v>4</v>
      </c>
      <c r="M348" s="28" t="str">
        <f aca="false">IF(L348&gt;=5,"YES","no - dead move")</f>
        <v>no - dead move</v>
      </c>
    </row>
    <row r="349" customFormat="false" ht="15" hidden="false" customHeight="false" outlineLevel="0" collapsed="false">
      <c r="A349" s="17" t="n">
        <v>345</v>
      </c>
      <c r="B349" s="17" t="s">
        <v>42</v>
      </c>
      <c r="C349" s="17" t="s">
        <v>46</v>
      </c>
      <c r="D349" s="17" t="s">
        <v>50</v>
      </c>
      <c r="E349" s="17" t="s">
        <v>52</v>
      </c>
      <c r="F349" s="25" t="n">
        <f aca="false">SUMPRODUCT(--((('Yellow Bosses'!$J$5:$J$53&gt;=2)+('Yellow Bosses'!$N$5:$N$53&gt;=2)+('Yellow Bosses'!$R$5:$R$53&gt;=2)+('Yellow Bosses'!$T$5:$T$53&gt;=2))&gt;0))</f>
        <v>35</v>
      </c>
      <c r="G349" s="26" t="n">
        <f aca="false">F349/49</f>
        <v>0.714285714285714</v>
      </c>
      <c r="H349" s="25" t="n">
        <f aca="false">49-SUMPRODUCT(--((('Yellow Bosses'!$J$5:$J$53&gt;=1)+('Yellow Bosses'!$N$5:$N$53&gt;=1)+('Yellow Bosses'!$R$5:$R$53&gt;=1)+('Yellow Bosses'!$T$5:$T$53&gt;=1))&gt;0))</f>
        <v>0</v>
      </c>
      <c r="I349" s="25" t="n">
        <f aca="false">SUMPRODUCT(--((('Yellow Bosses'!$J$5:$J$53&gt;0)+('Yellow Bosses'!$N$5:$N$53&gt;0)+('Yellow Bosses'!$R$5:$R$53&gt;0)+('Yellow Bosses'!$T$5:$T$53&gt;0))=0))</f>
        <v>0</v>
      </c>
      <c r="J349" s="25" t="n">
        <f aca="false">SUMPRODUCT(--(((Effectiveness!$G$5:$G$155&gt;=2)+(Effectiveness!$K$5:$K$155&gt;=2)+(Effectiveness!$O$5:$O$155&gt;=2)+(Effectiveness!$Q$5:$Q$155&gt;=2))&gt;0))</f>
        <v>109</v>
      </c>
      <c r="K349" s="26" t="n">
        <f aca="false">J349/151</f>
        <v>0.721854304635762</v>
      </c>
      <c r="L349" s="25" t="n">
        <f aca="false">MIN(INDEX('Move Reality'!$F$5:$F$19,MATCH(B349,'Move Reality'!$A$5:$A$19,0)),INDEX('Move Reality'!$F$5:$F$19,MATCH(C349,'Move Reality'!$A$5:$A$19,0)),INDEX('Move Reality'!$F$5:$F$19,MATCH(D349,'Move Reality'!$A$5:$A$19,0)),INDEX('Move Reality'!$F$5:$F$19,MATCH(E349,'Move Reality'!$A$5:$A$19,0)))</f>
        <v>5</v>
      </c>
      <c r="M349" s="28" t="str">
        <f aca="false">IF(L349&gt;=5,"YES","no - dead move")</f>
        <v>YES</v>
      </c>
    </row>
    <row r="350" customFormat="false" ht="15" hidden="false" customHeight="false" outlineLevel="0" collapsed="false">
      <c r="A350" s="17" t="n">
        <v>346</v>
      </c>
      <c r="B350" s="17" t="s">
        <v>44</v>
      </c>
      <c r="C350" s="17" t="s">
        <v>45</v>
      </c>
      <c r="D350" s="17" t="s">
        <v>48</v>
      </c>
      <c r="E350" s="17" t="s">
        <v>53</v>
      </c>
      <c r="F350" s="25" t="n">
        <f aca="false">SUMPRODUCT(--((('Yellow Bosses'!$L$5:$L$53&gt;=2)+('Yellow Bosses'!$M$5:$M$53&gt;=2)+('Yellow Bosses'!$P$5:$P$53&gt;=2)+('Yellow Bosses'!$U$5:$U$53&gt;=2))&gt;0))</f>
        <v>35</v>
      </c>
      <c r="G350" s="26" t="n">
        <f aca="false">F350/49</f>
        <v>0.714285714285714</v>
      </c>
      <c r="H350" s="25" t="n">
        <f aca="false">49-SUMPRODUCT(--((('Yellow Bosses'!$L$5:$L$53&gt;=1)+('Yellow Bosses'!$M$5:$M$53&gt;=1)+('Yellow Bosses'!$P$5:$P$53&gt;=1)+('Yellow Bosses'!$U$5:$U$53&gt;=1))&gt;0))</f>
        <v>0</v>
      </c>
      <c r="I350" s="25" t="n">
        <f aca="false">SUMPRODUCT(--((('Yellow Bosses'!$L$5:$L$53&gt;0)+('Yellow Bosses'!$M$5:$M$53&gt;0)+('Yellow Bosses'!$P$5:$P$53&gt;0)+('Yellow Bosses'!$U$5:$U$53&gt;0))=0))</f>
        <v>0</v>
      </c>
      <c r="J350" s="25" t="n">
        <f aca="false">SUMPRODUCT(--(((Effectiveness!$I$5:$I$155&gt;=2)+(Effectiveness!$J$5:$J$155&gt;=2)+(Effectiveness!$M$5:$M$155&gt;=2)+(Effectiveness!$R$5:$R$155&gt;=2))&gt;0))</f>
        <v>109</v>
      </c>
      <c r="K350" s="26" t="n">
        <f aca="false">J350/151</f>
        <v>0.721854304635762</v>
      </c>
      <c r="L350" s="25" t="n">
        <f aca="false">MIN(INDEX('Move Reality'!$F$5:$F$19,MATCH(B350,'Move Reality'!$A$5:$A$19,0)),INDEX('Move Reality'!$F$5:$F$19,MATCH(C350,'Move Reality'!$A$5:$A$19,0)),INDEX('Move Reality'!$F$5:$F$19,MATCH(D350,'Move Reality'!$A$5:$A$19,0)),INDEX('Move Reality'!$F$5:$F$19,MATCH(E350,'Move Reality'!$A$5:$A$19,0)))</f>
        <v>1</v>
      </c>
      <c r="M350" s="28" t="str">
        <f aca="false">IF(L350&gt;=5,"YES","no - dead move")</f>
        <v>no - dead move</v>
      </c>
    </row>
    <row r="351" customFormat="false" ht="15" hidden="false" customHeight="false" outlineLevel="0" collapsed="false">
      <c r="A351" s="17" t="n">
        <v>347</v>
      </c>
      <c r="B351" s="17" t="s">
        <v>44</v>
      </c>
      <c r="C351" s="17" t="s">
        <v>45</v>
      </c>
      <c r="D351" s="17" t="s">
        <v>48</v>
      </c>
      <c r="E351" s="17" t="s">
        <v>54</v>
      </c>
      <c r="F351" s="25" t="n">
        <f aca="false">SUMPRODUCT(--((('Yellow Bosses'!$L$5:$L$53&gt;=2)+('Yellow Bosses'!$M$5:$M$53&gt;=2)+('Yellow Bosses'!$P$5:$P$53&gt;=2)+('Yellow Bosses'!$V$5:$V$53&gt;=2))&gt;0))</f>
        <v>35</v>
      </c>
      <c r="G351" s="26" t="n">
        <f aca="false">F351/49</f>
        <v>0.714285714285714</v>
      </c>
      <c r="H351" s="25" t="n">
        <f aca="false">49-SUMPRODUCT(--((('Yellow Bosses'!$L$5:$L$53&gt;=1)+('Yellow Bosses'!$M$5:$M$53&gt;=1)+('Yellow Bosses'!$P$5:$P$53&gt;=1)+('Yellow Bosses'!$V$5:$V$53&gt;=1))&gt;0))</f>
        <v>0</v>
      </c>
      <c r="I351" s="25" t="n">
        <f aca="false">SUMPRODUCT(--((('Yellow Bosses'!$L$5:$L$53&gt;0)+('Yellow Bosses'!$M$5:$M$53&gt;0)+('Yellow Bosses'!$P$5:$P$53&gt;0)+('Yellow Bosses'!$V$5:$V$53&gt;0))=0))</f>
        <v>0</v>
      </c>
      <c r="J351" s="25" t="n">
        <f aca="false">SUMPRODUCT(--(((Effectiveness!$I$5:$I$155&gt;=2)+(Effectiveness!$J$5:$J$155&gt;=2)+(Effectiveness!$M$5:$M$155&gt;=2)+(Effectiveness!$S$5:$S$155&gt;=2))&gt;0))</f>
        <v>109</v>
      </c>
      <c r="K351" s="26" t="n">
        <f aca="false">J351/151</f>
        <v>0.721854304635762</v>
      </c>
      <c r="L351" s="25" t="n">
        <f aca="false">MIN(INDEX('Move Reality'!$F$5:$F$19,MATCH(B351,'Move Reality'!$A$5:$A$19,0)),INDEX('Move Reality'!$F$5:$F$19,MATCH(C351,'Move Reality'!$A$5:$A$19,0)),INDEX('Move Reality'!$F$5:$F$19,MATCH(D351,'Move Reality'!$A$5:$A$19,0)),INDEX('Move Reality'!$F$5:$F$19,MATCH(E351,'Move Reality'!$A$5:$A$19,0)))</f>
        <v>1</v>
      </c>
      <c r="M351" s="28" t="str">
        <f aca="false">IF(L351&gt;=5,"YES","no - dead move")</f>
        <v>no - dead move</v>
      </c>
    </row>
    <row r="352" customFormat="false" ht="15" hidden="false" customHeight="false" outlineLevel="0" collapsed="false">
      <c r="A352" s="17" t="n">
        <v>348</v>
      </c>
      <c r="B352" s="17" t="s">
        <v>40</v>
      </c>
      <c r="C352" s="17" t="s">
        <v>44</v>
      </c>
      <c r="D352" s="17" t="s">
        <v>48</v>
      </c>
      <c r="E352" s="17" t="s">
        <v>52</v>
      </c>
      <c r="F352" s="25" t="n">
        <f aca="false">SUMPRODUCT(--((('Yellow Bosses'!$H$5:$H$53&gt;=2)+('Yellow Bosses'!$L$5:$L$53&gt;=2)+('Yellow Bosses'!$P$5:$P$53&gt;=2)+('Yellow Bosses'!$T$5:$T$53&gt;=2))&gt;0))</f>
        <v>35</v>
      </c>
      <c r="G352" s="26" t="n">
        <f aca="false">F352/49</f>
        <v>0.714285714285714</v>
      </c>
      <c r="H352" s="25" t="n">
        <f aca="false">49-SUMPRODUCT(--((('Yellow Bosses'!$H$5:$H$53&gt;=1)+('Yellow Bosses'!$L$5:$L$53&gt;=1)+('Yellow Bosses'!$P$5:$P$53&gt;=1)+('Yellow Bosses'!$T$5:$T$53&gt;=1))&gt;0))</f>
        <v>0</v>
      </c>
      <c r="I352" s="25" t="n">
        <f aca="false">SUMPRODUCT(--((('Yellow Bosses'!$H$5:$H$53&gt;0)+('Yellow Bosses'!$L$5:$L$53&gt;0)+('Yellow Bosses'!$P$5:$P$53&gt;0)+('Yellow Bosses'!$T$5:$T$53&gt;0))=0))</f>
        <v>0</v>
      </c>
      <c r="J352" s="25" t="n">
        <f aca="false">SUMPRODUCT(--(((Effectiveness!$E$5:$E$155&gt;=2)+(Effectiveness!$I$5:$I$155&gt;=2)+(Effectiveness!$M$5:$M$155&gt;=2)+(Effectiveness!$Q$5:$Q$155&gt;=2))&gt;0))</f>
        <v>106</v>
      </c>
      <c r="K352" s="26" t="n">
        <f aca="false">J352/151</f>
        <v>0.701986754966887</v>
      </c>
      <c r="L352" s="25" t="n">
        <f aca="false">MIN(INDEX('Move Reality'!$F$5:$F$19,MATCH(B352,'Move Reality'!$A$5:$A$19,0)),INDEX('Move Reality'!$F$5:$F$19,MATCH(C352,'Move Reality'!$A$5:$A$19,0)),INDEX('Move Reality'!$F$5:$F$19,MATCH(D352,'Move Reality'!$A$5:$A$19,0)),INDEX('Move Reality'!$F$5:$F$19,MATCH(E352,'Move Reality'!$A$5:$A$19,0)))</f>
        <v>4</v>
      </c>
      <c r="M352" s="28" t="str">
        <f aca="false">IF(L352&gt;=5,"YES","no - dead move")</f>
        <v>no - dead move</v>
      </c>
    </row>
    <row r="353" customFormat="false" ht="15" hidden="false" customHeight="false" outlineLevel="0" collapsed="false">
      <c r="A353" s="17" t="n">
        <v>349</v>
      </c>
      <c r="B353" s="17" t="s">
        <v>40</v>
      </c>
      <c r="C353" s="17" t="s">
        <v>46</v>
      </c>
      <c r="D353" s="17" t="s">
        <v>51</v>
      </c>
      <c r="E353" s="17" t="s">
        <v>52</v>
      </c>
      <c r="F353" s="25" t="n">
        <f aca="false">SUMPRODUCT(--((('Yellow Bosses'!$H$5:$H$53&gt;=2)+('Yellow Bosses'!$N$5:$N$53&gt;=2)+('Yellow Bosses'!$S$5:$S$53&gt;=2)+('Yellow Bosses'!$T$5:$T$53&gt;=2))&gt;0))</f>
        <v>35</v>
      </c>
      <c r="G353" s="26" t="n">
        <f aca="false">F353/49</f>
        <v>0.714285714285714</v>
      </c>
      <c r="H353" s="25" t="n">
        <f aca="false">49-SUMPRODUCT(--((('Yellow Bosses'!$H$5:$H$53&gt;=1)+('Yellow Bosses'!$N$5:$N$53&gt;=1)+('Yellow Bosses'!$S$5:$S$53&gt;=1)+('Yellow Bosses'!$T$5:$T$53&gt;=1))&gt;0))</f>
        <v>0</v>
      </c>
      <c r="I353" s="25" t="n">
        <f aca="false">SUMPRODUCT(--((('Yellow Bosses'!$H$5:$H$53&gt;0)+('Yellow Bosses'!$N$5:$N$53&gt;0)+('Yellow Bosses'!$S$5:$S$53&gt;0)+('Yellow Bosses'!$T$5:$T$53&gt;0))=0))</f>
        <v>0</v>
      </c>
      <c r="J353" s="25" t="n">
        <f aca="false">SUMPRODUCT(--(((Effectiveness!$E$5:$E$155&gt;=2)+(Effectiveness!$K$5:$K$155&gt;=2)+(Effectiveness!$P$5:$P$155&gt;=2)+(Effectiveness!$Q$5:$Q$155&gt;=2))&gt;0))</f>
        <v>106</v>
      </c>
      <c r="K353" s="26" t="n">
        <f aca="false">J353/151</f>
        <v>0.701986754966887</v>
      </c>
      <c r="L353" s="25" t="n">
        <f aca="false">MIN(INDEX('Move Reality'!$F$5:$F$19,MATCH(B353,'Move Reality'!$A$5:$A$19,0)),INDEX('Move Reality'!$F$5:$F$19,MATCH(C353,'Move Reality'!$A$5:$A$19,0)),INDEX('Move Reality'!$F$5:$F$19,MATCH(D353,'Move Reality'!$A$5:$A$19,0)),INDEX('Move Reality'!$F$5:$F$19,MATCH(E353,'Move Reality'!$A$5:$A$19,0)))</f>
        <v>1</v>
      </c>
      <c r="M353" s="28" t="str">
        <f aca="false">IF(L353&gt;=5,"YES","no - dead move")</f>
        <v>no - dead move</v>
      </c>
    </row>
    <row r="354" customFormat="false" ht="15" hidden="false" customHeight="false" outlineLevel="0" collapsed="false">
      <c r="A354" s="17" t="n">
        <v>350</v>
      </c>
      <c r="B354" s="17" t="s">
        <v>41</v>
      </c>
      <c r="C354" s="17" t="s">
        <v>44</v>
      </c>
      <c r="D354" s="17" t="s">
        <v>45</v>
      </c>
      <c r="E354" s="17" t="s">
        <v>51</v>
      </c>
      <c r="F354" s="25" t="n">
        <f aca="false">SUMPRODUCT(--((('Yellow Bosses'!$I$5:$I$53&gt;=2)+('Yellow Bosses'!$L$5:$L$53&gt;=2)+('Yellow Bosses'!$M$5:$M$53&gt;=2)+('Yellow Bosses'!$S$5:$S$53&gt;=2))&gt;0))</f>
        <v>35</v>
      </c>
      <c r="G354" s="26" t="n">
        <f aca="false">F354/49</f>
        <v>0.714285714285714</v>
      </c>
      <c r="H354" s="25" t="n">
        <f aca="false">49-SUMPRODUCT(--((('Yellow Bosses'!$I$5:$I$53&gt;=1)+('Yellow Bosses'!$L$5:$L$53&gt;=1)+('Yellow Bosses'!$M$5:$M$53&gt;=1)+('Yellow Bosses'!$S$5:$S$53&gt;=1))&gt;0))</f>
        <v>0</v>
      </c>
      <c r="I354" s="25" t="n">
        <f aca="false">SUMPRODUCT(--((('Yellow Bosses'!$I$5:$I$53&gt;0)+('Yellow Bosses'!$L$5:$L$53&gt;0)+('Yellow Bosses'!$M$5:$M$53&gt;0)+('Yellow Bosses'!$S$5:$S$53&gt;0))=0))</f>
        <v>0</v>
      </c>
      <c r="J354" s="25" t="n">
        <f aca="false">SUMPRODUCT(--(((Effectiveness!$F$5:$F$155&gt;=2)+(Effectiveness!$I$5:$I$155&gt;=2)+(Effectiveness!$J$5:$J$155&gt;=2)+(Effectiveness!$P$5:$P$155&gt;=2))&gt;0))</f>
        <v>106</v>
      </c>
      <c r="K354" s="26" t="n">
        <f aca="false">J354/151</f>
        <v>0.701986754966887</v>
      </c>
      <c r="L354" s="25" t="n">
        <f aca="false">MIN(INDEX('Move Reality'!$F$5:$F$19,MATCH(B354,'Move Reality'!$A$5:$A$19,0)),INDEX('Move Reality'!$F$5:$F$19,MATCH(C354,'Move Reality'!$A$5:$A$19,0)),INDEX('Move Reality'!$F$5:$F$19,MATCH(D354,'Move Reality'!$A$5:$A$19,0)),INDEX('Move Reality'!$F$5:$F$19,MATCH(E354,'Move Reality'!$A$5:$A$19,0)))</f>
        <v>1</v>
      </c>
      <c r="M354" s="28" t="str">
        <f aca="false">IF(L354&gt;=5,"YES","no - dead move")</f>
        <v>no - dead move</v>
      </c>
    </row>
    <row r="355" customFormat="false" ht="15" hidden="false" customHeight="false" outlineLevel="0" collapsed="false">
      <c r="A355" s="17" t="n">
        <v>351</v>
      </c>
      <c r="B355" s="17" t="s">
        <v>41</v>
      </c>
      <c r="C355" s="17" t="s">
        <v>46</v>
      </c>
      <c r="D355" s="17" t="s">
        <v>50</v>
      </c>
      <c r="E355" s="17" t="s">
        <v>52</v>
      </c>
      <c r="F355" s="25" t="n">
        <f aca="false">SUMPRODUCT(--((('Yellow Bosses'!$I$5:$I$53&gt;=2)+('Yellow Bosses'!$N$5:$N$53&gt;=2)+('Yellow Bosses'!$R$5:$R$53&gt;=2)+('Yellow Bosses'!$T$5:$T$53&gt;=2))&gt;0))</f>
        <v>35</v>
      </c>
      <c r="G355" s="26" t="n">
        <f aca="false">F355/49</f>
        <v>0.714285714285714</v>
      </c>
      <c r="H355" s="25" t="n">
        <f aca="false">49-SUMPRODUCT(--((('Yellow Bosses'!$I$5:$I$53&gt;=1)+('Yellow Bosses'!$N$5:$N$53&gt;=1)+('Yellow Bosses'!$R$5:$R$53&gt;=1)+('Yellow Bosses'!$T$5:$T$53&gt;=1))&gt;0))</f>
        <v>0</v>
      </c>
      <c r="I355" s="25" t="n">
        <f aca="false">SUMPRODUCT(--((('Yellow Bosses'!$I$5:$I$53&gt;0)+('Yellow Bosses'!$N$5:$N$53&gt;0)+('Yellow Bosses'!$R$5:$R$53&gt;0)+('Yellow Bosses'!$T$5:$T$53&gt;0))=0))</f>
        <v>0</v>
      </c>
      <c r="J355" s="25" t="n">
        <f aca="false">SUMPRODUCT(--(((Effectiveness!$F$5:$F$155&gt;=2)+(Effectiveness!$K$5:$K$155&gt;=2)+(Effectiveness!$O$5:$O$155&gt;=2)+(Effectiveness!$Q$5:$Q$155&gt;=2))&gt;0))</f>
        <v>106</v>
      </c>
      <c r="K355" s="26" t="n">
        <f aca="false">J355/151</f>
        <v>0.701986754966887</v>
      </c>
      <c r="L355" s="25" t="n">
        <f aca="false">MIN(INDEX('Move Reality'!$F$5:$F$19,MATCH(B355,'Move Reality'!$A$5:$A$19,0)),INDEX('Move Reality'!$F$5:$F$19,MATCH(C355,'Move Reality'!$A$5:$A$19,0)),INDEX('Move Reality'!$F$5:$F$19,MATCH(D355,'Move Reality'!$A$5:$A$19,0)),INDEX('Move Reality'!$F$5:$F$19,MATCH(E355,'Move Reality'!$A$5:$A$19,0)))</f>
        <v>5</v>
      </c>
      <c r="M355" s="28" t="str">
        <f aca="false">IF(L355&gt;=5,"YES","no - dead move")</f>
        <v>YES</v>
      </c>
    </row>
    <row r="356" customFormat="false" ht="15" hidden="false" customHeight="false" outlineLevel="0" collapsed="false">
      <c r="A356" s="17" t="n">
        <v>352</v>
      </c>
      <c r="B356" s="17" t="s">
        <v>41</v>
      </c>
      <c r="C356" s="17" t="s">
        <v>46</v>
      </c>
      <c r="D356" s="17" t="s">
        <v>51</v>
      </c>
      <c r="E356" s="17" t="s">
        <v>52</v>
      </c>
      <c r="F356" s="25" t="n">
        <f aca="false">SUMPRODUCT(--((('Yellow Bosses'!$I$5:$I$53&gt;=2)+('Yellow Bosses'!$N$5:$N$53&gt;=2)+('Yellow Bosses'!$S$5:$S$53&gt;=2)+('Yellow Bosses'!$T$5:$T$53&gt;=2))&gt;0))</f>
        <v>35</v>
      </c>
      <c r="G356" s="26" t="n">
        <f aca="false">F356/49</f>
        <v>0.714285714285714</v>
      </c>
      <c r="H356" s="25" t="n">
        <f aca="false">49-SUMPRODUCT(--((('Yellow Bosses'!$I$5:$I$53&gt;=1)+('Yellow Bosses'!$N$5:$N$53&gt;=1)+('Yellow Bosses'!$S$5:$S$53&gt;=1)+('Yellow Bosses'!$T$5:$T$53&gt;=1))&gt;0))</f>
        <v>0</v>
      </c>
      <c r="I356" s="25" t="n">
        <f aca="false">SUMPRODUCT(--((('Yellow Bosses'!$I$5:$I$53&gt;0)+('Yellow Bosses'!$N$5:$N$53&gt;0)+('Yellow Bosses'!$S$5:$S$53&gt;0)+('Yellow Bosses'!$T$5:$T$53&gt;0))=0))</f>
        <v>0</v>
      </c>
      <c r="J356" s="25" t="n">
        <f aca="false">SUMPRODUCT(--(((Effectiveness!$F$5:$F$155&gt;=2)+(Effectiveness!$K$5:$K$155&gt;=2)+(Effectiveness!$P$5:$P$155&gt;=2)+(Effectiveness!$Q$5:$Q$155&gt;=2))&gt;0))</f>
        <v>106</v>
      </c>
      <c r="K356" s="26" t="n">
        <f aca="false">J356/151</f>
        <v>0.701986754966887</v>
      </c>
      <c r="L356" s="25" t="n">
        <f aca="false">MIN(INDEX('Move Reality'!$F$5:$F$19,MATCH(B356,'Move Reality'!$A$5:$A$19,0)),INDEX('Move Reality'!$F$5:$F$19,MATCH(C356,'Move Reality'!$A$5:$A$19,0)),INDEX('Move Reality'!$F$5:$F$19,MATCH(D356,'Move Reality'!$A$5:$A$19,0)),INDEX('Move Reality'!$F$5:$F$19,MATCH(E356,'Move Reality'!$A$5:$A$19,0)))</f>
        <v>1</v>
      </c>
      <c r="M356" s="28" t="str">
        <f aca="false">IF(L356&gt;=5,"YES","no - dead move")</f>
        <v>no - dead move</v>
      </c>
    </row>
    <row r="357" customFormat="false" ht="15" hidden="false" customHeight="false" outlineLevel="0" collapsed="false">
      <c r="A357" s="17" t="n">
        <v>353</v>
      </c>
      <c r="B357" s="17" t="s">
        <v>42</v>
      </c>
      <c r="C357" s="17" t="s">
        <v>43</v>
      </c>
      <c r="D357" s="17" t="s">
        <v>48</v>
      </c>
      <c r="E357" s="17" t="s">
        <v>52</v>
      </c>
      <c r="F357" s="25" t="n">
        <f aca="false">SUMPRODUCT(--((('Yellow Bosses'!$J$5:$J$53&gt;=2)+('Yellow Bosses'!$K$5:$K$53&gt;=2)+('Yellow Bosses'!$P$5:$P$53&gt;=2)+('Yellow Bosses'!$T$5:$T$53&gt;=2))&gt;0))</f>
        <v>35</v>
      </c>
      <c r="G357" s="26" t="n">
        <f aca="false">F357/49</f>
        <v>0.714285714285714</v>
      </c>
      <c r="H357" s="25" t="n">
        <f aca="false">49-SUMPRODUCT(--((('Yellow Bosses'!$J$5:$J$53&gt;=1)+('Yellow Bosses'!$K$5:$K$53&gt;=1)+('Yellow Bosses'!$P$5:$P$53&gt;=1)+('Yellow Bosses'!$T$5:$T$53&gt;=1))&gt;0))</f>
        <v>0</v>
      </c>
      <c r="I357" s="25" t="n">
        <f aca="false">SUMPRODUCT(--((('Yellow Bosses'!$J$5:$J$53&gt;0)+('Yellow Bosses'!$K$5:$K$53&gt;0)+('Yellow Bosses'!$P$5:$P$53&gt;0)+('Yellow Bosses'!$T$5:$T$53&gt;0))=0))</f>
        <v>0</v>
      </c>
      <c r="J357" s="25" t="n">
        <f aca="false">SUMPRODUCT(--(((Effectiveness!$G$5:$G$155&gt;=2)+(Effectiveness!$H$5:$H$155&gt;=2)+(Effectiveness!$M$5:$M$155&gt;=2)+(Effectiveness!$Q$5:$Q$155&gt;=2))&gt;0))</f>
        <v>106</v>
      </c>
      <c r="K357" s="26" t="n">
        <f aca="false">J357/151</f>
        <v>0.701986754966887</v>
      </c>
      <c r="L357" s="25" t="n">
        <f aca="false">MIN(INDEX('Move Reality'!$F$5:$F$19,MATCH(B357,'Move Reality'!$A$5:$A$19,0)),INDEX('Move Reality'!$F$5:$F$19,MATCH(C357,'Move Reality'!$A$5:$A$19,0)),INDEX('Move Reality'!$F$5:$F$19,MATCH(D357,'Move Reality'!$A$5:$A$19,0)),INDEX('Move Reality'!$F$5:$F$19,MATCH(E357,'Move Reality'!$A$5:$A$19,0)))</f>
        <v>6</v>
      </c>
      <c r="M357" s="28" t="str">
        <f aca="false">IF(L357&gt;=5,"YES","no - dead move")</f>
        <v>YES</v>
      </c>
    </row>
    <row r="358" customFormat="false" ht="15" hidden="false" customHeight="false" outlineLevel="0" collapsed="false">
      <c r="A358" s="17" t="n">
        <v>354</v>
      </c>
      <c r="B358" s="17" t="s">
        <v>42</v>
      </c>
      <c r="C358" s="17" t="s">
        <v>44</v>
      </c>
      <c r="D358" s="17" t="s">
        <v>48</v>
      </c>
      <c r="E358" s="17" t="s">
        <v>52</v>
      </c>
      <c r="F358" s="25" t="n">
        <f aca="false">SUMPRODUCT(--((('Yellow Bosses'!$J$5:$J$53&gt;=2)+('Yellow Bosses'!$L$5:$L$53&gt;=2)+('Yellow Bosses'!$P$5:$P$53&gt;=2)+('Yellow Bosses'!$T$5:$T$53&gt;=2))&gt;0))</f>
        <v>35</v>
      </c>
      <c r="G358" s="26" t="n">
        <f aca="false">F358/49</f>
        <v>0.714285714285714</v>
      </c>
      <c r="H358" s="25" t="n">
        <f aca="false">49-SUMPRODUCT(--((('Yellow Bosses'!$J$5:$J$53&gt;=1)+('Yellow Bosses'!$L$5:$L$53&gt;=1)+('Yellow Bosses'!$P$5:$P$53&gt;=1)+('Yellow Bosses'!$T$5:$T$53&gt;=1))&gt;0))</f>
        <v>0</v>
      </c>
      <c r="I358" s="25" t="n">
        <f aca="false">SUMPRODUCT(--((('Yellow Bosses'!$J$5:$J$53&gt;0)+('Yellow Bosses'!$L$5:$L$53&gt;0)+('Yellow Bosses'!$P$5:$P$53&gt;0)+('Yellow Bosses'!$T$5:$T$53&gt;0))=0))</f>
        <v>0</v>
      </c>
      <c r="J358" s="25" t="n">
        <f aca="false">SUMPRODUCT(--(((Effectiveness!$G$5:$G$155&gt;=2)+(Effectiveness!$I$5:$I$155&gt;=2)+(Effectiveness!$M$5:$M$155&gt;=2)+(Effectiveness!$Q$5:$Q$155&gt;=2))&gt;0))</f>
        <v>106</v>
      </c>
      <c r="K358" s="26" t="n">
        <f aca="false">J358/151</f>
        <v>0.701986754966887</v>
      </c>
      <c r="L358" s="25" t="n">
        <f aca="false">MIN(INDEX('Move Reality'!$F$5:$F$19,MATCH(B358,'Move Reality'!$A$5:$A$19,0)),INDEX('Move Reality'!$F$5:$F$19,MATCH(C358,'Move Reality'!$A$5:$A$19,0)),INDEX('Move Reality'!$F$5:$F$19,MATCH(D358,'Move Reality'!$A$5:$A$19,0)),INDEX('Move Reality'!$F$5:$F$19,MATCH(E358,'Move Reality'!$A$5:$A$19,0)))</f>
        <v>4</v>
      </c>
      <c r="M358" s="28" t="str">
        <f aca="false">IF(L358&gt;=5,"YES","no - dead move")</f>
        <v>no - dead move</v>
      </c>
    </row>
    <row r="359" customFormat="false" ht="15" hidden="false" customHeight="false" outlineLevel="0" collapsed="false">
      <c r="A359" s="17" t="n">
        <v>355</v>
      </c>
      <c r="B359" s="17" t="s">
        <v>43</v>
      </c>
      <c r="C359" s="17" t="s">
        <v>44</v>
      </c>
      <c r="D359" s="17" t="s">
        <v>48</v>
      </c>
      <c r="E359" s="17" t="s">
        <v>52</v>
      </c>
      <c r="F359" s="25" t="n">
        <f aca="false">SUMPRODUCT(--((('Yellow Bosses'!$K$5:$K$53&gt;=2)+('Yellow Bosses'!$L$5:$L$53&gt;=2)+('Yellow Bosses'!$P$5:$P$53&gt;=2)+('Yellow Bosses'!$T$5:$T$53&gt;=2))&gt;0))</f>
        <v>35</v>
      </c>
      <c r="G359" s="26" t="n">
        <f aca="false">F359/49</f>
        <v>0.714285714285714</v>
      </c>
      <c r="H359" s="25" t="n">
        <f aca="false">49-SUMPRODUCT(--((('Yellow Bosses'!$K$5:$K$53&gt;=1)+('Yellow Bosses'!$L$5:$L$53&gt;=1)+('Yellow Bosses'!$P$5:$P$53&gt;=1)+('Yellow Bosses'!$T$5:$T$53&gt;=1))&gt;0))</f>
        <v>0</v>
      </c>
      <c r="I359" s="25" t="n">
        <f aca="false">SUMPRODUCT(--((('Yellow Bosses'!$K$5:$K$53&gt;0)+('Yellow Bosses'!$L$5:$L$53&gt;0)+('Yellow Bosses'!$P$5:$P$53&gt;0)+('Yellow Bosses'!$T$5:$T$53&gt;0))=0))</f>
        <v>0</v>
      </c>
      <c r="J359" s="25" t="n">
        <f aca="false">SUMPRODUCT(--(((Effectiveness!$H$5:$H$155&gt;=2)+(Effectiveness!$I$5:$I$155&gt;=2)+(Effectiveness!$M$5:$M$155&gt;=2)+(Effectiveness!$Q$5:$Q$155&gt;=2))&gt;0))</f>
        <v>106</v>
      </c>
      <c r="K359" s="26" t="n">
        <f aca="false">J359/151</f>
        <v>0.701986754966887</v>
      </c>
      <c r="L359" s="25" t="n">
        <f aca="false">MIN(INDEX('Move Reality'!$F$5:$F$19,MATCH(B359,'Move Reality'!$A$5:$A$19,0)),INDEX('Move Reality'!$F$5:$F$19,MATCH(C359,'Move Reality'!$A$5:$A$19,0)),INDEX('Move Reality'!$F$5:$F$19,MATCH(D359,'Move Reality'!$A$5:$A$19,0)),INDEX('Move Reality'!$F$5:$F$19,MATCH(E359,'Move Reality'!$A$5:$A$19,0)))</f>
        <v>4</v>
      </c>
      <c r="M359" s="28" t="str">
        <f aca="false">IF(L359&gt;=5,"YES","no - dead move")</f>
        <v>no - dead move</v>
      </c>
    </row>
    <row r="360" customFormat="false" ht="15" hidden="false" customHeight="false" outlineLevel="0" collapsed="false">
      <c r="A360" s="17" t="n">
        <v>356</v>
      </c>
      <c r="B360" s="17" t="s">
        <v>44</v>
      </c>
      <c r="C360" s="17" t="s">
        <v>48</v>
      </c>
      <c r="D360" s="17" t="s">
        <v>52</v>
      </c>
      <c r="E360" s="17" t="s">
        <v>53</v>
      </c>
      <c r="F360" s="25" t="n">
        <f aca="false">SUMPRODUCT(--((('Yellow Bosses'!$L$5:$L$53&gt;=2)+('Yellow Bosses'!$P$5:$P$53&gt;=2)+('Yellow Bosses'!$T$5:$T$53&gt;=2)+('Yellow Bosses'!$U$5:$U$53&gt;=2))&gt;0))</f>
        <v>35</v>
      </c>
      <c r="G360" s="26" t="n">
        <f aca="false">F360/49</f>
        <v>0.714285714285714</v>
      </c>
      <c r="H360" s="25" t="n">
        <f aca="false">49-SUMPRODUCT(--((('Yellow Bosses'!$L$5:$L$53&gt;=1)+('Yellow Bosses'!$P$5:$P$53&gt;=1)+('Yellow Bosses'!$T$5:$T$53&gt;=1)+('Yellow Bosses'!$U$5:$U$53&gt;=1))&gt;0))</f>
        <v>0</v>
      </c>
      <c r="I360" s="25" t="n">
        <f aca="false">SUMPRODUCT(--((('Yellow Bosses'!$L$5:$L$53&gt;0)+('Yellow Bosses'!$P$5:$P$53&gt;0)+('Yellow Bosses'!$T$5:$T$53&gt;0)+('Yellow Bosses'!$U$5:$U$53&gt;0))=0))</f>
        <v>0</v>
      </c>
      <c r="J360" s="25" t="n">
        <f aca="false">SUMPRODUCT(--(((Effectiveness!$I$5:$I$155&gt;=2)+(Effectiveness!$M$5:$M$155&gt;=2)+(Effectiveness!$Q$5:$Q$155&gt;=2)+(Effectiveness!$R$5:$R$155&gt;=2))&gt;0))</f>
        <v>106</v>
      </c>
      <c r="K360" s="26" t="n">
        <f aca="false">J360/151</f>
        <v>0.701986754966887</v>
      </c>
      <c r="L360" s="25" t="n">
        <f aca="false">MIN(INDEX('Move Reality'!$F$5:$F$19,MATCH(B360,'Move Reality'!$A$5:$A$19,0)),INDEX('Move Reality'!$F$5:$F$19,MATCH(C360,'Move Reality'!$A$5:$A$19,0)),INDEX('Move Reality'!$F$5:$F$19,MATCH(D360,'Move Reality'!$A$5:$A$19,0)),INDEX('Move Reality'!$F$5:$F$19,MATCH(E360,'Move Reality'!$A$5:$A$19,0)))</f>
        <v>1</v>
      </c>
      <c r="M360" s="28" t="str">
        <f aca="false">IF(L360&gt;=5,"YES","no - dead move")</f>
        <v>no - dead move</v>
      </c>
    </row>
    <row r="361" customFormat="false" ht="15" hidden="false" customHeight="false" outlineLevel="0" collapsed="false">
      <c r="A361" s="17" t="n">
        <v>357</v>
      </c>
      <c r="B361" s="17" t="s">
        <v>46</v>
      </c>
      <c r="C361" s="17" t="s">
        <v>47</v>
      </c>
      <c r="D361" s="17" t="s">
        <v>50</v>
      </c>
      <c r="E361" s="17" t="s">
        <v>52</v>
      </c>
      <c r="F361" s="25" t="n">
        <f aca="false">SUMPRODUCT(--((('Yellow Bosses'!$N$5:$N$53&gt;=2)+('Yellow Bosses'!$O$5:$O$53&gt;=2)+('Yellow Bosses'!$R$5:$R$53&gt;=2)+('Yellow Bosses'!$T$5:$T$53&gt;=2))&gt;0))</f>
        <v>35</v>
      </c>
      <c r="G361" s="26" t="n">
        <f aca="false">F361/49</f>
        <v>0.714285714285714</v>
      </c>
      <c r="H361" s="25" t="n">
        <f aca="false">49-SUMPRODUCT(--((('Yellow Bosses'!$N$5:$N$53&gt;=1)+('Yellow Bosses'!$O$5:$O$53&gt;=1)+('Yellow Bosses'!$R$5:$R$53&gt;=1)+('Yellow Bosses'!$T$5:$T$53&gt;=1))&gt;0))</f>
        <v>0</v>
      </c>
      <c r="I361" s="25" t="n">
        <f aca="false">SUMPRODUCT(--((('Yellow Bosses'!$N$5:$N$53&gt;0)+('Yellow Bosses'!$O$5:$O$53&gt;0)+('Yellow Bosses'!$R$5:$R$53&gt;0)+('Yellow Bosses'!$T$5:$T$53&gt;0))=0))</f>
        <v>0</v>
      </c>
      <c r="J361" s="25" t="n">
        <f aca="false">SUMPRODUCT(--(((Effectiveness!$K$5:$K$155&gt;=2)+(Effectiveness!$L$5:$L$155&gt;=2)+(Effectiveness!$O$5:$O$155&gt;=2)+(Effectiveness!$Q$5:$Q$155&gt;=2))&gt;0))</f>
        <v>106</v>
      </c>
      <c r="K361" s="26" t="n">
        <f aca="false">J361/151</f>
        <v>0.701986754966887</v>
      </c>
      <c r="L361" s="25" t="n">
        <f aca="false">MIN(INDEX('Move Reality'!$F$5:$F$19,MATCH(B361,'Move Reality'!$A$5:$A$19,0)),INDEX('Move Reality'!$F$5:$F$19,MATCH(C361,'Move Reality'!$A$5:$A$19,0)),INDEX('Move Reality'!$F$5:$F$19,MATCH(D361,'Move Reality'!$A$5:$A$19,0)),INDEX('Move Reality'!$F$5:$F$19,MATCH(E361,'Move Reality'!$A$5:$A$19,0)))</f>
        <v>2</v>
      </c>
      <c r="M361" s="28" t="str">
        <f aca="false">IF(L361&gt;=5,"YES","no - dead move")</f>
        <v>no - dead move</v>
      </c>
    </row>
    <row r="362" customFormat="false" ht="15" hidden="false" customHeight="false" outlineLevel="0" collapsed="false">
      <c r="A362" s="17" t="n">
        <v>358</v>
      </c>
      <c r="B362" s="17" t="s">
        <v>46</v>
      </c>
      <c r="C362" s="17" t="s">
        <v>47</v>
      </c>
      <c r="D362" s="17" t="s">
        <v>51</v>
      </c>
      <c r="E362" s="17" t="s">
        <v>52</v>
      </c>
      <c r="F362" s="25" t="n">
        <f aca="false">SUMPRODUCT(--((('Yellow Bosses'!$N$5:$N$53&gt;=2)+('Yellow Bosses'!$O$5:$O$53&gt;=2)+('Yellow Bosses'!$S$5:$S$53&gt;=2)+('Yellow Bosses'!$T$5:$T$53&gt;=2))&gt;0))</f>
        <v>35</v>
      </c>
      <c r="G362" s="26" t="n">
        <f aca="false">F362/49</f>
        <v>0.714285714285714</v>
      </c>
      <c r="H362" s="25" t="n">
        <f aca="false">49-SUMPRODUCT(--((('Yellow Bosses'!$N$5:$N$53&gt;=1)+('Yellow Bosses'!$O$5:$O$53&gt;=1)+('Yellow Bosses'!$S$5:$S$53&gt;=1)+('Yellow Bosses'!$T$5:$T$53&gt;=1))&gt;0))</f>
        <v>0</v>
      </c>
      <c r="I362" s="25" t="n">
        <f aca="false">SUMPRODUCT(--((('Yellow Bosses'!$N$5:$N$53&gt;0)+('Yellow Bosses'!$O$5:$O$53&gt;0)+('Yellow Bosses'!$S$5:$S$53&gt;0)+('Yellow Bosses'!$T$5:$T$53&gt;0))=0))</f>
        <v>0</v>
      </c>
      <c r="J362" s="25" t="n">
        <f aca="false">SUMPRODUCT(--(((Effectiveness!$K$5:$K$155&gt;=2)+(Effectiveness!$L$5:$L$155&gt;=2)+(Effectiveness!$P$5:$P$155&gt;=2)+(Effectiveness!$Q$5:$Q$155&gt;=2))&gt;0))</f>
        <v>106</v>
      </c>
      <c r="K362" s="26" t="n">
        <f aca="false">J362/151</f>
        <v>0.701986754966887</v>
      </c>
      <c r="L362" s="25" t="n">
        <f aca="false">MIN(INDEX('Move Reality'!$F$5:$F$19,MATCH(B362,'Move Reality'!$A$5:$A$19,0)),INDEX('Move Reality'!$F$5:$F$19,MATCH(C362,'Move Reality'!$A$5:$A$19,0)),INDEX('Move Reality'!$F$5:$F$19,MATCH(D362,'Move Reality'!$A$5:$A$19,0)),INDEX('Move Reality'!$F$5:$F$19,MATCH(E362,'Move Reality'!$A$5:$A$19,0)))</f>
        <v>1</v>
      </c>
      <c r="M362" s="28" t="str">
        <f aca="false">IF(L362&gt;=5,"YES","no - dead move")</f>
        <v>no - dead move</v>
      </c>
    </row>
    <row r="363" customFormat="false" ht="15" hidden="false" customHeight="false" outlineLevel="0" collapsed="false">
      <c r="A363" s="17" t="n">
        <v>359</v>
      </c>
      <c r="B363" s="17" t="s">
        <v>46</v>
      </c>
      <c r="C363" s="17" t="s">
        <v>49</v>
      </c>
      <c r="D363" s="17" t="s">
        <v>50</v>
      </c>
      <c r="E363" s="17" t="s">
        <v>52</v>
      </c>
      <c r="F363" s="25" t="n">
        <f aca="false">SUMPRODUCT(--((('Yellow Bosses'!$N$5:$N$53&gt;=2)+('Yellow Bosses'!$Q$5:$Q$53&gt;=2)+('Yellow Bosses'!$R$5:$R$53&gt;=2)+('Yellow Bosses'!$T$5:$T$53&gt;=2))&gt;0))</f>
        <v>35</v>
      </c>
      <c r="G363" s="26" t="n">
        <f aca="false">F363/49</f>
        <v>0.714285714285714</v>
      </c>
      <c r="H363" s="25" t="n">
        <f aca="false">49-SUMPRODUCT(--((('Yellow Bosses'!$N$5:$N$53&gt;=1)+('Yellow Bosses'!$Q$5:$Q$53&gt;=1)+('Yellow Bosses'!$R$5:$R$53&gt;=1)+('Yellow Bosses'!$T$5:$T$53&gt;=1))&gt;0))</f>
        <v>0</v>
      </c>
      <c r="I363" s="25" t="n">
        <f aca="false">SUMPRODUCT(--((('Yellow Bosses'!$N$5:$N$53&gt;0)+('Yellow Bosses'!$Q$5:$Q$53&gt;0)+('Yellow Bosses'!$R$5:$R$53&gt;0)+('Yellow Bosses'!$T$5:$T$53&gt;0))=0))</f>
        <v>0</v>
      </c>
      <c r="J363" s="25" t="n">
        <f aca="false">SUMPRODUCT(--(((Effectiveness!$K$5:$K$155&gt;=2)+(Effectiveness!$N$5:$N$155&gt;=2)+(Effectiveness!$O$5:$O$155&gt;=2)+(Effectiveness!$Q$5:$Q$155&gt;=2))&gt;0))</f>
        <v>106</v>
      </c>
      <c r="K363" s="26" t="n">
        <f aca="false">J363/151</f>
        <v>0.701986754966887</v>
      </c>
      <c r="L363" s="25" t="n">
        <f aca="false">MIN(INDEX('Move Reality'!$F$5:$F$19,MATCH(B363,'Move Reality'!$A$5:$A$19,0)),INDEX('Move Reality'!$F$5:$F$19,MATCH(C363,'Move Reality'!$A$5:$A$19,0)),INDEX('Move Reality'!$F$5:$F$19,MATCH(D363,'Move Reality'!$A$5:$A$19,0)),INDEX('Move Reality'!$F$5:$F$19,MATCH(E363,'Move Reality'!$A$5:$A$19,0)))</f>
        <v>5</v>
      </c>
      <c r="M363" s="28" t="str">
        <f aca="false">IF(L363&gt;=5,"YES","no - dead move")</f>
        <v>YES</v>
      </c>
    </row>
    <row r="364" customFormat="false" ht="15" hidden="false" customHeight="false" outlineLevel="0" collapsed="false">
      <c r="A364" s="17" t="n">
        <v>360</v>
      </c>
      <c r="B364" s="17" t="s">
        <v>41</v>
      </c>
      <c r="C364" s="17" t="s">
        <v>43</v>
      </c>
      <c r="D364" s="17" t="s">
        <v>44</v>
      </c>
      <c r="E364" s="17" t="s">
        <v>50</v>
      </c>
      <c r="F364" s="25" t="n">
        <f aca="false">SUMPRODUCT(--((('Yellow Bosses'!$I$5:$I$53&gt;=2)+('Yellow Bosses'!$K$5:$K$53&gt;=2)+('Yellow Bosses'!$L$5:$L$53&gt;=2)+('Yellow Bosses'!$R$5:$R$53&gt;=2))&gt;0))</f>
        <v>35</v>
      </c>
      <c r="G364" s="26" t="n">
        <f aca="false">F364/49</f>
        <v>0.714285714285714</v>
      </c>
      <c r="H364" s="25" t="n">
        <f aca="false">49-SUMPRODUCT(--((('Yellow Bosses'!$I$5:$I$53&gt;=1)+('Yellow Bosses'!$K$5:$K$53&gt;=1)+('Yellow Bosses'!$L$5:$L$53&gt;=1)+('Yellow Bosses'!$R$5:$R$53&gt;=1))&gt;0))</f>
        <v>0</v>
      </c>
      <c r="I364" s="25" t="n">
        <f aca="false">SUMPRODUCT(--((('Yellow Bosses'!$I$5:$I$53&gt;0)+('Yellow Bosses'!$K$5:$K$53&gt;0)+('Yellow Bosses'!$L$5:$L$53&gt;0)+('Yellow Bosses'!$R$5:$R$53&gt;0))=0))</f>
        <v>0</v>
      </c>
      <c r="J364" s="25" t="n">
        <f aca="false">SUMPRODUCT(--(((Effectiveness!$F$5:$F$155&gt;=2)+(Effectiveness!$H$5:$H$155&gt;=2)+(Effectiveness!$I$5:$I$155&gt;=2)+(Effectiveness!$O$5:$O$155&gt;=2))&gt;0))</f>
        <v>105</v>
      </c>
      <c r="K364" s="26" t="n">
        <f aca="false">J364/151</f>
        <v>0.695364238410596</v>
      </c>
      <c r="L364" s="25" t="n">
        <f aca="false">MIN(INDEX('Move Reality'!$F$5:$F$19,MATCH(B364,'Move Reality'!$A$5:$A$19,0)),INDEX('Move Reality'!$F$5:$F$19,MATCH(C364,'Move Reality'!$A$5:$A$19,0)),INDEX('Move Reality'!$F$5:$F$19,MATCH(D364,'Move Reality'!$A$5:$A$19,0)),INDEX('Move Reality'!$F$5:$F$19,MATCH(E364,'Move Reality'!$A$5:$A$19,0)))</f>
        <v>4</v>
      </c>
      <c r="M364" s="28" t="str">
        <f aca="false">IF(L364&gt;=5,"YES","no - dead move")</f>
        <v>no - dead move</v>
      </c>
    </row>
    <row r="365" customFormat="false" ht="15" hidden="false" customHeight="false" outlineLevel="0" collapsed="false">
      <c r="A365" s="17" t="n">
        <v>361</v>
      </c>
      <c r="B365" s="17" t="s">
        <v>42</v>
      </c>
      <c r="C365" s="17" t="s">
        <v>46</v>
      </c>
      <c r="D365" s="17" t="s">
        <v>48</v>
      </c>
      <c r="E365" s="17" t="s">
        <v>49</v>
      </c>
      <c r="F365" s="25" t="n">
        <f aca="false">SUMPRODUCT(--((('Yellow Bosses'!$J$5:$J$53&gt;=2)+('Yellow Bosses'!$N$5:$N$53&gt;=2)+('Yellow Bosses'!$P$5:$P$53&gt;=2)+('Yellow Bosses'!$Q$5:$Q$53&gt;=2))&gt;0))</f>
        <v>35</v>
      </c>
      <c r="G365" s="26" t="n">
        <f aca="false">F365/49</f>
        <v>0.714285714285714</v>
      </c>
      <c r="H365" s="25" t="n">
        <f aca="false">49-SUMPRODUCT(--((('Yellow Bosses'!$J$5:$J$53&gt;=1)+('Yellow Bosses'!$N$5:$N$53&gt;=1)+('Yellow Bosses'!$P$5:$P$53&gt;=1)+('Yellow Bosses'!$Q$5:$Q$53&gt;=1))&gt;0))</f>
        <v>0</v>
      </c>
      <c r="I365" s="25" t="n">
        <f aca="false">SUMPRODUCT(--((('Yellow Bosses'!$J$5:$J$53&gt;0)+('Yellow Bosses'!$N$5:$N$53&gt;0)+('Yellow Bosses'!$P$5:$P$53&gt;0)+('Yellow Bosses'!$Q$5:$Q$53&gt;0))=0))</f>
        <v>0</v>
      </c>
      <c r="J365" s="25" t="n">
        <f aca="false">SUMPRODUCT(--(((Effectiveness!$G$5:$G$155&gt;=2)+(Effectiveness!$K$5:$K$155&gt;=2)+(Effectiveness!$M$5:$M$155&gt;=2)+(Effectiveness!$N$5:$N$155&gt;=2))&gt;0))</f>
        <v>105</v>
      </c>
      <c r="K365" s="26" t="n">
        <f aca="false">J365/151</f>
        <v>0.695364238410596</v>
      </c>
      <c r="L365" s="25" t="n">
        <f aca="false">MIN(INDEX('Move Reality'!$F$5:$F$19,MATCH(B365,'Move Reality'!$A$5:$A$19,0)),INDEX('Move Reality'!$F$5:$F$19,MATCH(C365,'Move Reality'!$A$5:$A$19,0)),INDEX('Move Reality'!$F$5:$F$19,MATCH(D365,'Move Reality'!$A$5:$A$19,0)),INDEX('Move Reality'!$F$5:$F$19,MATCH(E365,'Move Reality'!$A$5:$A$19,0)))</f>
        <v>5</v>
      </c>
      <c r="M365" s="28" t="str">
        <f aca="false">IF(L365&gt;=5,"YES","no - dead move")</f>
        <v>YES</v>
      </c>
    </row>
    <row r="366" customFormat="false" ht="15" hidden="false" customHeight="false" outlineLevel="0" collapsed="false">
      <c r="A366" s="17" t="n">
        <v>362</v>
      </c>
      <c r="B366" s="17" t="s">
        <v>44</v>
      </c>
      <c r="C366" s="17" t="s">
        <v>45</v>
      </c>
      <c r="D366" s="17" t="s">
        <v>47</v>
      </c>
      <c r="E366" s="17" t="s">
        <v>51</v>
      </c>
      <c r="F366" s="25" t="n">
        <f aca="false">SUMPRODUCT(--((('Yellow Bosses'!$L$5:$L$53&gt;=2)+('Yellow Bosses'!$M$5:$M$53&gt;=2)+('Yellow Bosses'!$O$5:$O$53&gt;=2)+('Yellow Bosses'!$S$5:$S$53&gt;=2))&gt;0))</f>
        <v>35</v>
      </c>
      <c r="G366" s="26" t="n">
        <f aca="false">F366/49</f>
        <v>0.714285714285714</v>
      </c>
      <c r="H366" s="25" t="n">
        <f aca="false">49-SUMPRODUCT(--((('Yellow Bosses'!$L$5:$L$53&gt;=1)+('Yellow Bosses'!$M$5:$M$53&gt;=1)+('Yellow Bosses'!$O$5:$O$53&gt;=1)+('Yellow Bosses'!$S$5:$S$53&gt;=1))&gt;0))</f>
        <v>0</v>
      </c>
      <c r="I366" s="25" t="n">
        <f aca="false">SUMPRODUCT(--((('Yellow Bosses'!$L$5:$L$53&gt;0)+('Yellow Bosses'!$M$5:$M$53&gt;0)+('Yellow Bosses'!$O$5:$O$53&gt;0)+('Yellow Bosses'!$S$5:$S$53&gt;0))=0))</f>
        <v>0</v>
      </c>
      <c r="J366" s="25" t="n">
        <f aca="false">SUMPRODUCT(--(((Effectiveness!$I$5:$I$155&gt;=2)+(Effectiveness!$J$5:$J$155&gt;=2)+(Effectiveness!$L$5:$L$155&gt;=2)+(Effectiveness!$P$5:$P$155&gt;=2))&gt;0))</f>
        <v>105</v>
      </c>
      <c r="K366" s="26" t="n">
        <f aca="false">J366/151</f>
        <v>0.695364238410596</v>
      </c>
      <c r="L366" s="25" t="n">
        <f aca="false">MIN(INDEX('Move Reality'!$F$5:$F$19,MATCH(B366,'Move Reality'!$A$5:$A$19,0)),INDEX('Move Reality'!$F$5:$F$19,MATCH(C366,'Move Reality'!$A$5:$A$19,0)),INDEX('Move Reality'!$F$5:$F$19,MATCH(D366,'Move Reality'!$A$5:$A$19,0)),INDEX('Move Reality'!$F$5:$F$19,MATCH(E366,'Move Reality'!$A$5:$A$19,0)))</f>
        <v>1</v>
      </c>
      <c r="M366" s="28" t="str">
        <f aca="false">IF(L366&gt;=5,"YES","no - dead move")</f>
        <v>no - dead move</v>
      </c>
    </row>
    <row r="367" customFormat="false" ht="15" hidden="false" customHeight="false" outlineLevel="0" collapsed="false">
      <c r="A367" s="17" t="n">
        <v>363</v>
      </c>
      <c r="B367" s="17" t="s">
        <v>46</v>
      </c>
      <c r="C367" s="17" t="s">
        <v>50</v>
      </c>
      <c r="D367" s="17" t="s">
        <v>52</v>
      </c>
      <c r="E367" s="17" t="s">
        <v>54</v>
      </c>
      <c r="F367" s="25" t="n">
        <f aca="false">SUMPRODUCT(--((('Yellow Bosses'!$N$5:$N$53&gt;=2)+('Yellow Bosses'!$R$5:$R$53&gt;=2)+('Yellow Bosses'!$T$5:$T$53&gt;=2)+('Yellow Bosses'!$V$5:$V$53&gt;=2))&gt;0))</f>
        <v>35</v>
      </c>
      <c r="G367" s="26" t="n">
        <f aca="false">F367/49</f>
        <v>0.714285714285714</v>
      </c>
      <c r="H367" s="25" t="n">
        <f aca="false">49-SUMPRODUCT(--((('Yellow Bosses'!$N$5:$N$53&gt;=1)+('Yellow Bosses'!$R$5:$R$53&gt;=1)+('Yellow Bosses'!$T$5:$T$53&gt;=1)+('Yellow Bosses'!$V$5:$V$53&gt;=1))&gt;0))</f>
        <v>0</v>
      </c>
      <c r="I367" s="25" t="n">
        <f aca="false">SUMPRODUCT(--((('Yellow Bosses'!$N$5:$N$53&gt;0)+('Yellow Bosses'!$R$5:$R$53&gt;0)+('Yellow Bosses'!$T$5:$T$53&gt;0)+('Yellow Bosses'!$V$5:$V$53&gt;0))=0))</f>
        <v>0</v>
      </c>
      <c r="J367" s="25" t="n">
        <f aca="false">SUMPRODUCT(--(((Effectiveness!$K$5:$K$155&gt;=2)+(Effectiveness!$O$5:$O$155&gt;=2)+(Effectiveness!$Q$5:$Q$155&gt;=2)+(Effectiveness!$S$5:$S$155&gt;=2))&gt;0))</f>
        <v>105</v>
      </c>
      <c r="K367" s="26" t="n">
        <f aca="false">J367/151</f>
        <v>0.695364238410596</v>
      </c>
      <c r="L367" s="25" t="n">
        <f aca="false">MIN(INDEX('Move Reality'!$F$5:$F$19,MATCH(B367,'Move Reality'!$A$5:$A$19,0)),INDEX('Move Reality'!$F$5:$F$19,MATCH(C367,'Move Reality'!$A$5:$A$19,0)),INDEX('Move Reality'!$F$5:$F$19,MATCH(D367,'Move Reality'!$A$5:$A$19,0)),INDEX('Move Reality'!$F$5:$F$19,MATCH(E367,'Move Reality'!$A$5:$A$19,0)))</f>
        <v>1</v>
      </c>
      <c r="M367" s="28" t="str">
        <f aca="false">IF(L367&gt;=5,"YES","no - dead move")</f>
        <v>no - dead move</v>
      </c>
    </row>
    <row r="368" customFormat="false" ht="15" hidden="false" customHeight="false" outlineLevel="0" collapsed="false">
      <c r="A368" s="17" t="n">
        <v>364</v>
      </c>
      <c r="B368" s="17" t="s">
        <v>43</v>
      </c>
      <c r="C368" s="17" t="s">
        <v>47</v>
      </c>
      <c r="D368" s="17" t="s">
        <v>48</v>
      </c>
      <c r="E368" s="17" t="s">
        <v>52</v>
      </c>
      <c r="F368" s="25" t="n">
        <f aca="false">SUMPRODUCT(--((('Yellow Bosses'!$K$5:$K$53&gt;=2)+('Yellow Bosses'!$O$5:$O$53&gt;=2)+('Yellow Bosses'!$P$5:$P$53&gt;=2)+('Yellow Bosses'!$T$5:$T$53&gt;=2))&gt;0))</f>
        <v>35</v>
      </c>
      <c r="G368" s="26" t="n">
        <f aca="false">F368/49</f>
        <v>0.714285714285714</v>
      </c>
      <c r="H368" s="25" t="n">
        <f aca="false">49-SUMPRODUCT(--((('Yellow Bosses'!$K$5:$K$53&gt;=1)+('Yellow Bosses'!$O$5:$O$53&gt;=1)+('Yellow Bosses'!$P$5:$P$53&gt;=1)+('Yellow Bosses'!$T$5:$T$53&gt;=1))&gt;0))</f>
        <v>0</v>
      </c>
      <c r="I368" s="25" t="n">
        <f aca="false">SUMPRODUCT(--((('Yellow Bosses'!$K$5:$K$53&gt;0)+('Yellow Bosses'!$O$5:$O$53&gt;0)+('Yellow Bosses'!$P$5:$P$53&gt;0)+('Yellow Bosses'!$T$5:$T$53&gt;0))=0))</f>
        <v>0</v>
      </c>
      <c r="J368" s="25" t="n">
        <f aca="false">SUMPRODUCT(--(((Effectiveness!$H$5:$H$155&gt;=2)+(Effectiveness!$L$5:$L$155&gt;=2)+(Effectiveness!$M$5:$M$155&gt;=2)+(Effectiveness!$Q$5:$Q$155&gt;=2))&gt;0))</f>
        <v>103</v>
      </c>
      <c r="K368" s="26" t="n">
        <f aca="false">J368/151</f>
        <v>0.682119205298013</v>
      </c>
      <c r="L368" s="25" t="n">
        <f aca="false">MIN(INDEX('Move Reality'!$F$5:$F$19,MATCH(B368,'Move Reality'!$A$5:$A$19,0)),INDEX('Move Reality'!$F$5:$F$19,MATCH(C368,'Move Reality'!$A$5:$A$19,0)),INDEX('Move Reality'!$F$5:$F$19,MATCH(D368,'Move Reality'!$A$5:$A$19,0)),INDEX('Move Reality'!$F$5:$F$19,MATCH(E368,'Move Reality'!$A$5:$A$19,0)))</f>
        <v>2</v>
      </c>
      <c r="M368" s="28" t="str">
        <f aca="false">IF(L368&gt;=5,"YES","no - dead move")</f>
        <v>no - dead move</v>
      </c>
    </row>
    <row r="369" customFormat="false" ht="15" hidden="false" customHeight="false" outlineLevel="0" collapsed="false">
      <c r="A369" s="17" t="n">
        <v>365</v>
      </c>
      <c r="B369" s="17" t="s">
        <v>40</v>
      </c>
      <c r="C369" s="17" t="s">
        <v>41</v>
      </c>
      <c r="D369" s="17" t="s">
        <v>44</v>
      </c>
      <c r="E369" s="17" t="s">
        <v>48</v>
      </c>
      <c r="F369" s="25" t="n">
        <f aca="false">SUMPRODUCT(--((('Yellow Bosses'!$H$5:$H$53&gt;=2)+('Yellow Bosses'!$I$5:$I$53&gt;=2)+('Yellow Bosses'!$L$5:$L$53&gt;=2)+('Yellow Bosses'!$P$5:$P$53&gt;=2))&gt;0))</f>
        <v>35</v>
      </c>
      <c r="G369" s="26" t="n">
        <f aca="false">F369/49</f>
        <v>0.714285714285714</v>
      </c>
      <c r="H369" s="25" t="n">
        <f aca="false">49-SUMPRODUCT(--((('Yellow Bosses'!$H$5:$H$53&gt;=1)+('Yellow Bosses'!$I$5:$I$53&gt;=1)+('Yellow Bosses'!$L$5:$L$53&gt;=1)+('Yellow Bosses'!$P$5:$P$53&gt;=1))&gt;0))</f>
        <v>0</v>
      </c>
      <c r="I369" s="25" t="n">
        <f aca="false">SUMPRODUCT(--((('Yellow Bosses'!$H$5:$H$53&gt;0)+('Yellow Bosses'!$I$5:$I$53&gt;0)+('Yellow Bosses'!$L$5:$L$53&gt;0)+('Yellow Bosses'!$P$5:$P$53&gt;0))=0))</f>
        <v>0</v>
      </c>
      <c r="J369" s="25" t="n">
        <f aca="false">SUMPRODUCT(--(((Effectiveness!$E$5:$E$155&gt;=2)+(Effectiveness!$F$5:$F$155&gt;=2)+(Effectiveness!$I$5:$I$155&gt;=2)+(Effectiveness!$M$5:$M$155&gt;=2))&gt;0))</f>
        <v>102</v>
      </c>
      <c r="K369" s="26" t="n">
        <f aca="false">J369/151</f>
        <v>0.675496688741722</v>
      </c>
      <c r="L369" s="25" t="n">
        <f aca="false">MIN(INDEX('Move Reality'!$F$5:$F$19,MATCH(B369,'Move Reality'!$A$5:$A$19,0)),INDEX('Move Reality'!$F$5:$F$19,MATCH(C369,'Move Reality'!$A$5:$A$19,0)),INDEX('Move Reality'!$F$5:$F$19,MATCH(D369,'Move Reality'!$A$5:$A$19,0)),INDEX('Move Reality'!$F$5:$F$19,MATCH(E369,'Move Reality'!$A$5:$A$19,0)))</f>
        <v>4</v>
      </c>
      <c r="M369" s="28" t="str">
        <f aca="false">IF(L369&gt;=5,"YES","no - dead move")</f>
        <v>no - dead move</v>
      </c>
    </row>
    <row r="370" customFormat="false" ht="15" hidden="false" customHeight="false" outlineLevel="0" collapsed="false">
      <c r="A370" s="17" t="n">
        <v>366</v>
      </c>
      <c r="B370" s="17" t="s">
        <v>40</v>
      </c>
      <c r="C370" s="17" t="s">
        <v>44</v>
      </c>
      <c r="D370" s="17" t="s">
        <v>45</v>
      </c>
      <c r="E370" s="17" t="s">
        <v>51</v>
      </c>
      <c r="F370" s="25" t="n">
        <f aca="false">SUMPRODUCT(--((('Yellow Bosses'!$H$5:$H$53&gt;=2)+('Yellow Bosses'!$L$5:$L$53&gt;=2)+('Yellow Bosses'!$M$5:$M$53&gt;=2)+('Yellow Bosses'!$S$5:$S$53&gt;=2))&gt;0))</f>
        <v>35</v>
      </c>
      <c r="G370" s="26" t="n">
        <f aca="false">F370/49</f>
        <v>0.714285714285714</v>
      </c>
      <c r="H370" s="25" t="n">
        <f aca="false">49-SUMPRODUCT(--((('Yellow Bosses'!$H$5:$H$53&gt;=1)+('Yellow Bosses'!$L$5:$L$53&gt;=1)+('Yellow Bosses'!$M$5:$M$53&gt;=1)+('Yellow Bosses'!$S$5:$S$53&gt;=1))&gt;0))</f>
        <v>0</v>
      </c>
      <c r="I370" s="25" t="n">
        <f aca="false">SUMPRODUCT(--((('Yellow Bosses'!$H$5:$H$53&gt;0)+('Yellow Bosses'!$L$5:$L$53&gt;0)+('Yellow Bosses'!$M$5:$M$53&gt;0)+('Yellow Bosses'!$S$5:$S$53&gt;0))=0))</f>
        <v>0</v>
      </c>
      <c r="J370" s="25" t="n">
        <f aca="false">SUMPRODUCT(--(((Effectiveness!$E$5:$E$155&gt;=2)+(Effectiveness!$I$5:$I$155&gt;=2)+(Effectiveness!$J$5:$J$155&gt;=2)+(Effectiveness!$P$5:$P$155&gt;=2))&gt;0))</f>
        <v>102</v>
      </c>
      <c r="K370" s="26" t="n">
        <f aca="false">J370/151</f>
        <v>0.675496688741722</v>
      </c>
      <c r="L370" s="25" t="n">
        <f aca="false">MIN(INDEX('Move Reality'!$F$5:$F$19,MATCH(B370,'Move Reality'!$A$5:$A$19,0)),INDEX('Move Reality'!$F$5:$F$19,MATCH(C370,'Move Reality'!$A$5:$A$19,0)),INDEX('Move Reality'!$F$5:$F$19,MATCH(D370,'Move Reality'!$A$5:$A$19,0)),INDEX('Move Reality'!$F$5:$F$19,MATCH(E370,'Move Reality'!$A$5:$A$19,0)))</f>
        <v>1</v>
      </c>
      <c r="M370" s="28" t="str">
        <f aca="false">IF(L370&gt;=5,"YES","no - dead move")</f>
        <v>no - dead move</v>
      </c>
    </row>
    <row r="371" customFormat="false" ht="15" hidden="false" customHeight="false" outlineLevel="0" collapsed="false">
      <c r="A371" s="17" t="n">
        <v>367</v>
      </c>
      <c r="B371" s="17" t="s">
        <v>41</v>
      </c>
      <c r="C371" s="17" t="s">
        <v>42</v>
      </c>
      <c r="D371" s="17" t="s">
        <v>43</v>
      </c>
      <c r="E371" s="17" t="s">
        <v>49</v>
      </c>
      <c r="F371" s="25" t="n">
        <f aca="false">SUMPRODUCT(--((('Yellow Bosses'!$I$5:$I$53&gt;=2)+('Yellow Bosses'!$J$5:$J$53&gt;=2)+('Yellow Bosses'!$K$5:$K$53&gt;=2)+('Yellow Bosses'!$Q$5:$Q$53&gt;=2))&gt;0))</f>
        <v>35</v>
      </c>
      <c r="G371" s="26" t="n">
        <f aca="false">F371/49</f>
        <v>0.714285714285714</v>
      </c>
      <c r="H371" s="25" t="n">
        <f aca="false">49-SUMPRODUCT(--((('Yellow Bosses'!$I$5:$I$53&gt;=1)+('Yellow Bosses'!$J$5:$J$53&gt;=1)+('Yellow Bosses'!$K$5:$K$53&gt;=1)+('Yellow Bosses'!$Q$5:$Q$53&gt;=1))&gt;0))</f>
        <v>0</v>
      </c>
      <c r="I371" s="25" t="n">
        <f aca="false">SUMPRODUCT(--((('Yellow Bosses'!$I$5:$I$53&gt;0)+('Yellow Bosses'!$J$5:$J$53&gt;0)+('Yellow Bosses'!$K$5:$K$53&gt;0)+('Yellow Bosses'!$Q$5:$Q$53&gt;0))=0))</f>
        <v>0</v>
      </c>
      <c r="J371" s="25" t="n">
        <f aca="false">SUMPRODUCT(--(((Effectiveness!$F$5:$F$155&gt;=2)+(Effectiveness!$G$5:$G$155&gt;=2)+(Effectiveness!$H$5:$H$155&gt;=2)+(Effectiveness!$N$5:$N$155&gt;=2))&gt;0))</f>
        <v>102</v>
      </c>
      <c r="K371" s="26" t="n">
        <f aca="false">J371/151</f>
        <v>0.675496688741722</v>
      </c>
      <c r="L371" s="25" t="n">
        <f aca="false">MIN(INDEX('Move Reality'!$F$5:$F$19,MATCH(B371,'Move Reality'!$A$5:$A$19,0)),INDEX('Move Reality'!$F$5:$F$19,MATCH(C371,'Move Reality'!$A$5:$A$19,0)),INDEX('Move Reality'!$F$5:$F$19,MATCH(D371,'Move Reality'!$A$5:$A$19,0)),INDEX('Move Reality'!$F$5:$F$19,MATCH(E371,'Move Reality'!$A$5:$A$19,0)))</f>
        <v>5</v>
      </c>
      <c r="M371" s="28" t="str">
        <f aca="false">IF(L371&gt;=5,"YES","no - dead move")</f>
        <v>YES</v>
      </c>
    </row>
    <row r="372" customFormat="false" ht="15" hidden="false" customHeight="false" outlineLevel="0" collapsed="false">
      <c r="A372" s="17" t="n">
        <v>368</v>
      </c>
      <c r="B372" s="17" t="s">
        <v>41</v>
      </c>
      <c r="C372" s="17" t="s">
        <v>42</v>
      </c>
      <c r="D372" s="17" t="s">
        <v>44</v>
      </c>
      <c r="E372" s="17" t="s">
        <v>51</v>
      </c>
      <c r="F372" s="25" t="n">
        <f aca="false">SUMPRODUCT(--((('Yellow Bosses'!$I$5:$I$53&gt;=2)+('Yellow Bosses'!$J$5:$J$53&gt;=2)+('Yellow Bosses'!$L$5:$L$53&gt;=2)+('Yellow Bosses'!$S$5:$S$53&gt;=2))&gt;0))</f>
        <v>35</v>
      </c>
      <c r="G372" s="26" t="n">
        <f aca="false">F372/49</f>
        <v>0.714285714285714</v>
      </c>
      <c r="H372" s="25" t="n">
        <f aca="false">49-SUMPRODUCT(--((('Yellow Bosses'!$I$5:$I$53&gt;=1)+('Yellow Bosses'!$J$5:$J$53&gt;=1)+('Yellow Bosses'!$L$5:$L$53&gt;=1)+('Yellow Bosses'!$S$5:$S$53&gt;=1))&gt;0))</f>
        <v>1</v>
      </c>
      <c r="I372" s="25" t="n">
        <f aca="false">SUMPRODUCT(--((('Yellow Bosses'!$I$5:$I$53&gt;0)+('Yellow Bosses'!$J$5:$J$53&gt;0)+('Yellow Bosses'!$L$5:$L$53&gt;0)+('Yellow Bosses'!$S$5:$S$53&gt;0))=0))</f>
        <v>0</v>
      </c>
      <c r="J372" s="25" t="n">
        <f aca="false">SUMPRODUCT(--(((Effectiveness!$F$5:$F$155&gt;=2)+(Effectiveness!$G$5:$G$155&gt;=2)+(Effectiveness!$I$5:$I$155&gt;=2)+(Effectiveness!$P$5:$P$155&gt;=2))&gt;0))</f>
        <v>102</v>
      </c>
      <c r="K372" s="26" t="n">
        <f aca="false">J372/151</f>
        <v>0.675496688741722</v>
      </c>
      <c r="L372" s="25" t="n">
        <f aca="false">MIN(INDEX('Move Reality'!$F$5:$F$19,MATCH(B372,'Move Reality'!$A$5:$A$19,0)),INDEX('Move Reality'!$F$5:$F$19,MATCH(C372,'Move Reality'!$A$5:$A$19,0)),INDEX('Move Reality'!$F$5:$F$19,MATCH(D372,'Move Reality'!$A$5:$A$19,0)),INDEX('Move Reality'!$F$5:$F$19,MATCH(E372,'Move Reality'!$A$5:$A$19,0)))</f>
        <v>1</v>
      </c>
      <c r="M372" s="28" t="str">
        <f aca="false">IF(L372&gt;=5,"YES","no - dead move")</f>
        <v>no - dead move</v>
      </c>
    </row>
    <row r="373" customFormat="false" ht="15" hidden="false" customHeight="false" outlineLevel="0" collapsed="false">
      <c r="A373" s="17" t="n">
        <v>369</v>
      </c>
      <c r="B373" s="17" t="s">
        <v>41</v>
      </c>
      <c r="C373" s="17" t="s">
        <v>44</v>
      </c>
      <c r="D373" s="17" t="s">
        <v>47</v>
      </c>
      <c r="E373" s="17" t="s">
        <v>48</v>
      </c>
      <c r="F373" s="25" t="n">
        <f aca="false">SUMPRODUCT(--((('Yellow Bosses'!$I$5:$I$53&gt;=2)+('Yellow Bosses'!$L$5:$L$53&gt;=2)+('Yellow Bosses'!$O$5:$O$53&gt;=2)+('Yellow Bosses'!$P$5:$P$53&gt;=2))&gt;0))</f>
        <v>35</v>
      </c>
      <c r="G373" s="26" t="n">
        <f aca="false">F373/49</f>
        <v>0.714285714285714</v>
      </c>
      <c r="H373" s="25" t="n">
        <f aca="false">49-SUMPRODUCT(--((('Yellow Bosses'!$I$5:$I$53&gt;=1)+('Yellow Bosses'!$L$5:$L$53&gt;=1)+('Yellow Bosses'!$O$5:$O$53&gt;=1)+('Yellow Bosses'!$P$5:$P$53&gt;=1))&gt;0))</f>
        <v>0</v>
      </c>
      <c r="I373" s="25" t="n">
        <f aca="false">SUMPRODUCT(--((('Yellow Bosses'!$I$5:$I$53&gt;0)+('Yellow Bosses'!$L$5:$L$53&gt;0)+('Yellow Bosses'!$O$5:$O$53&gt;0)+('Yellow Bosses'!$P$5:$P$53&gt;0))=0))</f>
        <v>0</v>
      </c>
      <c r="J373" s="25" t="n">
        <f aca="false">SUMPRODUCT(--(((Effectiveness!$F$5:$F$155&gt;=2)+(Effectiveness!$I$5:$I$155&gt;=2)+(Effectiveness!$L$5:$L$155&gt;=2)+(Effectiveness!$M$5:$M$155&gt;=2))&gt;0))</f>
        <v>102</v>
      </c>
      <c r="K373" s="26" t="n">
        <f aca="false">J373/151</f>
        <v>0.675496688741722</v>
      </c>
      <c r="L373" s="25" t="n">
        <f aca="false">MIN(INDEX('Move Reality'!$F$5:$F$19,MATCH(B373,'Move Reality'!$A$5:$A$19,0)),INDEX('Move Reality'!$F$5:$F$19,MATCH(C373,'Move Reality'!$A$5:$A$19,0)),INDEX('Move Reality'!$F$5:$F$19,MATCH(D373,'Move Reality'!$A$5:$A$19,0)),INDEX('Move Reality'!$F$5:$F$19,MATCH(E373,'Move Reality'!$A$5:$A$19,0)))</f>
        <v>2</v>
      </c>
      <c r="M373" s="28" t="str">
        <f aca="false">IF(L373&gt;=5,"YES","no - dead move")</f>
        <v>no - dead move</v>
      </c>
    </row>
    <row r="374" customFormat="false" ht="15" hidden="false" customHeight="false" outlineLevel="0" collapsed="false">
      <c r="A374" s="17" t="n">
        <v>370</v>
      </c>
      <c r="B374" s="17" t="s">
        <v>41</v>
      </c>
      <c r="C374" s="17" t="s">
        <v>44</v>
      </c>
      <c r="D374" s="17" t="s">
        <v>48</v>
      </c>
      <c r="E374" s="17" t="s">
        <v>53</v>
      </c>
      <c r="F374" s="25" t="n">
        <f aca="false">SUMPRODUCT(--((('Yellow Bosses'!$I$5:$I$53&gt;=2)+('Yellow Bosses'!$L$5:$L$53&gt;=2)+('Yellow Bosses'!$P$5:$P$53&gt;=2)+('Yellow Bosses'!$U$5:$U$53&gt;=2))&gt;0))</f>
        <v>35</v>
      </c>
      <c r="G374" s="26" t="n">
        <f aca="false">F374/49</f>
        <v>0.714285714285714</v>
      </c>
      <c r="H374" s="25" t="n">
        <f aca="false">49-SUMPRODUCT(--((('Yellow Bosses'!$I$5:$I$53&gt;=1)+('Yellow Bosses'!$L$5:$L$53&gt;=1)+('Yellow Bosses'!$P$5:$P$53&gt;=1)+('Yellow Bosses'!$U$5:$U$53&gt;=1))&gt;0))</f>
        <v>0</v>
      </c>
      <c r="I374" s="25" t="n">
        <f aca="false">SUMPRODUCT(--((('Yellow Bosses'!$I$5:$I$53&gt;0)+('Yellow Bosses'!$L$5:$L$53&gt;0)+('Yellow Bosses'!$P$5:$P$53&gt;0)+('Yellow Bosses'!$U$5:$U$53&gt;0))=0))</f>
        <v>0</v>
      </c>
      <c r="J374" s="25" t="n">
        <f aca="false">SUMPRODUCT(--(((Effectiveness!$F$5:$F$155&gt;=2)+(Effectiveness!$I$5:$I$155&gt;=2)+(Effectiveness!$M$5:$M$155&gt;=2)+(Effectiveness!$R$5:$R$155&gt;=2))&gt;0))</f>
        <v>102</v>
      </c>
      <c r="K374" s="26" t="n">
        <f aca="false">J374/151</f>
        <v>0.675496688741722</v>
      </c>
      <c r="L374" s="25" t="n">
        <f aca="false">MIN(INDEX('Move Reality'!$F$5:$F$19,MATCH(B374,'Move Reality'!$A$5:$A$19,0)),INDEX('Move Reality'!$F$5:$F$19,MATCH(C374,'Move Reality'!$A$5:$A$19,0)),INDEX('Move Reality'!$F$5:$F$19,MATCH(D374,'Move Reality'!$A$5:$A$19,0)),INDEX('Move Reality'!$F$5:$F$19,MATCH(E374,'Move Reality'!$A$5:$A$19,0)))</f>
        <v>1</v>
      </c>
      <c r="M374" s="28" t="str">
        <f aca="false">IF(L374&gt;=5,"YES","no - dead move")</f>
        <v>no - dead move</v>
      </c>
    </row>
    <row r="375" customFormat="false" ht="15" hidden="false" customHeight="false" outlineLevel="0" collapsed="false">
      <c r="A375" s="17" t="n">
        <v>371</v>
      </c>
      <c r="B375" s="17" t="s">
        <v>43</v>
      </c>
      <c r="C375" s="17" t="s">
        <v>48</v>
      </c>
      <c r="D375" s="17" t="s">
        <v>52</v>
      </c>
      <c r="E375" s="17" t="s">
        <v>54</v>
      </c>
      <c r="F375" s="25" t="n">
        <f aca="false">SUMPRODUCT(--((('Yellow Bosses'!$K$5:$K$53&gt;=2)+('Yellow Bosses'!$P$5:$P$53&gt;=2)+('Yellow Bosses'!$T$5:$T$53&gt;=2)+('Yellow Bosses'!$V$5:$V$53&gt;=2))&gt;0))</f>
        <v>35</v>
      </c>
      <c r="G375" s="26" t="n">
        <f aca="false">F375/49</f>
        <v>0.714285714285714</v>
      </c>
      <c r="H375" s="25" t="n">
        <f aca="false">49-SUMPRODUCT(--((('Yellow Bosses'!$K$5:$K$53&gt;=1)+('Yellow Bosses'!$P$5:$P$53&gt;=1)+('Yellow Bosses'!$T$5:$T$53&gt;=1)+('Yellow Bosses'!$V$5:$V$53&gt;=1))&gt;0))</f>
        <v>0</v>
      </c>
      <c r="I375" s="25" t="n">
        <f aca="false">SUMPRODUCT(--((('Yellow Bosses'!$K$5:$K$53&gt;0)+('Yellow Bosses'!$P$5:$P$53&gt;0)+('Yellow Bosses'!$T$5:$T$53&gt;0)+('Yellow Bosses'!$V$5:$V$53&gt;0))=0))</f>
        <v>0</v>
      </c>
      <c r="J375" s="25" t="n">
        <f aca="false">SUMPRODUCT(--(((Effectiveness!$H$5:$H$155&gt;=2)+(Effectiveness!$M$5:$M$155&gt;=2)+(Effectiveness!$Q$5:$Q$155&gt;=2)+(Effectiveness!$S$5:$S$155&gt;=2))&gt;0))</f>
        <v>102</v>
      </c>
      <c r="K375" s="26" t="n">
        <f aca="false">J375/151</f>
        <v>0.675496688741722</v>
      </c>
      <c r="L375" s="25" t="n">
        <f aca="false">MIN(INDEX('Move Reality'!$F$5:$F$19,MATCH(B375,'Move Reality'!$A$5:$A$19,0)),INDEX('Move Reality'!$F$5:$F$19,MATCH(C375,'Move Reality'!$A$5:$A$19,0)),INDEX('Move Reality'!$F$5:$F$19,MATCH(D375,'Move Reality'!$A$5:$A$19,0)),INDEX('Move Reality'!$F$5:$F$19,MATCH(E375,'Move Reality'!$A$5:$A$19,0)))</f>
        <v>1</v>
      </c>
      <c r="M375" s="28" t="str">
        <f aca="false">IF(L375&gt;=5,"YES","no - dead move")</f>
        <v>no - dead move</v>
      </c>
    </row>
    <row r="376" customFormat="false" ht="15" hidden="false" customHeight="false" outlineLevel="0" collapsed="false">
      <c r="A376" s="17" t="n">
        <v>372</v>
      </c>
      <c r="B376" s="17" t="s">
        <v>44</v>
      </c>
      <c r="C376" s="17" t="s">
        <v>45</v>
      </c>
      <c r="D376" s="17" t="s">
        <v>51</v>
      </c>
      <c r="E376" s="17" t="s">
        <v>54</v>
      </c>
      <c r="F376" s="25" t="n">
        <f aca="false">SUMPRODUCT(--((('Yellow Bosses'!$L$5:$L$53&gt;=2)+('Yellow Bosses'!$M$5:$M$53&gt;=2)+('Yellow Bosses'!$S$5:$S$53&gt;=2)+('Yellow Bosses'!$V$5:$V$53&gt;=2))&gt;0))</f>
        <v>35</v>
      </c>
      <c r="G376" s="26" t="n">
        <f aca="false">F376/49</f>
        <v>0.714285714285714</v>
      </c>
      <c r="H376" s="25" t="n">
        <f aca="false">49-SUMPRODUCT(--((('Yellow Bosses'!$L$5:$L$53&gt;=1)+('Yellow Bosses'!$M$5:$M$53&gt;=1)+('Yellow Bosses'!$S$5:$S$53&gt;=1)+('Yellow Bosses'!$V$5:$V$53&gt;=1))&gt;0))</f>
        <v>0</v>
      </c>
      <c r="I376" s="25" t="n">
        <f aca="false">SUMPRODUCT(--((('Yellow Bosses'!$L$5:$L$53&gt;0)+('Yellow Bosses'!$M$5:$M$53&gt;0)+('Yellow Bosses'!$S$5:$S$53&gt;0)+('Yellow Bosses'!$V$5:$V$53&gt;0))=0))</f>
        <v>0</v>
      </c>
      <c r="J376" s="25" t="n">
        <f aca="false">SUMPRODUCT(--(((Effectiveness!$I$5:$I$155&gt;=2)+(Effectiveness!$J$5:$J$155&gt;=2)+(Effectiveness!$P$5:$P$155&gt;=2)+(Effectiveness!$S$5:$S$155&gt;=2))&gt;0))</f>
        <v>102</v>
      </c>
      <c r="K376" s="26" t="n">
        <f aca="false">J376/151</f>
        <v>0.675496688741722</v>
      </c>
      <c r="L376" s="25" t="n">
        <f aca="false">MIN(INDEX('Move Reality'!$F$5:$F$19,MATCH(B376,'Move Reality'!$A$5:$A$19,0)),INDEX('Move Reality'!$F$5:$F$19,MATCH(C376,'Move Reality'!$A$5:$A$19,0)),INDEX('Move Reality'!$F$5:$F$19,MATCH(D376,'Move Reality'!$A$5:$A$19,0)),INDEX('Move Reality'!$F$5:$F$19,MATCH(E376,'Move Reality'!$A$5:$A$19,0)))</f>
        <v>1</v>
      </c>
      <c r="M376" s="28" t="str">
        <f aca="false">IF(L376&gt;=5,"YES","no - dead move")</f>
        <v>no - dead move</v>
      </c>
    </row>
    <row r="377" customFormat="false" ht="15" hidden="false" customHeight="false" outlineLevel="0" collapsed="false">
      <c r="A377" s="17" t="n">
        <v>373</v>
      </c>
      <c r="B377" s="17" t="s">
        <v>41</v>
      </c>
      <c r="C377" s="17" t="s">
        <v>42</v>
      </c>
      <c r="D377" s="17" t="s">
        <v>46</v>
      </c>
      <c r="E377" s="17" t="s">
        <v>50</v>
      </c>
      <c r="F377" s="25" t="n">
        <f aca="false">SUMPRODUCT(--((('Yellow Bosses'!$I$5:$I$53&gt;=2)+('Yellow Bosses'!$J$5:$J$53&gt;=2)+('Yellow Bosses'!$N$5:$N$53&gt;=2)+('Yellow Bosses'!$R$5:$R$53&gt;=2))&gt;0))</f>
        <v>35</v>
      </c>
      <c r="G377" s="26" t="n">
        <f aca="false">F377/49</f>
        <v>0.714285714285714</v>
      </c>
      <c r="H377" s="25" t="n">
        <f aca="false">49-SUMPRODUCT(--((('Yellow Bosses'!$I$5:$I$53&gt;=1)+('Yellow Bosses'!$J$5:$J$53&gt;=1)+('Yellow Bosses'!$N$5:$N$53&gt;=1)+('Yellow Bosses'!$R$5:$R$53&gt;=1))&gt;0))</f>
        <v>2</v>
      </c>
      <c r="I377" s="25" t="n">
        <f aca="false">SUMPRODUCT(--((('Yellow Bosses'!$I$5:$I$53&gt;0)+('Yellow Bosses'!$J$5:$J$53&gt;0)+('Yellow Bosses'!$N$5:$N$53&gt;0)+('Yellow Bosses'!$R$5:$R$53&gt;0))=0))</f>
        <v>0</v>
      </c>
      <c r="J377" s="25" t="n">
        <f aca="false">SUMPRODUCT(--(((Effectiveness!$F$5:$F$155&gt;=2)+(Effectiveness!$G$5:$G$155&gt;=2)+(Effectiveness!$K$5:$K$155&gt;=2)+(Effectiveness!$O$5:$O$155&gt;=2))&gt;0))</f>
        <v>101</v>
      </c>
      <c r="K377" s="26" t="n">
        <f aca="false">J377/151</f>
        <v>0.66887417218543</v>
      </c>
      <c r="L377" s="25" t="n">
        <f aca="false">MIN(INDEX('Move Reality'!$F$5:$F$19,MATCH(B377,'Move Reality'!$A$5:$A$19,0)),INDEX('Move Reality'!$F$5:$F$19,MATCH(C377,'Move Reality'!$A$5:$A$19,0)),INDEX('Move Reality'!$F$5:$F$19,MATCH(D377,'Move Reality'!$A$5:$A$19,0)),INDEX('Move Reality'!$F$5:$F$19,MATCH(E377,'Move Reality'!$A$5:$A$19,0)))</f>
        <v>5</v>
      </c>
      <c r="M377" s="28" t="str">
        <f aca="false">IF(L377&gt;=5,"YES","no - dead move")</f>
        <v>YES</v>
      </c>
    </row>
    <row r="378" customFormat="false" ht="15" hidden="false" customHeight="false" outlineLevel="0" collapsed="false">
      <c r="A378" s="17" t="n">
        <v>374</v>
      </c>
      <c r="B378" s="17" t="s">
        <v>42</v>
      </c>
      <c r="C378" s="17" t="s">
        <v>44</v>
      </c>
      <c r="D378" s="17" t="s">
        <v>47</v>
      </c>
      <c r="E378" s="17" t="s">
        <v>51</v>
      </c>
      <c r="F378" s="25" t="n">
        <f aca="false">SUMPRODUCT(--((('Yellow Bosses'!$J$5:$J$53&gt;=2)+('Yellow Bosses'!$L$5:$L$53&gt;=2)+('Yellow Bosses'!$O$5:$O$53&gt;=2)+('Yellow Bosses'!$S$5:$S$53&gt;=2))&gt;0))</f>
        <v>35</v>
      </c>
      <c r="G378" s="26" t="n">
        <f aca="false">F378/49</f>
        <v>0.714285714285714</v>
      </c>
      <c r="H378" s="25" t="n">
        <f aca="false">49-SUMPRODUCT(--((('Yellow Bosses'!$J$5:$J$53&gt;=1)+('Yellow Bosses'!$L$5:$L$53&gt;=1)+('Yellow Bosses'!$O$5:$O$53&gt;=1)+('Yellow Bosses'!$S$5:$S$53&gt;=1))&gt;0))</f>
        <v>0</v>
      </c>
      <c r="I378" s="25" t="n">
        <f aca="false">SUMPRODUCT(--((('Yellow Bosses'!$J$5:$J$53&gt;0)+('Yellow Bosses'!$L$5:$L$53&gt;0)+('Yellow Bosses'!$O$5:$O$53&gt;0)+('Yellow Bosses'!$S$5:$S$53&gt;0))=0))</f>
        <v>0</v>
      </c>
      <c r="J378" s="25" t="n">
        <f aca="false">SUMPRODUCT(--(((Effectiveness!$G$5:$G$155&gt;=2)+(Effectiveness!$I$5:$I$155&gt;=2)+(Effectiveness!$L$5:$L$155&gt;=2)+(Effectiveness!$P$5:$P$155&gt;=2))&gt;0))</f>
        <v>101</v>
      </c>
      <c r="K378" s="26" t="n">
        <f aca="false">J378/151</f>
        <v>0.66887417218543</v>
      </c>
      <c r="L378" s="25" t="n">
        <f aca="false">MIN(INDEX('Move Reality'!$F$5:$F$19,MATCH(B378,'Move Reality'!$A$5:$A$19,0)),INDEX('Move Reality'!$F$5:$F$19,MATCH(C378,'Move Reality'!$A$5:$A$19,0)),INDEX('Move Reality'!$F$5:$F$19,MATCH(D378,'Move Reality'!$A$5:$A$19,0)),INDEX('Move Reality'!$F$5:$F$19,MATCH(E378,'Move Reality'!$A$5:$A$19,0)))</f>
        <v>1</v>
      </c>
      <c r="M378" s="28" t="str">
        <f aca="false">IF(L378&gt;=5,"YES","no - dead move")</f>
        <v>no - dead move</v>
      </c>
    </row>
    <row r="379" customFormat="false" ht="15" hidden="false" customHeight="false" outlineLevel="0" collapsed="false">
      <c r="A379" s="17" t="n">
        <v>375</v>
      </c>
      <c r="B379" s="17" t="s">
        <v>43</v>
      </c>
      <c r="C379" s="17" t="s">
        <v>50</v>
      </c>
      <c r="D379" s="17" t="s">
        <v>51</v>
      </c>
      <c r="E379" s="17" t="s">
        <v>54</v>
      </c>
      <c r="F379" s="25" t="n">
        <f aca="false">SUMPRODUCT(--((('Yellow Bosses'!$K$5:$K$53&gt;=2)+('Yellow Bosses'!$R$5:$R$53&gt;=2)+('Yellow Bosses'!$S$5:$S$53&gt;=2)+('Yellow Bosses'!$V$5:$V$53&gt;=2))&gt;0))</f>
        <v>35</v>
      </c>
      <c r="G379" s="26" t="n">
        <f aca="false">F379/49</f>
        <v>0.714285714285714</v>
      </c>
      <c r="H379" s="25" t="n">
        <f aca="false">49-SUMPRODUCT(--((('Yellow Bosses'!$K$5:$K$53&gt;=1)+('Yellow Bosses'!$R$5:$R$53&gt;=1)+('Yellow Bosses'!$S$5:$S$53&gt;=1)+('Yellow Bosses'!$V$5:$V$53&gt;=1))&gt;0))</f>
        <v>0</v>
      </c>
      <c r="I379" s="25" t="n">
        <f aca="false">SUMPRODUCT(--((('Yellow Bosses'!$K$5:$K$53&gt;0)+('Yellow Bosses'!$R$5:$R$53&gt;0)+('Yellow Bosses'!$S$5:$S$53&gt;0)+('Yellow Bosses'!$V$5:$V$53&gt;0))=0))</f>
        <v>0</v>
      </c>
      <c r="J379" s="25" t="n">
        <f aca="false">SUMPRODUCT(--(((Effectiveness!$H$5:$H$155&gt;=2)+(Effectiveness!$O$5:$O$155&gt;=2)+(Effectiveness!$P$5:$P$155&gt;=2)+(Effectiveness!$S$5:$S$155&gt;=2))&gt;0))</f>
        <v>101</v>
      </c>
      <c r="K379" s="26" t="n">
        <f aca="false">J379/151</f>
        <v>0.66887417218543</v>
      </c>
      <c r="L379" s="25" t="n">
        <f aca="false">MIN(INDEX('Move Reality'!$F$5:$F$19,MATCH(B379,'Move Reality'!$A$5:$A$19,0)),INDEX('Move Reality'!$F$5:$F$19,MATCH(C379,'Move Reality'!$A$5:$A$19,0)),INDEX('Move Reality'!$F$5:$F$19,MATCH(D379,'Move Reality'!$A$5:$A$19,0)),INDEX('Move Reality'!$F$5:$F$19,MATCH(E379,'Move Reality'!$A$5:$A$19,0)))</f>
        <v>1</v>
      </c>
      <c r="M379" s="28" t="str">
        <f aca="false">IF(L379&gt;=5,"YES","no - dead move")</f>
        <v>no - dead move</v>
      </c>
    </row>
    <row r="380" customFormat="false" ht="15" hidden="false" customHeight="false" outlineLevel="0" collapsed="false">
      <c r="A380" s="17" t="n">
        <v>376</v>
      </c>
      <c r="B380" s="17" t="s">
        <v>40</v>
      </c>
      <c r="C380" s="17" t="s">
        <v>45</v>
      </c>
      <c r="D380" s="17" t="s">
        <v>48</v>
      </c>
      <c r="E380" s="17" t="s">
        <v>49</v>
      </c>
      <c r="F380" s="25" t="n">
        <f aca="false">SUMPRODUCT(--((('Yellow Bosses'!$H$5:$H$53&gt;=2)+('Yellow Bosses'!$M$5:$M$53&gt;=2)+('Yellow Bosses'!$P$5:$P$53&gt;=2)+('Yellow Bosses'!$Q$5:$Q$53&gt;=2))&gt;0))</f>
        <v>35</v>
      </c>
      <c r="G380" s="26" t="n">
        <f aca="false">F380/49</f>
        <v>0.714285714285714</v>
      </c>
      <c r="H380" s="25" t="n">
        <f aca="false">49-SUMPRODUCT(--((('Yellow Bosses'!$H$5:$H$53&gt;=1)+('Yellow Bosses'!$M$5:$M$53&gt;=1)+('Yellow Bosses'!$P$5:$P$53&gt;=1)+('Yellow Bosses'!$Q$5:$Q$53&gt;=1))&gt;0))</f>
        <v>0</v>
      </c>
      <c r="I380" s="25" t="n">
        <f aca="false">SUMPRODUCT(--((('Yellow Bosses'!$H$5:$H$53&gt;0)+('Yellow Bosses'!$M$5:$M$53&gt;0)+('Yellow Bosses'!$P$5:$P$53&gt;0)+('Yellow Bosses'!$Q$5:$Q$53&gt;0))=0))</f>
        <v>0</v>
      </c>
      <c r="J380" s="25" t="n">
        <f aca="false">SUMPRODUCT(--(((Effectiveness!$E$5:$E$155&gt;=2)+(Effectiveness!$J$5:$J$155&gt;=2)+(Effectiveness!$M$5:$M$155&gt;=2)+(Effectiveness!$N$5:$N$155&gt;=2))&gt;0))</f>
        <v>100</v>
      </c>
      <c r="K380" s="26" t="n">
        <f aca="false">J380/151</f>
        <v>0.662251655629139</v>
      </c>
      <c r="L380" s="25" t="n">
        <f aca="false">MIN(INDEX('Move Reality'!$F$5:$F$19,MATCH(B380,'Move Reality'!$A$5:$A$19,0)),INDEX('Move Reality'!$F$5:$F$19,MATCH(C380,'Move Reality'!$A$5:$A$19,0)),INDEX('Move Reality'!$F$5:$F$19,MATCH(D380,'Move Reality'!$A$5:$A$19,0)),INDEX('Move Reality'!$F$5:$F$19,MATCH(E380,'Move Reality'!$A$5:$A$19,0)))</f>
        <v>5</v>
      </c>
      <c r="M380" s="28" t="str">
        <f aca="false">IF(L380&gt;=5,"YES","no - dead move")</f>
        <v>YES</v>
      </c>
    </row>
    <row r="381" customFormat="false" ht="15" hidden="false" customHeight="false" outlineLevel="0" collapsed="false">
      <c r="A381" s="17" t="n">
        <v>377</v>
      </c>
      <c r="B381" s="17" t="s">
        <v>42</v>
      </c>
      <c r="C381" s="17" t="s">
        <v>45</v>
      </c>
      <c r="D381" s="17" t="s">
        <v>48</v>
      </c>
      <c r="E381" s="17" t="s">
        <v>49</v>
      </c>
      <c r="F381" s="25" t="n">
        <f aca="false">SUMPRODUCT(--((('Yellow Bosses'!$J$5:$J$53&gt;=2)+('Yellow Bosses'!$M$5:$M$53&gt;=2)+('Yellow Bosses'!$P$5:$P$53&gt;=2)+('Yellow Bosses'!$Q$5:$Q$53&gt;=2))&gt;0))</f>
        <v>35</v>
      </c>
      <c r="G381" s="26" t="n">
        <f aca="false">F381/49</f>
        <v>0.714285714285714</v>
      </c>
      <c r="H381" s="25" t="n">
        <f aca="false">49-SUMPRODUCT(--((('Yellow Bosses'!$J$5:$J$53&gt;=1)+('Yellow Bosses'!$M$5:$M$53&gt;=1)+('Yellow Bosses'!$P$5:$P$53&gt;=1)+('Yellow Bosses'!$Q$5:$Q$53&gt;=1))&gt;0))</f>
        <v>0</v>
      </c>
      <c r="I381" s="25" t="n">
        <f aca="false">SUMPRODUCT(--((('Yellow Bosses'!$J$5:$J$53&gt;0)+('Yellow Bosses'!$M$5:$M$53&gt;0)+('Yellow Bosses'!$P$5:$P$53&gt;0)+('Yellow Bosses'!$Q$5:$Q$53&gt;0))=0))</f>
        <v>0</v>
      </c>
      <c r="J381" s="25" t="n">
        <f aca="false">SUMPRODUCT(--(((Effectiveness!$G$5:$G$155&gt;=2)+(Effectiveness!$J$5:$J$155&gt;=2)+(Effectiveness!$M$5:$M$155&gt;=2)+(Effectiveness!$N$5:$N$155&gt;=2))&gt;0))</f>
        <v>100</v>
      </c>
      <c r="K381" s="26" t="n">
        <f aca="false">J381/151</f>
        <v>0.662251655629139</v>
      </c>
      <c r="L381" s="25" t="n">
        <f aca="false">MIN(INDEX('Move Reality'!$F$5:$F$19,MATCH(B381,'Move Reality'!$A$5:$A$19,0)),INDEX('Move Reality'!$F$5:$F$19,MATCH(C381,'Move Reality'!$A$5:$A$19,0)),INDEX('Move Reality'!$F$5:$F$19,MATCH(D381,'Move Reality'!$A$5:$A$19,0)),INDEX('Move Reality'!$F$5:$F$19,MATCH(E381,'Move Reality'!$A$5:$A$19,0)))</f>
        <v>5</v>
      </c>
      <c r="M381" s="28" t="str">
        <f aca="false">IF(L381&gt;=5,"YES","no - dead move")</f>
        <v>YES</v>
      </c>
    </row>
    <row r="382" customFormat="false" ht="15" hidden="false" customHeight="false" outlineLevel="0" collapsed="false">
      <c r="A382" s="17" t="n">
        <v>378</v>
      </c>
      <c r="B382" s="17" t="s">
        <v>45</v>
      </c>
      <c r="C382" s="17" t="s">
        <v>47</v>
      </c>
      <c r="D382" s="17" t="s">
        <v>48</v>
      </c>
      <c r="E382" s="17" t="s">
        <v>49</v>
      </c>
      <c r="F382" s="25" t="n">
        <f aca="false">SUMPRODUCT(--((('Yellow Bosses'!$M$5:$M$53&gt;=2)+('Yellow Bosses'!$O$5:$O$53&gt;=2)+('Yellow Bosses'!$P$5:$P$53&gt;=2)+('Yellow Bosses'!$Q$5:$Q$53&gt;=2))&gt;0))</f>
        <v>35</v>
      </c>
      <c r="G382" s="26" t="n">
        <f aca="false">F382/49</f>
        <v>0.714285714285714</v>
      </c>
      <c r="H382" s="25" t="n">
        <f aca="false">49-SUMPRODUCT(--((('Yellow Bosses'!$M$5:$M$53&gt;=1)+('Yellow Bosses'!$O$5:$O$53&gt;=1)+('Yellow Bosses'!$P$5:$P$53&gt;=1)+('Yellow Bosses'!$Q$5:$Q$53&gt;=1))&gt;0))</f>
        <v>0</v>
      </c>
      <c r="I382" s="25" t="n">
        <f aca="false">SUMPRODUCT(--((('Yellow Bosses'!$M$5:$M$53&gt;0)+('Yellow Bosses'!$O$5:$O$53&gt;0)+('Yellow Bosses'!$P$5:$P$53&gt;0)+('Yellow Bosses'!$Q$5:$Q$53&gt;0))=0))</f>
        <v>0</v>
      </c>
      <c r="J382" s="25" t="n">
        <f aca="false">SUMPRODUCT(--(((Effectiveness!$J$5:$J$155&gt;=2)+(Effectiveness!$L$5:$L$155&gt;=2)+(Effectiveness!$M$5:$M$155&gt;=2)+(Effectiveness!$N$5:$N$155&gt;=2))&gt;0))</f>
        <v>100</v>
      </c>
      <c r="K382" s="26" t="n">
        <f aca="false">J382/151</f>
        <v>0.662251655629139</v>
      </c>
      <c r="L382" s="25" t="n">
        <f aca="false">MIN(INDEX('Move Reality'!$F$5:$F$19,MATCH(B382,'Move Reality'!$A$5:$A$19,0)),INDEX('Move Reality'!$F$5:$F$19,MATCH(C382,'Move Reality'!$A$5:$A$19,0)),INDEX('Move Reality'!$F$5:$F$19,MATCH(D382,'Move Reality'!$A$5:$A$19,0)),INDEX('Move Reality'!$F$5:$F$19,MATCH(E382,'Move Reality'!$A$5:$A$19,0)))</f>
        <v>2</v>
      </c>
      <c r="M382" s="28" t="str">
        <f aca="false">IF(L382&gt;=5,"YES","no - dead move")</f>
        <v>no - dead move</v>
      </c>
    </row>
    <row r="383" customFormat="false" ht="15" hidden="false" customHeight="false" outlineLevel="0" collapsed="false">
      <c r="A383" s="17" t="n">
        <v>379</v>
      </c>
      <c r="B383" s="17" t="s">
        <v>45</v>
      </c>
      <c r="C383" s="17" t="s">
        <v>47</v>
      </c>
      <c r="D383" s="17" t="s">
        <v>48</v>
      </c>
      <c r="E383" s="17" t="s">
        <v>50</v>
      </c>
      <c r="F383" s="25" t="n">
        <f aca="false">SUMPRODUCT(--((('Yellow Bosses'!$M$5:$M$53&gt;=2)+('Yellow Bosses'!$O$5:$O$53&gt;=2)+('Yellow Bosses'!$P$5:$P$53&gt;=2)+('Yellow Bosses'!$R$5:$R$53&gt;=2))&gt;0))</f>
        <v>35</v>
      </c>
      <c r="G383" s="26" t="n">
        <f aca="false">F383/49</f>
        <v>0.714285714285714</v>
      </c>
      <c r="H383" s="25" t="n">
        <f aca="false">49-SUMPRODUCT(--((('Yellow Bosses'!$M$5:$M$53&gt;=1)+('Yellow Bosses'!$O$5:$O$53&gt;=1)+('Yellow Bosses'!$P$5:$P$53&gt;=1)+('Yellow Bosses'!$R$5:$R$53&gt;=1))&gt;0))</f>
        <v>0</v>
      </c>
      <c r="I383" s="25" t="n">
        <f aca="false">SUMPRODUCT(--((('Yellow Bosses'!$M$5:$M$53&gt;0)+('Yellow Bosses'!$O$5:$O$53&gt;0)+('Yellow Bosses'!$P$5:$P$53&gt;0)+('Yellow Bosses'!$R$5:$R$53&gt;0))=0))</f>
        <v>0</v>
      </c>
      <c r="J383" s="25" t="n">
        <f aca="false">SUMPRODUCT(--(((Effectiveness!$J$5:$J$155&gt;=2)+(Effectiveness!$L$5:$L$155&gt;=2)+(Effectiveness!$M$5:$M$155&gt;=2)+(Effectiveness!$O$5:$O$155&gt;=2))&gt;0))</f>
        <v>100</v>
      </c>
      <c r="K383" s="26" t="n">
        <f aca="false">J383/151</f>
        <v>0.662251655629139</v>
      </c>
      <c r="L383" s="25" t="n">
        <f aca="false">MIN(INDEX('Move Reality'!$F$5:$F$19,MATCH(B383,'Move Reality'!$A$5:$A$19,0)),INDEX('Move Reality'!$F$5:$F$19,MATCH(C383,'Move Reality'!$A$5:$A$19,0)),INDEX('Move Reality'!$F$5:$F$19,MATCH(D383,'Move Reality'!$A$5:$A$19,0)),INDEX('Move Reality'!$F$5:$F$19,MATCH(E383,'Move Reality'!$A$5:$A$19,0)))</f>
        <v>2</v>
      </c>
      <c r="M383" s="28" t="str">
        <f aca="false">IF(L383&gt;=5,"YES","no - dead move")</f>
        <v>no - dead move</v>
      </c>
    </row>
    <row r="384" customFormat="false" ht="15" hidden="false" customHeight="false" outlineLevel="0" collapsed="false">
      <c r="A384" s="17" t="n">
        <v>380</v>
      </c>
      <c r="B384" s="17" t="s">
        <v>45</v>
      </c>
      <c r="C384" s="17" t="s">
        <v>48</v>
      </c>
      <c r="D384" s="17" t="s">
        <v>49</v>
      </c>
      <c r="E384" s="17" t="s">
        <v>50</v>
      </c>
      <c r="F384" s="25" t="n">
        <f aca="false">SUMPRODUCT(--((('Yellow Bosses'!$M$5:$M$53&gt;=2)+('Yellow Bosses'!$P$5:$P$53&gt;=2)+('Yellow Bosses'!$Q$5:$Q$53&gt;=2)+('Yellow Bosses'!$R$5:$R$53&gt;=2))&gt;0))</f>
        <v>35</v>
      </c>
      <c r="G384" s="26" t="n">
        <f aca="false">F384/49</f>
        <v>0.714285714285714</v>
      </c>
      <c r="H384" s="25" t="n">
        <f aca="false">49-SUMPRODUCT(--((('Yellow Bosses'!$M$5:$M$53&gt;=1)+('Yellow Bosses'!$P$5:$P$53&gt;=1)+('Yellow Bosses'!$Q$5:$Q$53&gt;=1)+('Yellow Bosses'!$R$5:$R$53&gt;=1))&gt;0))</f>
        <v>0</v>
      </c>
      <c r="I384" s="25" t="n">
        <f aca="false">SUMPRODUCT(--((('Yellow Bosses'!$M$5:$M$53&gt;0)+('Yellow Bosses'!$P$5:$P$53&gt;0)+('Yellow Bosses'!$Q$5:$Q$53&gt;0)+('Yellow Bosses'!$R$5:$R$53&gt;0))=0))</f>
        <v>0</v>
      </c>
      <c r="J384" s="25" t="n">
        <f aca="false">SUMPRODUCT(--(((Effectiveness!$J$5:$J$155&gt;=2)+(Effectiveness!$M$5:$M$155&gt;=2)+(Effectiveness!$N$5:$N$155&gt;=2)+(Effectiveness!$O$5:$O$155&gt;=2))&gt;0))</f>
        <v>100</v>
      </c>
      <c r="K384" s="26" t="n">
        <f aca="false">J384/151</f>
        <v>0.662251655629139</v>
      </c>
      <c r="L384" s="25" t="n">
        <f aca="false">MIN(INDEX('Move Reality'!$F$5:$F$19,MATCH(B384,'Move Reality'!$A$5:$A$19,0)),INDEX('Move Reality'!$F$5:$F$19,MATCH(C384,'Move Reality'!$A$5:$A$19,0)),INDEX('Move Reality'!$F$5:$F$19,MATCH(D384,'Move Reality'!$A$5:$A$19,0)),INDEX('Move Reality'!$F$5:$F$19,MATCH(E384,'Move Reality'!$A$5:$A$19,0)))</f>
        <v>5</v>
      </c>
      <c r="M384" s="28" t="str">
        <f aca="false">IF(L384&gt;=5,"YES","no - dead move")</f>
        <v>YES</v>
      </c>
    </row>
    <row r="385" customFormat="false" ht="15" hidden="false" customHeight="false" outlineLevel="0" collapsed="false">
      <c r="A385" s="17" t="n">
        <v>381</v>
      </c>
      <c r="B385" s="17" t="s">
        <v>45</v>
      </c>
      <c r="C385" s="17" t="s">
        <v>48</v>
      </c>
      <c r="D385" s="17" t="s">
        <v>49</v>
      </c>
      <c r="E385" s="17" t="s">
        <v>53</v>
      </c>
      <c r="F385" s="25" t="n">
        <f aca="false">SUMPRODUCT(--((('Yellow Bosses'!$M$5:$M$53&gt;=2)+('Yellow Bosses'!$P$5:$P$53&gt;=2)+('Yellow Bosses'!$Q$5:$Q$53&gt;=2)+('Yellow Bosses'!$U$5:$U$53&gt;=2))&gt;0))</f>
        <v>35</v>
      </c>
      <c r="G385" s="26" t="n">
        <f aca="false">F385/49</f>
        <v>0.714285714285714</v>
      </c>
      <c r="H385" s="25" t="n">
        <f aca="false">49-SUMPRODUCT(--((('Yellow Bosses'!$M$5:$M$53&gt;=1)+('Yellow Bosses'!$P$5:$P$53&gt;=1)+('Yellow Bosses'!$Q$5:$Q$53&gt;=1)+('Yellow Bosses'!$U$5:$U$53&gt;=1))&gt;0))</f>
        <v>0</v>
      </c>
      <c r="I385" s="25" t="n">
        <f aca="false">SUMPRODUCT(--((('Yellow Bosses'!$M$5:$M$53&gt;0)+('Yellow Bosses'!$P$5:$P$53&gt;0)+('Yellow Bosses'!$Q$5:$Q$53&gt;0)+('Yellow Bosses'!$U$5:$U$53&gt;0))=0))</f>
        <v>0</v>
      </c>
      <c r="J385" s="25" t="n">
        <f aca="false">SUMPRODUCT(--(((Effectiveness!$J$5:$J$155&gt;=2)+(Effectiveness!$M$5:$M$155&gt;=2)+(Effectiveness!$N$5:$N$155&gt;=2)+(Effectiveness!$R$5:$R$155&gt;=2))&gt;0))</f>
        <v>100</v>
      </c>
      <c r="K385" s="26" t="n">
        <f aca="false">J385/151</f>
        <v>0.662251655629139</v>
      </c>
      <c r="L385" s="25" t="n">
        <f aca="false">MIN(INDEX('Move Reality'!$F$5:$F$19,MATCH(B385,'Move Reality'!$A$5:$A$19,0)),INDEX('Move Reality'!$F$5:$F$19,MATCH(C385,'Move Reality'!$A$5:$A$19,0)),INDEX('Move Reality'!$F$5:$F$19,MATCH(D385,'Move Reality'!$A$5:$A$19,0)),INDEX('Move Reality'!$F$5:$F$19,MATCH(E385,'Move Reality'!$A$5:$A$19,0)))</f>
        <v>1</v>
      </c>
      <c r="M385" s="28" t="str">
        <f aca="false">IF(L385&gt;=5,"YES","no - dead move")</f>
        <v>no - dead move</v>
      </c>
    </row>
    <row r="386" customFormat="false" ht="15" hidden="false" customHeight="false" outlineLevel="0" collapsed="false">
      <c r="A386" s="17" t="n">
        <v>382</v>
      </c>
      <c r="B386" s="17" t="s">
        <v>45</v>
      </c>
      <c r="C386" s="17" t="s">
        <v>48</v>
      </c>
      <c r="D386" s="17" t="s">
        <v>49</v>
      </c>
      <c r="E386" s="17" t="s">
        <v>54</v>
      </c>
      <c r="F386" s="25" t="n">
        <f aca="false">SUMPRODUCT(--((('Yellow Bosses'!$M$5:$M$53&gt;=2)+('Yellow Bosses'!$P$5:$P$53&gt;=2)+('Yellow Bosses'!$Q$5:$Q$53&gt;=2)+('Yellow Bosses'!$V$5:$V$53&gt;=2))&gt;0))</f>
        <v>35</v>
      </c>
      <c r="G386" s="26" t="n">
        <f aca="false">F386/49</f>
        <v>0.714285714285714</v>
      </c>
      <c r="H386" s="25" t="n">
        <f aca="false">49-SUMPRODUCT(--((('Yellow Bosses'!$M$5:$M$53&gt;=1)+('Yellow Bosses'!$P$5:$P$53&gt;=1)+('Yellow Bosses'!$Q$5:$Q$53&gt;=1)+('Yellow Bosses'!$V$5:$V$53&gt;=1))&gt;0))</f>
        <v>0</v>
      </c>
      <c r="I386" s="25" t="n">
        <f aca="false">SUMPRODUCT(--((('Yellow Bosses'!$M$5:$M$53&gt;0)+('Yellow Bosses'!$P$5:$P$53&gt;0)+('Yellow Bosses'!$Q$5:$Q$53&gt;0)+('Yellow Bosses'!$V$5:$V$53&gt;0))=0))</f>
        <v>0</v>
      </c>
      <c r="J386" s="25" t="n">
        <f aca="false">SUMPRODUCT(--(((Effectiveness!$J$5:$J$155&gt;=2)+(Effectiveness!$M$5:$M$155&gt;=2)+(Effectiveness!$N$5:$N$155&gt;=2)+(Effectiveness!$S$5:$S$155&gt;=2))&gt;0))</f>
        <v>100</v>
      </c>
      <c r="K386" s="26" t="n">
        <f aca="false">J386/151</f>
        <v>0.662251655629139</v>
      </c>
      <c r="L386" s="25" t="n">
        <f aca="false">MIN(INDEX('Move Reality'!$F$5:$F$19,MATCH(B386,'Move Reality'!$A$5:$A$19,0)),INDEX('Move Reality'!$F$5:$F$19,MATCH(C386,'Move Reality'!$A$5:$A$19,0)),INDEX('Move Reality'!$F$5:$F$19,MATCH(D386,'Move Reality'!$A$5:$A$19,0)),INDEX('Move Reality'!$F$5:$F$19,MATCH(E386,'Move Reality'!$A$5:$A$19,0)))</f>
        <v>1</v>
      </c>
      <c r="M386" s="28" t="str">
        <f aca="false">IF(L386&gt;=5,"YES","no - dead move")</f>
        <v>no - dead move</v>
      </c>
    </row>
    <row r="387" customFormat="false" ht="15" hidden="false" customHeight="false" outlineLevel="0" collapsed="false">
      <c r="A387" s="17" t="n">
        <v>383</v>
      </c>
      <c r="B387" s="17" t="s">
        <v>40</v>
      </c>
      <c r="C387" s="17" t="s">
        <v>43</v>
      </c>
      <c r="D387" s="17" t="s">
        <v>45</v>
      </c>
      <c r="E387" s="17" t="s">
        <v>52</v>
      </c>
      <c r="F387" s="25" t="n">
        <f aca="false">SUMPRODUCT(--((('Yellow Bosses'!$H$5:$H$53&gt;=2)+('Yellow Bosses'!$K$5:$K$53&gt;=2)+('Yellow Bosses'!$M$5:$M$53&gt;=2)+('Yellow Bosses'!$T$5:$T$53&gt;=2))&gt;0))</f>
        <v>35</v>
      </c>
      <c r="G387" s="26" t="n">
        <f aca="false">F387/49</f>
        <v>0.714285714285714</v>
      </c>
      <c r="H387" s="25" t="n">
        <f aca="false">49-SUMPRODUCT(--((('Yellow Bosses'!$H$5:$H$53&gt;=1)+('Yellow Bosses'!$K$5:$K$53&gt;=1)+('Yellow Bosses'!$M$5:$M$53&gt;=1)+('Yellow Bosses'!$T$5:$T$53&gt;=1))&gt;0))</f>
        <v>0</v>
      </c>
      <c r="I387" s="25" t="n">
        <f aca="false">SUMPRODUCT(--((('Yellow Bosses'!$H$5:$H$53&gt;0)+('Yellow Bosses'!$K$5:$K$53&gt;0)+('Yellow Bosses'!$M$5:$M$53&gt;0)+('Yellow Bosses'!$T$5:$T$53&gt;0))=0))</f>
        <v>0</v>
      </c>
      <c r="J387" s="25" t="n">
        <f aca="false">SUMPRODUCT(--(((Effectiveness!$E$5:$E$155&gt;=2)+(Effectiveness!$H$5:$H$155&gt;=2)+(Effectiveness!$J$5:$J$155&gt;=2)+(Effectiveness!$Q$5:$Q$155&gt;=2))&gt;0))</f>
        <v>99</v>
      </c>
      <c r="K387" s="26" t="n">
        <f aca="false">J387/151</f>
        <v>0.655629139072848</v>
      </c>
      <c r="L387" s="25" t="n">
        <f aca="false">MIN(INDEX('Move Reality'!$F$5:$F$19,MATCH(B387,'Move Reality'!$A$5:$A$19,0)),INDEX('Move Reality'!$F$5:$F$19,MATCH(C387,'Move Reality'!$A$5:$A$19,0)),INDEX('Move Reality'!$F$5:$F$19,MATCH(D387,'Move Reality'!$A$5:$A$19,0)),INDEX('Move Reality'!$F$5:$F$19,MATCH(E387,'Move Reality'!$A$5:$A$19,0)))</f>
        <v>6</v>
      </c>
      <c r="M387" s="28" t="str">
        <f aca="false">IF(L387&gt;=5,"YES","no - dead move")</f>
        <v>YES</v>
      </c>
    </row>
    <row r="388" customFormat="false" ht="15" hidden="false" customHeight="false" outlineLevel="0" collapsed="false">
      <c r="A388" s="17" t="n">
        <v>384</v>
      </c>
      <c r="B388" s="17" t="s">
        <v>41</v>
      </c>
      <c r="C388" s="17" t="s">
        <v>42</v>
      </c>
      <c r="D388" s="17" t="s">
        <v>43</v>
      </c>
      <c r="E388" s="17" t="s">
        <v>45</v>
      </c>
      <c r="F388" s="25" t="n">
        <f aca="false">SUMPRODUCT(--((('Yellow Bosses'!$I$5:$I$53&gt;=2)+('Yellow Bosses'!$J$5:$J$53&gt;=2)+('Yellow Bosses'!$K$5:$K$53&gt;=2)+('Yellow Bosses'!$M$5:$M$53&gt;=2))&gt;0))</f>
        <v>35</v>
      </c>
      <c r="G388" s="26" t="n">
        <f aca="false">F388/49</f>
        <v>0.714285714285714</v>
      </c>
      <c r="H388" s="25" t="n">
        <f aca="false">49-SUMPRODUCT(--((('Yellow Bosses'!$I$5:$I$53&gt;=1)+('Yellow Bosses'!$J$5:$J$53&gt;=1)+('Yellow Bosses'!$K$5:$K$53&gt;=1)+('Yellow Bosses'!$M$5:$M$53&gt;=1))&gt;0))</f>
        <v>0</v>
      </c>
      <c r="I388" s="25" t="n">
        <f aca="false">SUMPRODUCT(--((('Yellow Bosses'!$I$5:$I$53&gt;0)+('Yellow Bosses'!$J$5:$J$53&gt;0)+('Yellow Bosses'!$K$5:$K$53&gt;0)+('Yellow Bosses'!$M$5:$M$53&gt;0))=0))</f>
        <v>0</v>
      </c>
      <c r="J388" s="25" t="n">
        <f aca="false">SUMPRODUCT(--(((Effectiveness!$F$5:$F$155&gt;=2)+(Effectiveness!$G$5:$G$155&gt;=2)+(Effectiveness!$H$5:$H$155&gt;=2)+(Effectiveness!$J$5:$J$155&gt;=2))&gt;0))</f>
        <v>99</v>
      </c>
      <c r="K388" s="26" t="n">
        <f aca="false">J388/151</f>
        <v>0.655629139072848</v>
      </c>
      <c r="L388" s="25" t="n">
        <f aca="false">MIN(INDEX('Move Reality'!$F$5:$F$19,MATCH(B388,'Move Reality'!$A$5:$A$19,0)),INDEX('Move Reality'!$F$5:$F$19,MATCH(C388,'Move Reality'!$A$5:$A$19,0)),INDEX('Move Reality'!$F$5:$F$19,MATCH(D388,'Move Reality'!$A$5:$A$19,0)),INDEX('Move Reality'!$F$5:$F$19,MATCH(E388,'Move Reality'!$A$5:$A$19,0)))</f>
        <v>7</v>
      </c>
      <c r="M388" s="28" t="str">
        <f aca="false">IF(L388&gt;=5,"YES","no - dead move")</f>
        <v>YES</v>
      </c>
    </row>
    <row r="389" customFormat="false" ht="15" hidden="false" customHeight="false" outlineLevel="0" collapsed="false">
      <c r="A389" s="17" t="n">
        <v>385</v>
      </c>
      <c r="B389" s="17" t="s">
        <v>41</v>
      </c>
      <c r="C389" s="17" t="s">
        <v>43</v>
      </c>
      <c r="D389" s="17" t="s">
        <v>45</v>
      </c>
      <c r="E389" s="17" t="s">
        <v>52</v>
      </c>
      <c r="F389" s="25" t="n">
        <f aca="false">SUMPRODUCT(--((('Yellow Bosses'!$I$5:$I$53&gt;=2)+('Yellow Bosses'!$K$5:$K$53&gt;=2)+('Yellow Bosses'!$M$5:$M$53&gt;=2)+('Yellow Bosses'!$T$5:$T$53&gt;=2))&gt;0))</f>
        <v>35</v>
      </c>
      <c r="G389" s="26" t="n">
        <f aca="false">F389/49</f>
        <v>0.714285714285714</v>
      </c>
      <c r="H389" s="25" t="n">
        <f aca="false">49-SUMPRODUCT(--((('Yellow Bosses'!$I$5:$I$53&gt;=1)+('Yellow Bosses'!$K$5:$K$53&gt;=1)+('Yellow Bosses'!$M$5:$M$53&gt;=1)+('Yellow Bosses'!$T$5:$T$53&gt;=1))&gt;0))</f>
        <v>0</v>
      </c>
      <c r="I389" s="25" t="n">
        <f aca="false">SUMPRODUCT(--((('Yellow Bosses'!$I$5:$I$53&gt;0)+('Yellow Bosses'!$K$5:$K$53&gt;0)+('Yellow Bosses'!$M$5:$M$53&gt;0)+('Yellow Bosses'!$T$5:$T$53&gt;0))=0))</f>
        <v>0</v>
      </c>
      <c r="J389" s="25" t="n">
        <f aca="false">SUMPRODUCT(--(((Effectiveness!$F$5:$F$155&gt;=2)+(Effectiveness!$H$5:$H$155&gt;=2)+(Effectiveness!$J$5:$J$155&gt;=2)+(Effectiveness!$Q$5:$Q$155&gt;=2))&gt;0))</f>
        <v>99</v>
      </c>
      <c r="K389" s="26" t="n">
        <f aca="false">J389/151</f>
        <v>0.655629139072848</v>
      </c>
      <c r="L389" s="25" t="n">
        <f aca="false">MIN(INDEX('Move Reality'!$F$5:$F$19,MATCH(B389,'Move Reality'!$A$5:$A$19,0)),INDEX('Move Reality'!$F$5:$F$19,MATCH(C389,'Move Reality'!$A$5:$A$19,0)),INDEX('Move Reality'!$F$5:$F$19,MATCH(D389,'Move Reality'!$A$5:$A$19,0)),INDEX('Move Reality'!$F$5:$F$19,MATCH(E389,'Move Reality'!$A$5:$A$19,0)))</f>
        <v>6</v>
      </c>
      <c r="M389" s="28" t="str">
        <f aca="false">IF(L389&gt;=5,"YES","no - dead move")</f>
        <v>YES</v>
      </c>
    </row>
    <row r="390" customFormat="false" ht="15" hidden="false" customHeight="false" outlineLevel="0" collapsed="false">
      <c r="A390" s="17" t="n">
        <v>386</v>
      </c>
      <c r="B390" s="17" t="s">
        <v>42</v>
      </c>
      <c r="C390" s="17" t="s">
        <v>43</v>
      </c>
      <c r="D390" s="17" t="s">
        <v>45</v>
      </c>
      <c r="E390" s="17" t="s">
        <v>52</v>
      </c>
      <c r="F390" s="25" t="n">
        <f aca="false">SUMPRODUCT(--((('Yellow Bosses'!$J$5:$J$53&gt;=2)+('Yellow Bosses'!$K$5:$K$53&gt;=2)+('Yellow Bosses'!$M$5:$M$53&gt;=2)+('Yellow Bosses'!$T$5:$T$53&gt;=2))&gt;0))</f>
        <v>35</v>
      </c>
      <c r="G390" s="26" t="n">
        <f aca="false">F390/49</f>
        <v>0.714285714285714</v>
      </c>
      <c r="H390" s="25" t="n">
        <f aca="false">49-SUMPRODUCT(--((('Yellow Bosses'!$J$5:$J$53&gt;=1)+('Yellow Bosses'!$K$5:$K$53&gt;=1)+('Yellow Bosses'!$M$5:$M$53&gt;=1)+('Yellow Bosses'!$T$5:$T$53&gt;=1))&gt;0))</f>
        <v>0</v>
      </c>
      <c r="I390" s="25" t="n">
        <f aca="false">SUMPRODUCT(--((('Yellow Bosses'!$J$5:$J$53&gt;0)+('Yellow Bosses'!$K$5:$K$53&gt;0)+('Yellow Bosses'!$M$5:$M$53&gt;0)+('Yellow Bosses'!$T$5:$T$53&gt;0))=0))</f>
        <v>0</v>
      </c>
      <c r="J390" s="25" t="n">
        <f aca="false">SUMPRODUCT(--(((Effectiveness!$G$5:$G$155&gt;=2)+(Effectiveness!$H$5:$H$155&gt;=2)+(Effectiveness!$J$5:$J$155&gt;=2)+(Effectiveness!$Q$5:$Q$155&gt;=2))&gt;0))</f>
        <v>99</v>
      </c>
      <c r="K390" s="26" t="n">
        <f aca="false">J390/151</f>
        <v>0.655629139072848</v>
      </c>
      <c r="L390" s="25" t="n">
        <f aca="false">MIN(INDEX('Move Reality'!$F$5:$F$19,MATCH(B390,'Move Reality'!$A$5:$A$19,0)),INDEX('Move Reality'!$F$5:$F$19,MATCH(C390,'Move Reality'!$A$5:$A$19,0)),INDEX('Move Reality'!$F$5:$F$19,MATCH(D390,'Move Reality'!$A$5:$A$19,0)),INDEX('Move Reality'!$F$5:$F$19,MATCH(E390,'Move Reality'!$A$5:$A$19,0)))</f>
        <v>6</v>
      </c>
      <c r="M390" s="28" t="str">
        <f aca="false">IF(L390&gt;=5,"YES","no - dead move")</f>
        <v>YES</v>
      </c>
    </row>
    <row r="391" customFormat="false" ht="15" hidden="false" customHeight="false" outlineLevel="0" collapsed="false">
      <c r="A391" s="17" t="n">
        <v>387</v>
      </c>
      <c r="B391" s="17" t="s">
        <v>43</v>
      </c>
      <c r="C391" s="17" t="s">
        <v>44</v>
      </c>
      <c r="D391" s="17" t="s">
        <v>45</v>
      </c>
      <c r="E391" s="17" t="s">
        <v>52</v>
      </c>
      <c r="F391" s="25" t="n">
        <f aca="false">SUMPRODUCT(--((('Yellow Bosses'!$K$5:$K$53&gt;=2)+('Yellow Bosses'!$L$5:$L$53&gt;=2)+('Yellow Bosses'!$M$5:$M$53&gt;=2)+('Yellow Bosses'!$T$5:$T$53&gt;=2))&gt;0))</f>
        <v>35</v>
      </c>
      <c r="G391" s="26" t="n">
        <f aca="false">F391/49</f>
        <v>0.714285714285714</v>
      </c>
      <c r="H391" s="25" t="n">
        <f aca="false">49-SUMPRODUCT(--((('Yellow Bosses'!$K$5:$K$53&gt;=1)+('Yellow Bosses'!$L$5:$L$53&gt;=1)+('Yellow Bosses'!$M$5:$M$53&gt;=1)+('Yellow Bosses'!$T$5:$T$53&gt;=1))&gt;0))</f>
        <v>0</v>
      </c>
      <c r="I391" s="25" t="n">
        <f aca="false">SUMPRODUCT(--((('Yellow Bosses'!$K$5:$K$53&gt;0)+('Yellow Bosses'!$L$5:$L$53&gt;0)+('Yellow Bosses'!$M$5:$M$53&gt;0)+('Yellow Bosses'!$T$5:$T$53&gt;0))=0))</f>
        <v>0</v>
      </c>
      <c r="J391" s="25" t="n">
        <f aca="false">SUMPRODUCT(--(((Effectiveness!$H$5:$H$155&gt;=2)+(Effectiveness!$I$5:$I$155&gt;=2)+(Effectiveness!$J$5:$J$155&gt;=2)+(Effectiveness!$Q$5:$Q$155&gt;=2))&gt;0))</f>
        <v>99</v>
      </c>
      <c r="K391" s="26" t="n">
        <f aca="false">J391/151</f>
        <v>0.655629139072848</v>
      </c>
      <c r="L391" s="25" t="n">
        <f aca="false">MIN(INDEX('Move Reality'!$F$5:$F$19,MATCH(B391,'Move Reality'!$A$5:$A$19,0)),INDEX('Move Reality'!$F$5:$F$19,MATCH(C391,'Move Reality'!$A$5:$A$19,0)),INDEX('Move Reality'!$F$5:$F$19,MATCH(D391,'Move Reality'!$A$5:$A$19,0)),INDEX('Move Reality'!$F$5:$F$19,MATCH(E391,'Move Reality'!$A$5:$A$19,0)))</f>
        <v>4</v>
      </c>
      <c r="M391" s="28" t="str">
        <f aca="false">IF(L391&gt;=5,"YES","no - dead move")</f>
        <v>no - dead move</v>
      </c>
    </row>
    <row r="392" customFormat="false" ht="15" hidden="false" customHeight="false" outlineLevel="0" collapsed="false">
      <c r="A392" s="17" t="n">
        <v>388</v>
      </c>
      <c r="B392" s="17" t="s">
        <v>43</v>
      </c>
      <c r="C392" s="17" t="s">
        <v>44</v>
      </c>
      <c r="D392" s="17" t="s">
        <v>50</v>
      </c>
      <c r="E392" s="17" t="s">
        <v>54</v>
      </c>
      <c r="F392" s="25" t="n">
        <f aca="false">SUMPRODUCT(--((('Yellow Bosses'!$K$5:$K$53&gt;=2)+('Yellow Bosses'!$L$5:$L$53&gt;=2)+('Yellow Bosses'!$R$5:$R$53&gt;=2)+('Yellow Bosses'!$V$5:$V$53&gt;=2))&gt;0))</f>
        <v>35</v>
      </c>
      <c r="G392" s="26" t="n">
        <f aca="false">F392/49</f>
        <v>0.714285714285714</v>
      </c>
      <c r="H392" s="25" t="n">
        <f aca="false">49-SUMPRODUCT(--((('Yellow Bosses'!$K$5:$K$53&gt;=1)+('Yellow Bosses'!$L$5:$L$53&gt;=1)+('Yellow Bosses'!$R$5:$R$53&gt;=1)+('Yellow Bosses'!$V$5:$V$53&gt;=1))&gt;0))</f>
        <v>0</v>
      </c>
      <c r="I392" s="25" t="n">
        <f aca="false">SUMPRODUCT(--((('Yellow Bosses'!$K$5:$K$53&gt;0)+('Yellow Bosses'!$L$5:$L$53&gt;0)+('Yellow Bosses'!$R$5:$R$53&gt;0)+('Yellow Bosses'!$V$5:$V$53&gt;0))=0))</f>
        <v>0</v>
      </c>
      <c r="J392" s="25" t="n">
        <f aca="false">SUMPRODUCT(--(((Effectiveness!$H$5:$H$155&gt;=2)+(Effectiveness!$I$5:$I$155&gt;=2)+(Effectiveness!$O$5:$O$155&gt;=2)+(Effectiveness!$S$5:$S$155&gt;=2))&gt;0))</f>
        <v>99</v>
      </c>
      <c r="K392" s="26" t="n">
        <f aca="false">J392/151</f>
        <v>0.655629139072848</v>
      </c>
      <c r="L392" s="25" t="n">
        <f aca="false">MIN(INDEX('Move Reality'!$F$5:$F$19,MATCH(B392,'Move Reality'!$A$5:$A$19,0)),INDEX('Move Reality'!$F$5:$F$19,MATCH(C392,'Move Reality'!$A$5:$A$19,0)),INDEX('Move Reality'!$F$5:$F$19,MATCH(D392,'Move Reality'!$A$5:$A$19,0)),INDEX('Move Reality'!$F$5:$F$19,MATCH(E392,'Move Reality'!$A$5:$A$19,0)))</f>
        <v>1</v>
      </c>
      <c r="M392" s="28" t="str">
        <f aca="false">IF(L392&gt;=5,"YES","no - dead move")</f>
        <v>no - dead move</v>
      </c>
    </row>
    <row r="393" customFormat="false" ht="15" hidden="false" customHeight="false" outlineLevel="0" collapsed="false">
      <c r="A393" s="17" t="n">
        <v>389</v>
      </c>
      <c r="B393" s="17" t="s">
        <v>43</v>
      </c>
      <c r="C393" s="17" t="s">
        <v>45</v>
      </c>
      <c r="D393" s="17" t="s">
        <v>47</v>
      </c>
      <c r="E393" s="17" t="s">
        <v>52</v>
      </c>
      <c r="F393" s="25" t="n">
        <f aca="false">SUMPRODUCT(--((('Yellow Bosses'!$K$5:$K$53&gt;=2)+('Yellow Bosses'!$M$5:$M$53&gt;=2)+('Yellow Bosses'!$O$5:$O$53&gt;=2)+('Yellow Bosses'!$T$5:$T$53&gt;=2))&gt;0))</f>
        <v>35</v>
      </c>
      <c r="G393" s="26" t="n">
        <f aca="false">F393/49</f>
        <v>0.714285714285714</v>
      </c>
      <c r="H393" s="25" t="n">
        <f aca="false">49-SUMPRODUCT(--((('Yellow Bosses'!$K$5:$K$53&gt;=1)+('Yellow Bosses'!$M$5:$M$53&gt;=1)+('Yellow Bosses'!$O$5:$O$53&gt;=1)+('Yellow Bosses'!$T$5:$T$53&gt;=1))&gt;0))</f>
        <v>0</v>
      </c>
      <c r="I393" s="25" t="n">
        <f aca="false">SUMPRODUCT(--((('Yellow Bosses'!$K$5:$K$53&gt;0)+('Yellow Bosses'!$M$5:$M$53&gt;0)+('Yellow Bosses'!$O$5:$O$53&gt;0)+('Yellow Bosses'!$T$5:$T$53&gt;0))=0))</f>
        <v>0</v>
      </c>
      <c r="J393" s="25" t="n">
        <f aca="false">SUMPRODUCT(--(((Effectiveness!$H$5:$H$155&gt;=2)+(Effectiveness!$J$5:$J$155&gt;=2)+(Effectiveness!$L$5:$L$155&gt;=2)+(Effectiveness!$Q$5:$Q$155&gt;=2))&gt;0))</f>
        <v>99</v>
      </c>
      <c r="K393" s="26" t="n">
        <f aca="false">J393/151</f>
        <v>0.655629139072848</v>
      </c>
      <c r="L393" s="25" t="n">
        <f aca="false">MIN(INDEX('Move Reality'!$F$5:$F$19,MATCH(B393,'Move Reality'!$A$5:$A$19,0)),INDEX('Move Reality'!$F$5:$F$19,MATCH(C393,'Move Reality'!$A$5:$A$19,0)),INDEX('Move Reality'!$F$5:$F$19,MATCH(D393,'Move Reality'!$A$5:$A$19,0)),INDEX('Move Reality'!$F$5:$F$19,MATCH(E393,'Move Reality'!$A$5:$A$19,0)))</f>
        <v>2</v>
      </c>
      <c r="M393" s="28" t="str">
        <f aca="false">IF(L393&gt;=5,"YES","no - dead move")</f>
        <v>no - dead move</v>
      </c>
    </row>
    <row r="394" customFormat="false" ht="15" hidden="false" customHeight="false" outlineLevel="0" collapsed="false">
      <c r="A394" s="17" t="n">
        <v>390</v>
      </c>
      <c r="B394" s="17" t="s">
        <v>43</v>
      </c>
      <c r="C394" s="17" t="s">
        <v>45</v>
      </c>
      <c r="D394" s="17" t="s">
        <v>52</v>
      </c>
      <c r="E394" s="17" t="s">
        <v>54</v>
      </c>
      <c r="F394" s="25" t="n">
        <f aca="false">SUMPRODUCT(--((('Yellow Bosses'!$K$5:$K$53&gt;=2)+('Yellow Bosses'!$M$5:$M$53&gt;=2)+('Yellow Bosses'!$T$5:$T$53&gt;=2)+('Yellow Bosses'!$V$5:$V$53&gt;=2))&gt;0))</f>
        <v>35</v>
      </c>
      <c r="G394" s="26" t="n">
        <f aca="false">F394/49</f>
        <v>0.714285714285714</v>
      </c>
      <c r="H394" s="25" t="n">
        <f aca="false">49-SUMPRODUCT(--((('Yellow Bosses'!$K$5:$K$53&gt;=1)+('Yellow Bosses'!$M$5:$M$53&gt;=1)+('Yellow Bosses'!$T$5:$T$53&gt;=1)+('Yellow Bosses'!$V$5:$V$53&gt;=1))&gt;0))</f>
        <v>0</v>
      </c>
      <c r="I394" s="25" t="n">
        <f aca="false">SUMPRODUCT(--((('Yellow Bosses'!$K$5:$K$53&gt;0)+('Yellow Bosses'!$M$5:$M$53&gt;0)+('Yellow Bosses'!$T$5:$T$53&gt;0)+('Yellow Bosses'!$V$5:$V$53&gt;0))=0))</f>
        <v>0</v>
      </c>
      <c r="J394" s="25" t="n">
        <f aca="false">SUMPRODUCT(--(((Effectiveness!$H$5:$H$155&gt;=2)+(Effectiveness!$J$5:$J$155&gt;=2)+(Effectiveness!$Q$5:$Q$155&gt;=2)+(Effectiveness!$S$5:$S$155&gt;=2))&gt;0))</f>
        <v>99</v>
      </c>
      <c r="K394" s="26" t="n">
        <f aca="false">J394/151</f>
        <v>0.655629139072848</v>
      </c>
      <c r="L394" s="25" t="n">
        <f aca="false">MIN(INDEX('Move Reality'!$F$5:$F$19,MATCH(B394,'Move Reality'!$A$5:$A$19,0)),INDEX('Move Reality'!$F$5:$F$19,MATCH(C394,'Move Reality'!$A$5:$A$19,0)),INDEX('Move Reality'!$F$5:$F$19,MATCH(D394,'Move Reality'!$A$5:$A$19,0)),INDEX('Move Reality'!$F$5:$F$19,MATCH(E394,'Move Reality'!$A$5:$A$19,0)))</f>
        <v>1</v>
      </c>
      <c r="M394" s="28" t="str">
        <f aca="false">IF(L394&gt;=5,"YES","no - dead move")</f>
        <v>no - dead move</v>
      </c>
    </row>
    <row r="395" customFormat="false" ht="15" hidden="false" customHeight="false" outlineLevel="0" collapsed="false">
      <c r="A395" s="17" t="n">
        <v>391</v>
      </c>
      <c r="B395" s="17" t="s">
        <v>45</v>
      </c>
      <c r="C395" s="17" t="s">
        <v>46</v>
      </c>
      <c r="D395" s="17" t="s">
        <v>49</v>
      </c>
      <c r="E395" s="17" t="s">
        <v>52</v>
      </c>
      <c r="F395" s="25" t="n">
        <f aca="false">SUMPRODUCT(--((('Yellow Bosses'!$M$5:$M$53&gt;=2)+('Yellow Bosses'!$N$5:$N$53&gt;=2)+('Yellow Bosses'!$Q$5:$Q$53&gt;=2)+('Yellow Bosses'!$T$5:$T$53&gt;=2))&gt;0))</f>
        <v>35</v>
      </c>
      <c r="G395" s="26" t="n">
        <f aca="false">F395/49</f>
        <v>0.714285714285714</v>
      </c>
      <c r="H395" s="25" t="n">
        <f aca="false">49-SUMPRODUCT(--((('Yellow Bosses'!$M$5:$M$53&gt;=1)+('Yellow Bosses'!$N$5:$N$53&gt;=1)+('Yellow Bosses'!$Q$5:$Q$53&gt;=1)+('Yellow Bosses'!$T$5:$T$53&gt;=1))&gt;0))</f>
        <v>0</v>
      </c>
      <c r="I395" s="25" t="n">
        <f aca="false">SUMPRODUCT(--((('Yellow Bosses'!$M$5:$M$53&gt;0)+('Yellow Bosses'!$N$5:$N$53&gt;0)+('Yellow Bosses'!$Q$5:$Q$53&gt;0)+('Yellow Bosses'!$T$5:$T$53&gt;0))=0))</f>
        <v>0</v>
      </c>
      <c r="J395" s="25" t="n">
        <f aca="false">SUMPRODUCT(--(((Effectiveness!$J$5:$J$155&gt;=2)+(Effectiveness!$K$5:$K$155&gt;=2)+(Effectiveness!$N$5:$N$155&gt;=2)+(Effectiveness!$Q$5:$Q$155&gt;=2))&gt;0))</f>
        <v>99</v>
      </c>
      <c r="K395" s="26" t="n">
        <f aca="false">J395/151</f>
        <v>0.655629139072848</v>
      </c>
      <c r="L395" s="25" t="n">
        <f aca="false">MIN(INDEX('Move Reality'!$F$5:$F$19,MATCH(B395,'Move Reality'!$A$5:$A$19,0)),INDEX('Move Reality'!$F$5:$F$19,MATCH(C395,'Move Reality'!$A$5:$A$19,0)),INDEX('Move Reality'!$F$5:$F$19,MATCH(D395,'Move Reality'!$A$5:$A$19,0)),INDEX('Move Reality'!$F$5:$F$19,MATCH(E395,'Move Reality'!$A$5:$A$19,0)))</f>
        <v>5</v>
      </c>
      <c r="M395" s="28" t="str">
        <f aca="false">IF(L395&gt;=5,"YES","no - dead move")</f>
        <v>YES</v>
      </c>
    </row>
    <row r="396" customFormat="false" ht="15" hidden="false" customHeight="false" outlineLevel="0" collapsed="false">
      <c r="A396" s="17" t="n">
        <v>392</v>
      </c>
      <c r="B396" s="17" t="s">
        <v>46</v>
      </c>
      <c r="C396" s="17" t="s">
        <v>48</v>
      </c>
      <c r="D396" s="17" t="s">
        <v>49</v>
      </c>
      <c r="E396" s="17" t="s">
        <v>54</v>
      </c>
      <c r="F396" s="25" t="n">
        <f aca="false">SUMPRODUCT(--((('Yellow Bosses'!$N$5:$N$53&gt;=2)+('Yellow Bosses'!$P$5:$P$53&gt;=2)+('Yellow Bosses'!$Q$5:$Q$53&gt;=2)+('Yellow Bosses'!$V$5:$V$53&gt;=2))&gt;0))</f>
        <v>35</v>
      </c>
      <c r="G396" s="26" t="n">
        <f aca="false">F396/49</f>
        <v>0.714285714285714</v>
      </c>
      <c r="H396" s="25" t="n">
        <f aca="false">49-SUMPRODUCT(--((('Yellow Bosses'!$N$5:$N$53&gt;=1)+('Yellow Bosses'!$P$5:$P$53&gt;=1)+('Yellow Bosses'!$Q$5:$Q$53&gt;=1)+('Yellow Bosses'!$V$5:$V$53&gt;=1))&gt;0))</f>
        <v>0</v>
      </c>
      <c r="I396" s="25" t="n">
        <f aca="false">SUMPRODUCT(--((('Yellow Bosses'!$N$5:$N$53&gt;0)+('Yellow Bosses'!$P$5:$P$53&gt;0)+('Yellow Bosses'!$Q$5:$Q$53&gt;0)+('Yellow Bosses'!$V$5:$V$53&gt;0))=0))</f>
        <v>0</v>
      </c>
      <c r="J396" s="25" t="n">
        <f aca="false">SUMPRODUCT(--(((Effectiveness!$K$5:$K$155&gt;=2)+(Effectiveness!$M$5:$M$155&gt;=2)+(Effectiveness!$N$5:$N$155&gt;=2)+(Effectiveness!$S$5:$S$155&gt;=2))&gt;0))</f>
        <v>99</v>
      </c>
      <c r="K396" s="26" t="n">
        <f aca="false">J396/151</f>
        <v>0.655629139072848</v>
      </c>
      <c r="L396" s="25" t="n">
        <f aca="false">MIN(INDEX('Move Reality'!$F$5:$F$19,MATCH(B396,'Move Reality'!$A$5:$A$19,0)),INDEX('Move Reality'!$F$5:$F$19,MATCH(C396,'Move Reality'!$A$5:$A$19,0)),INDEX('Move Reality'!$F$5:$F$19,MATCH(D396,'Move Reality'!$A$5:$A$19,0)),INDEX('Move Reality'!$F$5:$F$19,MATCH(E396,'Move Reality'!$A$5:$A$19,0)))</f>
        <v>1</v>
      </c>
      <c r="M396" s="28" t="str">
        <f aca="false">IF(L396&gt;=5,"YES","no - dead move")</f>
        <v>no - dead move</v>
      </c>
    </row>
    <row r="397" customFormat="false" ht="15" hidden="false" customHeight="false" outlineLevel="0" collapsed="false">
      <c r="A397" s="17" t="n">
        <v>393</v>
      </c>
      <c r="B397" s="17" t="s">
        <v>41</v>
      </c>
      <c r="C397" s="17" t="s">
        <v>42</v>
      </c>
      <c r="D397" s="17" t="s">
        <v>43</v>
      </c>
      <c r="E397" s="17" t="s">
        <v>53</v>
      </c>
      <c r="F397" s="25" t="n">
        <f aca="false">SUMPRODUCT(--((('Yellow Bosses'!$I$5:$I$53&gt;=2)+('Yellow Bosses'!$J$5:$J$53&gt;=2)+('Yellow Bosses'!$K$5:$K$53&gt;=2)+('Yellow Bosses'!$U$5:$U$53&gt;=2))&gt;0))</f>
        <v>35</v>
      </c>
      <c r="G397" s="26" t="n">
        <f aca="false">F397/49</f>
        <v>0.714285714285714</v>
      </c>
      <c r="H397" s="25" t="n">
        <f aca="false">49-SUMPRODUCT(--((('Yellow Bosses'!$I$5:$I$53&gt;=1)+('Yellow Bosses'!$J$5:$J$53&gt;=1)+('Yellow Bosses'!$K$5:$K$53&gt;=1)+('Yellow Bosses'!$U$5:$U$53&gt;=1))&gt;0))</f>
        <v>0</v>
      </c>
      <c r="I397" s="25" t="n">
        <f aca="false">SUMPRODUCT(--((('Yellow Bosses'!$I$5:$I$53&gt;0)+('Yellow Bosses'!$J$5:$J$53&gt;0)+('Yellow Bosses'!$K$5:$K$53&gt;0)+('Yellow Bosses'!$U$5:$U$53&gt;0))=0))</f>
        <v>0</v>
      </c>
      <c r="J397" s="25" t="n">
        <f aca="false">SUMPRODUCT(--(((Effectiveness!$F$5:$F$155&gt;=2)+(Effectiveness!$G$5:$G$155&gt;=2)+(Effectiveness!$H$5:$H$155&gt;=2)+(Effectiveness!$R$5:$R$155&gt;=2))&gt;0))</f>
        <v>98</v>
      </c>
      <c r="K397" s="26" t="n">
        <f aca="false">J397/151</f>
        <v>0.649006622516556</v>
      </c>
      <c r="L397" s="25" t="n">
        <f aca="false">MIN(INDEX('Move Reality'!$F$5:$F$19,MATCH(B397,'Move Reality'!$A$5:$A$19,0)),INDEX('Move Reality'!$F$5:$F$19,MATCH(C397,'Move Reality'!$A$5:$A$19,0)),INDEX('Move Reality'!$F$5:$F$19,MATCH(D397,'Move Reality'!$A$5:$A$19,0)),INDEX('Move Reality'!$F$5:$F$19,MATCH(E397,'Move Reality'!$A$5:$A$19,0)))</f>
        <v>1</v>
      </c>
      <c r="M397" s="28" t="str">
        <f aca="false">IF(L397&gt;=5,"YES","no - dead move")</f>
        <v>no - dead move</v>
      </c>
    </row>
    <row r="398" customFormat="false" ht="15" hidden="false" customHeight="false" outlineLevel="0" collapsed="false">
      <c r="A398" s="17" t="n">
        <v>394</v>
      </c>
      <c r="B398" s="17" t="s">
        <v>41</v>
      </c>
      <c r="C398" s="17" t="s">
        <v>42</v>
      </c>
      <c r="D398" s="17" t="s">
        <v>43</v>
      </c>
      <c r="E398" s="17" t="s">
        <v>54</v>
      </c>
      <c r="F398" s="25" t="n">
        <f aca="false">SUMPRODUCT(--((('Yellow Bosses'!$I$5:$I$53&gt;=2)+('Yellow Bosses'!$J$5:$J$53&gt;=2)+('Yellow Bosses'!$K$5:$K$53&gt;=2)+('Yellow Bosses'!$V$5:$V$53&gt;=2))&gt;0))</f>
        <v>35</v>
      </c>
      <c r="G398" s="26" t="n">
        <f aca="false">F398/49</f>
        <v>0.714285714285714</v>
      </c>
      <c r="H398" s="25" t="n">
        <f aca="false">49-SUMPRODUCT(--((('Yellow Bosses'!$I$5:$I$53&gt;=1)+('Yellow Bosses'!$J$5:$J$53&gt;=1)+('Yellow Bosses'!$K$5:$K$53&gt;=1)+('Yellow Bosses'!$V$5:$V$53&gt;=1))&gt;0))</f>
        <v>0</v>
      </c>
      <c r="I398" s="25" t="n">
        <f aca="false">SUMPRODUCT(--((('Yellow Bosses'!$I$5:$I$53&gt;0)+('Yellow Bosses'!$J$5:$J$53&gt;0)+('Yellow Bosses'!$K$5:$K$53&gt;0)+('Yellow Bosses'!$V$5:$V$53&gt;0))=0))</f>
        <v>0</v>
      </c>
      <c r="J398" s="25" t="n">
        <f aca="false">SUMPRODUCT(--(((Effectiveness!$F$5:$F$155&gt;=2)+(Effectiveness!$G$5:$G$155&gt;=2)+(Effectiveness!$H$5:$H$155&gt;=2)+(Effectiveness!$S$5:$S$155&gt;=2))&gt;0))</f>
        <v>98</v>
      </c>
      <c r="K398" s="26" t="n">
        <f aca="false">J398/151</f>
        <v>0.649006622516556</v>
      </c>
      <c r="L398" s="25" t="n">
        <f aca="false">MIN(INDEX('Move Reality'!$F$5:$F$19,MATCH(B398,'Move Reality'!$A$5:$A$19,0)),INDEX('Move Reality'!$F$5:$F$19,MATCH(C398,'Move Reality'!$A$5:$A$19,0)),INDEX('Move Reality'!$F$5:$F$19,MATCH(D398,'Move Reality'!$A$5:$A$19,0)),INDEX('Move Reality'!$F$5:$F$19,MATCH(E398,'Move Reality'!$A$5:$A$19,0)))</f>
        <v>1</v>
      </c>
      <c r="M398" s="28" t="str">
        <f aca="false">IF(L398&gt;=5,"YES","no - dead move")</f>
        <v>no - dead move</v>
      </c>
    </row>
    <row r="399" customFormat="false" ht="15" hidden="false" customHeight="false" outlineLevel="0" collapsed="false">
      <c r="A399" s="17" t="n">
        <v>395</v>
      </c>
      <c r="B399" s="17" t="s">
        <v>40</v>
      </c>
      <c r="C399" s="17" t="s">
        <v>44</v>
      </c>
      <c r="D399" s="17" t="s">
        <v>45</v>
      </c>
      <c r="E399" s="17" t="s">
        <v>52</v>
      </c>
      <c r="F399" s="25" t="n">
        <f aca="false">SUMPRODUCT(--((('Yellow Bosses'!$H$5:$H$53&gt;=2)+('Yellow Bosses'!$L$5:$L$53&gt;=2)+('Yellow Bosses'!$M$5:$M$53&gt;=2)+('Yellow Bosses'!$T$5:$T$53&gt;=2))&gt;0))</f>
        <v>35</v>
      </c>
      <c r="G399" s="26" t="n">
        <f aca="false">F399/49</f>
        <v>0.714285714285714</v>
      </c>
      <c r="H399" s="25" t="n">
        <f aca="false">49-SUMPRODUCT(--((('Yellow Bosses'!$H$5:$H$53&gt;=1)+('Yellow Bosses'!$L$5:$L$53&gt;=1)+('Yellow Bosses'!$M$5:$M$53&gt;=1)+('Yellow Bosses'!$T$5:$T$53&gt;=1))&gt;0))</f>
        <v>0</v>
      </c>
      <c r="I399" s="25" t="n">
        <f aca="false">SUMPRODUCT(--((('Yellow Bosses'!$H$5:$H$53&gt;0)+('Yellow Bosses'!$L$5:$L$53&gt;0)+('Yellow Bosses'!$M$5:$M$53&gt;0)+('Yellow Bosses'!$T$5:$T$53&gt;0))=0))</f>
        <v>0</v>
      </c>
      <c r="J399" s="25" t="n">
        <f aca="false">SUMPRODUCT(--(((Effectiveness!$E$5:$E$155&gt;=2)+(Effectiveness!$I$5:$I$155&gt;=2)+(Effectiveness!$J$5:$J$155&gt;=2)+(Effectiveness!$Q$5:$Q$155&gt;=2))&gt;0))</f>
        <v>97</v>
      </c>
      <c r="K399" s="26" t="n">
        <f aca="false">J399/151</f>
        <v>0.642384105960265</v>
      </c>
      <c r="L399" s="25" t="n">
        <f aca="false">MIN(INDEX('Move Reality'!$F$5:$F$19,MATCH(B399,'Move Reality'!$A$5:$A$19,0)),INDEX('Move Reality'!$F$5:$F$19,MATCH(C399,'Move Reality'!$A$5:$A$19,0)),INDEX('Move Reality'!$F$5:$F$19,MATCH(D399,'Move Reality'!$A$5:$A$19,0)),INDEX('Move Reality'!$F$5:$F$19,MATCH(E399,'Move Reality'!$A$5:$A$19,0)))</f>
        <v>4</v>
      </c>
      <c r="M399" s="28" t="str">
        <f aca="false">IF(L399&gt;=5,"YES","no - dead move")</f>
        <v>no - dead move</v>
      </c>
    </row>
    <row r="400" customFormat="false" ht="15" hidden="false" customHeight="false" outlineLevel="0" collapsed="false">
      <c r="A400" s="17" t="n">
        <v>396</v>
      </c>
      <c r="B400" s="17" t="s">
        <v>40</v>
      </c>
      <c r="C400" s="17" t="s">
        <v>45</v>
      </c>
      <c r="D400" s="17" t="s">
        <v>48</v>
      </c>
      <c r="E400" s="17" t="s">
        <v>50</v>
      </c>
      <c r="F400" s="25" t="n">
        <f aca="false">SUMPRODUCT(--((('Yellow Bosses'!$H$5:$H$53&gt;=2)+('Yellow Bosses'!$M$5:$M$53&gt;=2)+('Yellow Bosses'!$P$5:$P$53&gt;=2)+('Yellow Bosses'!$R$5:$R$53&gt;=2))&gt;0))</f>
        <v>35</v>
      </c>
      <c r="G400" s="26" t="n">
        <f aca="false">F400/49</f>
        <v>0.714285714285714</v>
      </c>
      <c r="H400" s="25" t="n">
        <f aca="false">49-SUMPRODUCT(--((('Yellow Bosses'!$H$5:$H$53&gt;=1)+('Yellow Bosses'!$M$5:$M$53&gt;=1)+('Yellow Bosses'!$P$5:$P$53&gt;=1)+('Yellow Bosses'!$R$5:$R$53&gt;=1))&gt;0))</f>
        <v>0</v>
      </c>
      <c r="I400" s="25" t="n">
        <f aca="false">SUMPRODUCT(--((('Yellow Bosses'!$H$5:$H$53&gt;0)+('Yellow Bosses'!$M$5:$M$53&gt;0)+('Yellow Bosses'!$P$5:$P$53&gt;0)+('Yellow Bosses'!$R$5:$R$53&gt;0))=0))</f>
        <v>0</v>
      </c>
      <c r="J400" s="25" t="n">
        <f aca="false">SUMPRODUCT(--(((Effectiveness!$E$5:$E$155&gt;=2)+(Effectiveness!$J$5:$J$155&gt;=2)+(Effectiveness!$M$5:$M$155&gt;=2)+(Effectiveness!$O$5:$O$155&gt;=2))&gt;0))</f>
        <v>97</v>
      </c>
      <c r="K400" s="26" t="n">
        <f aca="false">J400/151</f>
        <v>0.642384105960265</v>
      </c>
      <c r="L400" s="25" t="n">
        <f aca="false">MIN(INDEX('Move Reality'!$F$5:$F$19,MATCH(B400,'Move Reality'!$A$5:$A$19,0)),INDEX('Move Reality'!$F$5:$F$19,MATCH(C400,'Move Reality'!$A$5:$A$19,0)),INDEX('Move Reality'!$F$5:$F$19,MATCH(D400,'Move Reality'!$A$5:$A$19,0)),INDEX('Move Reality'!$F$5:$F$19,MATCH(E400,'Move Reality'!$A$5:$A$19,0)))</f>
        <v>9</v>
      </c>
      <c r="M400" s="28" t="str">
        <f aca="false">IF(L400&gt;=5,"YES","no - dead move")</f>
        <v>YES</v>
      </c>
    </row>
    <row r="401" customFormat="false" ht="15" hidden="false" customHeight="false" outlineLevel="0" collapsed="false">
      <c r="A401" s="17" t="n">
        <v>397</v>
      </c>
      <c r="B401" s="17" t="s">
        <v>41</v>
      </c>
      <c r="C401" s="17" t="s">
        <v>44</v>
      </c>
      <c r="D401" s="17" t="s">
        <v>45</v>
      </c>
      <c r="E401" s="17" t="s">
        <v>52</v>
      </c>
      <c r="F401" s="25" t="n">
        <f aca="false">SUMPRODUCT(--((('Yellow Bosses'!$I$5:$I$53&gt;=2)+('Yellow Bosses'!$L$5:$L$53&gt;=2)+('Yellow Bosses'!$M$5:$M$53&gt;=2)+('Yellow Bosses'!$T$5:$T$53&gt;=2))&gt;0))</f>
        <v>35</v>
      </c>
      <c r="G401" s="26" t="n">
        <f aca="false">F401/49</f>
        <v>0.714285714285714</v>
      </c>
      <c r="H401" s="25" t="n">
        <f aca="false">49-SUMPRODUCT(--((('Yellow Bosses'!$I$5:$I$53&gt;=1)+('Yellow Bosses'!$L$5:$L$53&gt;=1)+('Yellow Bosses'!$M$5:$M$53&gt;=1)+('Yellow Bosses'!$T$5:$T$53&gt;=1))&gt;0))</f>
        <v>0</v>
      </c>
      <c r="I401" s="25" t="n">
        <f aca="false">SUMPRODUCT(--((('Yellow Bosses'!$I$5:$I$53&gt;0)+('Yellow Bosses'!$L$5:$L$53&gt;0)+('Yellow Bosses'!$M$5:$M$53&gt;0)+('Yellow Bosses'!$T$5:$T$53&gt;0))=0))</f>
        <v>0</v>
      </c>
      <c r="J401" s="25" t="n">
        <f aca="false">SUMPRODUCT(--(((Effectiveness!$F$5:$F$155&gt;=2)+(Effectiveness!$I$5:$I$155&gt;=2)+(Effectiveness!$J$5:$J$155&gt;=2)+(Effectiveness!$Q$5:$Q$155&gt;=2))&gt;0))</f>
        <v>97</v>
      </c>
      <c r="K401" s="26" t="n">
        <f aca="false">J401/151</f>
        <v>0.642384105960265</v>
      </c>
      <c r="L401" s="25" t="n">
        <f aca="false">MIN(INDEX('Move Reality'!$F$5:$F$19,MATCH(B401,'Move Reality'!$A$5:$A$19,0)),INDEX('Move Reality'!$F$5:$F$19,MATCH(C401,'Move Reality'!$A$5:$A$19,0)),INDEX('Move Reality'!$F$5:$F$19,MATCH(D401,'Move Reality'!$A$5:$A$19,0)),INDEX('Move Reality'!$F$5:$F$19,MATCH(E401,'Move Reality'!$A$5:$A$19,0)))</f>
        <v>4</v>
      </c>
      <c r="M401" s="28" t="str">
        <f aca="false">IF(L401&gt;=5,"YES","no - dead move")</f>
        <v>no - dead move</v>
      </c>
    </row>
    <row r="402" customFormat="false" ht="15" hidden="false" customHeight="false" outlineLevel="0" collapsed="false">
      <c r="A402" s="17" t="n">
        <v>398</v>
      </c>
      <c r="B402" s="17" t="s">
        <v>42</v>
      </c>
      <c r="C402" s="17" t="s">
        <v>44</v>
      </c>
      <c r="D402" s="17" t="s">
        <v>45</v>
      </c>
      <c r="E402" s="17" t="s">
        <v>52</v>
      </c>
      <c r="F402" s="25" t="n">
        <f aca="false">SUMPRODUCT(--((('Yellow Bosses'!$J$5:$J$53&gt;=2)+('Yellow Bosses'!$L$5:$L$53&gt;=2)+('Yellow Bosses'!$M$5:$M$53&gt;=2)+('Yellow Bosses'!$T$5:$T$53&gt;=2))&gt;0))</f>
        <v>35</v>
      </c>
      <c r="G402" s="26" t="n">
        <f aca="false">F402/49</f>
        <v>0.714285714285714</v>
      </c>
      <c r="H402" s="25" t="n">
        <f aca="false">49-SUMPRODUCT(--((('Yellow Bosses'!$J$5:$J$53&gt;=1)+('Yellow Bosses'!$L$5:$L$53&gt;=1)+('Yellow Bosses'!$M$5:$M$53&gt;=1)+('Yellow Bosses'!$T$5:$T$53&gt;=1))&gt;0))</f>
        <v>0</v>
      </c>
      <c r="I402" s="25" t="n">
        <f aca="false">SUMPRODUCT(--((('Yellow Bosses'!$J$5:$J$53&gt;0)+('Yellow Bosses'!$L$5:$L$53&gt;0)+('Yellow Bosses'!$M$5:$M$53&gt;0)+('Yellow Bosses'!$T$5:$T$53&gt;0))=0))</f>
        <v>0</v>
      </c>
      <c r="J402" s="25" t="n">
        <f aca="false">SUMPRODUCT(--(((Effectiveness!$G$5:$G$155&gt;=2)+(Effectiveness!$I$5:$I$155&gt;=2)+(Effectiveness!$J$5:$J$155&gt;=2)+(Effectiveness!$Q$5:$Q$155&gt;=2))&gt;0))</f>
        <v>97</v>
      </c>
      <c r="K402" s="26" t="n">
        <f aca="false">J402/151</f>
        <v>0.642384105960265</v>
      </c>
      <c r="L402" s="25" t="n">
        <f aca="false">MIN(INDEX('Move Reality'!$F$5:$F$19,MATCH(B402,'Move Reality'!$A$5:$A$19,0)),INDEX('Move Reality'!$F$5:$F$19,MATCH(C402,'Move Reality'!$A$5:$A$19,0)),INDEX('Move Reality'!$F$5:$F$19,MATCH(D402,'Move Reality'!$A$5:$A$19,0)),INDEX('Move Reality'!$F$5:$F$19,MATCH(E402,'Move Reality'!$A$5:$A$19,0)))</f>
        <v>4</v>
      </c>
      <c r="M402" s="28" t="str">
        <f aca="false">IF(L402&gt;=5,"YES","no - dead move")</f>
        <v>no - dead move</v>
      </c>
    </row>
    <row r="403" customFormat="false" ht="15" hidden="false" customHeight="false" outlineLevel="0" collapsed="false">
      <c r="A403" s="17" t="n">
        <v>399</v>
      </c>
      <c r="B403" s="17" t="s">
        <v>42</v>
      </c>
      <c r="C403" s="17" t="s">
        <v>45</v>
      </c>
      <c r="D403" s="17" t="s">
        <v>48</v>
      </c>
      <c r="E403" s="17" t="s">
        <v>50</v>
      </c>
      <c r="F403" s="25" t="n">
        <f aca="false">SUMPRODUCT(--((('Yellow Bosses'!$J$5:$J$53&gt;=2)+('Yellow Bosses'!$M$5:$M$53&gt;=2)+('Yellow Bosses'!$P$5:$P$53&gt;=2)+('Yellow Bosses'!$R$5:$R$53&gt;=2))&gt;0))</f>
        <v>35</v>
      </c>
      <c r="G403" s="26" t="n">
        <f aca="false">F403/49</f>
        <v>0.714285714285714</v>
      </c>
      <c r="H403" s="25" t="n">
        <f aca="false">49-SUMPRODUCT(--((('Yellow Bosses'!$J$5:$J$53&gt;=1)+('Yellow Bosses'!$M$5:$M$53&gt;=1)+('Yellow Bosses'!$P$5:$P$53&gt;=1)+('Yellow Bosses'!$R$5:$R$53&gt;=1))&gt;0))</f>
        <v>0</v>
      </c>
      <c r="I403" s="25" t="n">
        <f aca="false">SUMPRODUCT(--((('Yellow Bosses'!$J$5:$J$53&gt;0)+('Yellow Bosses'!$M$5:$M$53&gt;0)+('Yellow Bosses'!$P$5:$P$53&gt;0)+('Yellow Bosses'!$R$5:$R$53&gt;0))=0))</f>
        <v>0</v>
      </c>
      <c r="J403" s="25" t="n">
        <f aca="false">SUMPRODUCT(--(((Effectiveness!$G$5:$G$155&gt;=2)+(Effectiveness!$J$5:$J$155&gt;=2)+(Effectiveness!$M$5:$M$155&gt;=2)+(Effectiveness!$O$5:$O$155&gt;=2))&gt;0))</f>
        <v>97</v>
      </c>
      <c r="K403" s="26" t="n">
        <f aca="false">J403/151</f>
        <v>0.642384105960265</v>
      </c>
      <c r="L403" s="25" t="n">
        <f aca="false">MIN(INDEX('Move Reality'!$F$5:$F$19,MATCH(B403,'Move Reality'!$A$5:$A$19,0)),INDEX('Move Reality'!$F$5:$F$19,MATCH(C403,'Move Reality'!$A$5:$A$19,0)),INDEX('Move Reality'!$F$5:$F$19,MATCH(D403,'Move Reality'!$A$5:$A$19,0)),INDEX('Move Reality'!$F$5:$F$19,MATCH(E403,'Move Reality'!$A$5:$A$19,0)))</f>
        <v>9</v>
      </c>
      <c r="M403" s="28" t="str">
        <f aca="false">IF(L403&gt;=5,"YES","no - dead move")</f>
        <v>YES</v>
      </c>
    </row>
    <row r="404" customFormat="false" ht="15" hidden="false" customHeight="false" outlineLevel="0" collapsed="false">
      <c r="A404" s="17" t="n">
        <v>400</v>
      </c>
      <c r="B404" s="17" t="s">
        <v>44</v>
      </c>
      <c r="C404" s="17" t="s">
        <v>45</v>
      </c>
      <c r="D404" s="17" t="s">
        <v>47</v>
      </c>
      <c r="E404" s="17" t="s">
        <v>52</v>
      </c>
      <c r="F404" s="25" t="n">
        <f aca="false">SUMPRODUCT(--((('Yellow Bosses'!$L$5:$L$53&gt;=2)+('Yellow Bosses'!$M$5:$M$53&gt;=2)+('Yellow Bosses'!$O$5:$O$53&gt;=2)+('Yellow Bosses'!$T$5:$T$53&gt;=2))&gt;0))</f>
        <v>35</v>
      </c>
      <c r="G404" s="26" t="n">
        <f aca="false">F404/49</f>
        <v>0.714285714285714</v>
      </c>
      <c r="H404" s="25" t="n">
        <f aca="false">49-SUMPRODUCT(--((('Yellow Bosses'!$L$5:$L$53&gt;=1)+('Yellow Bosses'!$M$5:$M$53&gt;=1)+('Yellow Bosses'!$O$5:$O$53&gt;=1)+('Yellow Bosses'!$T$5:$T$53&gt;=1))&gt;0))</f>
        <v>0</v>
      </c>
      <c r="I404" s="25" t="n">
        <f aca="false">SUMPRODUCT(--((('Yellow Bosses'!$L$5:$L$53&gt;0)+('Yellow Bosses'!$M$5:$M$53&gt;0)+('Yellow Bosses'!$O$5:$O$53&gt;0)+('Yellow Bosses'!$T$5:$T$53&gt;0))=0))</f>
        <v>0</v>
      </c>
      <c r="J404" s="25" t="n">
        <f aca="false">SUMPRODUCT(--(((Effectiveness!$I$5:$I$155&gt;=2)+(Effectiveness!$J$5:$J$155&gt;=2)+(Effectiveness!$L$5:$L$155&gt;=2)+(Effectiveness!$Q$5:$Q$155&gt;=2))&gt;0))</f>
        <v>97</v>
      </c>
      <c r="K404" s="26" t="n">
        <f aca="false">J404/151</f>
        <v>0.642384105960265</v>
      </c>
      <c r="L404" s="25" t="n">
        <f aca="false">MIN(INDEX('Move Reality'!$F$5:$F$19,MATCH(B404,'Move Reality'!$A$5:$A$19,0)),INDEX('Move Reality'!$F$5:$F$19,MATCH(C404,'Move Reality'!$A$5:$A$19,0)),INDEX('Move Reality'!$F$5:$F$19,MATCH(D404,'Move Reality'!$A$5:$A$19,0)),INDEX('Move Reality'!$F$5:$F$19,MATCH(E404,'Move Reality'!$A$5:$A$19,0)))</f>
        <v>2</v>
      </c>
      <c r="M404" s="28" t="str">
        <f aca="false">IF(L404&gt;=5,"YES","no - dead move")</f>
        <v>no - dead move</v>
      </c>
    </row>
    <row r="405" customFormat="false" ht="15" hidden="false" customHeight="false" outlineLevel="0" collapsed="false">
      <c r="A405" s="17" t="n">
        <v>401</v>
      </c>
      <c r="B405" s="17" t="s">
        <v>44</v>
      </c>
      <c r="C405" s="17" t="s">
        <v>45</v>
      </c>
      <c r="D405" s="17" t="s">
        <v>52</v>
      </c>
      <c r="E405" s="17" t="s">
        <v>54</v>
      </c>
      <c r="F405" s="25" t="n">
        <f aca="false">SUMPRODUCT(--((('Yellow Bosses'!$L$5:$L$53&gt;=2)+('Yellow Bosses'!$M$5:$M$53&gt;=2)+('Yellow Bosses'!$T$5:$T$53&gt;=2)+('Yellow Bosses'!$V$5:$V$53&gt;=2))&gt;0))</f>
        <v>35</v>
      </c>
      <c r="G405" s="26" t="n">
        <f aca="false">F405/49</f>
        <v>0.714285714285714</v>
      </c>
      <c r="H405" s="25" t="n">
        <f aca="false">49-SUMPRODUCT(--((('Yellow Bosses'!$L$5:$L$53&gt;=1)+('Yellow Bosses'!$M$5:$M$53&gt;=1)+('Yellow Bosses'!$T$5:$T$53&gt;=1)+('Yellow Bosses'!$V$5:$V$53&gt;=1))&gt;0))</f>
        <v>0</v>
      </c>
      <c r="I405" s="25" t="n">
        <f aca="false">SUMPRODUCT(--((('Yellow Bosses'!$L$5:$L$53&gt;0)+('Yellow Bosses'!$M$5:$M$53&gt;0)+('Yellow Bosses'!$T$5:$T$53&gt;0)+('Yellow Bosses'!$V$5:$V$53&gt;0))=0))</f>
        <v>0</v>
      </c>
      <c r="J405" s="25" t="n">
        <f aca="false">SUMPRODUCT(--(((Effectiveness!$I$5:$I$155&gt;=2)+(Effectiveness!$J$5:$J$155&gt;=2)+(Effectiveness!$Q$5:$Q$155&gt;=2)+(Effectiveness!$S$5:$S$155&gt;=2))&gt;0))</f>
        <v>97</v>
      </c>
      <c r="K405" s="26" t="n">
        <f aca="false">J405/151</f>
        <v>0.642384105960265</v>
      </c>
      <c r="L405" s="25" t="n">
        <f aca="false">MIN(INDEX('Move Reality'!$F$5:$F$19,MATCH(B405,'Move Reality'!$A$5:$A$19,0)),INDEX('Move Reality'!$F$5:$F$19,MATCH(C405,'Move Reality'!$A$5:$A$19,0)),INDEX('Move Reality'!$F$5:$F$19,MATCH(D405,'Move Reality'!$A$5:$A$19,0)),INDEX('Move Reality'!$F$5:$F$19,MATCH(E405,'Move Reality'!$A$5:$A$19,0)))</f>
        <v>1</v>
      </c>
      <c r="M405" s="28" t="str">
        <f aca="false">IF(L405&gt;=5,"YES","no - dead move")</f>
        <v>no - dead move</v>
      </c>
    </row>
    <row r="406" customFormat="false" ht="15" hidden="false" customHeight="false" outlineLevel="0" collapsed="false">
      <c r="A406" s="17" t="n">
        <v>402</v>
      </c>
      <c r="B406" s="17" t="s">
        <v>45</v>
      </c>
      <c r="C406" s="17" t="s">
        <v>48</v>
      </c>
      <c r="D406" s="17" t="s">
        <v>50</v>
      </c>
      <c r="E406" s="17" t="s">
        <v>53</v>
      </c>
      <c r="F406" s="25" t="n">
        <f aca="false">SUMPRODUCT(--((('Yellow Bosses'!$M$5:$M$53&gt;=2)+('Yellow Bosses'!$P$5:$P$53&gt;=2)+('Yellow Bosses'!$R$5:$R$53&gt;=2)+('Yellow Bosses'!$U$5:$U$53&gt;=2))&gt;0))</f>
        <v>35</v>
      </c>
      <c r="G406" s="26" t="n">
        <f aca="false">F406/49</f>
        <v>0.714285714285714</v>
      </c>
      <c r="H406" s="25" t="n">
        <f aca="false">49-SUMPRODUCT(--((('Yellow Bosses'!$M$5:$M$53&gt;=1)+('Yellow Bosses'!$P$5:$P$53&gt;=1)+('Yellow Bosses'!$R$5:$R$53&gt;=1)+('Yellow Bosses'!$U$5:$U$53&gt;=1))&gt;0))</f>
        <v>0</v>
      </c>
      <c r="I406" s="25" t="n">
        <f aca="false">SUMPRODUCT(--((('Yellow Bosses'!$M$5:$M$53&gt;0)+('Yellow Bosses'!$P$5:$P$53&gt;0)+('Yellow Bosses'!$R$5:$R$53&gt;0)+('Yellow Bosses'!$U$5:$U$53&gt;0))=0))</f>
        <v>0</v>
      </c>
      <c r="J406" s="25" t="n">
        <f aca="false">SUMPRODUCT(--(((Effectiveness!$J$5:$J$155&gt;=2)+(Effectiveness!$M$5:$M$155&gt;=2)+(Effectiveness!$O$5:$O$155&gt;=2)+(Effectiveness!$R$5:$R$155&gt;=2))&gt;0))</f>
        <v>97</v>
      </c>
      <c r="K406" s="26" t="n">
        <f aca="false">J406/151</f>
        <v>0.642384105960265</v>
      </c>
      <c r="L406" s="25" t="n">
        <f aca="false">MIN(INDEX('Move Reality'!$F$5:$F$19,MATCH(B406,'Move Reality'!$A$5:$A$19,0)),INDEX('Move Reality'!$F$5:$F$19,MATCH(C406,'Move Reality'!$A$5:$A$19,0)),INDEX('Move Reality'!$F$5:$F$19,MATCH(D406,'Move Reality'!$A$5:$A$19,0)),INDEX('Move Reality'!$F$5:$F$19,MATCH(E406,'Move Reality'!$A$5:$A$19,0)))</f>
        <v>1</v>
      </c>
      <c r="M406" s="28" t="str">
        <f aca="false">IF(L406&gt;=5,"YES","no - dead move")</f>
        <v>no - dead move</v>
      </c>
    </row>
    <row r="407" customFormat="false" ht="15" hidden="false" customHeight="false" outlineLevel="0" collapsed="false">
      <c r="A407" s="17" t="n">
        <v>403</v>
      </c>
      <c r="B407" s="17" t="s">
        <v>45</v>
      </c>
      <c r="C407" s="17" t="s">
        <v>48</v>
      </c>
      <c r="D407" s="17" t="s">
        <v>50</v>
      </c>
      <c r="E407" s="17" t="s">
        <v>54</v>
      </c>
      <c r="F407" s="25" t="n">
        <f aca="false">SUMPRODUCT(--((('Yellow Bosses'!$M$5:$M$53&gt;=2)+('Yellow Bosses'!$P$5:$P$53&gt;=2)+('Yellow Bosses'!$R$5:$R$53&gt;=2)+('Yellow Bosses'!$V$5:$V$53&gt;=2))&gt;0))</f>
        <v>35</v>
      </c>
      <c r="G407" s="26" t="n">
        <f aca="false">F407/49</f>
        <v>0.714285714285714</v>
      </c>
      <c r="H407" s="25" t="n">
        <f aca="false">49-SUMPRODUCT(--((('Yellow Bosses'!$M$5:$M$53&gt;=1)+('Yellow Bosses'!$P$5:$P$53&gt;=1)+('Yellow Bosses'!$R$5:$R$53&gt;=1)+('Yellow Bosses'!$V$5:$V$53&gt;=1))&gt;0))</f>
        <v>0</v>
      </c>
      <c r="I407" s="25" t="n">
        <f aca="false">SUMPRODUCT(--((('Yellow Bosses'!$M$5:$M$53&gt;0)+('Yellow Bosses'!$P$5:$P$53&gt;0)+('Yellow Bosses'!$R$5:$R$53&gt;0)+('Yellow Bosses'!$V$5:$V$53&gt;0))=0))</f>
        <v>0</v>
      </c>
      <c r="J407" s="25" t="n">
        <f aca="false">SUMPRODUCT(--(((Effectiveness!$J$5:$J$155&gt;=2)+(Effectiveness!$M$5:$M$155&gt;=2)+(Effectiveness!$O$5:$O$155&gt;=2)+(Effectiveness!$S$5:$S$155&gt;=2))&gt;0))</f>
        <v>97</v>
      </c>
      <c r="K407" s="26" t="n">
        <f aca="false">J407/151</f>
        <v>0.642384105960265</v>
      </c>
      <c r="L407" s="25" t="n">
        <f aca="false">MIN(INDEX('Move Reality'!$F$5:$F$19,MATCH(B407,'Move Reality'!$A$5:$A$19,0)),INDEX('Move Reality'!$F$5:$F$19,MATCH(C407,'Move Reality'!$A$5:$A$19,0)),INDEX('Move Reality'!$F$5:$F$19,MATCH(D407,'Move Reality'!$A$5:$A$19,0)),INDEX('Move Reality'!$F$5:$F$19,MATCH(E407,'Move Reality'!$A$5:$A$19,0)))</f>
        <v>1</v>
      </c>
      <c r="M407" s="28" t="str">
        <f aca="false">IF(L407&gt;=5,"YES","no - dead move")</f>
        <v>no - dead move</v>
      </c>
    </row>
    <row r="408" customFormat="false" ht="15" hidden="false" customHeight="false" outlineLevel="0" collapsed="false">
      <c r="A408" s="17" t="n">
        <v>404</v>
      </c>
      <c r="B408" s="17" t="s">
        <v>40</v>
      </c>
      <c r="C408" s="17" t="s">
        <v>42</v>
      </c>
      <c r="D408" s="17" t="s">
        <v>44</v>
      </c>
      <c r="E408" s="17" t="s">
        <v>51</v>
      </c>
      <c r="F408" s="25" t="n">
        <f aca="false">SUMPRODUCT(--((('Yellow Bosses'!$H$5:$H$53&gt;=2)+('Yellow Bosses'!$J$5:$J$53&gt;=2)+('Yellow Bosses'!$L$5:$L$53&gt;=2)+('Yellow Bosses'!$S$5:$S$53&gt;=2))&gt;0))</f>
        <v>35</v>
      </c>
      <c r="G408" s="26" t="n">
        <f aca="false">F408/49</f>
        <v>0.714285714285714</v>
      </c>
      <c r="H408" s="25" t="n">
        <f aca="false">49-SUMPRODUCT(--((('Yellow Bosses'!$H$5:$H$53&gt;=1)+('Yellow Bosses'!$J$5:$J$53&gt;=1)+('Yellow Bosses'!$L$5:$L$53&gt;=1)+('Yellow Bosses'!$S$5:$S$53&gt;=1))&gt;0))</f>
        <v>0</v>
      </c>
      <c r="I408" s="25" t="n">
        <f aca="false">SUMPRODUCT(--((('Yellow Bosses'!$H$5:$H$53&gt;0)+('Yellow Bosses'!$J$5:$J$53&gt;0)+('Yellow Bosses'!$L$5:$L$53&gt;0)+('Yellow Bosses'!$S$5:$S$53&gt;0))=0))</f>
        <v>0</v>
      </c>
      <c r="J408" s="25" t="n">
        <f aca="false">SUMPRODUCT(--(((Effectiveness!$E$5:$E$155&gt;=2)+(Effectiveness!$G$5:$G$155&gt;=2)+(Effectiveness!$I$5:$I$155&gt;=2)+(Effectiveness!$P$5:$P$155&gt;=2))&gt;0))</f>
        <v>96</v>
      </c>
      <c r="K408" s="26" t="n">
        <f aca="false">J408/151</f>
        <v>0.635761589403974</v>
      </c>
      <c r="L408" s="25" t="n">
        <f aca="false">MIN(INDEX('Move Reality'!$F$5:$F$19,MATCH(B408,'Move Reality'!$A$5:$A$19,0)),INDEX('Move Reality'!$F$5:$F$19,MATCH(C408,'Move Reality'!$A$5:$A$19,0)),INDEX('Move Reality'!$F$5:$F$19,MATCH(D408,'Move Reality'!$A$5:$A$19,0)),INDEX('Move Reality'!$F$5:$F$19,MATCH(E408,'Move Reality'!$A$5:$A$19,0)))</f>
        <v>1</v>
      </c>
      <c r="M408" s="28" t="str">
        <f aca="false">IF(L408&gt;=5,"YES","no - dead move")</f>
        <v>no - dead move</v>
      </c>
    </row>
    <row r="409" customFormat="false" ht="15" hidden="false" customHeight="false" outlineLevel="0" collapsed="false">
      <c r="A409" s="17" t="n">
        <v>405</v>
      </c>
      <c r="B409" s="17" t="s">
        <v>41</v>
      </c>
      <c r="C409" s="17" t="s">
        <v>42</v>
      </c>
      <c r="D409" s="17" t="s">
        <v>48</v>
      </c>
      <c r="E409" s="17" t="s">
        <v>52</v>
      </c>
      <c r="F409" s="25" t="n">
        <f aca="false">SUMPRODUCT(--((('Yellow Bosses'!$I$5:$I$53&gt;=2)+('Yellow Bosses'!$J$5:$J$53&gt;=2)+('Yellow Bosses'!$P$5:$P$53&gt;=2)+('Yellow Bosses'!$T$5:$T$53&gt;=2))&gt;0))</f>
        <v>35</v>
      </c>
      <c r="G409" s="26" t="n">
        <f aca="false">F409/49</f>
        <v>0.714285714285714</v>
      </c>
      <c r="H409" s="25" t="n">
        <f aca="false">49-SUMPRODUCT(--((('Yellow Bosses'!$I$5:$I$53&gt;=1)+('Yellow Bosses'!$J$5:$J$53&gt;=1)+('Yellow Bosses'!$P$5:$P$53&gt;=1)+('Yellow Bosses'!$T$5:$T$53&gt;=1))&gt;0))</f>
        <v>0</v>
      </c>
      <c r="I409" s="25" t="n">
        <f aca="false">SUMPRODUCT(--((('Yellow Bosses'!$I$5:$I$53&gt;0)+('Yellow Bosses'!$J$5:$J$53&gt;0)+('Yellow Bosses'!$P$5:$P$53&gt;0)+('Yellow Bosses'!$T$5:$T$53&gt;0))=0))</f>
        <v>0</v>
      </c>
      <c r="J409" s="25" t="n">
        <f aca="false">SUMPRODUCT(--(((Effectiveness!$F$5:$F$155&gt;=2)+(Effectiveness!$G$5:$G$155&gt;=2)+(Effectiveness!$M$5:$M$155&gt;=2)+(Effectiveness!$Q$5:$Q$155&gt;=2))&gt;0))</f>
        <v>96</v>
      </c>
      <c r="K409" s="26" t="n">
        <f aca="false">J409/151</f>
        <v>0.635761589403974</v>
      </c>
      <c r="L409" s="25" t="n">
        <f aca="false">MIN(INDEX('Move Reality'!$F$5:$F$19,MATCH(B409,'Move Reality'!$A$5:$A$19,0)),INDEX('Move Reality'!$F$5:$F$19,MATCH(C409,'Move Reality'!$A$5:$A$19,0)),INDEX('Move Reality'!$F$5:$F$19,MATCH(D409,'Move Reality'!$A$5:$A$19,0)),INDEX('Move Reality'!$F$5:$F$19,MATCH(E409,'Move Reality'!$A$5:$A$19,0)))</f>
        <v>6</v>
      </c>
      <c r="M409" s="28" t="str">
        <f aca="false">IF(L409&gt;=5,"YES","no - dead move")</f>
        <v>YES</v>
      </c>
    </row>
    <row r="410" customFormat="false" ht="15" hidden="false" customHeight="false" outlineLevel="0" collapsed="false">
      <c r="A410" s="17" t="n">
        <v>406</v>
      </c>
      <c r="B410" s="17" t="s">
        <v>40</v>
      </c>
      <c r="C410" s="17" t="s">
        <v>42</v>
      </c>
      <c r="D410" s="17" t="s">
        <v>44</v>
      </c>
      <c r="E410" s="17" t="s">
        <v>50</v>
      </c>
      <c r="F410" s="25" t="n">
        <f aca="false">SUMPRODUCT(--((('Yellow Bosses'!$H$5:$H$53&gt;=2)+('Yellow Bosses'!$J$5:$J$53&gt;=2)+('Yellow Bosses'!$L$5:$L$53&gt;=2)+('Yellow Bosses'!$R$5:$R$53&gt;=2))&gt;0))</f>
        <v>35</v>
      </c>
      <c r="G410" s="26" t="n">
        <f aca="false">F410/49</f>
        <v>0.714285714285714</v>
      </c>
      <c r="H410" s="25" t="n">
        <f aca="false">49-SUMPRODUCT(--((('Yellow Bosses'!$H$5:$H$53&gt;=1)+('Yellow Bosses'!$J$5:$J$53&gt;=1)+('Yellow Bosses'!$L$5:$L$53&gt;=1)+('Yellow Bosses'!$R$5:$R$53&gt;=1))&gt;0))</f>
        <v>0</v>
      </c>
      <c r="I410" s="25" t="n">
        <f aca="false">SUMPRODUCT(--((('Yellow Bosses'!$H$5:$H$53&gt;0)+('Yellow Bosses'!$J$5:$J$53&gt;0)+('Yellow Bosses'!$L$5:$L$53&gt;0)+('Yellow Bosses'!$R$5:$R$53&gt;0))=0))</f>
        <v>0</v>
      </c>
      <c r="J410" s="25" t="n">
        <f aca="false">SUMPRODUCT(--(((Effectiveness!$E$5:$E$155&gt;=2)+(Effectiveness!$G$5:$G$155&gt;=2)+(Effectiveness!$I$5:$I$155&gt;=2)+(Effectiveness!$O$5:$O$155&gt;=2))&gt;0))</f>
        <v>94</v>
      </c>
      <c r="K410" s="26" t="n">
        <f aca="false">J410/151</f>
        <v>0.622516556291391</v>
      </c>
      <c r="L410" s="25" t="n">
        <f aca="false">MIN(INDEX('Move Reality'!$F$5:$F$19,MATCH(B410,'Move Reality'!$A$5:$A$19,0)),INDEX('Move Reality'!$F$5:$F$19,MATCH(C410,'Move Reality'!$A$5:$A$19,0)),INDEX('Move Reality'!$F$5:$F$19,MATCH(D410,'Move Reality'!$A$5:$A$19,0)),INDEX('Move Reality'!$F$5:$F$19,MATCH(E410,'Move Reality'!$A$5:$A$19,0)))</f>
        <v>4</v>
      </c>
      <c r="M410" s="28" t="str">
        <f aca="false">IF(L410&gt;=5,"YES","no - dead move")</f>
        <v>no - dead move</v>
      </c>
    </row>
    <row r="411" customFormat="false" ht="15" hidden="false" customHeight="false" outlineLevel="0" collapsed="false">
      <c r="A411" s="17" t="n">
        <v>407</v>
      </c>
      <c r="B411" s="17" t="s">
        <v>42</v>
      </c>
      <c r="C411" s="17" t="s">
        <v>44</v>
      </c>
      <c r="D411" s="17" t="s">
        <v>50</v>
      </c>
      <c r="E411" s="17" t="s">
        <v>53</v>
      </c>
      <c r="F411" s="25" t="n">
        <f aca="false">SUMPRODUCT(--((('Yellow Bosses'!$J$5:$J$53&gt;=2)+('Yellow Bosses'!$L$5:$L$53&gt;=2)+('Yellow Bosses'!$R$5:$R$53&gt;=2)+('Yellow Bosses'!$U$5:$U$53&gt;=2))&gt;0))</f>
        <v>35</v>
      </c>
      <c r="G411" s="26" t="n">
        <f aca="false">F411/49</f>
        <v>0.714285714285714</v>
      </c>
      <c r="H411" s="25" t="n">
        <f aca="false">49-SUMPRODUCT(--((('Yellow Bosses'!$J$5:$J$53&gt;=1)+('Yellow Bosses'!$L$5:$L$53&gt;=1)+('Yellow Bosses'!$R$5:$R$53&gt;=1)+('Yellow Bosses'!$U$5:$U$53&gt;=1))&gt;0))</f>
        <v>1</v>
      </c>
      <c r="I411" s="25" t="n">
        <f aca="false">SUMPRODUCT(--((('Yellow Bosses'!$J$5:$J$53&gt;0)+('Yellow Bosses'!$L$5:$L$53&gt;0)+('Yellow Bosses'!$R$5:$R$53&gt;0)+('Yellow Bosses'!$U$5:$U$53&gt;0))=0))</f>
        <v>0</v>
      </c>
      <c r="J411" s="25" t="n">
        <f aca="false">SUMPRODUCT(--(((Effectiveness!$G$5:$G$155&gt;=2)+(Effectiveness!$I$5:$I$155&gt;=2)+(Effectiveness!$O$5:$O$155&gt;=2)+(Effectiveness!$R$5:$R$155&gt;=2))&gt;0))</f>
        <v>94</v>
      </c>
      <c r="K411" s="26" t="n">
        <f aca="false">J411/151</f>
        <v>0.622516556291391</v>
      </c>
      <c r="L411" s="25" t="n">
        <f aca="false">MIN(INDEX('Move Reality'!$F$5:$F$19,MATCH(B411,'Move Reality'!$A$5:$A$19,0)),INDEX('Move Reality'!$F$5:$F$19,MATCH(C411,'Move Reality'!$A$5:$A$19,0)),INDEX('Move Reality'!$F$5:$F$19,MATCH(D411,'Move Reality'!$A$5:$A$19,0)),INDEX('Move Reality'!$F$5:$F$19,MATCH(E411,'Move Reality'!$A$5:$A$19,0)))</f>
        <v>1</v>
      </c>
      <c r="M411" s="28" t="str">
        <f aca="false">IF(L411&gt;=5,"YES","no - dead move")</f>
        <v>no - dead move</v>
      </c>
    </row>
    <row r="412" customFormat="false" ht="15" hidden="false" customHeight="false" outlineLevel="0" collapsed="false">
      <c r="A412" s="17" t="n">
        <v>408</v>
      </c>
      <c r="B412" s="17" t="s">
        <v>44</v>
      </c>
      <c r="C412" s="17" t="s">
        <v>45</v>
      </c>
      <c r="D412" s="17" t="s">
        <v>49</v>
      </c>
      <c r="E412" s="17" t="s">
        <v>53</v>
      </c>
      <c r="F412" s="25" t="n">
        <f aca="false">SUMPRODUCT(--((('Yellow Bosses'!$L$5:$L$53&gt;=2)+('Yellow Bosses'!$M$5:$M$53&gt;=2)+('Yellow Bosses'!$Q$5:$Q$53&gt;=2)+('Yellow Bosses'!$U$5:$U$53&gt;=2))&gt;0))</f>
        <v>35</v>
      </c>
      <c r="G412" s="26" t="n">
        <f aca="false">F412/49</f>
        <v>0.714285714285714</v>
      </c>
      <c r="H412" s="25" t="n">
        <f aca="false">49-SUMPRODUCT(--((('Yellow Bosses'!$L$5:$L$53&gt;=1)+('Yellow Bosses'!$M$5:$M$53&gt;=1)+('Yellow Bosses'!$Q$5:$Q$53&gt;=1)+('Yellow Bosses'!$U$5:$U$53&gt;=1))&gt;0))</f>
        <v>0</v>
      </c>
      <c r="I412" s="25" t="n">
        <f aca="false">SUMPRODUCT(--((('Yellow Bosses'!$L$5:$L$53&gt;0)+('Yellow Bosses'!$M$5:$M$53&gt;0)+('Yellow Bosses'!$Q$5:$Q$53&gt;0)+('Yellow Bosses'!$U$5:$U$53&gt;0))=0))</f>
        <v>0</v>
      </c>
      <c r="J412" s="25" t="n">
        <f aca="false">SUMPRODUCT(--(((Effectiveness!$I$5:$I$155&gt;=2)+(Effectiveness!$J$5:$J$155&gt;=2)+(Effectiveness!$N$5:$N$155&gt;=2)+(Effectiveness!$R$5:$R$155&gt;=2))&gt;0))</f>
        <v>94</v>
      </c>
      <c r="K412" s="26" t="n">
        <f aca="false">J412/151</f>
        <v>0.622516556291391</v>
      </c>
      <c r="L412" s="25" t="n">
        <f aca="false">MIN(INDEX('Move Reality'!$F$5:$F$19,MATCH(B412,'Move Reality'!$A$5:$A$19,0)),INDEX('Move Reality'!$F$5:$F$19,MATCH(C412,'Move Reality'!$A$5:$A$19,0)),INDEX('Move Reality'!$F$5:$F$19,MATCH(D412,'Move Reality'!$A$5:$A$19,0)),INDEX('Move Reality'!$F$5:$F$19,MATCH(E412,'Move Reality'!$A$5:$A$19,0)))</f>
        <v>1</v>
      </c>
      <c r="M412" s="28" t="str">
        <f aca="false">IF(L412&gt;=5,"YES","no - dead move")</f>
        <v>no - dead move</v>
      </c>
    </row>
    <row r="413" customFormat="false" ht="15" hidden="false" customHeight="false" outlineLevel="0" collapsed="false">
      <c r="A413" s="17" t="n">
        <v>409</v>
      </c>
      <c r="B413" s="17" t="s">
        <v>44</v>
      </c>
      <c r="C413" s="17" t="s">
        <v>47</v>
      </c>
      <c r="D413" s="17" t="s">
        <v>50</v>
      </c>
      <c r="E413" s="17" t="s">
        <v>54</v>
      </c>
      <c r="F413" s="25" t="n">
        <f aca="false">SUMPRODUCT(--((('Yellow Bosses'!$L$5:$L$53&gt;=2)+('Yellow Bosses'!$O$5:$O$53&gt;=2)+('Yellow Bosses'!$R$5:$R$53&gt;=2)+('Yellow Bosses'!$V$5:$V$53&gt;=2))&gt;0))</f>
        <v>35</v>
      </c>
      <c r="G413" s="26" t="n">
        <f aca="false">F413/49</f>
        <v>0.714285714285714</v>
      </c>
      <c r="H413" s="25" t="n">
        <f aca="false">49-SUMPRODUCT(--((('Yellow Bosses'!$L$5:$L$53&gt;=1)+('Yellow Bosses'!$O$5:$O$53&gt;=1)+('Yellow Bosses'!$R$5:$R$53&gt;=1)+('Yellow Bosses'!$V$5:$V$53&gt;=1))&gt;0))</f>
        <v>0</v>
      </c>
      <c r="I413" s="25" t="n">
        <f aca="false">SUMPRODUCT(--((('Yellow Bosses'!$L$5:$L$53&gt;0)+('Yellow Bosses'!$O$5:$O$53&gt;0)+('Yellow Bosses'!$R$5:$R$53&gt;0)+('Yellow Bosses'!$V$5:$V$53&gt;0))=0))</f>
        <v>0</v>
      </c>
      <c r="J413" s="25" t="n">
        <f aca="false">SUMPRODUCT(--(((Effectiveness!$I$5:$I$155&gt;=2)+(Effectiveness!$L$5:$L$155&gt;=2)+(Effectiveness!$O$5:$O$155&gt;=2)+(Effectiveness!$S$5:$S$155&gt;=2))&gt;0))</f>
        <v>94</v>
      </c>
      <c r="K413" s="26" t="n">
        <f aca="false">J413/151</f>
        <v>0.622516556291391</v>
      </c>
      <c r="L413" s="25" t="n">
        <f aca="false">MIN(INDEX('Move Reality'!$F$5:$F$19,MATCH(B413,'Move Reality'!$A$5:$A$19,0)),INDEX('Move Reality'!$F$5:$F$19,MATCH(C413,'Move Reality'!$A$5:$A$19,0)),INDEX('Move Reality'!$F$5:$F$19,MATCH(D413,'Move Reality'!$A$5:$A$19,0)),INDEX('Move Reality'!$F$5:$F$19,MATCH(E413,'Move Reality'!$A$5:$A$19,0)))</f>
        <v>1</v>
      </c>
      <c r="M413" s="28" t="str">
        <f aca="false">IF(L413&gt;=5,"YES","no - dead move")</f>
        <v>no - dead move</v>
      </c>
    </row>
    <row r="414" customFormat="false" ht="15" hidden="false" customHeight="false" outlineLevel="0" collapsed="false">
      <c r="A414" s="17" t="n">
        <v>410</v>
      </c>
      <c r="B414" s="17" t="s">
        <v>44</v>
      </c>
      <c r="C414" s="17" t="s">
        <v>49</v>
      </c>
      <c r="D414" s="17" t="s">
        <v>50</v>
      </c>
      <c r="E414" s="17" t="s">
        <v>54</v>
      </c>
      <c r="F414" s="25" t="n">
        <f aca="false">SUMPRODUCT(--((('Yellow Bosses'!$L$5:$L$53&gt;=2)+('Yellow Bosses'!$Q$5:$Q$53&gt;=2)+('Yellow Bosses'!$R$5:$R$53&gt;=2)+('Yellow Bosses'!$V$5:$V$53&gt;=2))&gt;0))</f>
        <v>35</v>
      </c>
      <c r="G414" s="26" t="n">
        <f aca="false">F414/49</f>
        <v>0.714285714285714</v>
      </c>
      <c r="H414" s="25" t="n">
        <f aca="false">49-SUMPRODUCT(--((('Yellow Bosses'!$L$5:$L$53&gt;=1)+('Yellow Bosses'!$Q$5:$Q$53&gt;=1)+('Yellow Bosses'!$R$5:$R$53&gt;=1)+('Yellow Bosses'!$V$5:$V$53&gt;=1))&gt;0))</f>
        <v>0</v>
      </c>
      <c r="I414" s="25" t="n">
        <f aca="false">SUMPRODUCT(--((('Yellow Bosses'!$L$5:$L$53&gt;0)+('Yellow Bosses'!$Q$5:$Q$53&gt;0)+('Yellow Bosses'!$R$5:$R$53&gt;0)+('Yellow Bosses'!$V$5:$V$53&gt;0))=0))</f>
        <v>0</v>
      </c>
      <c r="J414" s="25" t="n">
        <f aca="false">SUMPRODUCT(--(((Effectiveness!$I$5:$I$155&gt;=2)+(Effectiveness!$N$5:$N$155&gt;=2)+(Effectiveness!$O$5:$O$155&gt;=2)+(Effectiveness!$S$5:$S$155&gt;=2))&gt;0))</f>
        <v>94</v>
      </c>
      <c r="K414" s="26" t="n">
        <f aca="false">J414/151</f>
        <v>0.622516556291391</v>
      </c>
      <c r="L414" s="25" t="n">
        <f aca="false">MIN(INDEX('Move Reality'!$F$5:$F$19,MATCH(B414,'Move Reality'!$A$5:$A$19,0)),INDEX('Move Reality'!$F$5:$F$19,MATCH(C414,'Move Reality'!$A$5:$A$19,0)),INDEX('Move Reality'!$F$5:$F$19,MATCH(D414,'Move Reality'!$A$5:$A$19,0)),INDEX('Move Reality'!$F$5:$F$19,MATCH(E414,'Move Reality'!$A$5:$A$19,0)))</f>
        <v>1</v>
      </c>
      <c r="M414" s="28" t="str">
        <f aca="false">IF(L414&gt;=5,"YES","no - dead move")</f>
        <v>no - dead move</v>
      </c>
    </row>
    <row r="415" customFormat="false" ht="15" hidden="false" customHeight="false" outlineLevel="0" collapsed="false">
      <c r="A415" s="17" t="n">
        <v>411</v>
      </c>
      <c r="B415" s="17" t="s">
        <v>45</v>
      </c>
      <c r="C415" s="17" t="s">
        <v>46</v>
      </c>
      <c r="D415" s="17" t="s">
        <v>52</v>
      </c>
      <c r="E415" s="17" t="s">
        <v>53</v>
      </c>
      <c r="F415" s="25" t="n">
        <f aca="false">SUMPRODUCT(--((('Yellow Bosses'!$M$5:$M$53&gt;=2)+('Yellow Bosses'!$N$5:$N$53&gt;=2)+('Yellow Bosses'!$T$5:$T$53&gt;=2)+('Yellow Bosses'!$U$5:$U$53&gt;=2))&gt;0))</f>
        <v>35</v>
      </c>
      <c r="G415" s="26" t="n">
        <f aca="false">F415/49</f>
        <v>0.714285714285714</v>
      </c>
      <c r="H415" s="25" t="n">
        <f aca="false">49-SUMPRODUCT(--((('Yellow Bosses'!$M$5:$M$53&gt;=1)+('Yellow Bosses'!$N$5:$N$53&gt;=1)+('Yellow Bosses'!$T$5:$T$53&gt;=1)+('Yellow Bosses'!$U$5:$U$53&gt;=1))&gt;0))</f>
        <v>0</v>
      </c>
      <c r="I415" s="25" t="n">
        <f aca="false">SUMPRODUCT(--((('Yellow Bosses'!$M$5:$M$53&gt;0)+('Yellow Bosses'!$N$5:$N$53&gt;0)+('Yellow Bosses'!$T$5:$T$53&gt;0)+('Yellow Bosses'!$U$5:$U$53&gt;0))=0))</f>
        <v>0</v>
      </c>
      <c r="J415" s="25" t="n">
        <f aca="false">SUMPRODUCT(--(((Effectiveness!$J$5:$J$155&gt;=2)+(Effectiveness!$K$5:$K$155&gt;=2)+(Effectiveness!$Q$5:$Q$155&gt;=2)+(Effectiveness!$R$5:$R$155&gt;=2))&gt;0))</f>
        <v>94</v>
      </c>
      <c r="K415" s="26" t="n">
        <f aca="false">J415/151</f>
        <v>0.622516556291391</v>
      </c>
      <c r="L415" s="25" t="n">
        <f aca="false">MIN(INDEX('Move Reality'!$F$5:$F$19,MATCH(B415,'Move Reality'!$A$5:$A$19,0)),INDEX('Move Reality'!$F$5:$F$19,MATCH(C415,'Move Reality'!$A$5:$A$19,0)),INDEX('Move Reality'!$F$5:$F$19,MATCH(D415,'Move Reality'!$A$5:$A$19,0)),INDEX('Move Reality'!$F$5:$F$19,MATCH(E415,'Move Reality'!$A$5:$A$19,0)))</f>
        <v>1</v>
      </c>
      <c r="M415" s="28" t="str">
        <f aca="false">IF(L415&gt;=5,"YES","no - dead move")</f>
        <v>no - dead move</v>
      </c>
    </row>
    <row r="416" customFormat="false" ht="15" hidden="false" customHeight="false" outlineLevel="0" collapsed="false">
      <c r="A416" s="17" t="n">
        <v>412</v>
      </c>
      <c r="B416" s="17" t="s">
        <v>41</v>
      </c>
      <c r="C416" s="17" t="s">
        <v>48</v>
      </c>
      <c r="D416" s="17" t="s">
        <v>52</v>
      </c>
      <c r="E416" s="17" t="s">
        <v>54</v>
      </c>
      <c r="F416" s="25" t="n">
        <f aca="false">SUMPRODUCT(--((('Yellow Bosses'!$I$5:$I$53&gt;=2)+('Yellow Bosses'!$P$5:$P$53&gt;=2)+('Yellow Bosses'!$T$5:$T$53&gt;=2)+('Yellow Bosses'!$V$5:$V$53&gt;=2))&gt;0))</f>
        <v>35</v>
      </c>
      <c r="G416" s="26" t="n">
        <f aca="false">F416/49</f>
        <v>0.714285714285714</v>
      </c>
      <c r="H416" s="25" t="n">
        <f aca="false">49-SUMPRODUCT(--((('Yellow Bosses'!$I$5:$I$53&gt;=1)+('Yellow Bosses'!$P$5:$P$53&gt;=1)+('Yellow Bosses'!$T$5:$T$53&gt;=1)+('Yellow Bosses'!$V$5:$V$53&gt;=1))&gt;0))</f>
        <v>0</v>
      </c>
      <c r="I416" s="25" t="n">
        <f aca="false">SUMPRODUCT(--((('Yellow Bosses'!$I$5:$I$53&gt;0)+('Yellow Bosses'!$P$5:$P$53&gt;0)+('Yellow Bosses'!$T$5:$T$53&gt;0)+('Yellow Bosses'!$V$5:$V$53&gt;0))=0))</f>
        <v>0</v>
      </c>
      <c r="J416" s="25" t="n">
        <f aca="false">SUMPRODUCT(--(((Effectiveness!$F$5:$F$155&gt;=2)+(Effectiveness!$M$5:$M$155&gt;=2)+(Effectiveness!$Q$5:$Q$155&gt;=2)+(Effectiveness!$S$5:$S$155&gt;=2))&gt;0))</f>
        <v>92</v>
      </c>
      <c r="K416" s="26" t="n">
        <f aca="false">J416/151</f>
        <v>0.609271523178808</v>
      </c>
      <c r="L416" s="25" t="n">
        <f aca="false">MIN(INDEX('Move Reality'!$F$5:$F$19,MATCH(B416,'Move Reality'!$A$5:$A$19,0)),INDEX('Move Reality'!$F$5:$F$19,MATCH(C416,'Move Reality'!$A$5:$A$19,0)),INDEX('Move Reality'!$F$5:$F$19,MATCH(D416,'Move Reality'!$A$5:$A$19,0)),INDEX('Move Reality'!$F$5:$F$19,MATCH(E416,'Move Reality'!$A$5:$A$19,0)))</f>
        <v>1</v>
      </c>
      <c r="M416" s="28" t="str">
        <f aca="false">IF(L416&gt;=5,"YES","no - dead move")</f>
        <v>no - dead move</v>
      </c>
    </row>
    <row r="417" customFormat="false" ht="15" hidden="false" customHeight="false" outlineLevel="0" collapsed="false">
      <c r="A417" s="17" t="n">
        <v>413</v>
      </c>
      <c r="B417" s="17" t="s">
        <v>42</v>
      </c>
      <c r="C417" s="17" t="s">
        <v>46</v>
      </c>
      <c r="D417" s="17" t="s">
        <v>50</v>
      </c>
      <c r="E417" s="17" t="s">
        <v>54</v>
      </c>
      <c r="F417" s="25" t="n">
        <f aca="false">SUMPRODUCT(--((('Yellow Bosses'!$J$5:$J$53&gt;=2)+('Yellow Bosses'!$N$5:$N$53&gt;=2)+('Yellow Bosses'!$R$5:$R$53&gt;=2)+('Yellow Bosses'!$V$5:$V$53&gt;=2))&gt;0))</f>
        <v>35</v>
      </c>
      <c r="G417" s="26" t="n">
        <f aca="false">F417/49</f>
        <v>0.714285714285714</v>
      </c>
      <c r="H417" s="25" t="n">
        <f aca="false">49-SUMPRODUCT(--((('Yellow Bosses'!$J$5:$J$53&gt;=1)+('Yellow Bosses'!$N$5:$N$53&gt;=1)+('Yellow Bosses'!$R$5:$R$53&gt;=1)+('Yellow Bosses'!$V$5:$V$53&gt;=1))&gt;0))</f>
        <v>0</v>
      </c>
      <c r="I417" s="25" t="n">
        <f aca="false">SUMPRODUCT(--((('Yellow Bosses'!$J$5:$J$53&gt;0)+('Yellow Bosses'!$N$5:$N$53&gt;0)+('Yellow Bosses'!$R$5:$R$53&gt;0)+('Yellow Bosses'!$V$5:$V$53&gt;0))=0))</f>
        <v>0</v>
      </c>
      <c r="J417" s="25" t="n">
        <f aca="false">SUMPRODUCT(--(((Effectiveness!$G$5:$G$155&gt;=2)+(Effectiveness!$K$5:$K$155&gt;=2)+(Effectiveness!$O$5:$O$155&gt;=2)+(Effectiveness!$S$5:$S$155&gt;=2))&gt;0))</f>
        <v>92</v>
      </c>
      <c r="K417" s="26" t="n">
        <f aca="false">J417/151</f>
        <v>0.609271523178808</v>
      </c>
      <c r="L417" s="25" t="n">
        <f aca="false">MIN(INDEX('Move Reality'!$F$5:$F$19,MATCH(B417,'Move Reality'!$A$5:$A$19,0)),INDEX('Move Reality'!$F$5:$F$19,MATCH(C417,'Move Reality'!$A$5:$A$19,0)),INDEX('Move Reality'!$F$5:$F$19,MATCH(D417,'Move Reality'!$A$5:$A$19,0)),INDEX('Move Reality'!$F$5:$F$19,MATCH(E417,'Move Reality'!$A$5:$A$19,0)))</f>
        <v>1</v>
      </c>
      <c r="M417" s="28" t="str">
        <f aca="false">IF(L417&gt;=5,"YES","no - dead move")</f>
        <v>no - dead move</v>
      </c>
    </row>
    <row r="418" customFormat="false" ht="15" hidden="false" customHeight="false" outlineLevel="0" collapsed="false">
      <c r="A418" s="17" t="n">
        <v>414</v>
      </c>
      <c r="B418" s="17" t="s">
        <v>40</v>
      </c>
      <c r="C418" s="17" t="s">
        <v>50</v>
      </c>
      <c r="D418" s="17" t="s">
        <v>51</v>
      </c>
      <c r="E418" s="17" t="s">
        <v>52</v>
      </c>
      <c r="F418" s="25" t="n">
        <f aca="false">SUMPRODUCT(--((('Yellow Bosses'!$H$5:$H$53&gt;=2)+('Yellow Bosses'!$R$5:$R$53&gt;=2)+('Yellow Bosses'!$S$5:$S$53&gt;=2)+('Yellow Bosses'!$T$5:$T$53&gt;=2))&gt;0))</f>
        <v>35</v>
      </c>
      <c r="G418" s="26" t="n">
        <f aca="false">F418/49</f>
        <v>0.714285714285714</v>
      </c>
      <c r="H418" s="25" t="n">
        <f aca="false">49-SUMPRODUCT(--((('Yellow Bosses'!$H$5:$H$53&gt;=1)+('Yellow Bosses'!$R$5:$R$53&gt;=1)+('Yellow Bosses'!$S$5:$S$53&gt;=1)+('Yellow Bosses'!$T$5:$T$53&gt;=1))&gt;0))</f>
        <v>0</v>
      </c>
      <c r="I418" s="25" t="n">
        <f aca="false">SUMPRODUCT(--((('Yellow Bosses'!$H$5:$H$53&gt;0)+('Yellow Bosses'!$R$5:$R$53&gt;0)+('Yellow Bosses'!$S$5:$S$53&gt;0)+('Yellow Bosses'!$T$5:$T$53&gt;0))=0))</f>
        <v>0</v>
      </c>
      <c r="J418" s="25" t="n">
        <f aca="false">SUMPRODUCT(--(((Effectiveness!$E$5:$E$155&gt;=2)+(Effectiveness!$O$5:$O$155&gt;=2)+(Effectiveness!$P$5:$P$155&gt;=2)+(Effectiveness!$Q$5:$Q$155&gt;=2))&gt;0))</f>
        <v>91</v>
      </c>
      <c r="K418" s="26" t="n">
        <f aca="false">J418/151</f>
        <v>0.602649006622517</v>
      </c>
      <c r="L418" s="25" t="n">
        <f aca="false">MIN(INDEX('Move Reality'!$F$5:$F$19,MATCH(B418,'Move Reality'!$A$5:$A$19,0)),INDEX('Move Reality'!$F$5:$F$19,MATCH(C418,'Move Reality'!$A$5:$A$19,0)),INDEX('Move Reality'!$F$5:$F$19,MATCH(D418,'Move Reality'!$A$5:$A$19,0)),INDEX('Move Reality'!$F$5:$F$19,MATCH(E418,'Move Reality'!$A$5:$A$19,0)))</f>
        <v>1</v>
      </c>
      <c r="M418" s="28" t="str">
        <f aca="false">IF(L418&gt;=5,"YES","no - dead move")</f>
        <v>no - dead move</v>
      </c>
    </row>
    <row r="419" customFormat="false" ht="15" hidden="false" customHeight="false" outlineLevel="0" collapsed="false">
      <c r="A419" s="17" t="n">
        <v>415</v>
      </c>
      <c r="B419" s="17" t="s">
        <v>41</v>
      </c>
      <c r="C419" s="17" t="s">
        <v>42</v>
      </c>
      <c r="D419" s="17" t="s">
        <v>48</v>
      </c>
      <c r="E419" s="17" t="s">
        <v>51</v>
      </c>
      <c r="F419" s="25" t="n">
        <f aca="false">SUMPRODUCT(--((('Yellow Bosses'!$I$5:$I$53&gt;=2)+('Yellow Bosses'!$J$5:$J$53&gt;=2)+('Yellow Bosses'!$P$5:$P$53&gt;=2)+('Yellow Bosses'!$S$5:$S$53&gt;=2))&gt;0))</f>
        <v>35</v>
      </c>
      <c r="G419" s="26" t="n">
        <f aca="false">F419/49</f>
        <v>0.714285714285714</v>
      </c>
      <c r="H419" s="25" t="n">
        <f aca="false">49-SUMPRODUCT(--((('Yellow Bosses'!$I$5:$I$53&gt;=1)+('Yellow Bosses'!$J$5:$J$53&gt;=1)+('Yellow Bosses'!$P$5:$P$53&gt;=1)+('Yellow Bosses'!$S$5:$S$53&gt;=1))&gt;0))</f>
        <v>2</v>
      </c>
      <c r="I419" s="25" t="n">
        <f aca="false">SUMPRODUCT(--((('Yellow Bosses'!$I$5:$I$53&gt;0)+('Yellow Bosses'!$J$5:$J$53&gt;0)+('Yellow Bosses'!$P$5:$P$53&gt;0)+('Yellow Bosses'!$S$5:$S$53&gt;0))=0))</f>
        <v>0</v>
      </c>
      <c r="J419" s="25" t="n">
        <f aca="false">SUMPRODUCT(--(((Effectiveness!$F$5:$F$155&gt;=2)+(Effectiveness!$G$5:$G$155&gt;=2)+(Effectiveness!$M$5:$M$155&gt;=2)+(Effectiveness!$P$5:$P$155&gt;=2))&gt;0))</f>
        <v>91</v>
      </c>
      <c r="K419" s="26" t="n">
        <f aca="false">J419/151</f>
        <v>0.602649006622517</v>
      </c>
      <c r="L419" s="25" t="n">
        <f aca="false">MIN(INDEX('Move Reality'!$F$5:$F$19,MATCH(B419,'Move Reality'!$A$5:$A$19,0)),INDEX('Move Reality'!$F$5:$F$19,MATCH(C419,'Move Reality'!$A$5:$A$19,0)),INDEX('Move Reality'!$F$5:$F$19,MATCH(D419,'Move Reality'!$A$5:$A$19,0)),INDEX('Move Reality'!$F$5:$F$19,MATCH(E419,'Move Reality'!$A$5:$A$19,0)))</f>
        <v>1</v>
      </c>
      <c r="M419" s="28" t="str">
        <f aca="false">IF(L419&gt;=5,"YES","no - dead move")</f>
        <v>no - dead move</v>
      </c>
    </row>
    <row r="420" customFormat="false" ht="15" hidden="false" customHeight="false" outlineLevel="0" collapsed="false">
      <c r="A420" s="17" t="n">
        <v>416</v>
      </c>
      <c r="B420" s="17" t="s">
        <v>41</v>
      </c>
      <c r="C420" s="17" t="s">
        <v>50</v>
      </c>
      <c r="D420" s="17" t="s">
        <v>51</v>
      </c>
      <c r="E420" s="17" t="s">
        <v>52</v>
      </c>
      <c r="F420" s="25" t="n">
        <f aca="false">SUMPRODUCT(--((('Yellow Bosses'!$I$5:$I$53&gt;=2)+('Yellow Bosses'!$R$5:$R$53&gt;=2)+('Yellow Bosses'!$S$5:$S$53&gt;=2)+('Yellow Bosses'!$T$5:$T$53&gt;=2))&gt;0))</f>
        <v>35</v>
      </c>
      <c r="G420" s="26" t="n">
        <f aca="false">F420/49</f>
        <v>0.714285714285714</v>
      </c>
      <c r="H420" s="25" t="n">
        <f aca="false">49-SUMPRODUCT(--((('Yellow Bosses'!$I$5:$I$53&gt;=1)+('Yellow Bosses'!$R$5:$R$53&gt;=1)+('Yellow Bosses'!$S$5:$S$53&gt;=1)+('Yellow Bosses'!$T$5:$T$53&gt;=1))&gt;0))</f>
        <v>0</v>
      </c>
      <c r="I420" s="25" t="n">
        <f aca="false">SUMPRODUCT(--((('Yellow Bosses'!$I$5:$I$53&gt;0)+('Yellow Bosses'!$R$5:$R$53&gt;0)+('Yellow Bosses'!$S$5:$S$53&gt;0)+('Yellow Bosses'!$T$5:$T$53&gt;0))=0))</f>
        <v>0</v>
      </c>
      <c r="J420" s="25" t="n">
        <f aca="false">SUMPRODUCT(--(((Effectiveness!$F$5:$F$155&gt;=2)+(Effectiveness!$O$5:$O$155&gt;=2)+(Effectiveness!$P$5:$P$155&gt;=2)+(Effectiveness!$Q$5:$Q$155&gt;=2))&gt;0))</f>
        <v>91</v>
      </c>
      <c r="K420" s="26" t="n">
        <f aca="false">J420/151</f>
        <v>0.602649006622517</v>
      </c>
      <c r="L420" s="25" t="n">
        <f aca="false">MIN(INDEX('Move Reality'!$F$5:$F$19,MATCH(B420,'Move Reality'!$A$5:$A$19,0)),INDEX('Move Reality'!$F$5:$F$19,MATCH(C420,'Move Reality'!$A$5:$A$19,0)),INDEX('Move Reality'!$F$5:$F$19,MATCH(D420,'Move Reality'!$A$5:$A$19,0)),INDEX('Move Reality'!$F$5:$F$19,MATCH(E420,'Move Reality'!$A$5:$A$19,0)))</f>
        <v>1</v>
      </c>
      <c r="M420" s="28" t="str">
        <f aca="false">IF(L420&gt;=5,"YES","no - dead move")</f>
        <v>no - dead move</v>
      </c>
    </row>
    <row r="421" customFormat="false" ht="15" hidden="false" customHeight="false" outlineLevel="0" collapsed="false">
      <c r="A421" s="17" t="n">
        <v>417</v>
      </c>
      <c r="B421" s="17" t="s">
        <v>47</v>
      </c>
      <c r="C421" s="17" t="s">
        <v>50</v>
      </c>
      <c r="D421" s="17" t="s">
        <v>51</v>
      </c>
      <c r="E421" s="17" t="s">
        <v>52</v>
      </c>
      <c r="F421" s="25" t="n">
        <f aca="false">SUMPRODUCT(--((('Yellow Bosses'!$O$5:$O$53&gt;=2)+('Yellow Bosses'!$R$5:$R$53&gt;=2)+('Yellow Bosses'!$S$5:$S$53&gt;=2)+('Yellow Bosses'!$T$5:$T$53&gt;=2))&gt;0))</f>
        <v>35</v>
      </c>
      <c r="G421" s="26" t="n">
        <f aca="false">F421/49</f>
        <v>0.714285714285714</v>
      </c>
      <c r="H421" s="25" t="n">
        <f aca="false">49-SUMPRODUCT(--((('Yellow Bosses'!$O$5:$O$53&gt;=1)+('Yellow Bosses'!$R$5:$R$53&gt;=1)+('Yellow Bosses'!$S$5:$S$53&gt;=1)+('Yellow Bosses'!$T$5:$T$53&gt;=1))&gt;0))</f>
        <v>0</v>
      </c>
      <c r="I421" s="25" t="n">
        <f aca="false">SUMPRODUCT(--((('Yellow Bosses'!$O$5:$O$53&gt;0)+('Yellow Bosses'!$R$5:$R$53&gt;0)+('Yellow Bosses'!$S$5:$S$53&gt;0)+('Yellow Bosses'!$T$5:$T$53&gt;0))=0))</f>
        <v>0</v>
      </c>
      <c r="J421" s="25" t="n">
        <f aca="false">SUMPRODUCT(--(((Effectiveness!$L$5:$L$155&gt;=2)+(Effectiveness!$O$5:$O$155&gt;=2)+(Effectiveness!$P$5:$P$155&gt;=2)+(Effectiveness!$Q$5:$Q$155&gt;=2))&gt;0))</f>
        <v>91</v>
      </c>
      <c r="K421" s="26" t="n">
        <f aca="false">J421/151</f>
        <v>0.602649006622517</v>
      </c>
      <c r="L421" s="25" t="n">
        <f aca="false">MIN(INDEX('Move Reality'!$F$5:$F$19,MATCH(B421,'Move Reality'!$A$5:$A$19,0)),INDEX('Move Reality'!$F$5:$F$19,MATCH(C421,'Move Reality'!$A$5:$A$19,0)),INDEX('Move Reality'!$F$5:$F$19,MATCH(D421,'Move Reality'!$A$5:$A$19,0)),INDEX('Move Reality'!$F$5:$F$19,MATCH(E421,'Move Reality'!$A$5:$A$19,0)))</f>
        <v>1</v>
      </c>
      <c r="M421" s="28" t="str">
        <f aca="false">IF(L421&gt;=5,"YES","no - dead move")</f>
        <v>no - dead move</v>
      </c>
    </row>
    <row r="422" customFormat="false" ht="15" hidden="false" customHeight="false" outlineLevel="0" collapsed="false">
      <c r="A422" s="17" t="n">
        <v>418</v>
      </c>
      <c r="B422" s="17" t="s">
        <v>49</v>
      </c>
      <c r="C422" s="17" t="s">
        <v>50</v>
      </c>
      <c r="D422" s="17" t="s">
        <v>51</v>
      </c>
      <c r="E422" s="17" t="s">
        <v>52</v>
      </c>
      <c r="F422" s="25" t="n">
        <f aca="false">SUMPRODUCT(--((('Yellow Bosses'!$Q$5:$Q$53&gt;=2)+('Yellow Bosses'!$R$5:$R$53&gt;=2)+('Yellow Bosses'!$S$5:$S$53&gt;=2)+('Yellow Bosses'!$T$5:$T$53&gt;=2))&gt;0))</f>
        <v>35</v>
      </c>
      <c r="G422" s="26" t="n">
        <f aca="false">F422/49</f>
        <v>0.714285714285714</v>
      </c>
      <c r="H422" s="25" t="n">
        <f aca="false">49-SUMPRODUCT(--((('Yellow Bosses'!$Q$5:$Q$53&gt;=1)+('Yellow Bosses'!$R$5:$R$53&gt;=1)+('Yellow Bosses'!$S$5:$S$53&gt;=1)+('Yellow Bosses'!$T$5:$T$53&gt;=1))&gt;0))</f>
        <v>0</v>
      </c>
      <c r="I422" s="25" t="n">
        <f aca="false">SUMPRODUCT(--((('Yellow Bosses'!$Q$5:$Q$53&gt;0)+('Yellow Bosses'!$R$5:$R$53&gt;0)+('Yellow Bosses'!$S$5:$S$53&gt;0)+('Yellow Bosses'!$T$5:$T$53&gt;0))=0))</f>
        <v>0</v>
      </c>
      <c r="J422" s="25" t="n">
        <f aca="false">SUMPRODUCT(--(((Effectiveness!$N$5:$N$155&gt;=2)+(Effectiveness!$O$5:$O$155&gt;=2)+(Effectiveness!$P$5:$P$155&gt;=2)+(Effectiveness!$Q$5:$Q$155&gt;=2))&gt;0))</f>
        <v>91</v>
      </c>
      <c r="K422" s="26" t="n">
        <f aca="false">J422/151</f>
        <v>0.602649006622517</v>
      </c>
      <c r="L422" s="25" t="n">
        <f aca="false">MIN(INDEX('Move Reality'!$F$5:$F$19,MATCH(B422,'Move Reality'!$A$5:$A$19,0)),INDEX('Move Reality'!$F$5:$F$19,MATCH(C422,'Move Reality'!$A$5:$A$19,0)),INDEX('Move Reality'!$F$5:$F$19,MATCH(D422,'Move Reality'!$A$5:$A$19,0)),INDEX('Move Reality'!$F$5:$F$19,MATCH(E422,'Move Reality'!$A$5:$A$19,0)))</f>
        <v>1</v>
      </c>
      <c r="M422" s="28" t="str">
        <f aca="false">IF(L422&gt;=5,"YES","no - dead move")</f>
        <v>no - dead move</v>
      </c>
    </row>
    <row r="423" customFormat="false" ht="15" hidden="false" customHeight="false" outlineLevel="0" collapsed="false">
      <c r="A423" s="17" t="n">
        <v>419</v>
      </c>
      <c r="B423" s="17" t="s">
        <v>49</v>
      </c>
      <c r="C423" s="17" t="s">
        <v>51</v>
      </c>
      <c r="D423" s="17" t="s">
        <v>52</v>
      </c>
      <c r="E423" s="17" t="s">
        <v>53</v>
      </c>
      <c r="F423" s="25" t="n">
        <f aca="false">SUMPRODUCT(--((('Yellow Bosses'!$Q$5:$Q$53&gt;=2)+('Yellow Bosses'!$S$5:$S$53&gt;=2)+('Yellow Bosses'!$T$5:$T$53&gt;=2)+('Yellow Bosses'!$U$5:$U$53&gt;=2))&gt;0))</f>
        <v>35</v>
      </c>
      <c r="G423" s="26" t="n">
        <f aca="false">F423/49</f>
        <v>0.714285714285714</v>
      </c>
      <c r="H423" s="25" t="n">
        <f aca="false">49-SUMPRODUCT(--((('Yellow Bosses'!$Q$5:$Q$53&gt;=1)+('Yellow Bosses'!$S$5:$S$53&gt;=1)+('Yellow Bosses'!$T$5:$T$53&gt;=1)+('Yellow Bosses'!$U$5:$U$53&gt;=1))&gt;0))</f>
        <v>0</v>
      </c>
      <c r="I423" s="25" t="n">
        <f aca="false">SUMPRODUCT(--((('Yellow Bosses'!$Q$5:$Q$53&gt;0)+('Yellow Bosses'!$S$5:$S$53&gt;0)+('Yellow Bosses'!$T$5:$T$53&gt;0)+('Yellow Bosses'!$U$5:$U$53&gt;0))=0))</f>
        <v>0</v>
      </c>
      <c r="J423" s="25" t="n">
        <f aca="false">SUMPRODUCT(--(((Effectiveness!$N$5:$N$155&gt;=2)+(Effectiveness!$P$5:$P$155&gt;=2)+(Effectiveness!$Q$5:$Q$155&gt;=2)+(Effectiveness!$R$5:$R$155&gt;=2))&gt;0))</f>
        <v>91</v>
      </c>
      <c r="K423" s="26" t="n">
        <f aca="false">J423/151</f>
        <v>0.602649006622517</v>
      </c>
      <c r="L423" s="25" t="n">
        <f aca="false">MIN(INDEX('Move Reality'!$F$5:$F$19,MATCH(B423,'Move Reality'!$A$5:$A$19,0)),INDEX('Move Reality'!$F$5:$F$19,MATCH(C423,'Move Reality'!$A$5:$A$19,0)),INDEX('Move Reality'!$F$5:$F$19,MATCH(D423,'Move Reality'!$A$5:$A$19,0)),INDEX('Move Reality'!$F$5:$F$19,MATCH(E423,'Move Reality'!$A$5:$A$19,0)))</f>
        <v>1</v>
      </c>
      <c r="M423" s="28" t="str">
        <f aca="false">IF(L423&gt;=5,"YES","no - dead move")</f>
        <v>no - dead move</v>
      </c>
    </row>
    <row r="424" customFormat="false" ht="15" hidden="false" customHeight="false" outlineLevel="0" collapsed="false">
      <c r="A424" s="17" t="n">
        <v>420</v>
      </c>
      <c r="B424" s="17" t="s">
        <v>50</v>
      </c>
      <c r="C424" s="17" t="s">
        <v>51</v>
      </c>
      <c r="D424" s="17" t="s">
        <v>52</v>
      </c>
      <c r="E424" s="17" t="s">
        <v>53</v>
      </c>
      <c r="F424" s="25" t="n">
        <f aca="false">SUMPRODUCT(--((('Yellow Bosses'!$R$5:$R$53&gt;=2)+('Yellow Bosses'!$S$5:$S$53&gt;=2)+('Yellow Bosses'!$T$5:$T$53&gt;=2)+('Yellow Bosses'!$U$5:$U$53&gt;=2))&gt;0))</f>
        <v>35</v>
      </c>
      <c r="G424" s="26" t="n">
        <f aca="false">F424/49</f>
        <v>0.714285714285714</v>
      </c>
      <c r="H424" s="25" t="n">
        <f aca="false">49-SUMPRODUCT(--((('Yellow Bosses'!$R$5:$R$53&gt;=1)+('Yellow Bosses'!$S$5:$S$53&gt;=1)+('Yellow Bosses'!$T$5:$T$53&gt;=1)+('Yellow Bosses'!$U$5:$U$53&gt;=1))&gt;0))</f>
        <v>0</v>
      </c>
      <c r="I424" s="25" t="n">
        <f aca="false">SUMPRODUCT(--((('Yellow Bosses'!$R$5:$R$53&gt;0)+('Yellow Bosses'!$S$5:$S$53&gt;0)+('Yellow Bosses'!$T$5:$T$53&gt;0)+('Yellow Bosses'!$U$5:$U$53&gt;0))=0))</f>
        <v>0</v>
      </c>
      <c r="J424" s="25" t="n">
        <f aca="false">SUMPRODUCT(--(((Effectiveness!$O$5:$O$155&gt;=2)+(Effectiveness!$P$5:$P$155&gt;=2)+(Effectiveness!$Q$5:$Q$155&gt;=2)+(Effectiveness!$R$5:$R$155&gt;=2))&gt;0))</f>
        <v>91</v>
      </c>
      <c r="K424" s="26" t="n">
        <f aca="false">J424/151</f>
        <v>0.602649006622517</v>
      </c>
      <c r="L424" s="25" t="n">
        <f aca="false">MIN(INDEX('Move Reality'!$F$5:$F$19,MATCH(B424,'Move Reality'!$A$5:$A$19,0)),INDEX('Move Reality'!$F$5:$F$19,MATCH(C424,'Move Reality'!$A$5:$A$19,0)),INDEX('Move Reality'!$F$5:$F$19,MATCH(D424,'Move Reality'!$A$5:$A$19,0)),INDEX('Move Reality'!$F$5:$F$19,MATCH(E424,'Move Reality'!$A$5:$A$19,0)))</f>
        <v>1</v>
      </c>
      <c r="M424" s="28" t="str">
        <f aca="false">IF(L424&gt;=5,"YES","no - dead move")</f>
        <v>no - dead move</v>
      </c>
    </row>
    <row r="425" customFormat="false" ht="15" hidden="false" customHeight="false" outlineLevel="0" collapsed="false">
      <c r="A425" s="17" t="n">
        <v>421</v>
      </c>
      <c r="B425" s="17" t="s">
        <v>41</v>
      </c>
      <c r="C425" s="17" t="s">
        <v>48</v>
      </c>
      <c r="D425" s="17" t="s">
        <v>49</v>
      </c>
      <c r="E425" s="17" t="s">
        <v>51</v>
      </c>
      <c r="F425" s="25" t="n">
        <f aca="false">SUMPRODUCT(--((('Yellow Bosses'!$I$5:$I$53&gt;=2)+('Yellow Bosses'!$P$5:$P$53&gt;=2)+('Yellow Bosses'!$Q$5:$Q$53&gt;=2)+('Yellow Bosses'!$S$5:$S$53&gt;=2))&gt;0))</f>
        <v>35</v>
      </c>
      <c r="G425" s="26" t="n">
        <f aca="false">F425/49</f>
        <v>0.714285714285714</v>
      </c>
      <c r="H425" s="25" t="n">
        <f aca="false">49-SUMPRODUCT(--((('Yellow Bosses'!$I$5:$I$53&gt;=1)+('Yellow Bosses'!$P$5:$P$53&gt;=1)+('Yellow Bosses'!$Q$5:$Q$53&gt;=1)+('Yellow Bosses'!$S$5:$S$53&gt;=1))&gt;0))</f>
        <v>1</v>
      </c>
      <c r="I425" s="25" t="n">
        <f aca="false">SUMPRODUCT(--((('Yellow Bosses'!$I$5:$I$53&gt;0)+('Yellow Bosses'!$P$5:$P$53&gt;0)+('Yellow Bosses'!$Q$5:$Q$53&gt;0)+('Yellow Bosses'!$S$5:$S$53&gt;0))=0))</f>
        <v>0</v>
      </c>
      <c r="J425" s="25" t="n">
        <f aca="false">SUMPRODUCT(--(((Effectiveness!$F$5:$F$155&gt;=2)+(Effectiveness!$M$5:$M$155&gt;=2)+(Effectiveness!$N$5:$N$155&gt;=2)+(Effectiveness!$P$5:$P$155&gt;=2))&gt;0))</f>
        <v>90</v>
      </c>
      <c r="K425" s="26" t="n">
        <f aca="false">J425/151</f>
        <v>0.596026490066225</v>
      </c>
      <c r="L425" s="25" t="n">
        <f aca="false">MIN(INDEX('Move Reality'!$F$5:$F$19,MATCH(B425,'Move Reality'!$A$5:$A$19,0)),INDEX('Move Reality'!$F$5:$F$19,MATCH(C425,'Move Reality'!$A$5:$A$19,0)),INDEX('Move Reality'!$F$5:$F$19,MATCH(D425,'Move Reality'!$A$5:$A$19,0)),INDEX('Move Reality'!$F$5:$F$19,MATCH(E425,'Move Reality'!$A$5:$A$19,0)))</f>
        <v>1</v>
      </c>
      <c r="M425" s="28" t="str">
        <f aca="false">IF(L425&gt;=5,"YES","no - dead move")</f>
        <v>no - dead move</v>
      </c>
    </row>
    <row r="426" customFormat="false" ht="15" hidden="false" customHeight="false" outlineLevel="0" collapsed="false">
      <c r="A426" s="17" t="n">
        <v>422</v>
      </c>
      <c r="B426" s="17" t="s">
        <v>42</v>
      </c>
      <c r="C426" s="17" t="s">
        <v>44</v>
      </c>
      <c r="D426" s="17" t="s">
        <v>49</v>
      </c>
      <c r="E426" s="17" t="s">
        <v>53</v>
      </c>
      <c r="F426" s="25" t="n">
        <f aca="false">SUMPRODUCT(--((('Yellow Bosses'!$J$5:$J$53&gt;=2)+('Yellow Bosses'!$L$5:$L$53&gt;=2)+('Yellow Bosses'!$Q$5:$Q$53&gt;=2)+('Yellow Bosses'!$U$5:$U$53&gt;=2))&gt;0))</f>
        <v>35</v>
      </c>
      <c r="G426" s="26" t="n">
        <f aca="false">F426/49</f>
        <v>0.714285714285714</v>
      </c>
      <c r="H426" s="25" t="n">
        <f aca="false">49-SUMPRODUCT(--((('Yellow Bosses'!$J$5:$J$53&gt;=1)+('Yellow Bosses'!$L$5:$L$53&gt;=1)+('Yellow Bosses'!$Q$5:$Q$53&gt;=1)+('Yellow Bosses'!$U$5:$U$53&gt;=1))&gt;0))</f>
        <v>0</v>
      </c>
      <c r="I426" s="25" t="n">
        <f aca="false">SUMPRODUCT(--((('Yellow Bosses'!$J$5:$J$53&gt;0)+('Yellow Bosses'!$L$5:$L$53&gt;0)+('Yellow Bosses'!$Q$5:$Q$53&gt;0)+('Yellow Bosses'!$U$5:$U$53&gt;0))=0))</f>
        <v>0</v>
      </c>
      <c r="J426" s="25" t="n">
        <f aca="false">SUMPRODUCT(--(((Effectiveness!$G$5:$G$155&gt;=2)+(Effectiveness!$I$5:$I$155&gt;=2)+(Effectiveness!$N$5:$N$155&gt;=2)+(Effectiveness!$R$5:$R$155&gt;=2))&gt;0))</f>
        <v>90</v>
      </c>
      <c r="K426" s="26" t="n">
        <f aca="false">J426/151</f>
        <v>0.596026490066225</v>
      </c>
      <c r="L426" s="25" t="n">
        <f aca="false">MIN(INDEX('Move Reality'!$F$5:$F$19,MATCH(B426,'Move Reality'!$A$5:$A$19,0)),INDEX('Move Reality'!$F$5:$F$19,MATCH(C426,'Move Reality'!$A$5:$A$19,0)),INDEX('Move Reality'!$F$5:$F$19,MATCH(D426,'Move Reality'!$A$5:$A$19,0)),INDEX('Move Reality'!$F$5:$F$19,MATCH(E426,'Move Reality'!$A$5:$A$19,0)))</f>
        <v>1</v>
      </c>
      <c r="M426" s="28" t="str">
        <f aca="false">IF(L426&gt;=5,"YES","no - dead move")</f>
        <v>no - dead move</v>
      </c>
    </row>
    <row r="427" customFormat="false" ht="15" hidden="false" customHeight="false" outlineLevel="0" collapsed="false">
      <c r="A427" s="17" t="n">
        <v>423</v>
      </c>
      <c r="B427" s="17" t="s">
        <v>42</v>
      </c>
      <c r="C427" s="17" t="s">
        <v>44</v>
      </c>
      <c r="D427" s="17" t="s">
        <v>49</v>
      </c>
      <c r="E427" s="17" t="s">
        <v>54</v>
      </c>
      <c r="F427" s="25" t="n">
        <f aca="false">SUMPRODUCT(--((('Yellow Bosses'!$J$5:$J$53&gt;=2)+('Yellow Bosses'!$L$5:$L$53&gt;=2)+('Yellow Bosses'!$Q$5:$Q$53&gt;=2)+('Yellow Bosses'!$V$5:$V$53&gt;=2))&gt;0))</f>
        <v>35</v>
      </c>
      <c r="G427" s="26" t="n">
        <f aca="false">F427/49</f>
        <v>0.714285714285714</v>
      </c>
      <c r="H427" s="25" t="n">
        <f aca="false">49-SUMPRODUCT(--((('Yellow Bosses'!$J$5:$J$53&gt;=1)+('Yellow Bosses'!$L$5:$L$53&gt;=1)+('Yellow Bosses'!$Q$5:$Q$53&gt;=1)+('Yellow Bosses'!$V$5:$V$53&gt;=1))&gt;0))</f>
        <v>0</v>
      </c>
      <c r="I427" s="25" t="n">
        <f aca="false">SUMPRODUCT(--((('Yellow Bosses'!$J$5:$J$53&gt;0)+('Yellow Bosses'!$L$5:$L$53&gt;0)+('Yellow Bosses'!$Q$5:$Q$53&gt;0)+('Yellow Bosses'!$V$5:$V$53&gt;0))=0))</f>
        <v>0</v>
      </c>
      <c r="J427" s="25" t="n">
        <f aca="false">SUMPRODUCT(--(((Effectiveness!$G$5:$G$155&gt;=2)+(Effectiveness!$I$5:$I$155&gt;=2)+(Effectiveness!$N$5:$N$155&gt;=2)+(Effectiveness!$S$5:$S$155&gt;=2))&gt;0))</f>
        <v>90</v>
      </c>
      <c r="K427" s="26" t="n">
        <f aca="false">J427/151</f>
        <v>0.596026490066225</v>
      </c>
      <c r="L427" s="25" t="n">
        <f aca="false">MIN(INDEX('Move Reality'!$F$5:$F$19,MATCH(B427,'Move Reality'!$A$5:$A$19,0)),INDEX('Move Reality'!$F$5:$F$19,MATCH(C427,'Move Reality'!$A$5:$A$19,0)),INDEX('Move Reality'!$F$5:$F$19,MATCH(D427,'Move Reality'!$A$5:$A$19,0)),INDEX('Move Reality'!$F$5:$F$19,MATCH(E427,'Move Reality'!$A$5:$A$19,0)))</f>
        <v>1</v>
      </c>
      <c r="M427" s="28" t="str">
        <f aca="false">IF(L427&gt;=5,"YES","no - dead move")</f>
        <v>no - dead move</v>
      </c>
    </row>
    <row r="428" customFormat="false" ht="15" hidden="false" customHeight="false" outlineLevel="0" collapsed="false">
      <c r="A428" s="17" t="n">
        <v>424</v>
      </c>
      <c r="B428" s="17" t="s">
        <v>42</v>
      </c>
      <c r="C428" s="17" t="s">
        <v>47</v>
      </c>
      <c r="D428" s="17" t="s">
        <v>48</v>
      </c>
      <c r="E428" s="17" t="s">
        <v>51</v>
      </c>
      <c r="F428" s="25" t="n">
        <f aca="false">SUMPRODUCT(--((('Yellow Bosses'!$J$5:$J$53&gt;=2)+('Yellow Bosses'!$O$5:$O$53&gt;=2)+('Yellow Bosses'!$P$5:$P$53&gt;=2)+('Yellow Bosses'!$S$5:$S$53&gt;=2))&gt;0))</f>
        <v>35</v>
      </c>
      <c r="G428" s="26" t="n">
        <f aca="false">F428/49</f>
        <v>0.714285714285714</v>
      </c>
      <c r="H428" s="25" t="n">
        <f aca="false">49-SUMPRODUCT(--((('Yellow Bosses'!$J$5:$J$53&gt;=1)+('Yellow Bosses'!$O$5:$O$53&gt;=1)+('Yellow Bosses'!$P$5:$P$53&gt;=1)+('Yellow Bosses'!$S$5:$S$53&gt;=1))&gt;0))</f>
        <v>0</v>
      </c>
      <c r="I428" s="25" t="n">
        <f aca="false">SUMPRODUCT(--((('Yellow Bosses'!$J$5:$J$53&gt;0)+('Yellow Bosses'!$O$5:$O$53&gt;0)+('Yellow Bosses'!$P$5:$P$53&gt;0)+('Yellow Bosses'!$S$5:$S$53&gt;0))=0))</f>
        <v>0</v>
      </c>
      <c r="J428" s="25" t="n">
        <f aca="false">SUMPRODUCT(--(((Effectiveness!$G$5:$G$155&gt;=2)+(Effectiveness!$L$5:$L$155&gt;=2)+(Effectiveness!$M$5:$M$155&gt;=2)+(Effectiveness!$P$5:$P$155&gt;=2))&gt;0))</f>
        <v>90</v>
      </c>
      <c r="K428" s="26" t="n">
        <f aca="false">J428/151</f>
        <v>0.596026490066225</v>
      </c>
      <c r="L428" s="25" t="n">
        <f aca="false">MIN(INDEX('Move Reality'!$F$5:$F$19,MATCH(B428,'Move Reality'!$A$5:$A$19,0)),INDEX('Move Reality'!$F$5:$F$19,MATCH(C428,'Move Reality'!$A$5:$A$19,0)),INDEX('Move Reality'!$F$5:$F$19,MATCH(D428,'Move Reality'!$A$5:$A$19,0)),INDEX('Move Reality'!$F$5:$F$19,MATCH(E428,'Move Reality'!$A$5:$A$19,0)))</f>
        <v>1</v>
      </c>
      <c r="M428" s="28" t="str">
        <f aca="false">IF(L428&gt;=5,"YES","no - dead move")</f>
        <v>no - dead move</v>
      </c>
    </row>
    <row r="429" customFormat="false" ht="15" hidden="false" customHeight="false" outlineLevel="0" collapsed="false">
      <c r="A429" s="17" t="n">
        <v>425</v>
      </c>
      <c r="B429" s="17" t="s">
        <v>40</v>
      </c>
      <c r="C429" s="17" t="s">
        <v>48</v>
      </c>
      <c r="D429" s="17" t="s">
        <v>49</v>
      </c>
      <c r="E429" s="17" t="s">
        <v>51</v>
      </c>
      <c r="F429" s="25" t="n">
        <f aca="false">SUMPRODUCT(--((('Yellow Bosses'!$H$5:$H$53&gt;=2)+('Yellow Bosses'!$P$5:$P$53&gt;=2)+('Yellow Bosses'!$Q$5:$Q$53&gt;=2)+('Yellow Bosses'!$S$5:$S$53&gt;=2))&gt;0))</f>
        <v>35</v>
      </c>
      <c r="G429" s="26" t="n">
        <f aca="false">F429/49</f>
        <v>0.714285714285714</v>
      </c>
      <c r="H429" s="25" t="n">
        <f aca="false">49-SUMPRODUCT(--((('Yellow Bosses'!$H$5:$H$53&gt;=1)+('Yellow Bosses'!$P$5:$P$53&gt;=1)+('Yellow Bosses'!$Q$5:$Q$53&gt;=1)+('Yellow Bosses'!$S$5:$S$53&gt;=1))&gt;0))</f>
        <v>1</v>
      </c>
      <c r="I429" s="25" t="n">
        <f aca="false">SUMPRODUCT(--((('Yellow Bosses'!$H$5:$H$53&gt;0)+('Yellow Bosses'!$P$5:$P$53&gt;0)+('Yellow Bosses'!$Q$5:$Q$53&gt;0)+('Yellow Bosses'!$S$5:$S$53&gt;0))=0))</f>
        <v>0</v>
      </c>
      <c r="J429" s="25" t="n">
        <f aca="false">SUMPRODUCT(--(((Effectiveness!$E$5:$E$155&gt;=2)+(Effectiveness!$M$5:$M$155&gt;=2)+(Effectiveness!$N$5:$N$155&gt;=2)+(Effectiveness!$P$5:$P$155&gt;=2))&gt;0))</f>
        <v>89</v>
      </c>
      <c r="K429" s="26" t="n">
        <f aca="false">J429/151</f>
        <v>0.589403973509934</v>
      </c>
      <c r="L429" s="25" t="n">
        <f aca="false">MIN(INDEX('Move Reality'!$F$5:$F$19,MATCH(B429,'Move Reality'!$A$5:$A$19,0)),INDEX('Move Reality'!$F$5:$F$19,MATCH(C429,'Move Reality'!$A$5:$A$19,0)),INDEX('Move Reality'!$F$5:$F$19,MATCH(D429,'Move Reality'!$A$5:$A$19,0)),INDEX('Move Reality'!$F$5:$F$19,MATCH(E429,'Move Reality'!$A$5:$A$19,0)))</f>
        <v>1</v>
      </c>
      <c r="M429" s="28" t="str">
        <f aca="false">IF(L429&gt;=5,"YES","no - dead move")</f>
        <v>no - dead move</v>
      </c>
    </row>
    <row r="430" customFormat="false" ht="15" hidden="false" customHeight="false" outlineLevel="0" collapsed="false">
      <c r="A430" s="17" t="n">
        <v>426</v>
      </c>
      <c r="B430" s="17" t="s">
        <v>47</v>
      </c>
      <c r="C430" s="17" t="s">
        <v>48</v>
      </c>
      <c r="D430" s="17" t="s">
        <v>49</v>
      </c>
      <c r="E430" s="17" t="s">
        <v>51</v>
      </c>
      <c r="F430" s="25" t="n">
        <f aca="false">SUMPRODUCT(--((('Yellow Bosses'!$O$5:$O$53&gt;=2)+('Yellow Bosses'!$P$5:$P$53&gt;=2)+('Yellow Bosses'!$Q$5:$Q$53&gt;=2)+('Yellow Bosses'!$S$5:$S$53&gt;=2))&gt;0))</f>
        <v>35</v>
      </c>
      <c r="G430" s="26" t="n">
        <f aca="false">F430/49</f>
        <v>0.714285714285714</v>
      </c>
      <c r="H430" s="25" t="n">
        <f aca="false">49-SUMPRODUCT(--((('Yellow Bosses'!$O$5:$O$53&gt;=1)+('Yellow Bosses'!$P$5:$P$53&gt;=1)+('Yellow Bosses'!$Q$5:$Q$53&gt;=1)+('Yellow Bosses'!$S$5:$S$53&gt;=1))&gt;0))</f>
        <v>1</v>
      </c>
      <c r="I430" s="25" t="n">
        <f aca="false">SUMPRODUCT(--((('Yellow Bosses'!$O$5:$O$53&gt;0)+('Yellow Bosses'!$P$5:$P$53&gt;0)+('Yellow Bosses'!$Q$5:$Q$53&gt;0)+('Yellow Bosses'!$S$5:$S$53&gt;0))=0))</f>
        <v>0</v>
      </c>
      <c r="J430" s="25" t="n">
        <f aca="false">SUMPRODUCT(--(((Effectiveness!$L$5:$L$155&gt;=2)+(Effectiveness!$M$5:$M$155&gt;=2)+(Effectiveness!$N$5:$N$155&gt;=2)+(Effectiveness!$P$5:$P$155&gt;=2))&gt;0))</f>
        <v>89</v>
      </c>
      <c r="K430" s="26" t="n">
        <f aca="false">J430/151</f>
        <v>0.589403973509934</v>
      </c>
      <c r="L430" s="25" t="n">
        <f aca="false">MIN(INDEX('Move Reality'!$F$5:$F$19,MATCH(B430,'Move Reality'!$A$5:$A$19,0)),INDEX('Move Reality'!$F$5:$F$19,MATCH(C430,'Move Reality'!$A$5:$A$19,0)),INDEX('Move Reality'!$F$5:$F$19,MATCH(D430,'Move Reality'!$A$5:$A$19,0)),INDEX('Move Reality'!$F$5:$F$19,MATCH(E430,'Move Reality'!$A$5:$A$19,0)))</f>
        <v>1</v>
      </c>
      <c r="M430" s="28" t="str">
        <f aca="false">IF(L430&gt;=5,"YES","no - dead move")</f>
        <v>no - dead move</v>
      </c>
    </row>
    <row r="431" customFormat="false" ht="15" hidden="false" customHeight="false" outlineLevel="0" collapsed="false">
      <c r="A431" s="17" t="n">
        <v>427</v>
      </c>
      <c r="B431" s="17" t="s">
        <v>48</v>
      </c>
      <c r="C431" s="17" t="s">
        <v>49</v>
      </c>
      <c r="D431" s="17" t="s">
        <v>51</v>
      </c>
      <c r="E431" s="17" t="s">
        <v>53</v>
      </c>
      <c r="F431" s="25" t="n">
        <f aca="false">SUMPRODUCT(--((('Yellow Bosses'!$P$5:$P$53&gt;=2)+('Yellow Bosses'!$Q$5:$Q$53&gt;=2)+('Yellow Bosses'!$S$5:$S$53&gt;=2)+('Yellow Bosses'!$U$5:$U$53&gt;=2))&gt;0))</f>
        <v>35</v>
      </c>
      <c r="G431" s="26" t="n">
        <f aca="false">F431/49</f>
        <v>0.714285714285714</v>
      </c>
      <c r="H431" s="25" t="n">
        <f aca="false">49-SUMPRODUCT(--((('Yellow Bosses'!$P$5:$P$53&gt;=1)+('Yellow Bosses'!$Q$5:$Q$53&gt;=1)+('Yellow Bosses'!$S$5:$S$53&gt;=1)+('Yellow Bosses'!$U$5:$U$53&gt;=1))&gt;0))</f>
        <v>0</v>
      </c>
      <c r="I431" s="25" t="n">
        <f aca="false">SUMPRODUCT(--((('Yellow Bosses'!$P$5:$P$53&gt;0)+('Yellow Bosses'!$Q$5:$Q$53&gt;0)+('Yellow Bosses'!$S$5:$S$53&gt;0)+('Yellow Bosses'!$U$5:$U$53&gt;0))=0))</f>
        <v>0</v>
      </c>
      <c r="J431" s="25" t="n">
        <f aca="false">SUMPRODUCT(--(((Effectiveness!$M$5:$M$155&gt;=2)+(Effectiveness!$N$5:$N$155&gt;=2)+(Effectiveness!$P$5:$P$155&gt;=2)+(Effectiveness!$R$5:$R$155&gt;=2))&gt;0))</f>
        <v>89</v>
      </c>
      <c r="K431" s="26" t="n">
        <f aca="false">J431/151</f>
        <v>0.589403973509934</v>
      </c>
      <c r="L431" s="25" t="n">
        <f aca="false">MIN(INDEX('Move Reality'!$F$5:$F$19,MATCH(B431,'Move Reality'!$A$5:$A$19,0)),INDEX('Move Reality'!$F$5:$F$19,MATCH(C431,'Move Reality'!$A$5:$A$19,0)),INDEX('Move Reality'!$F$5:$F$19,MATCH(D431,'Move Reality'!$A$5:$A$19,0)),INDEX('Move Reality'!$F$5:$F$19,MATCH(E431,'Move Reality'!$A$5:$A$19,0)))</f>
        <v>1</v>
      </c>
      <c r="M431" s="28" t="str">
        <f aca="false">IF(L431&gt;=5,"YES","no - dead move")</f>
        <v>no - dead move</v>
      </c>
    </row>
    <row r="432" customFormat="false" ht="15" hidden="false" customHeight="false" outlineLevel="0" collapsed="false">
      <c r="A432" s="17" t="n">
        <v>428</v>
      </c>
      <c r="B432" s="17" t="s">
        <v>40</v>
      </c>
      <c r="C432" s="17" t="s">
        <v>42</v>
      </c>
      <c r="D432" s="17" t="s">
        <v>48</v>
      </c>
      <c r="E432" s="17" t="s">
        <v>51</v>
      </c>
      <c r="F432" s="25" t="n">
        <f aca="false">SUMPRODUCT(--((('Yellow Bosses'!$H$5:$H$53&gt;=2)+('Yellow Bosses'!$J$5:$J$53&gt;=2)+('Yellow Bosses'!$P$5:$P$53&gt;=2)+('Yellow Bosses'!$S$5:$S$53&gt;=2))&gt;0))</f>
        <v>35</v>
      </c>
      <c r="G432" s="26" t="n">
        <f aca="false">F432/49</f>
        <v>0.714285714285714</v>
      </c>
      <c r="H432" s="25" t="n">
        <f aca="false">49-SUMPRODUCT(--((('Yellow Bosses'!$H$5:$H$53&gt;=1)+('Yellow Bosses'!$J$5:$J$53&gt;=1)+('Yellow Bosses'!$P$5:$P$53&gt;=1)+('Yellow Bosses'!$S$5:$S$53&gt;=1))&gt;0))</f>
        <v>0</v>
      </c>
      <c r="I432" s="25" t="n">
        <f aca="false">SUMPRODUCT(--((('Yellow Bosses'!$H$5:$H$53&gt;0)+('Yellow Bosses'!$J$5:$J$53&gt;0)+('Yellow Bosses'!$P$5:$P$53&gt;0)+('Yellow Bosses'!$S$5:$S$53&gt;0))=0))</f>
        <v>0</v>
      </c>
      <c r="J432" s="25" t="n">
        <f aca="false">SUMPRODUCT(--(((Effectiveness!$E$5:$E$155&gt;=2)+(Effectiveness!$G$5:$G$155&gt;=2)+(Effectiveness!$M$5:$M$155&gt;=2)+(Effectiveness!$P$5:$P$155&gt;=2))&gt;0))</f>
        <v>85</v>
      </c>
      <c r="K432" s="26" t="n">
        <f aca="false">J432/151</f>
        <v>0.562913907284768</v>
      </c>
      <c r="L432" s="25" t="n">
        <f aca="false">MIN(INDEX('Move Reality'!$F$5:$F$19,MATCH(B432,'Move Reality'!$A$5:$A$19,0)),INDEX('Move Reality'!$F$5:$F$19,MATCH(C432,'Move Reality'!$A$5:$A$19,0)),INDEX('Move Reality'!$F$5:$F$19,MATCH(D432,'Move Reality'!$A$5:$A$19,0)),INDEX('Move Reality'!$F$5:$F$19,MATCH(E432,'Move Reality'!$A$5:$A$19,0)))</f>
        <v>1</v>
      </c>
      <c r="M432" s="28" t="str">
        <f aca="false">IF(L432&gt;=5,"YES","no - dead move")</f>
        <v>no - dead move</v>
      </c>
    </row>
    <row r="433" customFormat="false" ht="15" hidden="false" customHeight="false" outlineLevel="0" collapsed="false">
      <c r="A433" s="17" t="n">
        <v>429</v>
      </c>
      <c r="B433" s="17" t="s">
        <v>41</v>
      </c>
      <c r="C433" s="17" t="s">
        <v>48</v>
      </c>
      <c r="D433" s="17" t="s">
        <v>51</v>
      </c>
      <c r="E433" s="17" t="s">
        <v>54</v>
      </c>
      <c r="F433" s="25" t="n">
        <f aca="false">SUMPRODUCT(--((('Yellow Bosses'!$I$5:$I$53&gt;=2)+('Yellow Bosses'!$P$5:$P$53&gt;=2)+('Yellow Bosses'!$S$5:$S$53&gt;=2)+('Yellow Bosses'!$V$5:$V$53&gt;=2))&gt;0))</f>
        <v>35</v>
      </c>
      <c r="G433" s="26" t="n">
        <f aca="false">F433/49</f>
        <v>0.714285714285714</v>
      </c>
      <c r="H433" s="25" t="n">
        <f aca="false">49-SUMPRODUCT(--((('Yellow Bosses'!$I$5:$I$53&gt;=1)+('Yellow Bosses'!$P$5:$P$53&gt;=1)+('Yellow Bosses'!$S$5:$S$53&gt;=1)+('Yellow Bosses'!$V$5:$V$53&gt;=1))&gt;0))</f>
        <v>0</v>
      </c>
      <c r="I433" s="25" t="n">
        <f aca="false">SUMPRODUCT(--((('Yellow Bosses'!$I$5:$I$53&gt;0)+('Yellow Bosses'!$P$5:$P$53&gt;0)+('Yellow Bosses'!$S$5:$S$53&gt;0)+('Yellow Bosses'!$V$5:$V$53&gt;0))=0))</f>
        <v>0</v>
      </c>
      <c r="J433" s="25" t="n">
        <f aca="false">SUMPRODUCT(--(((Effectiveness!$F$5:$F$155&gt;=2)+(Effectiveness!$M$5:$M$155&gt;=2)+(Effectiveness!$P$5:$P$155&gt;=2)+(Effectiveness!$S$5:$S$155&gt;=2))&gt;0))</f>
        <v>85</v>
      </c>
      <c r="K433" s="26" t="n">
        <f aca="false">J433/151</f>
        <v>0.562913907284768</v>
      </c>
      <c r="L433" s="25" t="n">
        <f aca="false">MIN(INDEX('Move Reality'!$F$5:$F$19,MATCH(B433,'Move Reality'!$A$5:$A$19,0)),INDEX('Move Reality'!$F$5:$F$19,MATCH(C433,'Move Reality'!$A$5:$A$19,0)),INDEX('Move Reality'!$F$5:$F$19,MATCH(D433,'Move Reality'!$A$5:$A$19,0)),INDEX('Move Reality'!$F$5:$F$19,MATCH(E433,'Move Reality'!$A$5:$A$19,0)))</f>
        <v>1</v>
      </c>
      <c r="M433" s="28" t="str">
        <f aca="false">IF(L433&gt;=5,"YES","no - dead move")</f>
        <v>no - dead move</v>
      </c>
    </row>
    <row r="434" customFormat="false" ht="15" hidden="false" customHeight="false" outlineLevel="0" collapsed="false">
      <c r="A434" s="17" t="n">
        <v>430</v>
      </c>
      <c r="B434" s="17" t="s">
        <v>42</v>
      </c>
      <c r="C434" s="17" t="s">
        <v>48</v>
      </c>
      <c r="D434" s="17" t="s">
        <v>51</v>
      </c>
      <c r="E434" s="17" t="s">
        <v>53</v>
      </c>
      <c r="F434" s="25" t="n">
        <f aca="false">SUMPRODUCT(--((('Yellow Bosses'!$J$5:$J$53&gt;=2)+('Yellow Bosses'!$P$5:$P$53&gt;=2)+('Yellow Bosses'!$S$5:$S$53&gt;=2)+('Yellow Bosses'!$U$5:$U$53&gt;=2))&gt;0))</f>
        <v>35</v>
      </c>
      <c r="G434" s="26" t="n">
        <f aca="false">F434/49</f>
        <v>0.714285714285714</v>
      </c>
      <c r="H434" s="25" t="n">
        <f aca="false">49-SUMPRODUCT(--((('Yellow Bosses'!$J$5:$J$53&gt;=1)+('Yellow Bosses'!$P$5:$P$53&gt;=1)+('Yellow Bosses'!$S$5:$S$53&gt;=1)+('Yellow Bosses'!$U$5:$U$53&gt;=1))&gt;0))</f>
        <v>0</v>
      </c>
      <c r="I434" s="25" t="n">
        <f aca="false">SUMPRODUCT(--((('Yellow Bosses'!$J$5:$J$53&gt;0)+('Yellow Bosses'!$P$5:$P$53&gt;0)+('Yellow Bosses'!$S$5:$S$53&gt;0)+('Yellow Bosses'!$U$5:$U$53&gt;0))=0))</f>
        <v>0</v>
      </c>
      <c r="J434" s="25" t="n">
        <f aca="false">SUMPRODUCT(--(((Effectiveness!$G$5:$G$155&gt;=2)+(Effectiveness!$M$5:$M$155&gt;=2)+(Effectiveness!$P$5:$P$155&gt;=2)+(Effectiveness!$R$5:$R$155&gt;=2))&gt;0))</f>
        <v>85</v>
      </c>
      <c r="K434" s="26" t="n">
        <f aca="false">J434/151</f>
        <v>0.562913907284768</v>
      </c>
      <c r="L434" s="25" t="n">
        <f aca="false">MIN(INDEX('Move Reality'!$F$5:$F$19,MATCH(B434,'Move Reality'!$A$5:$A$19,0)),INDEX('Move Reality'!$F$5:$F$19,MATCH(C434,'Move Reality'!$A$5:$A$19,0)),INDEX('Move Reality'!$F$5:$F$19,MATCH(D434,'Move Reality'!$A$5:$A$19,0)),INDEX('Move Reality'!$F$5:$F$19,MATCH(E434,'Move Reality'!$A$5:$A$19,0)))</f>
        <v>1</v>
      </c>
      <c r="M434" s="28" t="str">
        <f aca="false">IF(L434&gt;=5,"YES","no - dead move")</f>
        <v>no - dead move</v>
      </c>
    </row>
    <row r="435" customFormat="false" ht="15" hidden="false" customHeight="false" outlineLevel="0" collapsed="false">
      <c r="A435" s="17" t="n">
        <v>431</v>
      </c>
      <c r="B435" s="17" t="s">
        <v>47</v>
      </c>
      <c r="C435" s="17" t="s">
        <v>48</v>
      </c>
      <c r="D435" s="17" t="s">
        <v>51</v>
      </c>
      <c r="E435" s="17" t="s">
        <v>54</v>
      </c>
      <c r="F435" s="25" t="n">
        <f aca="false">SUMPRODUCT(--((('Yellow Bosses'!$O$5:$O$53&gt;=2)+('Yellow Bosses'!$P$5:$P$53&gt;=2)+('Yellow Bosses'!$S$5:$S$53&gt;=2)+('Yellow Bosses'!$V$5:$V$53&gt;=2))&gt;0))</f>
        <v>35</v>
      </c>
      <c r="G435" s="26" t="n">
        <f aca="false">F435/49</f>
        <v>0.714285714285714</v>
      </c>
      <c r="H435" s="25" t="n">
        <f aca="false">49-SUMPRODUCT(--((('Yellow Bosses'!$O$5:$O$53&gt;=1)+('Yellow Bosses'!$P$5:$P$53&gt;=1)+('Yellow Bosses'!$S$5:$S$53&gt;=1)+('Yellow Bosses'!$V$5:$V$53&gt;=1))&gt;0))</f>
        <v>0</v>
      </c>
      <c r="I435" s="25" t="n">
        <f aca="false">SUMPRODUCT(--((('Yellow Bosses'!$O$5:$O$53&gt;0)+('Yellow Bosses'!$P$5:$P$53&gt;0)+('Yellow Bosses'!$S$5:$S$53&gt;0)+('Yellow Bosses'!$V$5:$V$53&gt;0))=0))</f>
        <v>0</v>
      </c>
      <c r="J435" s="25" t="n">
        <f aca="false">SUMPRODUCT(--(((Effectiveness!$L$5:$L$155&gt;=2)+(Effectiveness!$M$5:$M$155&gt;=2)+(Effectiveness!$P$5:$P$155&gt;=2)+(Effectiveness!$S$5:$S$155&gt;=2))&gt;0))</f>
        <v>84</v>
      </c>
      <c r="K435" s="26" t="n">
        <f aca="false">J435/151</f>
        <v>0.556291390728477</v>
      </c>
      <c r="L435" s="25" t="n">
        <f aca="false">MIN(INDEX('Move Reality'!$F$5:$F$19,MATCH(B435,'Move Reality'!$A$5:$A$19,0)),INDEX('Move Reality'!$F$5:$F$19,MATCH(C435,'Move Reality'!$A$5:$A$19,0)),INDEX('Move Reality'!$F$5:$F$19,MATCH(D435,'Move Reality'!$A$5:$A$19,0)),INDEX('Move Reality'!$F$5:$F$19,MATCH(E435,'Move Reality'!$A$5:$A$19,0)))</f>
        <v>1</v>
      </c>
      <c r="M435" s="28" t="str">
        <f aca="false">IF(L435&gt;=5,"YES","no - dead move")</f>
        <v>no - dead move</v>
      </c>
    </row>
    <row r="436" customFormat="false" ht="15" hidden="false" customHeight="false" outlineLevel="0" collapsed="false">
      <c r="A436" s="17" t="n">
        <v>432</v>
      </c>
      <c r="B436" s="17" t="s">
        <v>42</v>
      </c>
      <c r="C436" s="17" t="s">
        <v>49</v>
      </c>
      <c r="D436" s="17" t="s">
        <v>52</v>
      </c>
      <c r="E436" s="17" t="s">
        <v>53</v>
      </c>
      <c r="F436" s="25" t="n">
        <f aca="false">SUMPRODUCT(--((('Yellow Bosses'!$J$5:$J$53&gt;=2)+('Yellow Bosses'!$Q$5:$Q$53&gt;=2)+('Yellow Bosses'!$T$5:$T$53&gt;=2)+('Yellow Bosses'!$U$5:$U$53&gt;=2))&gt;0))</f>
        <v>35</v>
      </c>
      <c r="G436" s="26" t="n">
        <f aca="false">F436/49</f>
        <v>0.714285714285714</v>
      </c>
      <c r="H436" s="25" t="n">
        <f aca="false">49-SUMPRODUCT(--((('Yellow Bosses'!$J$5:$J$53&gt;=1)+('Yellow Bosses'!$Q$5:$Q$53&gt;=1)+('Yellow Bosses'!$T$5:$T$53&gt;=1)+('Yellow Bosses'!$U$5:$U$53&gt;=1))&gt;0))</f>
        <v>0</v>
      </c>
      <c r="I436" s="25" t="n">
        <f aca="false">SUMPRODUCT(--((('Yellow Bosses'!$J$5:$J$53&gt;0)+('Yellow Bosses'!$Q$5:$Q$53&gt;0)+('Yellow Bosses'!$T$5:$T$53&gt;0)+('Yellow Bosses'!$U$5:$U$53&gt;0))=0))</f>
        <v>0</v>
      </c>
      <c r="J436" s="25" t="n">
        <f aca="false">SUMPRODUCT(--(((Effectiveness!$G$5:$G$155&gt;=2)+(Effectiveness!$N$5:$N$155&gt;=2)+(Effectiveness!$Q$5:$Q$155&gt;=2)+(Effectiveness!$R$5:$R$155&gt;=2))&gt;0))</f>
        <v>80</v>
      </c>
      <c r="K436" s="26" t="n">
        <f aca="false">J436/151</f>
        <v>0.529801324503311</v>
      </c>
      <c r="L436" s="25" t="n">
        <f aca="false">MIN(INDEX('Move Reality'!$F$5:$F$19,MATCH(B436,'Move Reality'!$A$5:$A$19,0)),INDEX('Move Reality'!$F$5:$F$19,MATCH(C436,'Move Reality'!$A$5:$A$19,0)),INDEX('Move Reality'!$F$5:$F$19,MATCH(D436,'Move Reality'!$A$5:$A$19,0)),INDEX('Move Reality'!$F$5:$F$19,MATCH(E436,'Move Reality'!$A$5:$A$19,0)))</f>
        <v>1</v>
      </c>
      <c r="M436" s="28" t="str">
        <f aca="false">IF(L436&gt;=5,"YES","no - dead move")</f>
        <v>no - dead move</v>
      </c>
    </row>
    <row r="437" customFormat="false" ht="15" hidden="false" customHeight="false" outlineLevel="0" collapsed="false">
      <c r="A437" s="17" t="n">
        <v>433</v>
      </c>
      <c r="B437" s="17" t="s">
        <v>40</v>
      </c>
      <c r="C437" s="17" t="s">
        <v>48</v>
      </c>
      <c r="D437" s="17" t="s">
        <v>51</v>
      </c>
      <c r="E437" s="17" t="s">
        <v>54</v>
      </c>
      <c r="F437" s="25" t="n">
        <f aca="false">SUMPRODUCT(--((('Yellow Bosses'!$H$5:$H$53&gt;=2)+('Yellow Bosses'!$P$5:$P$53&gt;=2)+('Yellow Bosses'!$S$5:$S$53&gt;=2)+('Yellow Bosses'!$V$5:$V$53&gt;=2))&gt;0))</f>
        <v>35</v>
      </c>
      <c r="G437" s="26" t="n">
        <f aca="false">F437/49</f>
        <v>0.714285714285714</v>
      </c>
      <c r="H437" s="25" t="n">
        <f aca="false">49-SUMPRODUCT(--((('Yellow Bosses'!$H$5:$H$53&gt;=1)+('Yellow Bosses'!$P$5:$P$53&gt;=1)+('Yellow Bosses'!$S$5:$S$53&gt;=1)+('Yellow Bosses'!$V$5:$V$53&gt;=1))&gt;0))</f>
        <v>0</v>
      </c>
      <c r="I437" s="25" t="n">
        <f aca="false">SUMPRODUCT(--((('Yellow Bosses'!$H$5:$H$53&gt;0)+('Yellow Bosses'!$P$5:$P$53&gt;0)+('Yellow Bosses'!$S$5:$S$53&gt;0)+('Yellow Bosses'!$V$5:$V$53&gt;0))=0))</f>
        <v>0</v>
      </c>
      <c r="J437" s="25" t="n">
        <f aca="false">SUMPRODUCT(--(((Effectiveness!$E$5:$E$155&gt;=2)+(Effectiveness!$M$5:$M$155&gt;=2)+(Effectiveness!$P$5:$P$155&gt;=2)+(Effectiveness!$S$5:$S$155&gt;=2))&gt;0))</f>
        <v>79</v>
      </c>
      <c r="K437" s="26" t="n">
        <f aca="false">J437/151</f>
        <v>0.52317880794702</v>
      </c>
      <c r="L437" s="25" t="n">
        <f aca="false">MIN(INDEX('Move Reality'!$F$5:$F$19,MATCH(B437,'Move Reality'!$A$5:$A$19,0)),INDEX('Move Reality'!$F$5:$F$19,MATCH(C437,'Move Reality'!$A$5:$A$19,0)),INDEX('Move Reality'!$F$5:$F$19,MATCH(D437,'Move Reality'!$A$5:$A$19,0)),INDEX('Move Reality'!$F$5:$F$19,MATCH(E437,'Move Reality'!$A$5:$A$19,0)))</f>
        <v>1</v>
      </c>
      <c r="M437" s="28" t="str">
        <f aca="false">IF(L437&gt;=5,"YES","no - dead move")</f>
        <v>no - dead move</v>
      </c>
    </row>
    <row r="438" customFormat="false" ht="15" hidden="false" customHeight="false" outlineLevel="0" collapsed="false">
      <c r="A438" s="17" t="n">
        <v>434</v>
      </c>
      <c r="B438" s="17" t="s">
        <v>48</v>
      </c>
      <c r="C438" s="17" t="s">
        <v>51</v>
      </c>
      <c r="D438" s="17" t="s">
        <v>53</v>
      </c>
      <c r="E438" s="17" t="s">
        <v>54</v>
      </c>
      <c r="F438" s="25" t="n">
        <f aca="false">SUMPRODUCT(--((('Yellow Bosses'!$P$5:$P$53&gt;=2)+('Yellow Bosses'!$S$5:$S$53&gt;=2)+('Yellow Bosses'!$U$5:$U$53&gt;=2)+('Yellow Bosses'!$V$5:$V$53&gt;=2))&gt;0))</f>
        <v>35</v>
      </c>
      <c r="G438" s="26" t="n">
        <f aca="false">F438/49</f>
        <v>0.714285714285714</v>
      </c>
      <c r="H438" s="25" t="n">
        <f aca="false">49-SUMPRODUCT(--((('Yellow Bosses'!$P$5:$P$53&gt;=1)+('Yellow Bosses'!$S$5:$S$53&gt;=1)+('Yellow Bosses'!$U$5:$U$53&gt;=1)+('Yellow Bosses'!$V$5:$V$53&gt;=1))&gt;0))</f>
        <v>0</v>
      </c>
      <c r="I438" s="25" t="n">
        <f aca="false">SUMPRODUCT(--((('Yellow Bosses'!$P$5:$P$53&gt;0)+('Yellow Bosses'!$S$5:$S$53&gt;0)+('Yellow Bosses'!$U$5:$U$53&gt;0)+('Yellow Bosses'!$V$5:$V$53&gt;0))=0))</f>
        <v>0</v>
      </c>
      <c r="J438" s="25" t="n">
        <f aca="false">SUMPRODUCT(--(((Effectiveness!$M$5:$M$155&gt;=2)+(Effectiveness!$P$5:$P$155&gt;=2)+(Effectiveness!$R$5:$R$155&gt;=2)+(Effectiveness!$S$5:$S$155&gt;=2))&gt;0))</f>
        <v>79</v>
      </c>
      <c r="K438" s="26" t="n">
        <f aca="false">J438/151</f>
        <v>0.52317880794702</v>
      </c>
      <c r="L438" s="25" t="n">
        <f aca="false">MIN(INDEX('Move Reality'!$F$5:$F$19,MATCH(B438,'Move Reality'!$A$5:$A$19,0)),INDEX('Move Reality'!$F$5:$F$19,MATCH(C438,'Move Reality'!$A$5:$A$19,0)),INDEX('Move Reality'!$F$5:$F$19,MATCH(D438,'Move Reality'!$A$5:$A$19,0)),INDEX('Move Reality'!$F$5:$F$19,MATCH(E438,'Move Reality'!$A$5:$A$19,0)))</f>
        <v>1</v>
      </c>
      <c r="M438" s="28" t="str">
        <f aca="false">IF(L438&gt;=5,"YES","no - dead move")</f>
        <v>no - dead move</v>
      </c>
    </row>
    <row r="439" customFormat="false" ht="15" hidden="false" customHeight="false" outlineLevel="0" collapsed="false">
      <c r="A439" s="17" t="n">
        <v>435</v>
      </c>
      <c r="B439" s="17" t="s">
        <v>43</v>
      </c>
      <c r="C439" s="17" t="s">
        <v>44</v>
      </c>
      <c r="D439" s="17" t="s">
        <v>46</v>
      </c>
      <c r="E439" s="17" t="s">
        <v>51</v>
      </c>
      <c r="F439" s="25" t="n">
        <f aca="false">SUMPRODUCT(--((('Yellow Bosses'!$K$5:$K$53&gt;=2)+('Yellow Bosses'!$L$5:$L$53&gt;=2)+('Yellow Bosses'!$N$5:$N$53&gt;=2)+('Yellow Bosses'!$S$5:$S$53&gt;=2))&gt;0))</f>
        <v>34</v>
      </c>
      <c r="G439" s="26" t="n">
        <f aca="false">F439/49</f>
        <v>0.693877551020408</v>
      </c>
      <c r="H439" s="25" t="n">
        <f aca="false">49-SUMPRODUCT(--((('Yellow Bosses'!$K$5:$K$53&gt;=1)+('Yellow Bosses'!$L$5:$L$53&gt;=1)+('Yellow Bosses'!$N$5:$N$53&gt;=1)+('Yellow Bosses'!$S$5:$S$53&gt;=1))&gt;0))</f>
        <v>0</v>
      </c>
      <c r="I439" s="25" t="n">
        <f aca="false">SUMPRODUCT(--((('Yellow Bosses'!$K$5:$K$53&gt;0)+('Yellow Bosses'!$L$5:$L$53&gt;0)+('Yellow Bosses'!$N$5:$N$53&gt;0)+('Yellow Bosses'!$S$5:$S$53&gt;0))=0))</f>
        <v>0</v>
      </c>
      <c r="J439" s="25" t="n">
        <f aca="false">SUMPRODUCT(--(((Effectiveness!$H$5:$H$155&gt;=2)+(Effectiveness!$I$5:$I$155&gt;=2)+(Effectiveness!$K$5:$K$155&gt;=2)+(Effectiveness!$P$5:$P$155&gt;=2))&gt;0))</f>
        <v>116</v>
      </c>
      <c r="K439" s="26" t="n">
        <f aca="false">J439/151</f>
        <v>0.768211920529801</v>
      </c>
      <c r="L439" s="25" t="n">
        <f aca="false">MIN(INDEX('Move Reality'!$F$5:$F$19,MATCH(B439,'Move Reality'!$A$5:$A$19,0)),INDEX('Move Reality'!$F$5:$F$19,MATCH(C439,'Move Reality'!$A$5:$A$19,0)),INDEX('Move Reality'!$F$5:$F$19,MATCH(D439,'Move Reality'!$A$5:$A$19,0)),INDEX('Move Reality'!$F$5:$F$19,MATCH(E439,'Move Reality'!$A$5:$A$19,0)))</f>
        <v>1</v>
      </c>
      <c r="M439" s="28" t="str">
        <f aca="false">IF(L439&gt;=5,"YES","no - dead move")</f>
        <v>no - dead move</v>
      </c>
    </row>
    <row r="440" customFormat="false" ht="15" hidden="false" customHeight="false" outlineLevel="0" collapsed="false">
      <c r="A440" s="17" t="n">
        <v>436</v>
      </c>
      <c r="B440" s="17" t="s">
        <v>43</v>
      </c>
      <c r="C440" s="17" t="s">
        <v>46</v>
      </c>
      <c r="D440" s="17" t="s">
        <v>48</v>
      </c>
      <c r="E440" s="17" t="s">
        <v>52</v>
      </c>
      <c r="F440" s="25" t="n">
        <f aca="false">SUMPRODUCT(--((('Yellow Bosses'!$K$5:$K$53&gt;=2)+('Yellow Bosses'!$N$5:$N$53&gt;=2)+('Yellow Bosses'!$P$5:$P$53&gt;=2)+('Yellow Bosses'!$T$5:$T$53&gt;=2))&gt;0))</f>
        <v>34</v>
      </c>
      <c r="G440" s="26" t="n">
        <f aca="false">F440/49</f>
        <v>0.693877551020408</v>
      </c>
      <c r="H440" s="25" t="n">
        <f aca="false">49-SUMPRODUCT(--((('Yellow Bosses'!$K$5:$K$53&gt;=1)+('Yellow Bosses'!$N$5:$N$53&gt;=1)+('Yellow Bosses'!$P$5:$P$53&gt;=1)+('Yellow Bosses'!$T$5:$T$53&gt;=1))&gt;0))</f>
        <v>0</v>
      </c>
      <c r="I440" s="25" t="n">
        <f aca="false">SUMPRODUCT(--((('Yellow Bosses'!$K$5:$K$53&gt;0)+('Yellow Bosses'!$N$5:$N$53&gt;0)+('Yellow Bosses'!$P$5:$P$53&gt;0)+('Yellow Bosses'!$T$5:$T$53&gt;0))=0))</f>
        <v>0</v>
      </c>
      <c r="J440" s="25" t="n">
        <f aca="false">SUMPRODUCT(--(((Effectiveness!$H$5:$H$155&gt;=2)+(Effectiveness!$K$5:$K$155&gt;=2)+(Effectiveness!$M$5:$M$155&gt;=2)+(Effectiveness!$Q$5:$Q$155&gt;=2))&gt;0))</f>
        <v>116</v>
      </c>
      <c r="K440" s="26" t="n">
        <f aca="false">J440/151</f>
        <v>0.768211920529801</v>
      </c>
      <c r="L440" s="25" t="n">
        <f aca="false">MIN(INDEX('Move Reality'!$F$5:$F$19,MATCH(B440,'Move Reality'!$A$5:$A$19,0)),INDEX('Move Reality'!$F$5:$F$19,MATCH(C440,'Move Reality'!$A$5:$A$19,0)),INDEX('Move Reality'!$F$5:$F$19,MATCH(D440,'Move Reality'!$A$5:$A$19,0)),INDEX('Move Reality'!$F$5:$F$19,MATCH(E440,'Move Reality'!$A$5:$A$19,0)))</f>
        <v>5</v>
      </c>
      <c r="M440" s="28" t="str">
        <f aca="false">IF(L440&gt;=5,"YES","no - dead move")</f>
        <v>YES</v>
      </c>
    </row>
    <row r="441" customFormat="false" ht="15" hidden="false" customHeight="false" outlineLevel="0" collapsed="false">
      <c r="A441" s="17" t="n">
        <v>437</v>
      </c>
      <c r="B441" s="17" t="s">
        <v>41</v>
      </c>
      <c r="C441" s="17" t="s">
        <v>43</v>
      </c>
      <c r="D441" s="17" t="s">
        <v>46</v>
      </c>
      <c r="E441" s="17" t="s">
        <v>50</v>
      </c>
      <c r="F441" s="25" t="n">
        <f aca="false">SUMPRODUCT(--((('Yellow Bosses'!$I$5:$I$53&gt;=2)+('Yellow Bosses'!$K$5:$K$53&gt;=2)+('Yellow Bosses'!$N$5:$N$53&gt;=2)+('Yellow Bosses'!$R$5:$R$53&gt;=2))&gt;0))</f>
        <v>34</v>
      </c>
      <c r="G441" s="26" t="n">
        <f aca="false">F441/49</f>
        <v>0.693877551020408</v>
      </c>
      <c r="H441" s="25" t="n">
        <f aca="false">49-SUMPRODUCT(--((('Yellow Bosses'!$I$5:$I$53&gt;=1)+('Yellow Bosses'!$K$5:$K$53&gt;=1)+('Yellow Bosses'!$N$5:$N$53&gt;=1)+('Yellow Bosses'!$R$5:$R$53&gt;=1))&gt;0))</f>
        <v>0</v>
      </c>
      <c r="I441" s="25" t="n">
        <f aca="false">SUMPRODUCT(--((('Yellow Bosses'!$I$5:$I$53&gt;0)+('Yellow Bosses'!$K$5:$K$53&gt;0)+('Yellow Bosses'!$N$5:$N$53&gt;0)+('Yellow Bosses'!$R$5:$R$53&gt;0))=0))</f>
        <v>0</v>
      </c>
      <c r="J441" s="25" t="n">
        <f aca="false">SUMPRODUCT(--(((Effectiveness!$F$5:$F$155&gt;=2)+(Effectiveness!$H$5:$H$155&gt;=2)+(Effectiveness!$K$5:$K$155&gt;=2)+(Effectiveness!$O$5:$O$155&gt;=2))&gt;0))</f>
        <v>115</v>
      </c>
      <c r="K441" s="26" t="n">
        <f aca="false">J441/151</f>
        <v>0.76158940397351</v>
      </c>
      <c r="L441" s="25" t="n">
        <f aca="false">MIN(INDEX('Move Reality'!$F$5:$F$19,MATCH(B441,'Move Reality'!$A$5:$A$19,0)),INDEX('Move Reality'!$F$5:$F$19,MATCH(C441,'Move Reality'!$A$5:$A$19,0)),INDEX('Move Reality'!$F$5:$F$19,MATCH(D441,'Move Reality'!$A$5:$A$19,0)),INDEX('Move Reality'!$F$5:$F$19,MATCH(E441,'Move Reality'!$A$5:$A$19,0)))</f>
        <v>5</v>
      </c>
      <c r="M441" s="28" t="str">
        <f aca="false">IF(L441&gt;=5,"YES","no - dead move")</f>
        <v>YES</v>
      </c>
    </row>
    <row r="442" customFormat="false" ht="15" hidden="false" customHeight="false" outlineLevel="0" collapsed="false">
      <c r="A442" s="17" t="n">
        <v>438</v>
      </c>
      <c r="B442" s="17" t="s">
        <v>43</v>
      </c>
      <c r="C442" s="17" t="s">
        <v>45</v>
      </c>
      <c r="D442" s="17" t="s">
        <v>46</v>
      </c>
      <c r="E442" s="17" t="s">
        <v>49</v>
      </c>
      <c r="F442" s="25" t="n">
        <f aca="false">SUMPRODUCT(--((('Yellow Bosses'!$K$5:$K$53&gt;=2)+('Yellow Bosses'!$M$5:$M$53&gt;=2)+('Yellow Bosses'!$N$5:$N$53&gt;=2)+('Yellow Bosses'!$Q$5:$Q$53&gt;=2))&gt;0))</f>
        <v>34</v>
      </c>
      <c r="G442" s="26" t="n">
        <f aca="false">F442/49</f>
        <v>0.693877551020408</v>
      </c>
      <c r="H442" s="25" t="n">
        <f aca="false">49-SUMPRODUCT(--((('Yellow Bosses'!$K$5:$K$53&gt;=1)+('Yellow Bosses'!$M$5:$M$53&gt;=1)+('Yellow Bosses'!$N$5:$N$53&gt;=1)+('Yellow Bosses'!$Q$5:$Q$53&gt;=1))&gt;0))</f>
        <v>0</v>
      </c>
      <c r="I442" s="25" t="n">
        <f aca="false">SUMPRODUCT(--((('Yellow Bosses'!$K$5:$K$53&gt;0)+('Yellow Bosses'!$M$5:$M$53&gt;0)+('Yellow Bosses'!$N$5:$N$53&gt;0)+('Yellow Bosses'!$Q$5:$Q$53&gt;0))=0))</f>
        <v>0</v>
      </c>
      <c r="J442" s="25" t="n">
        <f aca="false">SUMPRODUCT(--(((Effectiveness!$H$5:$H$155&gt;=2)+(Effectiveness!$J$5:$J$155&gt;=2)+(Effectiveness!$K$5:$K$155&gt;=2)+(Effectiveness!$N$5:$N$155&gt;=2))&gt;0))</f>
        <v>111</v>
      </c>
      <c r="K442" s="26" t="n">
        <f aca="false">J442/151</f>
        <v>0.735099337748344</v>
      </c>
      <c r="L442" s="25" t="n">
        <f aca="false">MIN(INDEX('Move Reality'!$F$5:$F$19,MATCH(B442,'Move Reality'!$A$5:$A$19,0)),INDEX('Move Reality'!$F$5:$F$19,MATCH(C442,'Move Reality'!$A$5:$A$19,0)),INDEX('Move Reality'!$F$5:$F$19,MATCH(D442,'Move Reality'!$A$5:$A$19,0)),INDEX('Move Reality'!$F$5:$F$19,MATCH(E442,'Move Reality'!$A$5:$A$19,0)))</f>
        <v>5</v>
      </c>
      <c r="M442" s="28" t="str">
        <f aca="false">IF(L442&gt;=5,"YES","no - dead move")</f>
        <v>YES</v>
      </c>
    </row>
    <row r="443" customFormat="false" ht="15" hidden="false" customHeight="false" outlineLevel="0" collapsed="false">
      <c r="A443" s="17" t="n">
        <v>439</v>
      </c>
      <c r="B443" s="17" t="s">
        <v>44</v>
      </c>
      <c r="C443" s="17" t="s">
        <v>46</v>
      </c>
      <c r="D443" s="17" t="s">
        <v>49</v>
      </c>
      <c r="E443" s="17" t="s">
        <v>51</v>
      </c>
      <c r="F443" s="25" t="n">
        <f aca="false">SUMPRODUCT(--((('Yellow Bosses'!$L$5:$L$53&gt;=2)+('Yellow Bosses'!$N$5:$N$53&gt;=2)+('Yellow Bosses'!$Q$5:$Q$53&gt;=2)+('Yellow Bosses'!$S$5:$S$53&gt;=2))&gt;0))</f>
        <v>34</v>
      </c>
      <c r="G443" s="26" t="n">
        <f aca="false">F443/49</f>
        <v>0.693877551020408</v>
      </c>
      <c r="H443" s="25" t="n">
        <f aca="false">49-SUMPRODUCT(--((('Yellow Bosses'!$L$5:$L$53&gt;=1)+('Yellow Bosses'!$N$5:$N$53&gt;=1)+('Yellow Bosses'!$Q$5:$Q$53&gt;=1)+('Yellow Bosses'!$S$5:$S$53&gt;=1))&gt;0))</f>
        <v>0</v>
      </c>
      <c r="I443" s="25" t="n">
        <f aca="false">SUMPRODUCT(--((('Yellow Bosses'!$L$5:$L$53&gt;0)+('Yellow Bosses'!$N$5:$N$53&gt;0)+('Yellow Bosses'!$Q$5:$Q$53&gt;0)+('Yellow Bosses'!$S$5:$S$53&gt;0))=0))</f>
        <v>0</v>
      </c>
      <c r="J443" s="25" t="n">
        <f aca="false">SUMPRODUCT(--(((Effectiveness!$I$5:$I$155&gt;=2)+(Effectiveness!$K$5:$K$155&gt;=2)+(Effectiveness!$N$5:$N$155&gt;=2)+(Effectiveness!$P$5:$P$155&gt;=2))&gt;0))</f>
        <v>111</v>
      </c>
      <c r="K443" s="26" t="n">
        <f aca="false">J443/151</f>
        <v>0.735099337748344</v>
      </c>
      <c r="L443" s="25" t="n">
        <f aca="false">MIN(INDEX('Move Reality'!$F$5:$F$19,MATCH(B443,'Move Reality'!$A$5:$A$19,0)),INDEX('Move Reality'!$F$5:$F$19,MATCH(C443,'Move Reality'!$A$5:$A$19,0)),INDEX('Move Reality'!$F$5:$F$19,MATCH(D443,'Move Reality'!$A$5:$A$19,0)),INDEX('Move Reality'!$F$5:$F$19,MATCH(E443,'Move Reality'!$A$5:$A$19,0)))</f>
        <v>1</v>
      </c>
      <c r="M443" s="28" t="str">
        <f aca="false">IF(L443&gt;=5,"YES","no - dead move")</f>
        <v>no - dead move</v>
      </c>
    </row>
    <row r="444" customFormat="false" ht="15" hidden="false" customHeight="false" outlineLevel="0" collapsed="false">
      <c r="A444" s="17" t="n">
        <v>440</v>
      </c>
      <c r="B444" s="17" t="s">
        <v>43</v>
      </c>
      <c r="C444" s="17" t="s">
        <v>49</v>
      </c>
      <c r="D444" s="17" t="s">
        <v>51</v>
      </c>
      <c r="E444" s="17" t="s">
        <v>52</v>
      </c>
      <c r="F444" s="25" t="n">
        <f aca="false">SUMPRODUCT(--((('Yellow Bosses'!$K$5:$K$53&gt;=2)+('Yellow Bosses'!$Q$5:$Q$53&gt;=2)+('Yellow Bosses'!$S$5:$S$53&gt;=2)+('Yellow Bosses'!$T$5:$T$53&gt;=2))&gt;0))</f>
        <v>34</v>
      </c>
      <c r="G444" s="26" t="n">
        <f aca="false">F444/49</f>
        <v>0.693877551020408</v>
      </c>
      <c r="H444" s="25" t="n">
        <f aca="false">49-SUMPRODUCT(--((('Yellow Bosses'!$K$5:$K$53&gt;=1)+('Yellow Bosses'!$Q$5:$Q$53&gt;=1)+('Yellow Bosses'!$S$5:$S$53&gt;=1)+('Yellow Bosses'!$T$5:$T$53&gt;=1))&gt;0))</f>
        <v>0</v>
      </c>
      <c r="I444" s="25" t="n">
        <f aca="false">SUMPRODUCT(--((('Yellow Bosses'!$K$5:$K$53&gt;0)+('Yellow Bosses'!$Q$5:$Q$53&gt;0)+('Yellow Bosses'!$S$5:$S$53&gt;0)+('Yellow Bosses'!$T$5:$T$53&gt;0))=0))</f>
        <v>0</v>
      </c>
      <c r="J444" s="25" t="n">
        <f aca="false">SUMPRODUCT(--(((Effectiveness!$H$5:$H$155&gt;=2)+(Effectiveness!$N$5:$N$155&gt;=2)+(Effectiveness!$P$5:$P$155&gt;=2)+(Effectiveness!$Q$5:$Q$155&gt;=2))&gt;0))</f>
        <v>110</v>
      </c>
      <c r="K444" s="26" t="n">
        <f aca="false">J444/151</f>
        <v>0.728476821192053</v>
      </c>
      <c r="L444" s="25" t="n">
        <f aca="false">MIN(INDEX('Move Reality'!$F$5:$F$19,MATCH(B444,'Move Reality'!$A$5:$A$19,0)),INDEX('Move Reality'!$F$5:$F$19,MATCH(C444,'Move Reality'!$A$5:$A$19,0)),INDEX('Move Reality'!$F$5:$F$19,MATCH(D444,'Move Reality'!$A$5:$A$19,0)),INDEX('Move Reality'!$F$5:$F$19,MATCH(E444,'Move Reality'!$A$5:$A$19,0)))</f>
        <v>1</v>
      </c>
      <c r="M444" s="28" t="str">
        <f aca="false">IF(L444&gt;=5,"YES","no - dead move")</f>
        <v>no - dead move</v>
      </c>
    </row>
    <row r="445" customFormat="false" ht="15" hidden="false" customHeight="false" outlineLevel="0" collapsed="false">
      <c r="A445" s="17" t="n">
        <v>441</v>
      </c>
      <c r="B445" s="17" t="s">
        <v>41</v>
      </c>
      <c r="C445" s="17" t="s">
        <v>44</v>
      </c>
      <c r="D445" s="17" t="s">
        <v>46</v>
      </c>
      <c r="E445" s="17" t="s">
        <v>50</v>
      </c>
      <c r="F445" s="25" t="n">
        <f aca="false">SUMPRODUCT(--((('Yellow Bosses'!$I$5:$I$53&gt;=2)+('Yellow Bosses'!$L$5:$L$53&gt;=2)+('Yellow Bosses'!$N$5:$N$53&gt;=2)+('Yellow Bosses'!$R$5:$R$53&gt;=2))&gt;0))</f>
        <v>34</v>
      </c>
      <c r="G445" s="26" t="n">
        <f aca="false">F445/49</f>
        <v>0.693877551020408</v>
      </c>
      <c r="H445" s="25" t="n">
        <f aca="false">49-SUMPRODUCT(--((('Yellow Bosses'!$I$5:$I$53&gt;=1)+('Yellow Bosses'!$L$5:$L$53&gt;=1)+('Yellow Bosses'!$N$5:$N$53&gt;=1)+('Yellow Bosses'!$R$5:$R$53&gt;=1))&gt;0))</f>
        <v>0</v>
      </c>
      <c r="I445" s="25" t="n">
        <f aca="false">SUMPRODUCT(--((('Yellow Bosses'!$I$5:$I$53&gt;0)+('Yellow Bosses'!$L$5:$L$53&gt;0)+('Yellow Bosses'!$N$5:$N$53&gt;0)+('Yellow Bosses'!$R$5:$R$53&gt;0))=0))</f>
        <v>0</v>
      </c>
      <c r="J445" s="25" t="n">
        <f aca="false">SUMPRODUCT(--(((Effectiveness!$F$5:$F$155&gt;=2)+(Effectiveness!$I$5:$I$155&gt;=2)+(Effectiveness!$K$5:$K$155&gt;=2)+(Effectiveness!$O$5:$O$155&gt;=2))&gt;0))</f>
        <v>109</v>
      </c>
      <c r="K445" s="26" t="n">
        <f aca="false">J445/151</f>
        <v>0.721854304635762</v>
      </c>
      <c r="L445" s="25" t="n">
        <f aca="false">MIN(INDEX('Move Reality'!$F$5:$F$19,MATCH(B445,'Move Reality'!$A$5:$A$19,0)),INDEX('Move Reality'!$F$5:$F$19,MATCH(C445,'Move Reality'!$A$5:$A$19,0)),INDEX('Move Reality'!$F$5:$F$19,MATCH(D445,'Move Reality'!$A$5:$A$19,0)),INDEX('Move Reality'!$F$5:$F$19,MATCH(E445,'Move Reality'!$A$5:$A$19,0)))</f>
        <v>4</v>
      </c>
      <c r="M445" s="28" t="str">
        <f aca="false">IF(L445&gt;=5,"YES","no - dead move")</f>
        <v>no - dead move</v>
      </c>
    </row>
    <row r="446" customFormat="false" ht="15" hidden="false" customHeight="false" outlineLevel="0" collapsed="false">
      <c r="A446" s="17" t="n">
        <v>442</v>
      </c>
      <c r="B446" s="17" t="s">
        <v>43</v>
      </c>
      <c r="C446" s="17" t="s">
        <v>46</v>
      </c>
      <c r="D446" s="17" t="s">
        <v>50</v>
      </c>
      <c r="E446" s="17" t="s">
        <v>54</v>
      </c>
      <c r="F446" s="25" t="n">
        <f aca="false">SUMPRODUCT(--((('Yellow Bosses'!$K$5:$K$53&gt;=2)+('Yellow Bosses'!$N$5:$N$53&gt;=2)+('Yellow Bosses'!$R$5:$R$53&gt;=2)+('Yellow Bosses'!$V$5:$V$53&gt;=2))&gt;0))</f>
        <v>34</v>
      </c>
      <c r="G446" s="26" t="n">
        <f aca="false">F446/49</f>
        <v>0.693877551020408</v>
      </c>
      <c r="H446" s="25" t="n">
        <f aca="false">49-SUMPRODUCT(--((('Yellow Bosses'!$K$5:$K$53&gt;=1)+('Yellow Bosses'!$N$5:$N$53&gt;=1)+('Yellow Bosses'!$R$5:$R$53&gt;=1)+('Yellow Bosses'!$V$5:$V$53&gt;=1))&gt;0))</f>
        <v>0</v>
      </c>
      <c r="I446" s="25" t="n">
        <f aca="false">SUMPRODUCT(--((('Yellow Bosses'!$K$5:$K$53&gt;0)+('Yellow Bosses'!$N$5:$N$53&gt;0)+('Yellow Bosses'!$R$5:$R$53&gt;0)+('Yellow Bosses'!$V$5:$V$53&gt;0))=0))</f>
        <v>0</v>
      </c>
      <c r="J446" s="25" t="n">
        <f aca="false">SUMPRODUCT(--(((Effectiveness!$H$5:$H$155&gt;=2)+(Effectiveness!$K$5:$K$155&gt;=2)+(Effectiveness!$O$5:$O$155&gt;=2)+(Effectiveness!$S$5:$S$155&gt;=2))&gt;0))</f>
        <v>109</v>
      </c>
      <c r="K446" s="26" t="n">
        <f aca="false">J446/151</f>
        <v>0.721854304635762</v>
      </c>
      <c r="L446" s="25" t="n">
        <f aca="false">MIN(INDEX('Move Reality'!$F$5:$F$19,MATCH(B446,'Move Reality'!$A$5:$A$19,0)),INDEX('Move Reality'!$F$5:$F$19,MATCH(C446,'Move Reality'!$A$5:$A$19,0)),INDEX('Move Reality'!$F$5:$F$19,MATCH(D446,'Move Reality'!$A$5:$A$19,0)),INDEX('Move Reality'!$F$5:$F$19,MATCH(E446,'Move Reality'!$A$5:$A$19,0)))</f>
        <v>1</v>
      </c>
      <c r="M446" s="28" t="str">
        <f aca="false">IF(L446&gt;=5,"YES","no - dead move")</f>
        <v>no - dead move</v>
      </c>
    </row>
    <row r="447" customFormat="false" ht="15" hidden="false" customHeight="false" outlineLevel="0" collapsed="false">
      <c r="A447" s="17" t="n">
        <v>443</v>
      </c>
      <c r="B447" s="17" t="s">
        <v>41</v>
      </c>
      <c r="C447" s="17" t="s">
        <v>46</v>
      </c>
      <c r="D447" s="17" t="s">
        <v>48</v>
      </c>
      <c r="E447" s="17" t="s">
        <v>52</v>
      </c>
      <c r="F447" s="25" t="n">
        <f aca="false">SUMPRODUCT(--((('Yellow Bosses'!$I$5:$I$53&gt;=2)+('Yellow Bosses'!$N$5:$N$53&gt;=2)+('Yellow Bosses'!$P$5:$P$53&gt;=2)+('Yellow Bosses'!$T$5:$T$53&gt;=2))&gt;0))</f>
        <v>34</v>
      </c>
      <c r="G447" s="26" t="n">
        <f aca="false">F447/49</f>
        <v>0.693877551020408</v>
      </c>
      <c r="H447" s="25" t="n">
        <f aca="false">49-SUMPRODUCT(--((('Yellow Bosses'!$I$5:$I$53&gt;=1)+('Yellow Bosses'!$N$5:$N$53&gt;=1)+('Yellow Bosses'!$P$5:$P$53&gt;=1)+('Yellow Bosses'!$T$5:$T$53&gt;=1))&gt;0))</f>
        <v>0</v>
      </c>
      <c r="I447" s="25" t="n">
        <f aca="false">SUMPRODUCT(--((('Yellow Bosses'!$I$5:$I$53&gt;0)+('Yellow Bosses'!$N$5:$N$53&gt;0)+('Yellow Bosses'!$P$5:$P$53&gt;0)+('Yellow Bosses'!$T$5:$T$53&gt;0))=0))</f>
        <v>0</v>
      </c>
      <c r="J447" s="25" t="n">
        <f aca="false">SUMPRODUCT(--(((Effectiveness!$F$5:$F$155&gt;=2)+(Effectiveness!$K$5:$K$155&gt;=2)+(Effectiveness!$M$5:$M$155&gt;=2)+(Effectiveness!$Q$5:$Q$155&gt;=2))&gt;0))</f>
        <v>106</v>
      </c>
      <c r="K447" s="26" t="n">
        <f aca="false">J447/151</f>
        <v>0.701986754966887</v>
      </c>
      <c r="L447" s="25" t="n">
        <f aca="false">MIN(INDEX('Move Reality'!$F$5:$F$19,MATCH(B447,'Move Reality'!$A$5:$A$19,0)),INDEX('Move Reality'!$F$5:$F$19,MATCH(C447,'Move Reality'!$A$5:$A$19,0)),INDEX('Move Reality'!$F$5:$F$19,MATCH(D447,'Move Reality'!$A$5:$A$19,0)),INDEX('Move Reality'!$F$5:$F$19,MATCH(E447,'Move Reality'!$A$5:$A$19,0)))</f>
        <v>5</v>
      </c>
      <c r="M447" s="28" t="str">
        <f aca="false">IF(L447&gt;=5,"YES","no - dead move")</f>
        <v>YES</v>
      </c>
    </row>
    <row r="448" customFormat="false" ht="15" hidden="false" customHeight="false" outlineLevel="0" collapsed="false">
      <c r="A448" s="17" t="n">
        <v>444</v>
      </c>
      <c r="B448" s="17" t="s">
        <v>43</v>
      </c>
      <c r="C448" s="17" t="s">
        <v>51</v>
      </c>
      <c r="D448" s="17" t="s">
        <v>52</v>
      </c>
      <c r="E448" s="17" t="s">
        <v>53</v>
      </c>
      <c r="F448" s="25" t="n">
        <f aca="false">SUMPRODUCT(--((('Yellow Bosses'!$K$5:$K$53&gt;=2)+('Yellow Bosses'!$S$5:$S$53&gt;=2)+('Yellow Bosses'!$T$5:$T$53&gt;=2)+('Yellow Bosses'!$U$5:$U$53&gt;=2))&gt;0))</f>
        <v>34</v>
      </c>
      <c r="G448" s="26" t="n">
        <f aca="false">F448/49</f>
        <v>0.693877551020408</v>
      </c>
      <c r="H448" s="25" t="n">
        <f aca="false">49-SUMPRODUCT(--((('Yellow Bosses'!$K$5:$K$53&gt;=1)+('Yellow Bosses'!$S$5:$S$53&gt;=1)+('Yellow Bosses'!$T$5:$T$53&gt;=1)+('Yellow Bosses'!$U$5:$U$53&gt;=1))&gt;0))</f>
        <v>0</v>
      </c>
      <c r="I448" s="25" t="n">
        <f aca="false">SUMPRODUCT(--((('Yellow Bosses'!$K$5:$K$53&gt;0)+('Yellow Bosses'!$S$5:$S$53&gt;0)+('Yellow Bosses'!$T$5:$T$53&gt;0)+('Yellow Bosses'!$U$5:$U$53&gt;0))=0))</f>
        <v>0</v>
      </c>
      <c r="J448" s="25" t="n">
        <f aca="false">SUMPRODUCT(--(((Effectiveness!$H$5:$H$155&gt;=2)+(Effectiveness!$P$5:$P$155&gt;=2)+(Effectiveness!$Q$5:$Q$155&gt;=2)+(Effectiveness!$R$5:$R$155&gt;=2))&gt;0))</f>
        <v>106</v>
      </c>
      <c r="K448" s="26" t="n">
        <f aca="false">J448/151</f>
        <v>0.701986754966887</v>
      </c>
      <c r="L448" s="25" t="n">
        <f aca="false">MIN(INDEX('Move Reality'!$F$5:$F$19,MATCH(B448,'Move Reality'!$A$5:$A$19,0)),INDEX('Move Reality'!$F$5:$F$19,MATCH(C448,'Move Reality'!$A$5:$A$19,0)),INDEX('Move Reality'!$F$5:$F$19,MATCH(D448,'Move Reality'!$A$5:$A$19,0)),INDEX('Move Reality'!$F$5:$F$19,MATCH(E448,'Move Reality'!$A$5:$A$19,0)))</f>
        <v>1</v>
      </c>
      <c r="M448" s="28" t="str">
        <f aca="false">IF(L448&gt;=5,"YES","no - dead move")</f>
        <v>no - dead move</v>
      </c>
    </row>
    <row r="449" customFormat="false" ht="15" hidden="false" customHeight="false" outlineLevel="0" collapsed="false">
      <c r="A449" s="17" t="n">
        <v>445</v>
      </c>
      <c r="B449" s="17" t="s">
        <v>43</v>
      </c>
      <c r="C449" s="17" t="s">
        <v>44</v>
      </c>
      <c r="D449" s="17" t="s">
        <v>47</v>
      </c>
      <c r="E449" s="17" t="s">
        <v>50</v>
      </c>
      <c r="F449" s="25" t="n">
        <f aca="false">SUMPRODUCT(--((('Yellow Bosses'!$K$5:$K$53&gt;=2)+('Yellow Bosses'!$L$5:$L$53&gt;=2)+('Yellow Bosses'!$O$5:$O$53&gt;=2)+('Yellow Bosses'!$R$5:$R$53&gt;=2))&gt;0))</f>
        <v>34</v>
      </c>
      <c r="G449" s="26" t="n">
        <f aca="false">F449/49</f>
        <v>0.693877551020408</v>
      </c>
      <c r="H449" s="25" t="n">
        <f aca="false">49-SUMPRODUCT(--((('Yellow Bosses'!$K$5:$K$53&gt;=1)+('Yellow Bosses'!$L$5:$L$53&gt;=1)+('Yellow Bosses'!$O$5:$O$53&gt;=1)+('Yellow Bosses'!$R$5:$R$53&gt;=1))&gt;0))</f>
        <v>0</v>
      </c>
      <c r="I449" s="25" t="n">
        <f aca="false">SUMPRODUCT(--((('Yellow Bosses'!$K$5:$K$53&gt;0)+('Yellow Bosses'!$L$5:$L$53&gt;0)+('Yellow Bosses'!$O$5:$O$53&gt;0)+('Yellow Bosses'!$R$5:$R$53&gt;0))=0))</f>
        <v>0</v>
      </c>
      <c r="J449" s="25" t="n">
        <f aca="false">SUMPRODUCT(--(((Effectiveness!$H$5:$H$155&gt;=2)+(Effectiveness!$I$5:$I$155&gt;=2)+(Effectiveness!$L$5:$L$155&gt;=2)+(Effectiveness!$O$5:$O$155&gt;=2))&gt;0))</f>
        <v>104</v>
      </c>
      <c r="K449" s="26" t="n">
        <f aca="false">J449/151</f>
        <v>0.688741721854305</v>
      </c>
      <c r="L449" s="25" t="n">
        <f aca="false">MIN(INDEX('Move Reality'!$F$5:$F$19,MATCH(B449,'Move Reality'!$A$5:$A$19,0)),INDEX('Move Reality'!$F$5:$F$19,MATCH(C449,'Move Reality'!$A$5:$A$19,0)),INDEX('Move Reality'!$F$5:$F$19,MATCH(D449,'Move Reality'!$A$5:$A$19,0)),INDEX('Move Reality'!$F$5:$F$19,MATCH(E449,'Move Reality'!$A$5:$A$19,0)))</f>
        <v>2</v>
      </c>
      <c r="M449" s="28" t="str">
        <f aca="false">IF(L449&gt;=5,"YES","no - dead move")</f>
        <v>no - dead move</v>
      </c>
    </row>
    <row r="450" customFormat="false" ht="15" hidden="false" customHeight="false" outlineLevel="0" collapsed="false">
      <c r="A450" s="17" t="n">
        <v>446</v>
      </c>
      <c r="B450" s="17" t="s">
        <v>43</v>
      </c>
      <c r="C450" s="17" t="s">
        <v>44</v>
      </c>
      <c r="D450" s="17" t="s">
        <v>49</v>
      </c>
      <c r="E450" s="17" t="s">
        <v>50</v>
      </c>
      <c r="F450" s="25" t="n">
        <f aca="false">SUMPRODUCT(--((('Yellow Bosses'!$K$5:$K$53&gt;=2)+('Yellow Bosses'!$L$5:$L$53&gt;=2)+('Yellow Bosses'!$Q$5:$Q$53&gt;=2)+('Yellow Bosses'!$R$5:$R$53&gt;=2))&gt;0))</f>
        <v>34</v>
      </c>
      <c r="G450" s="26" t="n">
        <f aca="false">F450/49</f>
        <v>0.693877551020408</v>
      </c>
      <c r="H450" s="25" t="n">
        <f aca="false">49-SUMPRODUCT(--((('Yellow Bosses'!$K$5:$K$53&gt;=1)+('Yellow Bosses'!$L$5:$L$53&gt;=1)+('Yellow Bosses'!$Q$5:$Q$53&gt;=1)+('Yellow Bosses'!$R$5:$R$53&gt;=1))&gt;0))</f>
        <v>0</v>
      </c>
      <c r="I450" s="25" t="n">
        <f aca="false">SUMPRODUCT(--((('Yellow Bosses'!$K$5:$K$53&gt;0)+('Yellow Bosses'!$L$5:$L$53&gt;0)+('Yellow Bosses'!$Q$5:$Q$53&gt;0)+('Yellow Bosses'!$R$5:$R$53&gt;0))=0))</f>
        <v>0</v>
      </c>
      <c r="J450" s="25" t="n">
        <f aca="false">SUMPRODUCT(--(((Effectiveness!$H$5:$H$155&gt;=2)+(Effectiveness!$I$5:$I$155&gt;=2)+(Effectiveness!$N$5:$N$155&gt;=2)+(Effectiveness!$O$5:$O$155&gt;=2))&gt;0))</f>
        <v>104</v>
      </c>
      <c r="K450" s="26" t="n">
        <f aca="false">J450/151</f>
        <v>0.688741721854305</v>
      </c>
      <c r="L450" s="25" t="n">
        <f aca="false">MIN(INDEX('Move Reality'!$F$5:$F$19,MATCH(B450,'Move Reality'!$A$5:$A$19,0)),INDEX('Move Reality'!$F$5:$F$19,MATCH(C450,'Move Reality'!$A$5:$A$19,0)),INDEX('Move Reality'!$F$5:$F$19,MATCH(D450,'Move Reality'!$A$5:$A$19,0)),INDEX('Move Reality'!$F$5:$F$19,MATCH(E450,'Move Reality'!$A$5:$A$19,0)))</f>
        <v>4</v>
      </c>
      <c r="M450" s="28" t="str">
        <f aca="false">IF(L450&gt;=5,"YES","no - dead move")</f>
        <v>no - dead move</v>
      </c>
    </row>
    <row r="451" customFormat="false" ht="15" hidden="false" customHeight="false" outlineLevel="0" collapsed="false">
      <c r="A451" s="17" t="n">
        <v>447</v>
      </c>
      <c r="B451" s="17" t="s">
        <v>41</v>
      </c>
      <c r="C451" s="17" t="s">
        <v>45</v>
      </c>
      <c r="D451" s="17" t="s">
        <v>46</v>
      </c>
      <c r="E451" s="17" t="s">
        <v>50</v>
      </c>
      <c r="F451" s="25" t="n">
        <f aca="false">SUMPRODUCT(--((('Yellow Bosses'!$I$5:$I$53&gt;=2)+('Yellow Bosses'!$M$5:$M$53&gt;=2)+('Yellow Bosses'!$N$5:$N$53&gt;=2)+('Yellow Bosses'!$R$5:$R$53&gt;=2))&gt;0))</f>
        <v>34</v>
      </c>
      <c r="G451" s="26" t="n">
        <f aca="false">F451/49</f>
        <v>0.693877551020408</v>
      </c>
      <c r="H451" s="25" t="n">
        <f aca="false">49-SUMPRODUCT(--((('Yellow Bosses'!$I$5:$I$53&gt;=1)+('Yellow Bosses'!$M$5:$M$53&gt;=1)+('Yellow Bosses'!$N$5:$N$53&gt;=1)+('Yellow Bosses'!$R$5:$R$53&gt;=1))&gt;0))</f>
        <v>2</v>
      </c>
      <c r="I451" s="25" t="n">
        <f aca="false">SUMPRODUCT(--((('Yellow Bosses'!$I$5:$I$53&gt;0)+('Yellow Bosses'!$M$5:$M$53&gt;0)+('Yellow Bosses'!$N$5:$N$53&gt;0)+('Yellow Bosses'!$R$5:$R$53&gt;0))=0))</f>
        <v>0</v>
      </c>
      <c r="J451" s="25" t="n">
        <f aca="false">SUMPRODUCT(--(((Effectiveness!$F$5:$F$155&gt;=2)+(Effectiveness!$J$5:$J$155&gt;=2)+(Effectiveness!$K$5:$K$155&gt;=2)+(Effectiveness!$O$5:$O$155&gt;=2))&gt;0))</f>
        <v>103</v>
      </c>
      <c r="K451" s="26" t="n">
        <f aca="false">J451/151</f>
        <v>0.682119205298013</v>
      </c>
      <c r="L451" s="25" t="n">
        <f aca="false">MIN(INDEX('Move Reality'!$F$5:$F$19,MATCH(B451,'Move Reality'!$A$5:$A$19,0)),INDEX('Move Reality'!$F$5:$F$19,MATCH(C451,'Move Reality'!$A$5:$A$19,0)),INDEX('Move Reality'!$F$5:$F$19,MATCH(D451,'Move Reality'!$A$5:$A$19,0)),INDEX('Move Reality'!$F$5:$F$19,MATCH(E451,'Move Reality'!$A$5:$A$19,0)))</f>
        <v>5</v>
      </c>
      <c r="M451" s="28" t="str">
        <f aca="false">IF(L451&gt;=5,"YES","no - dead move")</f>
        <v>YES</v>
      </c>
    </row>
    <row r="452" customFormat="false" ht="15" hidden="false" customHeight="false" outlineLevel="0" collapsed="false">
      <c r="A452" s="17" t="n">
        <v>448</v>
      </c>
      <c r="B452" s="17" t="s">
        <v>41</v>
      </c>
      <c r="C452" s="17" t="s">
        <v>45</v>
      </c>
      <c r="D452" s="17" t="s">
        <v>46</v>
      </c>
      <c r="E452" s="17" t="s">
        <v>51</v>
      </c>
      <c r="F452" s="25" t="n">
        <f aca="false">SUMPRODUCT(--((('Yellow Bosses'!$I$5:$I$53&gt;=2)+('Yellow Bosses'!$M$5:$M$53&gt;=2)+('Yellow Bosses'!$N$5:$N$53&gt;=2)+('Yellow Bosses'!$S$5:$S$53&gt;=2))&gt;0))</f>
        <v>34</v>
      </c>
      <c r="G452" s="26" t="n">
        <f aca="false">F452/49</f>
        <v>0.693877551020408</v>
      </c>
      <c r="H452" s="25" t="n">
        <f aca="false">49-SUMPRODUCT(--((('Yellow Bosses'!$I$5:$I$53&gt;=1)+('Yellow Bosses'!$M$5:$M$53&gt;=1)+('Yellow Bosses'!$N$5:$N$53&gt;=1)+('Yellow Bosses'!$S$5:$S$53&gt;=1))&gt;0))</f>
        <v>0</v>
      </c>
      <c r="I452" s="25" t="n">
        <f aca="false">SUMPRODUCT(--((('Yellow Bosses'!$I$5:$I$53&gt;0)+('Yellow Bosses'!$M$5:$M$53&gt;0)+('Yellow Bosses'!$N$5:$N$53&gt;0)+('Yellow Bosses'!$S$5:$S$53&gt;0))=0))</f>
        <v>0</v>
      </c>
      <c r="J452" s="25" t="n">
        <f aca="false">SUMPRODUCT(--(((Effectiveness!$F$5:$F$155&gt;=2)+(Effectiveness!$J$5:$J$155&gt;=2)+(Effectiveness!$K$5:$K$155&gt;=2)+(Effectiveness!$P$5:$P$155&gt;=2))&gt;0))</f>
        <v>103</v>
      </c>
      <c r="K452" s="26" t="n">
        <f aca="false">J452/151</f>
        <v>0.682119205298013</v>
      </c>
      <c r="L452" s="25" t="n">
        <f aca="false">MIN(INDEX('Move Reality'!$F$5:$F$19,MATCH(B452,'Move Reality'!$A$5:$A$19,0)),INDEX('Move Reality'!$F$5:$F$19,MATCH(C452,'Move Reality'!$A$5:$A$19,0)),INDEX('Move Reality'!$F$5:$F$19,MATCH(D452,'Move Reality'!$A$5:$A$19,0)),INDEX('Move Reality'!$F$5:$F$19,MATCH(E452,'Move Reality'!$A$5:$A$19,0)))</f>
        <v>1</v>
      </c>
      <c r="M452" s="28" t="str">
        <f aca="false">IF(L452&gt;=5,"YES","no - dead move")</f>
        <v>no - dead move</v>
      </c>
    </row>
    <row r="453" customFormat="false" ht="15" hidden="false" customHeight="false" outlineLevel="0" collapsed="false">
      <c r="A453" s="17" t="n">
        <v>449</v>
      </c>
      <c r="B453" s="17" t="s">
        <v>43</v>
      </c>
      <c r="C453" s="17" t="s">
        <v>44</v>
      </c>
      <c r="D453" s="17" t="s">
        <v>49</v>
      </c>
      <c r="E453" s="17" t="s">
        <v>52</v>
      </c>
      <c r="F453" s="25" t="n">
        <f aca="false">SUMPRODUCT(--((('Yellow Bosses'!$K$5:$K$53&gt;=2)+('Yellow Bosses'!$L$5:$L$53&gt;=2)+('Yellow Bosses'!$Q$5:$Q$53&gt;=2)+('Yellow Bosses'!$T$5:$T$53&gt;=2))&gt;0))</f>
        <v>34</v>
      </c>
      <c r="G453" s="26" t="n">
        <f aca="false">F453/49</f>
        <v>0.693877551020408</v>
      </c>
      <c r="H453" s="25" t="n">
        <f aca="false">49-SUMPRODUCT(--((('Yellow Bosses'!$K$5:$K$53&gt;=1)+('Yellow Bosses'!$L$5:$L$53&gt;=1)+('Yellow Bosses'!$Q$5:$Q$53&gt;=1)+('Yellow Bosses'!$T$5:$T$53&gt;=1))&gt;0))</f>
        <v>0</v>
      </c>
      <c r="I453" s="25" t="n">
        <f aca="false">SUMPRODUCT(--((('Yellow Bosses'!$K$5:$K$53&gt;0)+('Yellow Bosses'!$L$5:$L$53&gt;0)+('Yellow Bosses'!$Q$5:$Q$53&gt;0)+('Yellow Bosses'!$T$5:$T$53&gt;0))=0))</f>
        <v>0</v>
      </c>
      <c r="J453" s="25" t="n">
        <f aca="false">SUMPRODUCT(--(((Effectiveness!$H$5:$H$155&gt;=2)+(Effectiveness!$I$5:$I$155&gt;=2)+(Effectiveness!$N$5:$N$155&gt;=2)+(Effectiveness!$Q$5:$Q$155&gt;=2))&gt;0))</f>
        <v>102</v>
      </c>
      <c r="K453" s="26" t="n">
        <f aca="false">J453/151</f>
        <v>0.675496688741722</v>
      </c>
      <c r="L453" s="25" t="n">
        <f aca="false">MIN(INDEX('Move Reality'!$F$5:$F$19,MATCH(B453,'Move Reality'!$A$5:$A$19,0)),INDEX('Move Reality'!$F$5:$F$19,MATCH(C453,'Move Reality'!$A$5:$A$19,0)),INDEX('Move Reality'!$F$5:$F$19,MATCH(D453,'Move Reality'!$A$5:$A$19,0)),INDEX('Move Reality'!$F$5:$F$19,MATCH(E453,'Move Reality'!$A$5:$A$19,0)))</f>
        <v>4</v>
      </c>
      <c r="M453" s="28" t="str">
        <f aca="false">IF(L453&gt;=5,"YES","no - dead move")</f>
        <v>no - dead move</v>
      </c>
    </row>
    <row r="454" customFormat="false" ht="15" hidden="false" customHeight="false" outlineLevel="0" collapsed="false">
      <c r="A454" s="17" t="n">
        <v>450</v>
      </c>
      <c r="B454" s="17" t="s">
        <v>44</v>
      </c>
      <c r="C454" s="17" t="s">
        <v>46</v>
      </c>
      <c r="D454" s="17" t="s">
        <v>51</v>
      </c>
      <c r="E454" s="17" t="s">
        <v>53</v>
      </c>
      <c r="F454" s="25" t="n">
        <f aca="false">SUMPRODUCT(--((('Yellow Bosses'!$L$5:$L$53&gt;=2)+('Yellow Bosses'!$N$5:$N$53&gt;=2)+('Yellow Bosses'!$S$5:$S$53&gt;=2)+('Yellow Bosses'!$U$5:$U$53&gt;=2))&gt;0))</f>
        <v>34</v>
      </c>
      <c r="G454" s="26" t="n">
        <f aca="false">F454/49</f>
        <v>0.693877551020408</v>
      </c>
      <c r="H454" s="25" t="n">
        <f aca="false">49-SUMPRODUCT(--((('Yellow Bosses'!$L$5:$L$53&gt;=1)+('Yellow Bosses'!$N$5:$N$53&gt;=1)+('Yellow Bosses'!$S$5:$S$53&gt;=1)+('Yellow Bosses'!$U$5:$U$53&gt;=1))&gt;0))</f>
        <v>0</v>
      </c>
      <c r="I454" s="25" t="n">
        <f aca="false">SUMPRODUCT(--((('Yellow Bosses'!$L$5:$L$53&gt;0)+('Yellow Bosses'!$N$5:$N$53&gt;0)+('Yellow Bosses'!$S$5:$S$53&gt;0)+('Yellow Bosses'!$U$5:$U$53&gt;0))=0))</f>
        <v>0</v>
      </c>
      <c r="J454" s="25" t="n">
        <f aca="false">SUMPRODUCT(--(((Effectiveness!$I$5:$I$155&gt;=2)+(Effectiveness!$K$5:$K$155&gt;=2)+(Effectiveness!$P$5:$P$155&gt;=2)+(Effectiveness!$R$5:$R$155&gt;=2))&gt;0))</f>
        <v>102</v>
      </c>
      <c r="K454" s="26" t="n">
        <f aca="false">J454/151</f>
        <v>0.675496688741722</v>
      </c>
      <c r="L454" s="25" t="n">
        <f aca="false">MIN(INDEX('Move Reality'!$F$5:$F$19,MATCH(B454,'Move Reality'!$A$5:$A$19,0)),INDEX('Move Reality'!$F$5:$F$19,MATCH(C454,'Move Reality'!$A$5:$A$19,0)),INDEX('Move Reality'!$F$5:$F$19,MATCH(D454,'Move Reality'!$A$5:$A$19,0)),INDEX('Move Reality'!$F$5:$F$19,MATCH(E454,'Move Reality'!$A$5:$A$19,0)))</f>
        <v>1</v>
      </c>
      <c r="M454" s="28" t="str">
        <f aca="false">IF(L454&gt;=5,"YES","no - dead move")</f>
        <v>no - dead move</v>
      </c>
    </row>
    <row r="455" customFormat="false" ht="15" hidden="false" customHeight="false" outlineLevel="0" collapsed="false">
      <c r="A455" s="17" t="n">
        <v>451</v>
      </c>
      <c r="B455" s="17" t="s">
        <v>44</v>
      </c>
      <c r="C455" s="17" t="s">
        <v>46</v>
      </c>
      <c r="D455" s="17" t="s">
        <v>51</v>
      </c>
      <c r="E455" s="17" t="s">
        <v>54</v>
      </c>
      <c r="F455" s="25" t="n">
        <f aca="false">SUMPRODUCT(--((('Yellow Bosses'!$L$5:$L$53&gt;=2)+('Yellow Bosses'!$N$5:$N$53&gt;=2)+('Yellow Bosses'!$S$5:$S$53&gt;=2)+('Yellow Bosses'!$V$5:$V$53&gt;=2))&gt;0))</f>
        <v>34</v>
      </c>
      <c r="G455" s="26" t="n">
        <f aca="false">F455/49</f>
        <v>0.693877551020408</v>
      </c>
      <c r="H455" s="25" t="n">
        <f aca="false">49-SUMPRODUCT(--((('Yellow Bosses'!$L$5:$L$53&gt;=1)+('Yellow Bosses'!$N$5:$N$53&gt;=1)+('Yellow Bosses'!$S$5:$S$53&gt;=1)+('Yellow Bosses'!$V$5:$V$53&gt;=1))&gt;0))</f>
        <v>0</v>
      </c>
      <c r="I455" s="25" t="n">
        <f aca="false">SUMPRODUCT(--((('Yellow Bosses'!$L$5:$L$53&gt;0)+('Yellow Bosses'!$N$5:$N$53&gt;0)+('Yellow Bosses'!$S$5:$S$53&gt;0)+('Yellow Bosses'!$V$5:$V$53&gt;0))=0))</f>
        <v>0</v>
      </c>
      <c r="J455" s="25" t="n">
        <f aca="false">SUMPRODUCT(--(((Effectiveness!$I$5:$I$155&gt;=2)+(Effectiveness!$K$5:$K$155&gt;=2)+(Effectiveness!$P$5:$P$155&gt;=2)+(Effectiveness!$S$5:$S$155&gt;=2))&gt;0))</f>
        <v>102</v>
      </c>
      <c r="K455" s="26" t="n">
        <f aca="false">J455/151</f>
        <v>0.675496688741722</v>
      </c>
      <c r="L455" s="25" t="n">
        <f aca="false">MIN(INDEX('Move Reality'!$F$5:$F$19,MATCH(B455,'Move Reality'!$A$5:$A$19,0)),INDEX('Move Reality'!$F$5:$F$19,MATCH(C455,'Move Reality'!$A$5:$A$19,0)),INDEX('Move Reality'!$F$5:$F$19,MATCH(D455,'Move Reality'!$A$5:$A$19,0)),INDEX('Move Reality'!$F$5:$F$19,MATCH(E455,'Move Reality'!$A$5:$A$19,0)))</f>
        <v>1</v>
      </c>
      <c r="M455" s="28" t="str">
        <f aca="false">IF(L455&gt;=5,"YES","no - dead move")</f>
        <v>no - dead move</v>
      </c>
    </row>
    <row r="456" customFormat="false" ht="15" hidden="false" customHeight="false" outlineLevel="0" collapsed="false">
      <c r="A456" s="17" t="n">
        <v>452</v>
      </c>
      <c r="B456" s="17" t="s">
        <v>45</v>
      </c>
      <c r="C456" s="17" t="s">
        <v>46</v>
      </c>
      <c r="D456" s="17" t="s">
        <v>47</v>
      </c>
      <c r="E456" s="17" t="s">
        <v>51</v>
      </c>
      <c r="F456" s="25" t="n">
        <f aca="false">SUMPRODUCT(--((('Yellow Bosses'!$M$5:$M$53&gt;=2)+('Yellow Bosses'!$N$5:$N$53&gt;=2)+('Yellow Bosses'!$O$5:$O$53&gt;=2)+('Yellow Bosses'!$S$5:$S$53&gt;=2))&gt;0))</f>
        <v>34</v>
      </c>
      <c r="G456" s="26" t="n">
        <f aca="false">F456/49</f>
        <v>0.693877551020408</v>
      </c>
      <c r="H456" s="25" t="n">
        <f aca="false">49-SUMPRODUCT(--((('Yellow Bosses'!$M$5:$M$53&gt;=1)+('Yellow Bosses'!$N$5:$N$53&gt;=1)+('Yellow Bosses'!$O$5:$O$53&gt;=1)+('Yellow Bosses'!$S$5:$S$53&gt;=1))&gt;0))</f>
        <v>0</v>
      </c>
      <c r="I456" s="25" t="n">
        <f aca="false">SUMPRODUCT(--((('Yellow Bosses'!$M$5:$M$53&gt;0)+('Yellow Bosses'!$N$5:$N$53&gt;0)+('Yellow Bosses'!$O$5:$O$53&gt;0)+('Yellow Bosses'!$S$5:$S$53&gt;0))=0))</f>
        <v>0</v>
      </c>
      <c r="J456" s="25" t="n">
        <f aca="false">SUMPRODUCT(--(((Effectiveness!$J$5:$J$155&gt;=2)+(Effectiveness!$K$5:$K$155&gt;=2)+(Effectiveness!$L$5:$L$155&gt;=2)+(Effectiveness!$P$5:$P$155&gt;=2))&gt;0))</f>
        <v>102</v>
      </c>
      <c r="K456" s="26" t="n">
        <f aca="false">J456/151</f>
        <v>0.675496688741722</v>
      </c>
      <c r="L456" s="25" t="n">
        <f aca="false">MIN(INDEX('Move Reality'!$F$5:$F$19,MATCH(B456,'Move Reality'!$A$5:$A$19,0)),INDEX('Move Reality'!$F$5:$F$19,MATCH(C456,'Move Reality'!$A$5:$A$19,0)),INDEX('Move Reality'!$F$5:$F$19,MATCH(D456,'Move Reality'!$A$5:$A$19,0)),INDEX('Move Reality'!$F$5:$F$19,MATCH(E456,'Move Reality'!$A$5:$A$19,0)))</f>
        <v>1</v>
      </c>
      <c r="M456" s="28" t="str">
        <f aca="false">IF(L456&gt;=5,"YES","no - dead move")</f>
        <v>no - dead move</v>
      </c>
    </row>
    <row r="457" customFormat="false" ht="15" hidden="false" customHeight="false" outlineLevel="0" collapsed="false">
      <c r="A457" s="17" t="n">
        <v>453</v>
      </c>
      <c r="B457" s="17" t="s">
        <v>40</v>
      </c>
      <c r="C457" s="17" t="s">
        <v>42</v>
      </c>
      <c r="D457" s="17" t="s">
        <v>43</v>
      </c>
      <c r="E457" s="17" t="s">
        <v>49</v>
      </c>
      <c r="F457" s="25" t="n">
        <f aca="false">SUMPRODUCT(--((('Yellow Bosses'!$H$5:$H$53&gt;=2)+('Yellow Bosses'!$J$5:$J$53&gt;=2)+('Yellow Bosses'!$K$5:$K$53&gt;=2)+('Yellow Bosses'!$Q$5:$Q$53&gt;=2))&gt;0))</f>
        <v>34</v>
      </c>
      <c r="G457" s="26" t="n">
        <f aca="false">F457/49</f>
        <v>0.693877551020408</v>
      </c>
      <c r="H457" s="25" t="n">
        <f aca="false">49-SUMPRODUCT(--((('Yellow Bosses'!$H$5:$H$53&gt;=1)+('Yellow Bosses'!$J$5:$J$53&gt;=1)+('Yellow Bosses'!$K$5:$K$53&gt;=1)+('Yellow Bosses'!$Q$5:$Q$53&gt;=1))&gt;0))</f>
        <v>0</v>
      </c>
      <c r="I457" s="25" t="n">
        <f aca="false">SUMPRODUCT(--((('Yellow Bosses'!$H$5:$H$53&gt;0)+('Yellow Bosses'!$J$5:$J$53&gt;0)+('Yellow Bosses'!$K$5:$K$53&gt;0)+('Yellow Bosses'!$Q$5:$Q$53&gt;0))=0))</f>
        <v>0</v>
      </c>
      <c r="J457" s="25" t="n">
        <f aca="false">SUMPRODUCT(--(((Effectiveness!$E$5:$E$155&gt;=2)+(Effectiveness!$G$5:$G$155&gt;=2)+(Effectiveness!$H$5:$H$155&gt;=2)+(Effectiveness!$N$5:$N$155&gt;=2))&gt;0))</f>
        <v>101</v>
      </c>
      <c r="K457" s="26" t="n">
        <f aca="false">J457/151</f>
        <v>0.66887417218543</v>
      </c>
      <c r="L457" s="25" t="n">
        <f aca="false">MIN(INDEX('Move Reality'!$F$5:$F$19,MATCH(B457,'Move Reality'!$A$5:$A$19,0)),INDEX('Move Reality'!$F$5:$F$19,MATCH(C457,'Move Reality'!$A$5:$A$19,0)),INDEX('Move Reality'!$F$5:$F$19,MATCH(D457,'Move Reality'!$A$5:$A$19,0)),INDEX('Move Reality'!$F$5:$F$19,MATCH(E457,'Move Reality'!$A$5:$A$19,0)))</f>
        <v>5</v>
      </c>
      <c r="M457" s="28" t="str">
        <f aca="false">IF(L457&gt;=5,"YES","no - dead move")</f>
        <v>YES</v>
      </c>
    </row>
    <row r="458" customFormat="false" ht="15" hidden="false" customHeight="false" outlineLevel="0" collapsed="false">
      <c r="A458" s="17" t="n">
        <v>454</v>
      </c>
      <c r="B458" s="17" t="s">
        <v>42</v>
      </c>
      <c r="C458" s="17" t="s">
        <v>43</v>
      </c>
      <c r="D458" s="17" t="s">
        <v>44</v>
      </c>
      <c r="E458" s="17" t="s">
        <v>49</v>
      </c>
      <c r="F458" s="25" t="n">
        <f aca="false">SUMPRODUCT(--((('Yellow Bosses'!$J$5:$J$53&gt;=2)+('Yellow Bosses'!$K$5:$K$53&gt;=2)+('Yellow Bosses'!$L$5:$L$53&gt;=2)+('Yellow Bosses'!$Q$5:$Q$53&gt;=2))&gt;0))</f>
        <v>34</v>
      </c>
      <c r="G458" s="26" t="n">
        <f aca="false">F458/49</f>
        <v>0.693877551020408</v>
      </c>
      <c r="H458" s="25" t="n">
        <f aca="false">49-SUMPRODUCT(--((('Yellow Bosses'!$J$5:$J$53&gt;=1)+('Yellow Bosses'!$K$5:$K$53&gt;=1)+('Yellow Bosses'!$L$5:$L$53&gt;=1)+('Yellow Bosses'!$Q$5:$Q$53&gt;=1))&gt;0))</f>
        <v>0</v>
      </c>
      <c r="I458" s="25" t="n">
        <f aca="false">SUMPRODUCT(--((('Yellow Bosses'!$J$5:$J$53&gt;0)+('Yellow Bosses'!$K$5:$K$53&gt;0)+('Yellow Bosses'!$L$5:$L$53&gt;0)+('Yellow Bosses'!$Q$5:$Q$53&gt;0))=0))</f>
        <v>0</v>
      </c>
      <c r="J458" s="25" t="n">
        <f aca="false">SUMPRODUCT(--(((Effectiveness!$G$5:$G$155&gt;=2)+(Effectiveness!$H$5:$H$155&gt;=2)+(Effectiveness!$I$5:$I$155&gt;=2)+(Effectiveness!$N$5:$N$155&gt;=2))&gt;0))</f>
        <v>101</v>
      </c>
      <c r="K458" s="26" t="n">
        <f aca="false">J458/151</f>
        <v>0.66887417218543</v>
      </c>
      <c r="L458" s="25" t="n">
        <f aca="false">MIN(INDEX('Move Reality'!$F$5:$F$19,MATCH(B458,'Move Reality'!$A$5:$A$19,0)),INDEX('Move Reality'!$F$5:$F$19,MATCH(C458,'Move Reality'!$A$5:$A$19,0)),INDEX('Move Reality'!$F$5:$F$19,MATCH(D458,'Move Reality'!$A$5:$A$19,0)),INDEX('Move Reality'!$F$5:$F$19,MATCH(E458,'Move Reality'!$A$5:$A$19,0)))</f>
        <v>4</v>
      </c>
      <c r="M458" s="28" t="str">
        <f aca="false">IF(L458&gt;=5,"YES","no - dead move")</f>
        <v>no - dead move</v>
      </c>
    </row>
    <row r="459" customFormat="false" ht="15" hidden="false" customHeight="false" outlineLevel="0" collapsed="false">
      <c r="A459" s="17" t="n">
        <v>455</v>
      </c>
      <c r="B459" s="17" t="s">
        <v>42</v>
      </c>
      <c r="C459" s="17" t="s">
        <v>43</v>
      </c>
      <c r="D459" s="17" t="s">
        <v>47</v>
      </c>
      <c r="E459" s="17" t="s">
        <v>49</v>
      </c>
      <c r="F459" s="25" t="n">
        <f aca="false">SUMPRODUCT(--((('Yellow Bosses'!$J$5:$J$53&gt;=2)+('Yellow Bosses'!$K$5:$K$53&gt;=2)+('Yellow Bosses'!$O$5:$O$53&gt;=2)+('Yellow Bosses'!$Q$5:$Q$53&gt;=2))&gt;0))</f>
        <v>34</v>
      </c>
      <c r="G459" s="26" t="n">
        <f aca="false">F459/49</f>
        <v>0.693877551020408</v>
      </c>
      <c r="H459" s="25" t="n">
        <f aca="false">49-SUMPRODUCT(--((('Yellow Bosses'!$J$5:$J$53&gt;=1)+('Yellow Bosses'!$K$5:$K$53&gt;=1)+('Yellow Bosses'!$O$5:$O$53&gt;=1)+('Yellow Bosses'!$Q$5:$Q$53&gt;=1))&gt;0))</f>
        <v>0</v>
      </c>
      <c r="I459" s="25" t="n">
        <f aca="false">SUMPRODUCT(--((('Yellow Bosses'!$J$5:$J$53&gt;0)+('Yellow Bosses'!$K$5:$K$53&gt;0)+('Yellow Bosses'!$O$5:$O$53&gt;0)+('Yellow Bosses'!$Q$5:$Q$53&gt;0))=0))</f>
        <v>0</v>
      </c>
      <c r="J459" s="25" t="n">
        <f aca="false">SUMPRODUCT(--(((Effectiveness!$G$5:$G$155&gt;=2)+(Effectiveness!$H$5:$H$155&gt;=2)+(Effectiveness!$L$5:$L$155&gt;=2)+(Effectiveness!$N$5:$N$155&gt;=2))&gt;0))</f>
        <v>101</v>
      </c>
      <c r="K459" s="26" t="n">
        <f aca="false">J459/151</f>
        <v>0.66887417218543</v>
      </c>
      <c r="L459" s="25" t="n">
        <f aca="false">MIN(INDEX('Move Reality'!$F$5:$F$19,MATCH(B459,'Move Reality'!$A$5:$A$19,0)),INDEX('Move Reality'!$F$5:$F$19,MATCH(C459,'Move Reality'!$A$5:$A$19,0)),INDEX('Move Reality'!$F$5:$F$19,MATCH(D459,'Move Reality'!$A$5:$A$19,0)),INDEX('Move Reality'!$F$5:$F$19,MATCH(E459,'Move Reality'!$A$5:$A$19,0)))</f>
        <v>2</v>
      </c>
      <c r="M459" s="28" t="str">
        <f aca="false">IF(L459&gt;=5,"YES","no - dead move")</f>
        <v>no - dead move</v>
      </c>
    </row>
    <row r="460" customFormat="false" ht="15" hidden="false" customHeight="false" outlineLevel="0" collapsed="false">
      <c r="A460" s="17" t="n">
        <v>456</v>
      </c>
      <c r="B460" s="17" t="s">
        <v>40</v>
      </c>
      <c r="C460" s="17" t="s">
        <v>44</v>
      </c>
      <c r="D460" s="17" t="s">
        <v>49</v>
      </c>
      <c r="E460" s="17" t="s">
        <v>52</v>
      </c>
      <c r="F460" s="25" t="n">
        <f aca="false">SUMPRODUCT(--((('Yellow Bosses'!$H$5:$H$53&gt;=2)+('Yellow Bosses'!$L$5:$L$53&gt;=2)+('Yellow Bosses'!$Q$5:$Q$53&gt;=2)+('Yellow Bosses'!$T$5:$T$53&gt;=2))&gt;0))</f>
        <v>34</v>
      </c>
      <c r="G460" s="26" t="n">
        <f aca="false">F460/49</f>
        <v>0.693877551020408</v>
      </c>
      <c r="H460" s="25" t="n">
        <f aca="false">49-SUMPRODUCT(--((('Yellow Bosses'!$H$5:$H$53&gt;=1)+('Yellow Bosses'!$L$5:$L$53&gt;=1)+('Yellow Bosses'!$Q$5:$Q$53&gt;=1)+('Yellow Bosses'!$T$5:$T$53&gt;=1))&gt;0))</f>
        <v>0</v>
      </c>
      <c r="I460" s="25" t="n">
        <f aca="false">SUMPRODUCT(--((('Yellow Bosses'!$H$5:$H$53&gt;0)+('Yellow Bosses'!$L$5:$L$53&gt;0)+('Yellow Bosses'!$Q$5:$Q$53&gt;0)+('Yellow Bosses'!$T$5:$T$53&gt;0))=0))</f>
        <v>0</v>
      </c>
      <c r="J460" s="25" t="n">
        <f aca="false">SUMPRODUCT(--(((Effectiveness!$E$5:$E$155&gt;=2)+(Effectiveness!$I$5:$I$155&gt;=2)+(Effectiveness!$N$5:$N$155&gt;=2)+(Effectiveness!$Q$5:$Q$155&gt;=2))&gt;0))</f>
        <v>100</v>
      </c>
      <c r="K460" s="26" t="n">
        <f aca="false">J460/151</f>
        <v>0.662251655629139</v>
      </c>
      <c r="L460" s="25" t="n">
        <f aca="false">MIN(INDEX('Move Reality'!$F$5:$F$19,MATCH(B460,'Move Reality'!$A$5:$A$19,0)),INDEX('Move Reality'!$F$5:$F$19,MATCH(C460,'Move Reality'!$A$5:$A$19,0)),INDEX('Move Reality'!$F$5:$F$19,MATCH(D460,'Move Reality'!$A$5:$A$19,0)),INDEX('Move Reality'!$F$5:$F$19,MATCH(E460,'Move Reality'!$A$5:$A$19,0)))</f>
        <v>4</v>
      </c>
      <c r="M460" s="28" t="str">
        <f aca="false">IF(L460&gt;=5,"YES","no - dead move")</f>
        <v>no - dead move</v>
      </c>
    </row>
    <row r="461" customFormat="false" ht="15" hidden="false" customHeight="false" outlineLevel="0" collapsed="false">
      <c r="A461" s="17" t="n">
        <v>457</v>
      </c>
      <c r="B461" s="17" t="s">
        <v>41</v>
      </c>
      <c r="C461" s="17" t="s">
        <v>44</v>
      </c>
      <c r="D461" s="17" t="s">
        <v>49</v>
      </c>
      <c r="E461" s="17" t="s">
        <v>52</v>
      </c>
      <c r="F461" s="25" t="n">
        <f aca="false">SUMPRODUCT(--((('Yellow Bosses'!$I$5:$I$53&gt;=2)+('Yellow Bosses'!$L$5:$L$53&gt;=2)+('Yellow Bosses'!$Q$5:$Q$53&gt;=2)+('Yellow Bosses'!$T$5:$T$53&gt;=2))&gt;0))</f>
        <v>34</v>
      </c>
      <c r="G461" s="26" t="n">
        <f aca="false">F461/49</f>
        <v>0.693877551020408</v>
      </c>
      <c r="H461" s="25" t="n">
        <f aca="false">49-SUMPRODUCT(--((('Yellow Bosses'!$I$5:$I$53&gt;=1)+('Yellow Bosses'!$L$5:$L$53&gt;=1)+('Yellow Bosses'!$Q$5:$Q$53&gt;=1)+('Yellow Bosses'!$T$5:$T$53&gt;=1))&gt;0))</f>
        <v>0</v>
      </c>
      <c r="I461" s="25" t="n">
        <f aca="false">SUMPRODUCT(--((('Yellow Bosses'!$I$5:$I$53&gt;0)+('Yellow Bosses'!$L$5:$L$53&gt;0)+('Yellow Bosses'!$Q$5:$Q$53&gt;0)+('Yellow Bosses'!$T$5:$T$53&gt;0))=0))</f>
        <v>0</v>
      </c>
      <c r="J461" s="25" t="n">
        <f aca="false">SUMPRODUCT(--(((Effectiveness!$F$5:$F$155&gt;=2)+(Effectiveness!$I$5:$I$155&gt;=2)+(Effectiveness!$N$5:$N$155&gt;=2)+(Effectiveness!$Q$5:$Q$155&gt;=2))&gt;0))</f>
        <v>100</v>
      </c>
      <c r="K461" s="26" t="n">
        <f aca="false">J461/151</f>
        <v>0.662251655629139</v>
      </c>
      <c r="L461" s="25" t="n">
        <f aca="false">MIN(INDEX('Move Reality'!$F$5:$F$19,MATCH(B461,'Move Reality'!$A$5:$A$19,0)),INDEX('Move Reality'!$F$5:$F$19,MATCH(C461,'Move Reality'!$A$5:$A$19,0)),INDEX('Move Reality'!$F$5:$F$19,MATCH(D461,'Move Reality'!$A$5:$A$19,0)),INDEX('Move Reality'!$F$5:$F$19,MATCH(E461,'Move Reality'!$A$5:$A$19,0)))</f>
        <v>4</v>
      </c>
      <c r="M461" s="28" t="str">
        <f aca="false">IF(L461&gt;=5,"YES","no - dead move")</f>
        <v>no - dead move</v>
      </c>
    </row>
    <row r="462" customFormat="false" ht="15" hidden="false" customHeight="false" outlineLevel="0" collapsed="false">
      <c r="A462" s="17" t="n">
        <v>458</v>
      </c>
      <c r="B462" s="17" t="s">
        <v>41</v>
      </c>
      <c r="C462" s="17" t="s">
        <v>46</v>
      </c>
      <c r="D462" s="17" t="s">
        <v>48</v>
      </c>
      <c r="E462" s="17" t="s">
        <v>50</v>
      </c>
      <c r="F462" s="25" t="n">
        <f aca="false">SUMPRODUCT(--((('Yellow Bosses'!$I$5:$I$53&gt;=2)+('Yellow Bosses'!$N$5:$N$53&gt;=2)+('Yellow Bosses'!$P$5:$P$53&gt;=2)+('Yellow Bosses'!$R$5:$R$53&gt;=2))&gt;0))</f>
        <v>34</v>
      </c>
      <c r="G462" s="26" t="n">
        <f aca="false">F462/49</f>
        <v>0.693877551020408</v>
      </c>
      <c r="H462" s="25" t="n">
        <f aca="false">49-SUMPRODUCT(--((('Yellow Bosses'!$I$5:$I$53&gt;=1)+('Yellow Bosses'!$N$5:$N$53&gt;=1)+('Yellow Bosses'!$P$5:$P$53&gt;=1)+('Yellow Bosses'!$R$5:$R$53&gt;=1))&gt;0))</f>
        <v>0</v>
      </c>
      <c r="I462" s="25" t="n">
        <f aca="false">SUMPRODUCT(--((('Yellow Bosses'!$I$5:$I$53&gt;0)+('Yellow Bosses'!$N$5:$N$53&gt;0)+('Yellow Bosses'!$P$5:$P$53&gt;0)+('Yellow Bosses'!$R$5:$R$53&gt;0))=0))</f>
        <v>0</v>
      </c>
      <c r="J462" s="25" t="n">
        <f aca="false">SUMPRODUCT(--(((Effectiveness!$F$5:$F$155&gt;=2)+(Effectiveness!$K$5:$K$155&gt;=2)+(Effectiveness!$M$5:$M$155&gt;=2)+(Effectiveness!$O$5:$O$155&gt;=2))&gt;0))</f>
        <v>100</v>
      </c>
      <c r="K462" s="26" t="n">
        <f aca="false">J462/151</f>
        <v>0.662251655629139</v>
      </c>
      <c r="L462" s="25" t="n">
        <f aca="false">MIN(INDEX('Move Reality'!$F$5:$F$19,MATCH(B462,'Move Reality'!$A$5:$A$19,0)),INDEX('Move Reality'!$F$5:$F$19,MATCH(C462,'Move Reality'!$A$5:$A$19,0)),INDEX('Move Reality'!$F$5:$F$19,MATCH(D462,'Move Reality'!$A$5:$A$19,0)),INDEX('Move Reality'!$F$5:$F$19,MATCH(E462,'Move Reality'!$A$5:$A$19,0)))</f>
        <v>5</v>
      </c>
      <c r="M462" s="28" t="str">
        <f aca="false">IF(L462&gt;=5,"YES","no - dead move")</f>
        <v>YES</v>
      </c>
    </row>
    <row r="463" customFormat="false" ht="15" hidden="false" customHeight="false" outlineLevel="0" collapsed="false">
      <c r="A463" s="17" t="n">
        <v>459</v>
      </c>
      <c r="B463" s="17" t="s">
        <v>44</v>
      </c>
      <c r="C463" s="17" t="s">
        <v>46</v>
      </c>
      <c r="D463" s="17" t="s">
        <v>50</v>
      </c>
      <c r="E463" s="17" t="s">
        <v>54</v>
      </c>
      <c r="F463" s="25" t="n">
        <f aca="false">SUMPRODUCT(--((('Yellow Bosses'!$L$5:$L$53&gt;=2)+('Yellow Bosses'!$N$5:$N$53&gt;=2)+('Yellow Bosses'!$R$5:$R$53&gt;=2)+('Yellow Bosses'!$V$5:$V$53&gt;=2))&gt;0))</f>
        <v>34</v>
      </c>
      <c r="G463" s="26" t="n">
        <f aca="false">F463/49</f>
        <v>0.693877551020408</v>
      </c>
      <c r="H463" s="25" t="n">
        <f aca="false">49-SUMPRODUCT(--((('Yellow Bosses'!$L$5:$L$53&gt;=1)+('Yellow Bosses'!$N$5:$N$53&gt;=1)+('Yellow Bosses'!$R$5:$R$53&gt;=1)+('Yellow Bosses'!$V$5:$V$53&gt;=1))&gt;0))</f>
        <v>0</v>
      </c>
      <c r="I463" s="25" t="n">
        <f aca="false">SUMPRODUCT(--((('Yellow Bosses'!$L$5:$L$53&gt;0)+('Yellow Bosses'!$N$5:$N$53&gt;0)+('Yellow Bosses'!$R$5:$R$53&gt;0)+('Yellow Bosses'!$V$5:$V$53&gt;0))=0))</f>
        <v>0</v>
      </c>
      <c r="J463" s="25" t="n">
        <f aca="false">SUMPRODUCT(--(((Effectiveness!$I$5:$I$155&gt;=2)+(Effectiveness!$K$5:$K$155&gt;=2)+(Effectiveness!$O$5:$O$155&gt;=2)+(Effectiveness!$S$5:$S$155&gt;=2))&gt;0))</f>
        <v>100</v>
      </c>
      <c r="K463" s="26" t="n">
        <f aca="false">J463/151</f>
        <v>0.662251655629139</v>
      </c>
      <c r="L463" s="25" t="n">
        <f aca="false">MIN(INDEX('Move Reality'!$F$5:$F$19,MATCH(B463,'Move Reality'!$A$5:$A$19,0)),INDEX('Move Reality'!$F$5:$F$19,MATCH(C463,'Move Reality'!$A$5:$A$19,0)),INDEX('Move Reality'!$F$5:$F$19,MATCH(D463,'Move Reality'!$A$5:$A$19,0)),INDEX('Move Reality'!$F$5:$F$19,MATCH(E463,'Move Reality'!$A$5:$A$19,0)))</f>
        <v>1</v>
      </c>
      <c r="M463" s="28" t="str">
        <f aca="false">IF(L463&gt;=5,"YES","no - dead move")</f>
        <v>no - dead move</v>
      </c>
    </row>
    <row r="464" customFormat="false" ht="15" hidden="false" customHeight="false" outlineLevel="0" collapsed="false">
      <c r="A464" s="17" t="n">
        <v>460</v>
      </c>
      <c r="B464" s="17" t="s">
        <v>44</v>
      </c>
      <c r="C464" s="17" t="s">
        <v>47</v>
      </c>
      <c r="D464" s="17" t="s">
        <v>49</v>
      </c>
      <c r="E464" s="17" t="s">
        <v>52</v>
      </c>
      <c r="F464" s="25" t="n">
        <f aca="false">SUMPRODUCT(--((('Yellow Bosses'!$L$5:$L$53&gt;=2)+('Yellow Bosses'!$O$5:$O$53&gt;=2)+('Yellow Bosses'!$Q$5:$Q$53&gt;=2)+('Yellow Bosses'!$T$5:$T$53&gt;=2))&gt;0))</f>
        <v>34</v>
      </c>
      <c r="G464" s="26" t="n">
        <f aca="false">F464/49</f>
        <v>0.693877551020408</v>
      </c>
      <c r="H464" s="25" t="n">
        <f aca="false">49-SUMPRODUCT(--((('Yellow Bosses'!$L$5:$L$53&gt;=1)+('Yellow Bosses'!$O$5:$O$53&gt;=1)+('Yellow Bosses'!$Q$5:$Q$53&gt;=1)+('Yellow Bosses'!$T$5:$T$53&gt;=1))&gt;0))</f>
        <v>0</v>
      </c>
      <c r="I464" s="25" t="n">
        <f aca="false">SUMPRODUCT(--((('Yellow Bosses'!$L$5:$L$53&gt;0)+('Yellow Bosses'!$O$5:$O$53&gt;0)+('Yellow Bosses'!$Q$5:$Q$53&gt;0)+('Yellow Bosses'!$T$5:$T$53&gt;0))=0))</f>
        <v>0</v>
      </c>
      <c r="J464" s="25" t="n">
        <f aca="false">SUMPRODUCT(--(((Effectiveness!$I$5:$I$155&gt;=2)+(Effectiveness!$L$5:$L$155&gt;=2)+(Effectiveness!$N$5:$N$155&gt;=2)+(Effectiveness!$Q$5:$Q$155&gt;=2))&gt;0))</f>
        <v>100</v>
      </c>
      <c r="K464" s="26" t="n">
        <f aca="false">J464/151</f>
        <v>0.662251655629139</v>
      </c>
      <c r="L464" s="25" t="n">
        <f aca="false">MIN(INDEX('Move Reality'!$F$5:$F$19,MATCH(B464,'Move Reality'!$A$5:$A$19,0)),INDEX('Move Reality'!$F$5:$F$19,MATCH(C464,'Move Reality'!$A$5:$A$19,0)),INDEX('Move Reality'!$F$5:$F$19,MATCH(D464,'Move Reality'!$A$5:$A$19,0)),INDEX('Move Reality'!$F$5:$F$19,MATCH(E464,'Move Reality'!$A$5:$A$19,0)))</f>
        <v>2</v>
      </c>
      <c r="M464" s="28" t="str">
        <f aca="false">IF(L464&gt;=5,"YES","no - dead move")</f>
        <v>no - dead move</v>
      </c>
    </row>
    <row r="465" customFormat="false" ht="15" hidden="false" customHeight="false" outlineLevel="0" collapsed="false">
      <c r="A465" s="17" t="n">
        <v>461</v>
      </c>
      <c r="B465" s="17" t="s">
        <v>40</v>
      </c>
      <c r="C465" s="17" t="s">
        <v>45</v>
      </c>
      <c r="D465" s="17" t="s">
        <v>46</v>
      </c>
      <c r="E465" s="17" t="s">
        <v>51</v>
      </c>
      <c r="F465" s="25" t="n">
        <f aca="false">SUMPRODUCT(--((('Yellow Bosses'!$H$5:$H$53&gt;=2)+('Yellow Bosses'!$M$5:$M$53&gt;=2)+('Yellow Bosses'!$N$5:$N$53&gt;=2)+('Yellow Bosses'!$S$5:$S$53&gt;=2))&gt;0))</f>
        <v>34</v>
      </c>
      <c r="G465" s="26" t="n">
        <f aca="false">F465/49</f>
        <v>0.693877551020408</v>
      </c>
      <c r="H465" s="25" t="n">
        <f aca="false">49-SUMPRODUCT(--((('Yellow Bosses'!$H$5:$H$53&gt;=1)+('Yellow Bosses'!$M$5:$M$53&gt;=1)+('Yellow Bosses'!$N$5:$N$53&gt;=1)+('Yellow Bosses'!$S$5:$S$53&gt;=1))&gt;0))</f>
        <v>0</v>
      </c>
      <c r="I465" s="25" t="n">
        <f aca="false">SUMPRODUCT(--((('Yellow Bosses'!$H$5:$H$53&gt;0)+('Yellow Bosses'!$M$5:$M$53&gt;0)+('Yellow Bosses'!$N$5:$N$53&gt;0)+('Yellow Bosses'!$S$5:$S$53&gt;0))=0))</f>
        <v>0</v>
      </c>
      <c r="J465" s="25" t="n">
        <f aca="false">SUMPRODUCT(--(((Effectiveness!$E$5:$E$155&gt;=2)+(Effectiveness!$J$5:$J$155&gt;=2)+(Effectiveness!$K$5:$K$155&gt;=2)+(Effectiveness!$P$5:$P$155&gt;=2))&gt;0))</f>
        <v>99</v>
      </c>
      <c r="K465" s="26" t="n">
        <f aca="false">J465/151</f>
        <v>0.655629139072848</v>
      </c>
      <c r="L465" s="25" t="n">
        <f aca="false">MIN(INDEX('Move Reality'!$F$5:$F$19,MATCH(B465,'Move Reality'!$A$5:$A$19,0)),INDEX('Move Reality'!$F$5:$F$19,MATCH(C465,'Move Reality'!$A$5:$A$19,0)),INDEX('Move Reality'!$F$5:$F$19,MATCH(D465,'Move Reality'!$A$5:$A$19,0)),INDEX('Move Reality'!$F$5:$F$19,MATCH(E465,'Move Reality'!$A$5:$A$19,0)))</f>
        <v>1</v>
      </c>
      <c r="M465" s="28" t="str">
        <f aca="false">IF(L465&gt;=5,"YES","no - dead move")</f>
        <v>no - dead move</v>
      </c>
    </row>
    <row r="466" customFormat="false" ht="15" hidden="false" customHeight="false" outlineLevel="0" collapsed="false">
      <c r="A466" s="17" t="n">
        <v>462</v>
      </c>
      <c r="B466" s="17" t="s">
        <v>41</v>
      </c>
      <c r="C466" s="17" t="s">
        <v>42</v>
      </c>
      <c r="D466" s="17" t="s">
        <v>46</v>
      </c>
      <c r="E466" s="17" t="s">
        <v>51</v>
      </c>
      <c r="F466" s="25" t="n">
        <f aca="false">SUMPRODUCT(--((('Yellow Bosses'!$I$5:$I$53&gt;=2)+('Yellow Bosses'!$J$5:$J$53&gt;=2)+('Yellow Bosses'!$N$5:$N$53&gt;=2)+('Yellow Bosses'!$S$5:$S$53&gt;=2))&gt;0))</f>
        <v>34</v>
      </c>
      <c r="G466" s="26" t="n">
        <f aca="false">F466/49</f>
        <v>0.693877551020408</v>
      </c>
      <c r="H466" s="25" t="n">
        <f aca="false">49-SUMPRODUCT(--((('Yellow Bosses'!$I$5:$I$53&gt;=1)+('Yellow Bosses'!$J$5:$J$53&gt;=1)+('Yellow Bosses'!$N$5:$N$53&gt;=1)+('Yellow Bosses'!$S$5:$S$53&gt;=1))&gt;0))</f>
        <v>2</v>
      </c>
      <c r="I466" s="25" t="n">
        <f aca="false">SUMPRODUCT(--((('Yellow Bosses'!$I$5:$I$53&gt;0)+('Yellow Bosses'!$J$5:$J$53&gt;0)+('Yellow Bosses'!$N$5:$N$53&gt;0)+('Yellow Bosses'!$S$5:$S$53&gt;0))=0))</f>
        <v>0</v>
      </c>
      <c r="J466" s="25" t="n">
        <f aca="false">SUMPRODUCT(--(((Effectiveness!$F$5:$F$155&gt;=2)+(Effectiveness!$G$5:$G$155&gt;=2)+(Effectiveness!$K$5:$K$155&gt;=2)+(Effectiveness!$P$5:$P$155&gt;=2))&gt;0))</f>
        <v>99</v>
      </c>
      <c r="K466" s="26" t="n">
        <f aca="false">J466/151</f>
        <v>0.655629139072848</v>
      </c>
      <c r="L466" s="25" t="n">
        <f aca="false">MIN(INDEX('Move Reality'!$F$5:$F$19,MATCH(B466,'Move Reality'!$A$5:$A$19,0)),INDEX('Move Reality'!$F$5:$F$19,MATCH(C466,'Move Reality'!$A$5:$A$19,0)),INDEX('Move Reality'!$F$5:$F$19,MATCH(D466,'Move Reality'!$A$5:$A$19,0)),INDEX('Move Reality'!$F$5:$F$19,MATCH(E466,'Move Reality'!$A$5:$A$19,0)))</f>
        <v>1</v>
      </c>
      <c r="M466" s="28" t="str">
        <f aca="false">IF(L466&gt;=5,"YES","no - dead move")</f>
        <v>no - dead move</v>
      </c>
    </row>
    <row r="467" customFormat="false" ht="15" hidden="false" customHeight="false" outlineLevel="0" collapsed="false">
      <c r="A467" s="17" t="n">
        <v>463</v>
      </c>
      <c r="B467" s="17" t="s">
        <v>42</v>
      </c>
      <c r="C467" s="17" t="s">
        <v>46</v>
      </c>
      <c r="D467" s="17" t="s">
        <v>47</v>
      </c>
      <c r="E467" s="17" t="s">
        <v>50</v>
      </c>
      <c r="F467" s="25" t="n">
        <f aca="false">SUMPRODUCT(--((('Yellow Bosses'!$J$5:$J$53&gt;=2)+('Yellow Bosses'!$N$5:$N$53&gt;=2)+('Yellow Bosses'!$O$5:$O$53&gt;=2)+('Yellow Bosses'!$R$5:$R$53&gt;=2))&gt;0))</f>
        <v>34</v>
      </c>
      <c r="G467" s="26" t="n">
        <f aca="false">F467/49</f>
        <v>0.693877551020408</v>
      </c>
      <c r="H467" s="25" t="n">
        <f aca="false">49-SUMPRODUCT(--((('Yellow Bosses'!$J$5:$J$53&gt;=1)+('Yellow Bosses'!$N$5:$N$53&gt;=1)+('Yellow Bosses'!$O$5:$O$53&gt;=1)+('Yellow Bosses'!$R$5:$R$53&gt;=1))&gt;0))</f>
        <v>0</v>
      </c>
      <c r="I467" s="25" t="n">
        <f aca="false">SUMPRODUCT(--((('Yellow Bosses'!$J$5:$J$53&gt;0)+('Yellow Bosses'!$N$5:$N$53&gt;0)+('Yellow Bosses'!$O$5:$O$53&gt;0)+('Yellow Bosses'!$R$5:$R$53&gt;0))=0))</f>
        <v>0</v>
      </c>
      <c r="J467" s="25" t="n">
        <f aca="false">SUMPRODUCT(--(((Effectiveness!$G$5:$G$155&gt;=2)+(Effectiveness!$K$5:$K$155&gt;=2)+(Effectiveness!$L$5:$L$155&gt;=2)+(Effectiveness!$O$5:$O$155&gt;=2))&gt;0))</f>
        <v>99</v>
      </c>
      <c r="K467" s="26" t="n">
        <f aca="false">J467/151</f>
        <v>0.655629139072848</v>
      </c>
      <c r="L467" s="25" t="n">
        <f aca="false">MIN(INDEX('Move Reality'!$F$5:$F$19,MATCH(B467,'Move Reality'!$A$5:$A$19,0)),INDEX('Move Reality'!$F$5:$F$19,MATCH(C467,'Move Reality'!$A$5:$A$19,0)),INDEX('Move Reality'!$F$5:$F$19,MATCH(D467,'Move Reality'!$A$5:$A$19,0)),INDEX('Move Reality'!$F$5:$F$19,MATCH(E467,'Move Reality'!$A$5:$A$19,0)))</f>
        <v>2</v>
      </c>
      <c r="M467" s="28" t="str">
        <f aca="false">IF(L467&gt;=5,"YES","no - dead move")</f>
        <v>no - dead move</v>
      </c>
    </row>
    <row r="468" customFormat="false" ht="15" hidden="false" customHeight="false" outlineLevel="0" collapsed="false">
      <c r="A468" s="17" t="n">
        <v>464</v>
      </c>
      <c r="B468" s="17" t="s">
        <v>42</v>
      </c>
      <c r="C468" s="17" t="s">
        <v>46</v>
      </c>
      <c r="D468" s="17" t="s">
        <v>49</v>
      </c>
      <c r="E468" s="17" t="s">
        <v>50</v>
      </c>
      <c r="F468" s="25" t="n">
        <f aca="false">SUMPRODUCT(--((('Yellow Bosses'!$J$5:$J$53&gt;=2)+('Yellow Bosses'!$N$5:$N$53&gt;=2)+('Yellow Bosses'!$Q$5:$Q$53&gt;=2)+('Yellow Bosses'!$R$5:$R$53&gt;=2))&gt;0))</f>
        <v>34</v>
      </c>
      <c r="G468" s="26" t="n">
        <f aca="false">F468/49</f>
        <v>0.693877551020408</v>
      </c>
      <c r="H468" s="25" t="n">
        <f aca="false">49-SUMPRODUCT(--((('Yellow Bosses'!$J$5:$J$53&gt;=1)+('Yellow Bosses'!$N$5:$N$53&gt;=1)+('Yellow Bosses'!$Q$5:$Q$53&gt;=1)+('Yellow Bosses'!$R$5:$R$53&gt;=1))&gt;0))</f>
        <v>0</v>
      </c>
      <c r="I468" s="25" t="n">
        <f aca="false">SUMPRODUCT(--((('Yellow Bosses'!$J$5:$J$53&gt;0)+('Yellow Bosses'!$N$5:$N$53&gt;0)+('Yellow Bosses'!$Q$5:$Q$53&gt;0)+('Yellow Bosses'!$R$5:$R$53&gt;0))=0))</f>
        <v>0</v>
      </c>
      <c r="J468" s="25" t="n">
        <f aca="false">SUMPRODUCT(--(((Effectiveness!$G$5:$G$155&gt;=2)+(Effectiveness!$K$5:$K$155&gt;=2)+(Effectiveness!$N$5:$N$155&gt;=2)+(Effectiveness!$O$5:$O$155&gt;=2))&gt;0))</f>
        <v>99</v>
      </c>
      <c r="K468" s="26" t="n">
        <f aca="false">J468/151</f>
        <v>0.655629139072848</v>
      </c>
      <c r="L468" s="25" t="n">
        <f aca="false">MIN(INDEX('Move Reality'!$F$5:$F$19,MATCH(B468,'Move Reality'!$A$5:$A$19,0)),INDEX('Move Reality'!$F$5:$F$19,MATCH(C468,'Move Reality'!$A$5:$A$19,0)),INDEX('Move Reality'!$F$5:$F$19,MATCH(D468,'Move Reality'!$A$5:$A$19,0)),INDEX('Move Reality'!$F$5:$F$19,MATCH(E468,'Move Reality'!$A$5:$A$19,0)))</f>
        <v>5</v>
      </c>
      <c r="M468" s="28" t="str">
        <f aca="false">IF(L468&gt;=5,"YES","no - dead move")</f>
        <v>YES</v>
      </c>
    </row>
    <row r="469" customFormat="false" ht="15" hidden="false" customHeight="false" outlineLevel="0" collapsed="false">
      <c r="A469" s="17" t="n">
        <v>465</v>
      </c>
      <c r="B469" s="17" t="s">
        <v>45</v>
      </c>
      <c r="C469" s="17" t="s">
        <v>46</v>
      </c>
      <c r="D469" s="17" t="s">
        <v>51</v>
      </c>
      <c r="E469" s="17" t="s">
        <v>54</v>
      </c>
      <c r="F469" s="25" t="n">
        <f aca="false">SUMPRODUCT(--((('Yellow Bosses'!$M$5:$M$53&gt;=2)+('Yellow Bosses'!$N$5:$N$53&gt;=2)+('Yellow Bosses'!$S$5:$S$53&gt;=2)+('Yellow Bosses'!$V$5:$V$53&gt;=2))&gt;0))</f>
        <v>34</v>
      </c>
      <c r="G469" s="26" t="n">
        <f aca="false">F469/49</f>
        <v>0.693877551020408</v>
      </c>
      <c r="H469" s="25" t="n">
        <f aca="false">49-SUMPRODUCT(--((('Yellow Bosses'!$M$5:$M$53&gt;=1)+('Yellow Bosses'!$N$5:$N$53&gt;=1)+('Yellow Bosses'!$S$5:$S$53&gt;=1)+('Yellow Bosses'!$V$5:$V$53&gt;=1))&gt;0))</f>
        <v>0</v>
      </c>
      <c r="I469" s="25" t="n">
        <f aca="false">SUMPRODUCT(--((('Yellow Bosses'!$M$5:$M$53&gt;0)+('Yellow Bosses'!$N$5:$N$53&gt;0)+('Yellow Bosses'!$S$5:$S$53&gt;0)+('Yellow Bosses'!$V$5:$V$53&gt;0))=0))</f>
        <v>0</v>
      </c>
      <c r="J469" s="25" t="n">
        <f aca="false">SUMPRODUCT(--(((Effectiveness!$J$5:$J$155&gt;=2)+(Effectiveness!$K$5:$K$155&gt;=2)+(Effectiveness!$P$5:$P$155&gt;=2)+(Effectiveness!$S$5:$S$155&gt;=2))&gt;0))</f>
        <v>99</v>
      </c>
      <c r="K469" s="26" t="n">
        <f aca="false">J469/151</f>
        <v>0.655629139072848</v>
      </c>
      <c r="L469" s="25" t="n">
        <f aca="false">MIN(INDEX('Move Reality'!$F$5:$F$19,MATCH(B469,'Move Reality'!$A$5:$A$19,0)),INDEX('Move Reality'!$F$5:$F$19,MATCH(C469,'Move Reality'!$A$5:$A$19,0)),INDEX('Move Reality'!$F$5:$F$19,MATCH(D469,'Move Reality'!$A$5:$A$19,0)),INDEX('Move Reality'!$F$5:$F$19,MATCH(E469,'Move Reality'!$A$5:$A$19,0)))</f>
        <v>1</v>
      </c>
      <c r="M469" s="28" t="str">
        <f aca="false">IF(L469&gt;=5,"YES","no - dead move")</f>
        <v>no - dead move</v>
      </c>
    </row>
    <row r="470" customFormat="false" ht="15" hidden="false" customHeight="false" outlineLevel="0" collapsed="false">
      <c r="A470" s="17" t="n">
        <v>466</v>
      </c>
      <c r="B470" s="17" t="s">
        <v>42</v>
      </c>
      <c r="C470" s="17" t="s">
        <v>46</v>
      </c>
      <c r="D470" s="17" t="s">
        <v>47</v>
      </c>
      <c r="E470" s="17" t="s">
        <v>51</v>
      </c>
      <c r="F470" s="25" t="n">
        <f aca="false">SUMPRODUCT(--((('Yellow Bosses'!$J$5:$J$53&gt;=2)+('Yellow Bosses'!$N$5:$N$53&gt;=2)+('Yellow Bosses'!$O$5:$O$53&gt;=2)+('Yellow Bosses'!$S$5:$S$53&gt;=2))&gt;0))</f>
        <v>34</v>
      </c>
      <c r="G470" s="26" t="n">
        <f aca="false">F470/49</f>
        <v>0.693877551020408</v>
      </c>
      <c r="H470" s="25" t="n">
        <f aca="false">49-SUMPRODUCT(--((('Yellow Bosses'!$J$5:$J$53&gt;=1)+('Yellow Bosses'!$N$5:$N$53&gt;=1)+('Yellow Bosses'!$O$5:$O$53&gt;=1)+('Yellow Bosses'!$S$5:$S$53&gt;=1))&gt;0))</f>
        <v>0</v>
      </c>
      <c r="I470" s="25" t="n">
        <f aca="false">SUMPRODUCT(--((('Yellow Bosses'!$J$5:$J$53&gt;0)+('Yellow Bosses'!$N$5:$N$53&gt;0)+('Yellow Bosses'!$O$5:$O$53&gt;0)+('Yellow Bosses'!$S$5:$S$53&gt;0))=0))</f>
        <v>0</v>
      </c>
      <c r="J470" s="25" t="n">
        <f aca="false">SUMPRODUCT(--(((Effectiveness!$G$5:$G$155&gt;=2)+(Effectiveness!$K$5:$K$155&gt;=2)+(Effectiveness!$L$5:$L$155&gt;=2)+(Effectiveness!$P$5:$P$155&gt;=2))&gt;0))</f>
        <v>98</v>
      </c>
      <c r="K470" s="26" t="n">
        <f aca="false">J470/151</f>
        <v>0.649006622516556</v>
      </c>
      <c r="L470" s="25" t="n">
        <f aca="false">MIN(INDEX('Move Reality'!$F$5:$F$19,MATCH(B470,'Move Reality'!$A$5:$A$19,0)),INDEX('Move Reality'!$F$5:$F$19,MATCH(C470,'Move Reality'!$A$5:$A$19,0)),INDEX('Move Reality'!$F$5:$F$19,MATCH(D470,'Move Reality'!$A$5:$A$19,0)),INDEX('Move Reality'!$F$5:$F$19,MATCH(E470,'Move Reality'!$A$5:$A$19,0)))</f>
        <v>1</v>
      </c>
      <c r="M470" s="28" t="str">
        <f aca="false">IF(L470&gt;=5,"YES","no - dead move")</f>
        <v>no - dead move</v>
      </c>
    </row>
    <row r="471" customFormat="false" ht="15" hidden="false" customHeight="false" outlineLevel="0" collapsed="false">
      <c r="A471" s="17" t="n">
        <v>467</v>
      </c>
      <c r="B471" s="17" t="s">
        <v>42</v>
      </c>
      <c r="C471" s="17" t="s">
        <v>46</v>
      </c>
      <c r="D471" s="17" t="s">
        <v>48</v>
      </c>
      <c r="E471" s="17" t="s">
        <v>50</v>
      </c>
      <c r="F471" s="25" t="n">
        <f aca="false">SUMPRODUCT(--((('Yellow Bosses'!$J$5:$J$53&gt;=2)+('Yellow Bosses'!$N$5:$N$53&gt;=2)+('Yellow Bosses'!$P$5:$P$53&gt;=2)+('Yellow Bosses'!$R$5:$R$53&gt;=2))&gt;0))</f>
        <v>34</v>
      </c>
      <c r="G471" s="26" t="n">
        <f aca="false">F471/49</f>
        <v>0.693877551020408</v>
      </c>
      <c r="H471" s="25" t="n">
        <f aca="false">49-SUMPRODUCT(--((('Yellow Bosses'!$J$5:$J$53&gt;=1)+('Yellow Bosses'!$N$5:$N$53&gt;=1)+('Yellow Bosses'!$P$5:$P$53&gt;=1)+('Yellow Bosses'!$R$5:$R$53&gt;=1))&gt;0))</f>
        <v>1</v>
      </c>
      <c r="I471" s="25" t="n">
        <f aca="false">SUMPRODUCT(--((('Yellow Bosses'!$J$5:$J$53&gt;0)+('Yellow Bosses'!$N$5:$N$53&gt;0)+('Yellow Bosses'!$P$5:$P$53&gt;0)+('Yellow Bosses'!$R$5:$R$53&gt;0))=0))</f>
        <v>0</v>
      </c>
      <c r="J471" s="25" t="n">
        <f aca="false">SUMPRODUCT(--(((Effectiveness!$G$5:$G$155&gt;=2)+(Effectiveness!$K$5:$K$155&gt;=2)+(Effectiveness!$M$5:$M$155&gt;=2)+(Effectiveness!$O$5:$O$155&gt;=2))&gt;0))</f>
        <v>97</v>
      </c>
      <c r="K471" s="26" t="n">
        <f aca="false">J471/151</f>
        <v>0.642384105960265</v>
      </c>
      <c r="L471" s="25" t="n">
        <f aca="false">MIN(INDEX('Move Reality'!$F$5:$F$19,MATCH(B471,'Move Reality'!$A$5:$A$19,0)),INDEX('Move Reality'!$F$5:$F$19,MATCH(C471,'Move Reality'!$A$5:$A$19,0)),INDEX('Move Reality'!$F$5:$F$19,MATCH(D471,'Move Reality'!$A$5:$A$19,0)),INDEX('Move Reality'!$F$5:$F$19,MATCH(E471,'Move Reality'!$A$5:$A$19,0)))</f>
        <v>5</v>
      </c>
      <c r="M471" s="28" t="str">
        <f aca="false">IF(L471&gt;=5,"YES","no - dead move")</f>
        <v>YES</v>
      </c>
    </row>
    <row r="472" customFormat="false" ht="15" hidden="false" customHeight="false" outlineLevel="0" collapsed="false">
      <c r="A472" s="17" t="n">
        <v>468</v>
      </c>
      <c r="B472" s="17" t="s">
        <v>41</v>
      </c>
      <c r="C472" s="17" t="s">
        <v>42</v>
      </c>
      <c r="D472" s="17" t="s">
        <v>44</v>
      </c>
      <c r="E472" s="17" t="s">
        <v>45</v>
      </c>
      <c r="F472" s="25" t="n">
        <f aca="false">SUMPRODUCT(--((('Yellow Bosses'!$I$5:$I$53&gt;=2)+('Yellow Bosses'!$J$5:$J$53&gt;=2)+('Yellow Bosses'!$L$5:$L$53&gt;=2)+('Yellow Bosses'!$M$5:$M$53&gt;=2))&gt;0))</f>
        <v>34</v>
      </c>
      <c r="G472" s="26" t="n">
        <f aca="false">F472/49</f>
        <v>0.693877551020408</v>
      </c>
      <c r="H472" s="25" t="n">
        <f aca="false">49-SUMPRODUCT(--((('Yellow Bosses'!$I$5:$I$53&gt;=1)+('Yellow Bosses'!$J$5:$J$53&gt;=1)+('Yellow Bosses'!$L$5:$L$53&gt;=1)+('Yellow Bosses'!$M$5:$M$53&gt;=1))&gt;0))</f>
        <v>0</v>
      </c>
      <c r="I472" s="25" t="n">
        <f aca="false">SUMPRODUCT(--((('Yellow Bosses'!$I$5:$I$53&gt;0)+('Yellow Bosses'!$J$5:$J$53&gt;0)+('Yellow Bosses'!$L$5:$L$53&gt;0)+('Yellow Bosses'!$M$5:$M$53&gt;0))=0))</f>
        <v>0</v>
      </c>
      <c r="J472" s="25" t="n">
        <f aca="false">SUMPRODUCT(--(((Effectiveness!$F$5:$F$155&gt;=2)+(Effectiveness!$G$5:$G$155&gt;=2)+(Effectiveness!$I$5:$I$155&gt;=2)+(Effectiveness!$J$5:$J$155&gt;=2))&gt;0))</f>
        <v>96</v>
      </c>
      <c r="K472" s="26" t="n">
        <f aca="false">J472/151</f>
        <v>0.635761589403974</v>
      </c>
      <c r="L472" s="25" t="n">
        <f aca="false">MIN(INDEX('Move Reality'!$F$5:$F$19,MATCH(B472,'Move Reality'!$A$5:$A$19,0)),INDEX('Move Reality'!$F$5:$F$19,MATCH(C472,'Move Reality'!$A$5:$A$19,0)),INDEX('Move Reality'!$F$5:$F$19,MATCH(D472,'Move Reality'!$A$5:$A$19,0)),INDEX('Move Reality'!$F$5:$F$19,MATCH(E472,'Move Reality'!$A$5:$A$19,0)))</f>
        <v>4</v>
      </c>
      <c r="M472" s="28" t="str">
        <f aca="false">IF(L472&gt;=5,"YES","no - dead move")</f>
        <v>no - dead move</v>
      </c>
    </row>
    <row r="473" customFormat="false" ht="15" hidden="false" customHeight="false" outlineLevel="0" collapsed="false">
      <c r="A473" s="17" t="n">
        <v>469</v>
      </c>
      <c r="B473" s="17" t="s">
        <v>41</v>
      </c>
      <c r="C473" s="17" t="s">
        <v>43</v>
      </c>
      <c r="D473" s="17" t="s">
        <v>45</v>
      </c>
      <c r="E473" s="17" t="s">
        <v>49</v>
      </c>
      <c r="F473" s="25" t="n">
        <f aca="false">SUMPRODUCT(--((('Yellow Bosses'!$I$5:$I$53&gt;=2)+('Yellow Bosses'!$K$5:$K$53&gt;=2)+('Yellow Bosses'!$M$5:$M$53&gt;=2)+('Yellow Bosses'!$Q$5:$Q$53&gt;=2))&gt;0))</f>
        <v>34</v>
      </c>
      <c r="G473" s="26" t="n">
        <f aca="false">F473/49</f>
        <v>0.693877551020408</v>
      </c>
      <c r="H473" s="25" t="n">
        <f aca="false">49-SUMPRODUCT(--((('Yellow Bosses'!$I$5:$I$53&gt;=1)+('Yellow Bosses'!$K$5:$K$53&gt;=1)+('Yellow Bosses'!$M$5:$M$53&gt;=1)+('Yellow Bosses'!$Q$5:$Q$53&gt;=1))&gt;0))</f>
        <v>0</v>
      </c>
      <c r="I473" s="25" t="n">
        <f aca="false">SUMPRODUCT(--((('Yellow Bosses'!$I$5:$I$53&gt;0)+('Yellow Bosses'!$K$5:$K$53&gt;0)+('Yellow Bosses'!$M$5:$M$53&gt;0)+('Yellow Bosses'!$Q$5:$Q$53&gt;0))=0))</f>
        <v>0</v>
      </c>
      <c r="J473" s="25" t="n">
        <f aca="false">SUMPRODUCT(--(((Effectiveness!$F$5:$F$155&gt;=2)+(Effectiveness!$H$5:$H$155&gt;=2)+(Effectiveness!$J$5:$J$155&gt;=2)+(Effectiveness!$N$5:$N$155&gt;=2))&gt;0))</f>
        <v>96</v>
      </c>
      <c r="K473" s="26" t="n">
        <f aca="false">J473/151</f>
        <v>0.635761589403974</v>
      </c>
      <c r="L473" s="25" t="n">
        <f aca="false">MIN(INDEX('Move Reality'!$F$5:$F$19,MATCH(B473,'Move Reality'!$A$5:$A$19,0)),INDEX('Move Reality'!$F$5:$F$19,MATCH(C473,'Move Reality'!$A$5:$A$19,0)),INDEX('Move Reality'!$F$5:$F$19,MATCH(D473,'Move Reality'!$A$5:$A$19,0)),INDEX('Move Reality'!$F$5:$F$19,MATCH(E473,'Move Reality'!$A$5:$A$19,0)))</f>
        <v>5</v>
      </c>
      <c r="M473" s="28" t="str">
        <f aca="false">IF(L473&gt;=5,"YES","no - dead move")</f>
        <v>YES</v>
      </c>
    </row>
    <row r="474" customFormat="false" ht="15" hidden="false" customHeight="false" outlineLevel="0" collapsed="false">
      <c r="A474" s="17" t="n">
        <v>470</v>
      </c>
      <c r="B474" s="17" t="s">
        <v>41</v>
      </c>
      <c r="C474" s="17" t="s">
        <v>44</v>
      </c>
      <c r="D474" s="17" t="s">
        <v>52</v>
      </c>
      <c r="E474" s="17" t="s">
        <v>53</v>
      </c>
      <c r="F474" s="25" t="n">
        <f aca="false">SUMPRODUCT(--((('Yellow Bosses'!$I$5:$I$53&gt;=2)+('Yellow Bosses'!$L$5:$L$53&gt;=2)+('Yellow Bosses'!$T$5:$T$53&gt;=2)+('Yellow Bosses'!$U$5:$U$53&gt;=2))&gt;0))</f>
        <v>34</v>
      </c>
      <c r="G474" s="26" t="n">
        <f aca="false">F474/49</f>
        <v>0.693877551020408</v>
      </c>
      <c r="H474" s="25" t="n">
        <f aca="false">49-SUMPRODUCT(--((('Yellow Bosses'!$I$5:$I$53&gt;=1)+('Yellow Bosses'!$L$5:$L$53&gt;=1)+('Yellow Bosses'!$T$5:$T$53&gt;=1)+('Yellow Bosses'!$U$5:$U$53&gt;=1))&gt;0))</f>
        <v>0</v>
      </c>
      <c r="I474" s="25" t="n">
        <f aca="false">SUMPRODUCT(--((('Yellow Bosses'!$I$5:$I$53&gt;0)+('Yellow Bosses'!$L$5:$L$53&gt;0)+('Yellow Bosses'!$T$5:$T$53&gt;0)+('Yellow Bosses'!$U$5:$U$53&gt;0))=0))</f>
        <v>0</v>
      </c>
      <c r="J474" s="25" t="n">
        <f aca="false">SUMPRODUCT(--(((Effectiveness!$F$5:$F$155&gt;=2)+(Effectiveness!$I$5:$I$155&gt;=2)+(Effectiveness!$Q$5:$Q$155&gt;=2)+(Effectiveness!$R$5:$R$155&gt;=2))&gt;0))</f>
        <v>96</v>
      </c>
      <c r="K474" s="26" t="n">
        <f aca="false">J474/151</f>
        <v>0.635761589403974</v>
      </c>
      <c r="L474" s="25" t="n">
        <f aca="false">MIN(INDEX('Move Reality'!$F$5:$F$19,MATCH(B474,'Move Reality'!$A$5:$A$19,0)),INDEX('Move Reality'!$F$5:$F$19,MATCH(C474,'Move Reality'!$A$5:$A$19,0)),INDEX('Move Reality'!$F$5:$F$19,MATCH(D474,'Move Reality'!$A$5:$A$19,0)),INDEX('Move Reality'!$F$5:$F$19,MATCH(E474,'Move Reality'!$A$5:$A$19,0)))</f>
        <v>1</v>
      </c>
      <c r="M474" s="28" t="str">
        <f aca="false">IF(L474&gt;=5,"YES","no - dead move")</f>
        <v>no - dead move</v>
      </c>
    </row>
    <row r="475" customFormat="false" ht="15" hidden="false" customHeight="false" outlineLevel="0" collapsed="false">
      <c r="A475" s="17" t="n">
        <v>471</v>
      </c>
      <c r="B475" s="17" t="s">
        <v>40</v>
      </c>
      <c r="C475" s="17" t="s">
        <v>48</v>
      </c>
      <c r="D475" s="17" t="s">
        <v>50</v>
      </c>
      <c r="E475" s="17" t="s">
        <v>52</v>
      </c>
      <c r="F475" s="25" t="n">
        <f aca="false">SUMPRODUCT(--((('Yellow Bosses'!$H$5:$H$53&gt;=2)+('Yellow Bosses'!$P$5:$P$53&gt;=2)+('Yellow Bosses'!$R$5:$R$53&gt;=2)+('Yellow Bosses'!$T$5:$T$53&gt;=2))&gt;0))</f>
        <v>34</v>
      </c>
      <c r="G475" s="26" t="n">
        <f aca="false">F475/49</f>
        <v>0.693877551020408</v>
      </c>
      <c r="H475" s="25" t="n">
        <f aca="false">49-SUMPRODUCT(--((('Yellow Bosses'!$H$5:$H$53&gt;=1)+('Yellow Bosses'!$P$5:$P$53&gt;=1)+('Yellow Bosses'!$R$5:$R$53&gt;=1)+('Yellow Bosses'!$T$5:$T$53&gt;=1))&gt;0))</f>
        <v>0</v>
      </c>
      <c r="I475" s="25" t="n">
        <f aca="false">SUMPRODUCT(--((('Yellow Bosses'!$H$5:$H$53&gt;0)+('Yellow Bosses'!$P$5:$P$53&gt;0)+('Yellow Bosses'!$R$5:$R$53&gt;0)+('Yellow Bosses'!$T$5:$T$53&gt;0))=0))</f>
        <v>0</v>
      </c>
      <c r="J475" s="25" t="n">
        <f aca="false">SUMPRODUCT(--(((Effectiveness!$E$5:$E$155&gt;=2)+(Effectiveness!$M$5:$M$155&gt;=2)+(Effectiveness!$O$5:$O$155&gt;=2)+(Effectiveness!$Q$5:$Q$155&gt;=2))&gt;0))</f>
        <v>95</v>
      </c>
      <c r="K475" s="26" t="n">
        <f aca="false">J475/151</f>
        <v>0.629139072847682</v>
      </c>
      <c r="L475" s="25" t="n">
        <f aca="false">MIN(INDEX('Move Reality'!$F$5:$F$19,MATCH(B475,'Move Reality'!$A$5:$A$19,0)),INDEX('Move Reality'!$F$5:$F$19,MATCH(C475,'Move Reality'!$A$5:$A$19,0)),INDEX('Move Reality'!$F$5:$F$19,MATCH(D475,'Move Reality'!$A$5:$A$19,0)),INDEX('Move Reality'!$F$5:$F$19,MATCH(E475,'Move Reality'!$A$5:$A$19,0)))</f>
        <v>6</v>
      </c>
      <c r="M475" s="28" t="str">
        <f aca="false">IF(L475&gt;=5,"YES","no - dead move")</f>
        <v>YES</v>
      </c>
    </row>
    <row r="476" customFormat="false" ht="15" hidden="false" customHeight="false" outlineLevel="0" collapsed="false">
      <c r="A476" s="17" t="n">
        <v>472</v>
      </c>
      <c r="B476" s="17" t="s">
        <v>48</v>
      </c>
      <c r="C476" s="17" t="s">
        <v>50</v>
      </c>
      <c r="D476" s="17" t="s">
        <v>52</v>
      </c>
      <c r="E476" s="17" t="s">
        <v>53</v>
      </c>
      <c r="F476" s="25" t="n">
        <f aca="false">SUMPRODUCT(--((('Yellow Bosses'!$P$5:$P$53&gt;=2)+('Yellow Bosses'!$R$5:$R$53&gt;=2)+('Yellow Bosses'!$T$5:$T$53&gt;=2)+('Yellow Bosses'!$U$5:$U$53&gt;=2))&gt;0))</f>
        <v>34</v>
      </c>
      <c r="G476" s="26" t="n">
        <f aca="false">F476/49</f>
        <v>0.693877551020408</v>
      </c>
      <c r="H476" s="25" t="n">
        <f aca="false">49-SUMPRODUCT(--((('Yellow Bosses'!$P$5:$P$53&gt;=1)+('Yellow Bosses'!$R$5:$R$53&gt;=1)+('Yellow Bosses'!$T$5:$T$53&gt;=1)+('Yellow Bosses'!$U$5:$U$53&gt;=1))&gt;0))</f>
        <v>0</v>
      </c>
      <c r="I476" s="25" t="n">
        <f aca="false">SUMPRODUCT(--((('Yellow Bosses'!$P$5:$P$53&gt;0)+('Yellow Bosses'!$R$5:$R$53&gt;0)+('Yellow Bosses'!$T$5:$T$53&gt;0)+('Yellow Bosses'!$U$5:$U$53&gt;0))=0))</f>
        <v>0</v>
      </c>
      <c r="J476" s="25" t="n">
        <f aca="false">SUMPRODUCT(--(((Effectiveness!$M$5:$M$155&gt;=2)+(Effectiveness!$O$5:$O$155&gt;=2)+(Effectiveness!$Q$5:$Q$155&gt;=2)+(Effectiveness!$R$5:$R$155&gt;=2))&gt;0))</f>
        <v>95</v>
      </c>
      <c r="K476" s="26" t="n">
        <f aca="false">J476/151</f>
        <v>0.629139072847682</v>
      </c>
      <c r="L476" s="25" t="n">
        <f aca="false">MIN(INDEX('Move Reality'!$F$5:$F$19,MATCH(B476,'Move Reality'!$A$5:$A$19,0)),INDEX('Move Reality'!$F$5:$F$19,MATCH(C476,'Move Reality'!$A$5:$A$19,0)),INDEX('Move Reality'!$F$5:$F$19,MATCH(D476,'Move Reality'!$A$5:$A$19,0)),INDEX('Move Reality'!$F$5:$F$19,MATCH(E476,'Move Reality'!$A$5:$A$19,0)))</f>
        <v>1</v>
      </c>
      <c r="M476" s="28" t="str">
        <f aca="false">IF(L476&gt;=5,"YES","no - dead move")</f>
        <v>no - dead move</v>
      </c>
    </row>
    <row r="477" customFormat="false" ht="15" hidden="false" customHeight="false" outlineLevel="0" collapsed="false">
      <c r="A477" s="17" t="n">
        <v>473</v>
      </c>
      <c r="B477" s="17" t="s">
        <v>40</v>
      </c>
      <c r="C477" s="17" t="s">
        <v>42</v>
      </c>
      <c r="D477" s="17" t="s">
        <v>46</v>
      </c>
      <c r="E477" s="17" t="s">
        <v>51</v>
      </c>
      <c r="F477" s="25" t="n">
        <f aca="false">SUMPRODUCT(--((('Yellow Bosses'!$H$5:$H$53&gt;=2)+('Yellow Bosses'!$J$5:$J$53&gt;=2)+('Yellow Bosses'!$N$5:$N$53&gt;=2)+('Yellow Bosses'!$S$5:$S$53&gt;=2))&gt;0))</f>
        <v>34</v>
      </c>
      <c r="G477" s="26" t="n">
        <f aca="false">F477/49</f>
        <v>0.693877551020408</v>
      </c>
      <c r="H477" s="25" t="n">
        <f aca="false">49-SUMPRODUCT(--((('Yellow Bosses'!$H$5:$H$53&gt;=1)+('Yellow Bosses'!$J$5:$J$53&gt;=1)+('Yellow Bosses'!$N$5:$N$53&gt;=1)+('Yellow Bosses'!$S$5:$S$53&gt;=1))&gt;0))</f>
        <v>0</v>
      </c>
      <c r="I477" s="25" t="n">
        <f aca="false">SUMPRODUCT(--((('Yellow Bosses'!$H$5:$H$53&gt;0)+('Yellow Bosses'!$J$5:$J$53&gt;0)+('Yellow Bosses'!$N$5:$N$53&gt;0)+('Yellow Bosses'!$S$5:$S$53&gt;0))=0))</f>
        <v>0</v>
      </c>
      <c r="J477" s="25" t="n">
        <f aca="false">SUMPRODUCT(--(((Effectiveness!$E$5:$E$155&gt;=2)+(Effectiveness!$G$5:$G$155&gt;=2)+(Effectiveness!$K$5:$K$155&gt;=2)+(Effectiveness!$P$5:$P$155&gt;=2))&gt;0))</f>
        <v>93</v>
      </c>
      <c r="K477" s="26" t="n">
        <f aca="false">J477/151</f>
        <v>0.615894039735099</v>
      </c>
      <c r="L477" s="25" t="n">
        <f aca="false">MIN(INDEX('Move Reality'!$F$5:$F$19,MATCH(B477,'Move Reality'!$A$5:$A$19,0)),INDEX('Move Reality'!$F$5:$F$19,MATCH(C477,'Move Reality'!$A$5:$A$19,0)),INDEX('Move Reality'!$F$5:$F$19,MATCH(D477,'Move Reality'!$A$5:$A$19,0)),INDEX('Move Reality'!$F$5:$F$19,MATCH(E477,'Move Reality'!$A$5:$A$19,0)))</f>
        <v>1</v>
      </c>
      <c r="M477" s="28" t="str">
        <f aca="false">IF(L477&gt;=5,"YES","no - dead move")</f>
        <v>no - dead move</v>
      </c>
    </row>
    <row r="478" customFormat="false" ht="15" hidden="false" customHeight="false" outlineLevel="0" collapsed="false">
      <c r="A478" s="17" t="n">
        <v>474</v>
      </c>
      <c r="B478" s="17" t="s">
        <v>41</v>
      </c>
      <c r="C478" s="17" t="s">
        <v>46</v>
      </c>
      <c r="D478" s="17" t="s">
        <v>50</v>
      </c>
      <c r="E478" s="17" t="s">
        <v>51</v>
      </c>
      <c r="F478" s="25" t="n">
        <f aca="false">SUMPRODUCT(--((('Yellow Bosses'!$I$5:$I$53&gt;=2)+('Yellow Bosses'!$N$5:$N$53&gt;=2)+('Yellow Bosses'!$R$5:$R$53&gt;=2)+('Yellow Bosses'!$S$5:$S$53&gt;=2))&gt;0))</f>
        <v>34</v>
      </c>
      <c r="G478" s="26" t="n">
        <f aca="false">F478/49</f>
        <v>0.693877551020408</v>
      </c>
      <c r="H478" s="25" t="n">
        <f aca="false">49-SUMPRODUCT(--((('Yellow Bosses'!$I$5:$I$53&gt;=1)+('Yellow Bosses'!$N$5:$N$53&gt;=1)+('Yellow Bosses'!$R$5:$R$53&gt;=1)+('Yellow Bosses'!$S$5:$S$53&gt;=1))&gt;0))</f>
        <v>0</v>
      </c>
      <c r="I478" s="25" t="n">
        <f aca="false">SUMPRODUCT(--((('Yellow Bosses'!$I$5:$I$53&gt;0)+('Yellow Bosses'!$N$5:$N$53&gt;0)+('Yellow Bosses'!$R$5:$R$53&gt;0)+('Yellow Bosses'!$S$5:$S$53&gt;0))=0))</f>
        <v>0</v>
      </c>
      <c r="J478" s="25" t="n">
        <f aca="false">SUMPRODUCT(--(((Effectiveness!$F$5:$F$155&gt;=2)+(Effectiveness!$K$5:$K$155&gt;=2)+(Effectiveness!$O$5:$O$155&gt;=2)+(Effectiveness!$P$5:$P$155&gt;=2))&gt;0))</f>
        <v>93</v>
      </c>
      <c r="K478" s="26" t="n">
        <f aca="false">J478/151</f>
        <v>0.615894039735099</v>
      </c>
      <c r="L478" s="25" t="n">
        <f aca="false">MIN(INDEX('Move Reality'!$F$5:$F$19,MATCH(B478,'Move Reality'!$A$5:$A$19,0)),INDEX('Move Reality'!$F$5:$F$19,MATCH(C478,'Move Reality'!$A$5:$A$19,0)),INDEX('Move Reality'!$F$5:$F$19,MATCH(D478,'Move Reality'!$A$5:$A$19,0)),INDEX('Move Reality'!$F$5:$F$19,MATCH(E478,'Move Reality'!$A$5:$A$19,0)))</f>
        <v>1</v>
      </c>
      <c r="M478" s="28" t="str">
        <f aca="false">IF(L478&gt;=5,"YES","no - dead move")</f>
        <v>no - dead move</v>
      </c>
    </row>
    <row r="479" customFormat="false" ht="15" hidden="false" customHeight="false" outlineLevel="0" collapsed="false">
      <c r="A479" s="17" t="n">
        <v>475</v>
      </c>
      <c r="B479" s="17" t="s">
        <v>41</v>
      </c>
      <c r="C479" s="17" t="s">
        <v>43</v>
      </c>
      <c r="D479" s="17" t="s">
        <v>45</v>
      </c>
      <c r="E479" s="17" t="s">
        <v>53</v>
      </c>
      <c r="F479" s="25" t="n">
        <f aca="false">SUMPRODUCT(--((('Yellow Bosses'!$I$5:$I$53&gt;=2)+('Yellow Bosses'!$K$5:$K$53&gt;=2)+('Yellow Bosses'!$M$5:$M$53&gt;=2)+('Yellow Bosses'!$U$5:$U$53&gt;=2))&gt;0))</f>
        <v>34</v>
      </c>
      <c r="G479" s="26" t="n">
        <f aca="false">F479/49</f>
        <v>0.693877551020408</v>
      </c>
      <c r="H479" s="25" t="n">
        <f aca="false">49-SUMPRODUCT(--((('Yellow Bosses'!$I$5:$I$53&gt;=1)+('Yellow Bosses'!$K$5:$K$53&gt;=1)+('Yellow Bosses'!$M$5:$M$53&gt;=1)+('Yellow Bosses'!$U$5:$U$53&gt;=1))&gt;0))</f>
        <v>0</v>
      </c>
      <c r="I479" s="25" t="n">
        <f aca="false">SUMPRODUCT(--((('Yellow Bosses'!$I$5:$I$53&gt;0)+('Yellow Bosses'!$K$5:$K$53&gt;0)+('Yellow Bosses'!$M$5:$M$53&gt;0)+('Yellow Bosses'!$U$5:$U$53&gt;0))=0))</f>
        <v>0</v>
      </c>
      <c r="J479" s="25" t="n">
        <f aca="false">SUMPRODUCT(--(((Effectiveness!$F$5:$F$155&gt;=2)+(Effectiveness!$H$5:$H$155&gt;=2)+(Effectiveness!$J$5:$J$155&gt;=2)+(Effectiveness!$R$5:$R$155&gt;=2))&gt;0))</f>
        <v>92</v>
      </c>
      <c r="K479" s="26" t="n">
        <f aca="false">J479/151</f>
        <v>0.609271523178808</v>
      </c>
      <c r="L479" s="25" t="n">
        <f aca="false">MIN(INDEX('Move Reality'!$F$5:$F$19,MATCH(B479,'Move Reality'!$A$5:$A$19,0)),INDEX('Move Reality'!$F$5:$F$19,MATCH(C479,'Move Reality'!$A$5:$A$19,0)),INDEX('Move Reality'!$F$5:$F$19,MATCH(D479,'Move Reality'!$A$5:$A$19,0)),INDEX('Move Reality'!$F$5:$F$19,MATCH(E479,'Move Reality'!$A$5:$A$19,0)))</f>
        <v>1</v>
      </c>
      <c r="M479" s="28" t="str">
        <f aca="false">IF(L479&gt;=5,"YES","no - dead move")</f>
        <v>no - dead move</v>
      </c>
    </row>
    <row r="480" customFormat="false" ht="15" hidden="false" customHeight="false" outlineLevel="0" collapsed="false">
      <c r="A480" s="17" t="n">
        <v>476</v>
      </c>
      <c r="B480" s="17" t="s">
        <v>46</v>
      </c>
      <c r="C480" s="17" t="s">
        <v>47</v>
      </c>
      <c r="D480" s="17" t="s">
        <v>50</v>
      </c>
      <c r="E480" s="17" t="s">
        <v>51</v>
      </c>
      <c r="F480" s="25" t="n">
        <f aca="false">SUMPRODUCT(--((('Yellow Bosses'!$N$5:$N$53&gt;=2)+('Yellow Bosses'!$O$5:$O$53&gt;=2)+('Yellow Bosses'!$R$5:$R$53&gt;=2)+('Yellow Bosses'!$S$5:$S$53&gt;=2))&gt;0))</f>
        <v>34</v>
      </c>
      <c r="G480" s="26" t="n">
        <f aca="false">F480/49</f>
        <v>0.693877551020408</v>
      </c>
      <c r="H480" s="25" t="n">
        <f aca="false">49-SUMPRODUCT(--((('Yellow Bosses'!$N$5:$N$53&gt;=1)+('Yellow Bosses'!$O$5:$O$53&gt;=1)+('Yellow Bosses'!$R$5:$R$53&gt;=1)+('Yellow Bosses'!$S$5:$S$53&gt;=1))&gt;0))</f>
        <v>0</v>
      </c>
      <c r="I480" s="25" t="n">
        <f aca="false">SUMPRODUCT(--((('Yellow Bosses'!$N$5:$N$53&gt;0)+('Yellow Bosses'!$O$5:$O$53&gt;0)+('Yellow Bosses'!$R$5:$R$53&gt;0)+('Yellow Bosses'!$S$5:$S$53&gt;0))=0))</f>
        <v>0</v>
      </c>
      <c r="J480" s="25" t="n">
        <f aca="false">SUMPRODUCT(--(((Effectiveness!$K$5:$K$155&gt;=2)+(Effectiveness!$L$5:$L$155&gt;=2)+(Effectiveness!$O$5:$O$155&gt;=2)+(Effectiveness!$P$5:$P$155&gt;=2))&gt;0))</f>
        <v>92</v>
      </c>
      <c r="K480" s="26" t="n">
        <f aca="false">J480/151</f>
        <v>0.609271523178808</v>
      </c>
      <c r="L480" s="25" t="n">
        <f aca="false">MIN(INDEX('Move Reality'!$F$5:$F$19,MATCH(B480,'Move Reality'!$A$5:$A$19,0)),INDEX('Move Reality'!$F$5:$F$19,MATCH(C480,'Move Reality'!$A$5:$A$19,0)),INDEX('Move Reality'!$F$5:$F$19,MATCH(D480,'Move Reality'!$A$5:$A$19,0)),INDEX('Move Reality'!$F$5:$F$19,MATCH(E480,'Move Reality'!$A$5:$A$19,0)))</f>
        <v>1</v>
      </c>
      <c r="M480" s="28" t="str">
        <f aca="false">IF(L480&gt;=5,"YES","no - dead move")</f>
        <v>no - dead move</v>
      </c>
    </row>
    <row r="481" customFormat="false" ht="15" hidden="false" customHeight="false" outlineLevel="0" collapsed="false">
      <c r="A481" s="17" t="n">
        <v>477</v>
      </c>
      <c r="B481" s="17" t="s">
        <v>46</v>
      </c>
      <c r="C481" s="17" t="s">
        <v>49</v>
      </c>
      <c r="D481" s="17" t="s">
        <v>50</v>
      </c>
      <c r="E481" s="17" t="s">
        <v>51</v>
      </c>
      <c r="F481" s="25" t="n">
        <f aca="false">SUMPRODUCT(--((('Yellow Bosses'!$N$5:$N$53&gt;=2)+('Yellow Bosses'!$Q$5:$Q$53&gt;=2)+('Yellow Bosses'!$R$5:$R$53&gt;=2)+('Yellow Bosses'!$S$5:$S$53&gt;=2))&gt;0))</f>
        <v>34</v>
      </c>
      <c r="G481" s="26" t="n">
        <f aca="false">F481/49</f>
        <v>0.693877551020408</v>
      </c>
      <c r="H481" s="25" t="n">
        <f aca="false">49-SUMPRODUCT(--((('Yellow Bosses'!$N$5:$N$53&gt;=1)+('Yellow Bosses'!$Q$5:$Q$53&gt;=1)+('Yellow Bosses'!$R$5:$R$53&gt;=1)+('Yellow Bosses'!$S$5:$S$53&gt;=1))&gt;0))</f>
        <v>0</v>
      </c>
      <c r="I481" s="25" t="n">
        <f aca="false">SUMPRODUCT(--((('Yellow Bosses'!$N$5:$N$53&gt;0)+('Yellow Bosses'!$Q$5:$Q$53&gt;0)+('Yellow Bosses'!$R$5:$R$53&gt;0)+('Yellow Bosses'!$S$5:$S$53&gt;0))=0))</f>
        <v>0</v>
      </c>
      <c r="J481" s="25" t="n">
        <f aca="false">SUMPRODUCT(--(((Effectiveness!$K$5:$K$155&gt;=2)+(Effectiveness!$N$5:$N$155&gt;=2)+(Effectiveness!$O$5:$O$155&gt;=2)+(Effectiveness!$P$5:$P$155&gt;=2))&gt;0))</f>
        <v>92</v>
      </c>
      <c r="K481" s="26" t="n">
        <f aca="false">J481/151</f>
        <v>0.609271523178808</v>
      </c>
      <c r="L481" s="25" t="n">
        <f aca="false">MIN(INDEX('Move Reality'!$F$5:$F$19,MATCH(B481,'Move Reality'!$A$5:$A$19,0)),INDEX('Move Reality'!$F$5:$F$19,MATCH(C481,'Move Reality'!$A$5:$A$19,0)),INDEX('Move Reality'!$F$5:$F$19,MATCH(D481,'Move Reality'!$A$5:$A$19,0)),INDEX('Move Reality'!$F$5:$F$19,MATCH(E481,'Move Reality'!$A$5:$A$19,0)))</f>
        <v>1</v>
      </c>
      <c r="M481" s="28" t="str">
        <f aca="false">IF(L481&gt;=5,"YES","no - dead move")</f>
        <v>no - dead move</v>
      </c>
    </row>
    <row r="482" customFormat="false" ht="15" hidden="false" customHeight="false" outlineLevel="0" collapsed="false">
      <c r="A482" s="17" t="n">
        <v>478</v>
      </c>
      <c r="B482" s="17" t="s">
        <v>46</v>
      </c>
      <c r="C482" s="17" t="s">
        <v>48</v>
      </c>
      <c r="D482" s="17" t="s">
        <v>50</v>
      </c>
      <c r="E482" s="17" t="s">
        <v>54</v>
      </c>
      <c r="F482" s="25" t="n">
        <f aca="false">SUMPRODUCT(--((('Yellow Bosses'!$N$5:$N$53&gt;=2)+('Yellow Bosses'!$P$5:$P$53&gt;=2)+('Yellow Bosses'!$R$5:$R$53&gt;=2)+('Yellow Bosses'!$V$5:$V$53&gt;=2))&gt;0))</f>
        <v>34</v>
      </c>
      <c r="G482" s="26" t="n">
        <f aca="false">F482/49</f>
        <v>0.693877551020408</v>
      </c>
      <c r="H482" s="25" t="n">
        <f aca="false">49-SUMPRODUCT(--((('Yellow Bosses'!$N$5:$N$53&gt;=1)+('Yellow Bosses'!$P$5:$P$53&gt;=1)+('Yellow Bosses'!$R$5:$R$53&gt;=1)+('Yellow Bosses'!$V$5:$V$53&gt;=1))&gt;0))</f>
        <v>0</v>
      </c>
      <c r="I482" s="25" t="n">
        <f aca="false">SUMPRODUCT(--((('Yellow Bosses'!$N$5:$N$53&gt;0)+('Yellow Bosses'!$P$5:$P$53&gt;0)+('Yellow Bosses'!$R$5:$R$53&gt;0)+('Yellow Bosses'!$V$5:$V$53&gt;0))=0))</f>
        <v>0</v>
      </c>
      <c r="J482" s="25" t="n">
        <f aca="false">SUMPRODUCT(--(((Effectiveness!$K$5:$K$155&gt;=2)+(Effectiveness!$M$5:$M$155&gt;=2)+(Effectiveness!$O$5:$O$155&gt;=2)+(Effectiveness!$S$5:$S$155&gt;=2))&gt;0))</f>
        <v>91</v>
      </c>
      <c r="K482" s="26" t="n">
        <f aca="false">J482/151</f>
        <v>0.602649006622517</v>
      </c>
      <c r="L482" s="25" t="n">
        <f aca="false">MIN(INDEX('Move Reality'!$F$5:$F$19,MATCH(B482,'Move Reality'!$A$5:$A$19,0)),INDEX('Move Reality'!$F$5:$F$19,MATCH(C482,'Move Reality'!$A$5:$A$19,0)),INDEX('Move Reality'!$F$5:$F$19,MATCH(D482,'Move Reality'!$A$5:$A$19,0)),INDEX('Move Reality'!$F$5:$F$19,MATCH(E482,'Move Reality'!$A$5:$A$19,0)))</f>
        <v>1</v>
      </c>
      <c r="M482" s="28" t="str">
        <f aca="false">IF(L482&gt;=5,"YES","no - dead move")</f>
        <v>no - dead move</v>
      </c>
    </row>
    <row r="483" customFormat="false" ht="15" hidden="false" customHeight="false" outlineLevel="0" collapsed="false">
      <c r="A483" s="17" t="n">
        <v>479</v>
      </c>
      <c r="B483" s="17" t="s">
        <v>41</v>
      </c>
      <c r="C483" s="17" t="s">
        <v>42</v>
      </c>
      <c r="D483" s="17" t="s">
        <v>45</v>
      </c>
      <c r="E483" s="17" t="s">
        <v>50</v>
      </c>
      <c r="F483" s="25" t="n">
        <f aca="false">SUMPRODUCT(--((('Yellow Bosses'!$I$5:$I$53&gt;=2)+('Yellow Bosses'!$J$5:$J$53&gt;=2)+('Yellow Bosses'!$M$5:$M$53&gt;=2)+('Yellow Bosses'!$R$5:$R$53&gt;=2))&gt;0))</f>
        <v>34</v>
      </c>
      <c r="G483" s="26" t="n">
        <f aca="false">F483/49</f>
        <v>0.693877551020408</v>
      </c>
      <c r="H483" s="25" t="n">
        <f aca="false">49-SUMPRODUCT(--((('Yellow Bosses'!$I$5:$I$53&gt;=1)+('Yellow Bosses'!$J$5:$J$53&gt;=1)+('Yellow Bosses'!$M$5:$M$53&gt;=1)+('Yellow Bosses'!$R$5:$R$53&gt;=1))&gt;0))</f>
        <v>2</v>
      </c>
      <c r="I483" s="25" t="n">
        <f aca="false">SUMPRODUCT(--((('Yellow Bosses'!$I$5:$I$53&gt;0)+('Yellow Bosses'!$J$5:$J$53&gt;0)+('Yellow Bosses'!$M$5:$M$53&gt;0)+('Yellow Bosses'!$R$5:$R$53&gt;0))=0))</f>
        <v>0</v>
      </c>
      <c r="J483" s="25" t="n">
        <f aca="false">SUMPRODUCT(--(((Effectiveness!$F$5:$F$155&gt;=2)+(Effectiveness!$G$5:$G$155&gt;=2)+(Effectiveness!$J$5:$J$155&gt;=2)+(Effectiveness!$O$5:$O$155&gt;=2))&gt;0))</f>
        <v>90</v>
      </c>
      <c r="K483" s="26" t="n">
        <f aca="false">J483/151</f>
        <v>0.596026490066225</v>
      </c>
      <c r="L483" s="25" t="n">
        <f aca="false">MIN(INDEX('Move Reality'!$F$5:$F$19,MATCH(B483,'Move Reality'!$A$5:$A$19,0)),INDEX('Move Reality'!$F$5:$F$19,MATCH(C483,'Move Reality'!$A$5:$A$19,0)),INDEX('Move Reality'!$F$5:$F$19,MATCH(D483,'Move Reality'!$A$5:$A$19,0)),INDEX('Move Reality'!$F$5:$F$19,MATCH(E483,'Move Reality'!$A$5:$A$19,0)))</f>
        <v>7</v>
      </c>
      <c r="M483" s="28" t="str">
        <f aca="false">IF(L483&gt;=5,"YES","no - dead move")</f>
        <v>YES</v>
      </c>
    </row>
    <row r="484" customFormat="false" ht="15" hidden="false" customHeight="false" outlineLevel="0" collapsed="false">
      <c r="A484" s="17" t="n">
        <v>480</v>
      </c>
      <c r="B484" s="17" t="s">
        <v>41</v>
      </c>
      <c r="C484" s="17" t="s">
        <v>42</v>
      </c>
      <c r="D484" s="17" t="s">
        <v>45</v>
      </c>
      <c r="E484" s="17" t="s">
        <v>51</v>
      </c>
      <c r="F484" s="25" t="n">
        <f aca="false">SUMPRODUCT(--((('Yellow Bosses'!$I$5:$I$53&gt;=2)+('Yellow Bosses'!$J$5:$J$53&gt;=2)+('Yellow Bosses'!$M$5:$M$53&gt;=2)+('Yellow Bosses'!$S$5:$S$53&gt;=2))&gt;0))</f>
        <v>34</v>
      </c>
      <c r="G484" s="26" t="n">
        <f aca="false">F484/49</f>
        <v>0.693877551020408</v>
      </c>
      <c r="H484" s="25" t="n">
        <f aca="false">49-SUMPRODUCT(--((('Yellow Bosses'!$I$5:$I$53&gt;=1)+('Yellow Bosses'!$J$5:$J$53&gt;=1)+('Yellow Bosses'!$M$5:$M$53&gt;=1)+('Yellow Bosses'!$S$5:$S$53&gt;=1))&gt;0))</f>
        <v>0</v>
      </c>
      <c r="I484" s="25" t="n">
        <f aca="false">SUMPRODUCT(--((('Yellow Bosses'!$I$5:$I$53&gt;0)+('Yellow Bosses'!$J$5:$J$53&gt;0)+('Yellow Bosses'!$M$5:$M$53&gt;0)+('Yellow Bosses'!$S$5:$S$53&gt;0))=0))</f>
        <v>0</v>
      </c>
      <c r="J484" s="25" t="n">
        <f aca="false">SUMPRODUCT(--(((Effectiveness!$F$5:$F$155&gt;=2)+(Effectiveness!$G$5:$G$155&gt;=2)+(Effectiveness!$J$5:$J$155&gt;=2)+(Effectiveness!$P$5:$P$155&gt;=2))&gt;0))</f>
        <v>90</v>
      </c>
      <c r="K484" s="26" t="n">
        <f aca="false">J484/151</f>
        <v>0.596026490066225</v>
      </c>
      <c r="L484" s="25" t="n">
        <f aca="false">MIN(INDEX('Move Reality'!$F$5:$F$19,MATCH(B484,'Move Reality'!$A$5:$A$19,0)),INDEX('Move Reality'!$F$5:$F$19,MATCH(C484,'Move Reality'!$A$5:$A$19,0)),INDEX('Move Reality'!$F$5:$F$19,MATCH(D484,'Move Reality'!$A$5:$A$19,0)),INDEX('Move Reality'!$F$5:$F$19,MATCH(E484,'Move Reality'!$A$5:$A$19,0)))</f>
        <v>1</v>
      </c>
      <c r="M484" s="28" t="str">
        <f aca="false">IF(L484&gt;=5,"YES","no - dead move")</f>
        <v>no - dead move</v>
      </c>
    </row>
    <row r="485" customFormat="false" ht="15" hidden="false" customHeight="false" outlineLevel="0" collapsed="false">
      <c r="A485" s="17" t="n">
        <v>481</v>
      </c>
      <c r="B485" s="17" t="s">
        <v>49</v>
      </c>
      <c r="C485" s="17" t="s">
        <v>51</v>
      </c>
      <c r="D485" s="17" t="s">
        <v>52</v>
      </c>
      <c r="E485" s="17" t="s">
        <v>54</v>
      </c>
      <c r="F485" s="25" t="n">
        <f aca="false">SUMPRODUCT(--((('Yellow Bosses'!$Q$5:$Q$53&gt;=2)+('Yellow Bosses'!$S$5:$S$53&gt;=2)+('Yellow Bosses'!$T$5:$T$53&gt;=2)+('Yellow Bosses'!$V$5:$V$53&gt;=2))&gt;0))</f>
        <v>34</v>
      </c>
      <c r="G485" s="26" t="n">
        <f aca="false">F485/49</f>
        <v>0.693877551020408</v>
      </c>
      <c r="H485" s="25" t="n">
        <f aca="false">49-SUMPRODUCT(--((('Yellow Bosses'!$Q$5:$Q$53&gt;=1)+('Yellow Bosses'!$S$5:$S$53&gt;=1)+('Yellow Bosses'!$T$5:$T$53&gt;=1)+('Yellow Bosses'!$V$5:$V$53&gt;=1))&gt;0))</f>
        <v>0</v>
      </c>
      <c r="I485" s="25" t="n">
        <f aca="false">SUMPRODUCT(--((('Yellow Bosses'!$Q$5:$Q$53&gt;0)+('Yellow Bosses'!$S$5:$S$53&gt;0)+('Yellow Bosses'!$T$5:$T$53&gt;0)+('Yellow Bosses'!$V$5:$V$53&gt;0))=0))</f>
        <v>0</v>
      </c>
      <c r="J485" s="25" t="n">
        <f aca="false">SUMPRODUCT(--(((Effectiveness!$N$5:$N$155&gt;=2)+(Effectiveness!$P$5:$P$155&gt;=2)+(Effectiveness!$Q$5:$Q$155&gt;=2)+(Effectiveness!$S$5:$S$155&gt;=2))&gt;0))</f>
        <v>90</v>
      </c>
      <c r="K485" s="26" t="n">
        <f aca="false">J485/151</f>
        <v>0.596026490066225</v>
      </c>
      <c r="L485" s="25" t="n">
        <f aca="false">MIN(INDEX('Move Reality'!$F$5:$F$19,MATCH(B485,'Move Reality'!$A$5:$A$19,0)),INDEX('Move Reality'!$F$5:$F$19,MATCH(C485,'Move Reality'!$A$5:$A$19,0)),INDEX('Move Reality'!$F$5:$F$19,MATCH(D485,'Move Reality'!$A$5:$A$19,0)),INDEX('Move Reality'!$F$5:$F$19,MATCH(E485,'Move Reality'!$A$5:$A$19,0)))</f>
        <v>1</v>
      </c>
      <c r="M485" s="28" t="str">
        <f aca="false">IF(L485&gt;=5,"YES","no - dead move")</f>
        <v>no - dead move</v>
      </c>
    </row>
    <row r="486" customFormat="false" ht="15" hidden="false" customHeight="false" outlineLevel="0" collapsed="false">
      <c r="A486" s="17" t="n">
        <v>482</v>
      </c>
      <c r="B486" s="17" t="s">
        <v>40</v>
      </c>
      <c r="C486" s="17" t="s">
        <v>42</v>
      </c>
      <c r="D486" s="17" t="s">
        <v>50</v>
      </c>
      <c r="E486" s="17" t="s">
        <v>52</v>
      </c>
      <c r="F486" s="25" t="n">
        <f aca="false">SUMPRODUCT(--((('Yellow Bosses'!$H$5:$H$53&gt;=2)+('Yellow Bosses'!$J$5:$J$53&gt;=2)+('Yellow Bosses'!$R$5:$R$53&gt;=2)+('Yellow Bosses'!$T$5:$T$53&gt;=2))&gt;0))</f>
        <v>34</v>
      </c>
      <c r="G486" s="26" t="n">
        <f aca="false">F486/49</f>
        <v>0.693877551020408</v>
      </c>
      <c r="H486" s="25" t="n">
        <f aca="false">49-SUMPRODUCT(--((('Yellow Bosses'!$H$5:$H$53&gt;=1)+('Yellow Bosses'!$J$5:$J$53&gt;=1)+('Yellow Bosses'!$R$5:$R$53&gt;=1)+('Yellow Bosses'!$T$5:$T$53&gt;=1))&gt;0))</f>
        <v>0</v>
      </c>
      <c r="I486" s="25" t="n">
        <f aca="false">SUMPRODUCT(--((('Yellow Bosses'!$H$5:$H$53&gt;0)+('Yellow Bosses'!$J$5:$J$53&gt;0)+('Yellow Bosses'!$R$5:$R$53&gt;0)+('Yellow Bosses'!$T$5:$T$53&gt;0))=0))</f>
        <v>0</v>
      </c>
      <c r="J486" s="25" t="n">
        <f aca="false">SUMPRODUCT(--(((Effectiveness!$E$5:$E$155&gt;=2)+(Effectiveness!$G$5:$G$155&gt;=2)+(Effectiveness!$O$5:$O$155&gt;=2)+(Effectiveness!$Q$5:$Q$155&gt;=2))&gt;0))</f>
        <v>89</v>
      </c>
      <c r="K486" s="26" t="n">
        <f aca="false">J486/151</f>
        <v>0.589403973509934</v>
      </c>
      <c r="L486" s="25" t="n">
        <f aca="false">MIN(INDEX('Move Reality'!$F$5:$F$19,MATCH(B486,'Move Reality'!$A$5:$A$19,0)),INDEX('Move Reality'!$F$5:$F$19,MATCH(C486,'Move Reality'!$A$5:$A$19,0)),INDEX('Move Reality'!$F$5:$F$19,MATCH(D486,'Move Reality'!$A$5:$A$19,0)),INDEX('Move Reality'!$F$5:$F$19,MATCH(E486,'Move Reality'!$A$5:$A$19,0)))</f>
        <v>6</v>
      </c>
      <c r="M486" s="28" t="str">
        <f aca="false">IF(L486&gt;=5,"YES","no - dead move")</f>
        <v>YES</v>
      </c>
    </row>
    <row r="487" customFormat="false" ht="15" hidden="false" customHeight="false" outlineLevel="0" collapsed="false">
      <c r="A487" s="17" t="n">
        <v>483</v>
      </c>
      <c r="B487" s="17" t="s">
        <v>42</v>
      </c>
      <c r="C487" s="17" t="s">
        <v>45</v>
      </c>
      <c r="D487" s="17" t="s">
        <v>47</v>
      </c>
      <c r="E487" s="17" t="s">
        <v>51</v>
      </c>
      <c r="F487" s="25" t="n">
        <f aca="false">SUMPRODUCT(--((('Yellow Bosses'!$J$5:$J$53&gt;=2)+('Yellow Bosses'!$M$5:$M$53&gt;=2)+('Yellow Bosses'!$O$5:$O$53&gt;=2)+('Yellow Bosses'!$S$5:$S$53&gt;=2))&gt;0))</f>
        <v>34</v>
      </c>
      <c r="G487" s="26" t="n">
        <f aca="false">F487/49</f>
        <v>0.693877551020408</v>
      </c>
      <c r="H487" s="25" t="n">
        <f aca="false">49-SUMPRODUCT(--((('Yellow Bosses'!$J$5:$J$53&gt;=1)+('Yellow Bosses'!$M$5:$M$53&gt;=1)+('Yellow Bosses'!$O$5:$O$53&gt;=1)+('Yellow Bosses'!$S$5:$S$53&gt;=1))&gt;0))</f>
        <v>0</v>
      </c>
      <c r="I487" s="25" t="n">
        <f aca="false">SUMPRODUCT(--((('Yellow Bosses'!$J$5:$J$53&gt;0)+('Yellow Bosses'!$M$5:$M$53&gt;0)+('Yellow Bosses'!$O$5:$O$53&gt;0)+('Yellow Bosses'!$S$5:$S$53&gt;0))=0))</f>
        <v>0</v>
      </c>
      <c r="J487" s="25" t="n">
        <f aca="false">SUMPRODUCT(--(((Effectiveness!$G$5:$G$155&gt;=2)+(Effectiveness!$J$5:$J$155&gt;=2)+(Effectiveness!$L$5:$L$155&gt;=2)+(Effectiveness!$P$5:$P$155&gt;=2))&gt;0))</f>
        <v>89</v>
      </c>
      <c r="K487" s="26" t="n">
        <f aca="false">J487/151</f>
        <v>0.589403973509934</v>
      </c>
      <c r="L487" s="25" t="n">
        <f aca="false">MIN(INDEX('Move Reality'!$F$5:$F$19,MATCH(B487,'Move Reality'!$A$5:$A$19,0)),INDEX('Move Reality'!$F$5:$F$19,MATCH(C487,'Move Reality'!$A$5:$A$19,0)),INDEX('Move Reality'!$F$5:$F$19,MATCH(D487,'Move Reality'!$A$5:$A$19,0)),INDEX('Move Reality'!$F$5:$F$19,MATCH(E487,'Move Reality'!$A$5:$A$19,0)))</f>
        <v>1</v>
      </c>
      <c r="M487" s="28" t="str">
        <f aca="false">IF(L487&gt;=5,"YES","no - dead move")</f>
        <v>no - dead move</v>
      </c>
    </row>
    <row r="488" customFormat="false" ht="15" hidden="false" customHeight="false" outlineLevel="0" collapsed="false">
      <c r="A488" s="17" t="n">
        <v>484</v>
      </c>
      <c r="B488" s="17" t="s">
        <v>42</v>
      </c>
      <c r="C488" s="17" t="s">
        <v>48</v>
      </c>
      <c r="D488" s="17" t="s">
        <v>49</v>
      </c>
      <c r="E488" s="17" t="s">
        <v>54</v>
      </c>
      <c r="F488" s="25" t="n">
        <f aca="false">SUMPRODUCT(--((('Yellow Bosses'!$J$5:$J$53&gt;=2)+('Yellow Bosses'!$P$5:$P$53&gt;=2)+('Yellow Bosses'!$Q$5:$Q$53&gt;=2)+('Yellow Bosses'!$V$5:$V$53&gt;=2))&gt;0))</f>
        <v>34</v>
      </c>
      <c r="G488" s="26" t="n">
        <f aca="false">F488/49</f>
        <v>0.693877551020408</v>
      </c>
      <c r="H488" s="25" t="n">
        <f aca="false">49-SUMPRODUCT(--((('Yellow Bosses'!$J$5:$J$53&gt;=1)+('Yellow Bosses'!$P$5:$P$53&gt;=1)+('Yellow Bosses'!$Q$5:$Q$53&gt;=1)+('Yellow Bosses'!$V$5:$V$53&gt;=1))&gt;0))</f>
        <v>0</v>
      </c>
      <c r="I488" s="25" t="n">
        <f aca="false">SUMPRODUCT(--((('Yellow Bosses'!$J$5:$J$53&gt;0)+('Yellow Bosses'!$P$5:$P$53&gt;0)+('Yellow Bosses'!$Q$5:$Q$53&gt;0)+('Yellow Bosses'!$V$5:$V$53&gt;0))=0))</f>
        <v>0</v>
      </c>
      <c r="J488" s="25" t="n">
        <f aca="false">SUMPRODUCT(--(((Effectiveness!$G$5:$G$155&gt;=2)+(Effectiveness!$M$5:$M$155&gt;=2)+(Effectiveness!$N$5:$N$155&gt;=2)+(Effectiveness!$S$5:$S$155&gt;=2))&gt;0))</f>
        <v>89</v>
      </c>
      <c r="K488" s="26" t="n">
        <f aca="false">J488/151</f>
        <v>0.589403973509934</v>
      </c>
      <c r="L488" s="25" t="n">
        <f aca="false">MIN(INDEX('Move Reality'!$F$5:$F$19,MATCH(B488,'Move Reality'!$A$5:$A$19,0)),INDEX('Move Reality'!$F$5:$F$19,MATCH(C488,'Move Reality'!$A$5:$A$19,0)),INDEX('Move Reality'!$F$5:$F$19,MATCH(D488,'Move Reality'!$A$5:$A$19,0)),INDEX('Move Reality'!$F$5:$F$19,MATCH(E488,'Move Reality'!$A$5:$A$19,0)))</f>
        <v>1</v>
      </c>
      <c r="M488" s="28" t="str">
        <f aca="false">IF(L488&gt;=5,"YES","no - dead move")</f>
        <v>no - dead move</v>
      </c>
    </row>
    <row r="489" customFormat="false" ht="15" hidden="false" customHeight="false" outlineLevel="0" collapsed="false">
      <c r="A489" s="17" t="n">
        <v>485</v>
      </c>
      <c r="B489" s="17" t="s">
        <v>42</v>
      </c>
      <c r="C489" s="17" t="s">
        <v>50</v>
      </c>
      <c r="D489" s="17" t="s">
        <v>52</v>
      </c>
      <c r="E489" s="17" t="s">
        <v>53</v>
      </c>
      <c r="F489" s="25" t="n">
        <f aca="false">SUMPRODUCT(--((('Yellow Bosses'!$J$5:$J$53&gt;=2)+('Yellow Bosses'!$R$5:$R$53&gt;=2)+('Yellow Bosses'!$T$5:$T$53&gt;=2)+('Yellow Bosses'!$U$5:$U$53&gt;=2))&gt;0))</f>
        <v>34</v>
      </c>
      <c r="G489" s="26" t="n">
        <f aca="false">F489/49</f>
        <v>0.693877551020408</v>
      </c>
      <c r="H489" s="25" t="n">
        <f aca="false">49-SUMPRODUCT(--((('Yellow Bosses'!$J$5:$J$53&gt;=1)+('Yellow Bosses'!$R$5:$R$53&gt;=1)+('Yellow Bosses'!$T$5:$T$53&gt;=1)+('Yellow Bosses'!$U$5:$U$53&gt;=1))&gt;0))</f>
        <v>0</v>
      </c>
      <c r="I489" s="25" t="n">
        <f aca="false">SUMPRODUCT(--((('Yellow Bosses'!$J$5:$J$53&gt;0)+('Yellow Bosses'!$R$5:$R$53&gt;0)+('Yellow Bosses'!$T$5:$T$53&gt;0)+('Yellow Bosses'!$U$5:$U$53&gt;0))=0))</f>
        <v>0</v>
      </c>
      <c r="J489" s="25" t="n">
        <f aca="false">SUMPRODUCT(--(((Effectiveness!$G$5:$G$155&gt;=2)+(Effectiveness!$O$5:$O$155&gt;=2)+(Effectiveness!$Q$5:$Q$155&gt;=2)+(Effectiveness!$R$5:$R$155&gt;=2))&gt;0))</f>
        <v>89</v>
      </c>
      <c r="K489" s="26" t="n">
        <f aca="false">J489/151</f>
        <v>0.589403973509934</v>
      </c>
      <c r="L489" s="25" t="n">
        <f aca="false">MIN(INDEX('Move Reality'!$F$5:$F$19,MATCH(B489,'Move Reality'!$A$5:$A$19,0)),INDEX('Move Reality'!$F$5:$F$19,MATCH(C489,'Move Reality'!$A$5:$A$19,0)),INDEX('Move Reality'!$F$5:$F$19,MATCH(D489,'Move Reality'!$A$5:$A$19,0)),INDEX('Move Reality'!$F$5:$F$19,MATCH(E489,'Move Reality'!$A$5:$A$19,0)))</f>
        <v>1</v>
      </c>
      <c r="M489" s="28" t="str">
        <f aca="false">IF(L489&gt;=5,"YES","no - dead move")</f>
        <v>no - dead move</v>
      </c>
    </row>
    <row r="490" customFormat="false" ht="15" hidden="false" customHeight="false" outlineLevel="0" collapsed="false">
      <c r="A490" s="17" t="n">
        <v>486</v>
      </c>
      <c r="B490" s="17" t="s">
        <v>40</v>
      </c>
      <c r="C490" s="17" t="s">
        <v>46</v>
      </c>
      <c r="D490" s="17" t="s">
        <v>50</v>
      </c>
      <c r="E490" s="17" t="s">
        <v>51</v>
      </c>
      <c r="F490" s="25" t="n">
        <f aca="false">SUMPRODUCT(--((('Yellow Bosses'!$H$5:$H$53&gt;=2)+('Yellow Bosses'!$N$5:$N$53&gt;=2)+('Yellow Bosses'!$R$5:$R$53&gt;=2)+('Yellow Bosses'!$S$5:$S$53&gt;=2))&gt;0))</f>
        <v>34</v>
      </c>
      <c r="G490" s="26" t="n">
        <f aca="false">F490/49</f>
        <v>0.693877551020408</v>
      </c>
      <c r="H490" s="25" t="n">
        <f aca="false">49-SUMPRODUCT(--((('Yellow Bosses'!$H$5:$H$53&gt;=1)+('Yellow Bosses'!$N$5:$N$53&gt;=1)+('Yellow Bosses'!$R$5:$R$53&gt;=1)+('Yellow Bosses'!$S$5:$S$53&gt;=1))&gt;0))</f>
        <v>0</v>
      </c>
      <c r="I490" s="25" t="n">
        <f aca="false">SUMPRODUCT(--((('Yellow Bosses'!$H$5:$H$53&gt;0)+('Yellow Bosses'!$N$5:$N$53&gt;0)+('Yellow Bosses'!$R$5:$R$53&gt;0)+('Yellow Bosses'!$S$5:$S$53&gt;0))=0))</f>
        <v>0</v>
      </c>
      <c r="J490" s="25" t="n">
        <f aca="false">SUMPRODUCT(--(((Effectiveness!$E$5:$E$155&gt;=2)+(Effectiveness!$K$5:$K$155&gt;=2)+(Effectiveness!$O$5:$O$155&gt;=2)+(Effectiveness!$P$5:$P$155&gt;=2))&gt;0))</f>
        <v>87</v>
      </c>
      <c r="K490" s="26" t="n">
        <f aca="false">J490/151</f>
        <v>0.576158940397351</v>
      </c>
      <c r="L490" s="25" t="n">
        <f aca="false">MIN(INDEX('Move Reality'!$F$5:$F$19,MATCH(B490,'Move Reality'!$A$5:$A$19,0)),INDEX('Move Reality'!$F$5:$F$19,MATCH(C490,'Move Reality'!$A$5:$A$19,0)),INDEX('Move Reality'!$F$5:$F$19,MATCH(D490,'Move Reality'!$A$5:$A$19,0)),INDEX('Move Reality'!$F$5:$F$19,MATCH(E490,'Move Reality'!$A$5:$A$19,0)))</f>
        <v>1</v>
      </c>
      <c r="M490" s="28" t="str">
        <f aca="false">IF(L490&gt;=5,"YES","no - dead move")</f>
        <v>no - dead move</v>
      </c>
    </row>
    <row r="491" customFormat="false" ht="15" hidden="false" customHeight="false" outlineLevel="0" collapsed="false">
      <c r="A491" s="17" t="n">
        <v>487</v>
      </c>
      <c r="B491" s="17" t="s">
        <v>46</v>
      </c>
      <c r="C491" s="17" t="s">
        <v>50</v>
      </c>
      <c r="D491" s="17" t="s">
        <v>51</v>
      </c>
      <c r="E491" s="17" t="s">
        <v>53</v>
      </c>
      <c r="F491" s="25" t="n">
        <f aca="false">SUMPRODUCT(--((('Yellow Bosses'!$N$5:$N$53&gt;=2)+('Yellow Bosses'!$R$5:$R$53&gt;=2)+('Yellow Bosses'!$S$5:$S$53&gt;=2)+('Yellow Bosses'!$U$5:$U$53&gt;=2))&gt;0))</f>
        <v>34</v>
      </c>
      <c r="G491" s="26" t="n">
        <f aca="false">F491/49</f>
        <v>0.693877551020408</v>
      </c>
      <c r="H491" s="25" t="n">
        <f aca="false">49-SUMPRODUCT(--((('Yellow Bosses'!$N$5:$N$53&gt;=1)+('Yellow Bosses'!$R$5:$R$53&gt;=1)+('Yellow Bosses'!$S$5:$S$53&gt;=1)+('Yellow Bosses'!$U$5:$U$53&gt;=1))&gt;0))</f>
        <v>0</v>
      </c>
      <c r="I491" s="25" t="n">
        <f aca="false">SUMPRODUCT(--((('Yellow Bosses'!$N$5:$N$53&gt;0)+('Yellow Bosses'!$R$5:$R$53&gt;0)+('Yellow Bosses'!$S$5:$S$53&gt;0)+('Yellow Bosses'!$U$5:$U$53&gt;0))=0))</f>
        <v>0</v>
      </c>
      <c r="J491" s="25" t="n">
        <f aca="false">SUMPRODUCT(--(((Effectiveness!$K$5:$K$155&gt;=2)+(Effectiveness!$O$5:$O$155&gt;=2)+(Effectiveness!$P$5:$P$155&gt;=2)+(Effectiveness!$R$5:$R$155&gt;=2))&gt;0))</f>
        <v>87</v>
      </c>
      <c r="K491" s="26" t="n">
        <f aca="false">J491/151</f>
        <v>0.576158940397351</v>
      </c>
      <c r="L491" s="25" t="n">
        <f aca="false">MIN(INDEX('Move Reality'!$F$5:$F$19,MATCH(B491,'Move Reality'!$A$5:$A$19,0)),INDEX('Move Reality'!$F$5:$F$19,MATCH(C491,'Move Reality'!$A$5:$A$19,0)),INDEX('Move Reality'!$F$5:$F$19,MATCH(D491,'Move Reality'!$A$5:$A$19,0)),INDEX('Move Reality'!$F$5:$F$19,MATCH(E491,'Move Reality'!$A$5:$A$19,0)))</f>
        <v>1</v>
      </c>
      <c r="M491" s="28" t="str">
        <f aca="false">IF(L491&gt;=5,"YES","no - dead move")</f>
        <v>no - dead move</v>
      </c>
    </row>
    <row r="492" customFormat="false" ht="15" hidden="false" customHeight="false" outlineLevel="0" collapsed="false">
      <c r="A492" s="17" t="n">
        <v>488</v>
      </c>
      <c r="B492" s="17" t="s">
        <v>40</v>
      </c>
      <c r="C492" s="17" t="s">
        <v>42</v>
      </c>
      <c r="D492" s="17" t="s">
        <v>45</v>
      </c>
      <c r="E492" s="17" t="s">
        <v>51</v>
      </c>
      <c r="F492" s="25" t="n">
        <f aca="false">SUMPRODUCT(--((('Yellow Bosses'!$H$5:$H$53&gt;=2)+('Yellow Bosses'!$J$5:$J$53&gt;=2)+('Yellow Bosses'!$M$5:$M$53&gt;=2)+('Yellow Bosses'!$S$5:$S$53&gt;=2))&gt;0))</f>
        <v>34</v>
      </c>
      <c r="G492" s="26" t="n">
        <f aca="false">F492/49</f>
        <v>0.693877551020408</v>
      </c>
      <c r="H492" s="25" t="n">
        <f aca="false">49-SUMPRODUCT(--((('Yellow Bosses'!$H$5:$H$53&gt;=1)+('Yellow Bosses'!$J$5:$J$53&gt;=1)+('Yellow Bosses'!$M$5:$M$53&gt;=1)+('Yellow Bosses'!$S$5:$S$53&gt;=1))&gt;0))</f>
        <v>0</v>
      </c>
      <c r="I492" s="25" t="n">
        <f aca="false">SUMPRODUCT(--((('Yellow Bosses'!$H$5:$H$53&gt;0)+('Yellow Bosses'!$J$5:$J$53&gt;0)+('Yellow Bosses'!$M$5:$M$53&gt;0)+('Yellow Bosses'!$S$5:$S$53&gt;0))=0))</f>
        <v>0</v>
      </c>
      <c r="J492" s="25" t="n">
        <f aca="false">SUMPRODUCT(--(((Effectiveness!$E$5:$E$155&gt;=2)+(Effectiveness!$G$5:$G$155&gt;=2)+(Effectiveness!$J$5:$J$155&gt;=2)+(Effectiveness!$P$5:$P$155&gt;=2))&gt;0))</f>
        <v>86</v>
      </c>
      <c r="K492" s="26" t="n">
        <f aca="false">J492/151</f>
        <v>0.56953642384106</v>
      </c>
      <c r="L492" s="25" t="n">
        <f aca="false">MIN(INDEX('Move Reality'!$F$5:$F$19,MATCH(B492,'Move Reality'!$A$5:$A$19,0)),INDEX('Move Reality'!$F$5:$F$19,MATCH(C492,'Move Reality'!$A$5:$A$19,0)),INDEX('Move Reality'!$F$5:$F$19,MATCH(D492,'Move Reality'!$A$5:$A$19,0)),INDEX('Move Reality'!$F$5:$F$19,MATCH(E492,'Move Reality'!$A$5:$A$19,0)))</f>
        <v>1</v>
      </c>
      <c r="M492" s="28" t="str">
        <f aca="false">IF(L492&gt;=5,"YES","no - dead move")</f>
        <v>no - dead move</v>
      </c>
    </row>
    <row r="493" customFormat="false" ht="15" hidden="false" customHeight="false" outlineLevel="0" collapsed="false">
      <c r="A493" s="17" t="n">
        <v>489</v>
      </c>
      <c r="B493" s="17" t="s">
        <v>42</v>
      </c>
      <c r="C493" s="17" t="s">
        <v>45</v>
      </c>
      <c r="D493" s="17" t="s">
        <v>51</v>
      </c>
      <c r="E493" s="17" t="s">
        <v>54</v>
      </c>
      <c r="F493" s="25" t="n">
        <f aca="false">SUMPRODUCT(--((('Yellow Bosses'!$J$5:$J$53&gt;=2)+('Yellow Bosses'!$M$5:$M$53&gt;=2)+('Yellow Bosses'!$S$5:$S$53&gt;=2)+('Yellow Bosses'!$V$5:$V$53&gt;=2))&gt;0))</f>
        <v>34</v>
      </c>
      <c r="G493" s="26" t="n">
        <f aca="false">F493/49</f>
        <v>0.693877551020408</v>
      </c>
      <c r="H493" s="25" t="n">
        <f aca="false">49-SUMPRODUCT(--((('Yellow Bosses'!$J$5:$J$53&gt;=1)+('Yellow Bosses'!$M$5:$M$53&gt;=1)+('Yellow Bosses'!$S$5:$S$53&gt;=1)+('Yellow Bosses'!$V$5:$V$53&gt;=1))&gt;0))</f>
        <v>0</v>
      </c>
      <c r="I493" s="25" t="n">
        <f aca="false">SUMPRODUCT(--((('Yellow Bosses'!$J$5:$J$53&gt;0)+('Yellow Bosses'!$M$5:$M$53&gt;0)+('Yellow Bosses'!$S$5:$S$53&gt;0)+('Yellow Bosses'!$V$5:$V$53&gt;0))=0))</f>
        <v>0</v>
      </c>
      <c r="J493" s="25" t="n">
        <f aca="false">SUMPRODUCT(--(((Effectiveness!$G$5:$G$155&gt;=2)+(Effectiveness!$J$5:$J$155&gt;=2)+(Effectiveness!$P$5:$P$155&gt;=2)+(Effectiveness!$S$5:$S$155&gt;=2))&gt;0))</f>
        <v>86</v>
      </c>
      <c r="K493" s="26" t="n">
        <f aca="false">J493/151</f>
        <v>0.56953642384106</v>
      </c>
      <c r="L493" s="25" t="n">
        <f aca="false">MIN(INDEX('Move Reality'!$F$5:$F$19,MATCH(B493,'Move Reality'!$A$5:$A$19,0)),INDEX('Move Reality'!$F$5:$F$19,MATCH(C493,'Move Reality'!$A$5:$A$19,0)),INDEX('Move Reality'!$F$5:$F$19,MATCH(D493,'Move Reality'!$A$5:$A$19,0)),INDEX('Move Reality'!$F$5:$F$19,MATCH(E493,'Move Reality'!$A$5:$A$19,0)))</f>
        <v>1</v>
      </c>
      <c r="M493" s="28" t="str">
        <f aca="false">IF(L493&gt;=5,"YES","no - dead move")</f>
        <v>no - dead move</v>
      </c>
    </row>
    <row r="494" customFormat="false" ht="15" hidden="false" customHeight="false" outlineLevel="0" collapsed="false">
      <c r="A494" s="17" t="n">
        <v>490</v>
      </c>
      <c r="B494" s="17" t="s">
        <v>51</v>
      </c>
      <c r="C494" s="17" t="s">
        <v>52</v>
      </c>
      <c r="D494" s="17" t="s">
        <v>53</v>
      </c>
      <c r="E494" s="17" t="s">
        <v>54</v>
      </c>
      <c r="F494" s="25" t="n">
        <f aca="false">SUMPRODUCT(--((('Yellow Bosses'!$S$5:$S$53&gt;=2)+('Yellow Bosses'!$T$5:$T$53&gt;=2)+('Yellow Bosses'!$U$5:$U$53&gt;=2)+('Yellow Bosses'!$V$5:$V$53&gt;=2))&gt;0))</f>
        <v>34</v>
      </c>
      <c r="G494" s="26" t="n">
        <f aca="false">F494/49</f>
        <v>0.693877551020408</v>
      </c>
      <c r="H494" s="25" t="n">
        <f aca="false">49-SUMPRODUCT(--((('Yellow Bosses'!$S$5:$S$53&gt;=1)+('Yellow Bosses'!$T$5:$T$53&gt;=1)+('Yellow Bosses'!$U$5:$U$53&gt;=1)+('Yellow Bosses'!$V$5:$V$53&gt;=1))&gt;0))</f>
        <v>0</v>
      </c>
      <c r="I494" s="25" t="n">
        <f aca="false">SUMPRODUCT(--((('Yellow Bosses'!$S$5:$S$53&gt;0)+('Yellow Bosses'!$T$5:$T$53&gt;0)+('Yellow Bosses'!$U$5:$U$53&gt;0)+('Yellow Bosses'!$V$5:$V$53&gt;0))=0))</f>
        <v>0</v>
      </c>
      <c r="J494" s="25" t="n">
        <f aca="false">SUMPRODUCT(--(((Effectiveness!$P$5:$P$155&gt;=2)+(Effectiveness!$Q$5:$Q$155&gt;=2)+(Effectiveness!$R$5:$R$155&gt;=2)+(Effectiveness!$S$5:$S$155&gt;=2))&gt;0))</f>
        <v>85</v>
      </c>
      <c r="K494" s="26" t="n">
        <f aca="false">J494/151</f>
        <v>0.562913907284768</v>
      </c>
      <c r="L494" s="25" t="n">
        <f aca="false">MIN(INDEX('Move Reality'!$F$5:$F$19,MATCH(B494,'Move Reality'!$A$5:$A$19,0)),INDEX('Move Reality'!$F$5:$F$19,MATCH(C494,'Move Reality'!$A$5:$A$19,0)),INDEX('Move Reality'!$F$5:$F$19,MATCH(D494,'Move Reality'!$A$5:$A$19,0)),INDEX('Move Reality'!$F$5:$F$19,MATCH(E494,'Move Reality'!$A$5:$A$19,0)))</f>
        <v>1</v>
      </c>
      <c r="M494" s="28" t="str">
        <f aca="false">IF(L494&gt;=5,"YES","no - dead move")</f>
        <v>no - dead move</v>
      </c>
    </row>
    <row r="495" customFormat="false" ht="15" hidden="false" customHeight="false" outlineLevel="0" collapsed="false">
      <c r="A495" s="17" t="n">
        <v>491</v>
      </c>
      <c r="B495" s="17" t="s">
        <v>41</v>
      </c>
      <c r="C495" s="17" t="s">
        <v>42</v>
      </c>
      <c r="D495" s="17" t="s">
        <v>50</v>
      </c>
      <c r="E495" s="17" t="s">
        <v>54</v>
      </c>
      <c r="F495" s="25" t="n">
        <f aca="false">SUMPRODUCT(--((('Yellow Bosses'!$I$5:$I$53&gt;=2)+('Yellow Bosses'!$J$5:$J$53&gt;=2)+('Yellow Bosses'!$R$5:$R$53&gt;=2)+('Yellow Bosses'!$V$5:$V$53&gt;=2))&gt;0))</f>
        <v>34</v>
      </c>
      <c r="G495" s="26" t="n">
        <f aca="false">F495/49</f>
        <v>0.693877551020408</v>
      </c>
      <c r="H495" s="25" t="n">
        <f aca="false">49-SUMPRODUCT(--((('Yellow Bosses'!$I$5:$I$53&gt;=1)+('Yellow Bosses'!$J$5:$J$53&gt;=1)+('Yellow Bosses'!$R$5:$R$53&gt;=1)+('Yellow Bosses'!$V$5:$V$53&gt;=1))&gt;0))</f>
        <v>0</v>
      </c>
      <c r="I495" s="25" t="n">
        <f aca="false">SUMPRODUCT(--((('Yellow Bosses'!$I$5:$I$53&gt;0)+('Yellow Bosses'!$J$5:$J$53&gt;0)+('Yellow Bosses'!$R$5:$R$53&gt;0)+('Yellow Bosses'!$V$5:$V$53&gt;0))=0))</f>
        <v>0</v>
      </c>
      <c r="J495" s="25" t="n">
        <f aca="false">SUMPRODUCT(--(((Effectiveness!$F$5:$F$155&gt;=2)+(Effectiveness!$G$5:$G$155&gt;=2)+(Effectiveness!$O$5:$O$155&gt;=2)+(Effectiveness!$S$5:$S$155&gt;=2))&gt;0))</f>
        <v>81</v>
      </c>
      <c r="K495" s="26" t="n">
        <f aca="false">J495/151</f>
        <v>0.536423841059603</v>
      </c>
      <c r="L495" s="25" t="n">
        <f aca="false">MIN(INDEX('Move Reality'!$F$5:$F$19,MATCH(B495,'Move Reality'!$A$5:$A$19,0)),INDEX('Move Reality'!$F$5:$F$19,MATCH(C495,'Move Reality'!$A$5:$A$19,0)),INDEX('Move Reality'!$F$5:$F$19,MATCH(D495,'Move Reality'!$A$5:$A$19,0)),INDEX('Move Reality'!$F$5:$F$19,MATCH(E495,'Move Reality'!$A$5:$A$19,0)))</f>
        <v>1</v>
      </c>
      <c r="M495" s="28" t="str">
        <f aca="false">IF(L495&gt;=5,"YES","no - dead move")</f>
        <v>no - dead move</v>
      </c>
    </row>
    <row r="496" customFormat="false" ht="15" hidden="false" customHeight="false" outlineLevel="0" collapsed="false">
      <c r="A496" s="17" t="n">
        <v>492</v>
      </c>
      <c r="B496" s="17" t="s">
        <v>40</v>
      </c>
      <c r="C496" s="17" t="s">
        <v>45</v>
      </c>
      <c r="D496" s="17" t="s">
        <v>49</v>
      </c>
      <c r="E496" s="17" t="s">
        <v>52</v>
      </c>
      <c r="F496" s="25" t="n">
        <f aca="false">SUMPRODUCT(--((('Yellow Bosses'!$H$5:$H$53&gt;=2)+('Yellow Bosses'!$M$5:$M$53&gt;=2)+('Yellow Bosses'!$Q$5:$Q$53&gt;=2)+('Yellow Bosses'!$T$5:$T$53&gt;=2))&gt;0))</f>
        <v>34</v>
      </c>
      <c r="G496" s="26" t="n">
        <f aca="false">F496/49</f>
        <v>0.693877551020408</v>
      </c>
      <c r="H496" s="25" t="n">
        <f aca="false">49-SUMPRODUCT(--((('Yellow Bosses'!$H$5:$H$53&gt;=1)+('Yellow Bosses'!$M$5:$M$53&gt;=1)+('Yellow Bosses'!$Q$5:$Q$53&gt;=1)+('Yellow Bosses'!$T$5:$T$53&gt;=1))&gt;0))</f>
        <v>0</v>
      </c>
      <c r="I496" s="25" t="n">
        <f aca="false">SUMPRODUCT(--((('Yellow Bosses'!$H$5:$H$53&gt;0)+('Yellow Bosses'!$M$5:$M$53&gt;0)+('Yellow Bosses'!$Q$5:$Q$53&gt;0)+('Yellow Bosses'!$T$5:$T$53&gt;0))=0))</f>
        <v>0</v>
      </c>
      <c r="J496" s="25" t="n">
        <f aca="false">SUMPRODUCT(--(((Effectiveness!$E$5:$E$155&gt;=2)+(Effectiveness!$J$5:$J$155&gt;=2)+(Effectiveness!$N$5:$N$155&gt;=2)+(Effectiveness!$Q$5:$Q$155&gt;=2))&gt;0))</f>
        <v>79</v>
      </c>
      <c r="K496" s="26" t="n">
        <f aca="false">J496/151</f>
        <v>0.52317880794702</v>
      </c>
      <c r="L496" s="25" t="n">
        <f aca="false">MIN(INDEX('Move Reality'!$F$5:$F$19,MATCH(B496,'Move Reality'!$A$5:$A$19,0)),INDEX('Move Reality'!$F$5:$F$19,MATCH(C496,'Move Reality'!$A$5:$A$19,0)),INDEX('Move Reality'!$F$5:$F$19,MATCH(D496,'Move Reality'!$A$5:$A$19,0)),INDEX('Move Reality'!$F$5:$F$19,MATCH(E496,'Move Reality'!$A$5:$A$19,0)))</f>
        <v>5</v>
      </c>
      <c r="M496" s="28" t="str">
        <f aca="false">IF(L496&gt;=5,"YES","no - dead move")</f>
        <v>YES</v>
      </c>
    </row>
    <row r="497" customFormat="false" ht="15" hidden="false" customHeight="false" outlineLevel="0" collapsed="false">
      <c r="A497" s="17" t="n">
        <v>493</v>
      </c>
      <c r="B497" s="17" t="s">
        <v>41</v>
      </c>
      <c r="C497" s="17" t="s">
        <v>45</v>
      </c>
      <c r="D497" s="17" t="s">
        <v>49</v>
      </c>
      <c r="E497" s="17" t="s">
        <v>52</v>
      </c>
      <c r="F497" s="25" t="n">
        <f aca="false">SUMPRODUCT(--((('Yellow Bosses'!$I$5:$I$53&gt;=2)+('Yellow Bosses'!$M$5:$M$53&gt;=2)+('Yellow Bosses'!$Q$5:$Q$53&gt;=2)+('Yellow Bosses'!$T$5:$T$53&gt;=2))&gt;0))</f>
        <v>34</v>
      </c>
      <c r="G497" s="26" t="n">
        <f aca="false">F497/49</f>
        <v>0.693877551020408</v>
      </c>
      <c r="H497" s="25" t="n">
        <f aca="false">49-SUMPRODUCT(--((('Yellow Bosses'!$I$5:$I$53&gt;=1)+('Yellow Bosses'!$M$5:$M$53&gt;=1)+('Yellow Bosses'!$Q$5:$Q$53&gt;=1)+('Yellow Bosses'!$T$5:$T$53&gt;=1))&gt;0))</f>
        <v>0</v>
      </c>
      <c r="I497" s="25" t="n">
        <f aca="false">SUMPRODUCT(--((('Yellow Bosses'!$I$5:$I$53&gt;0)+('Yellow Bosses'!$M$5:$M$53&gt;0)+('Yellow Bosses'!$Q$5:$Q$53&gt;0)+('Yellow Bosses'!$T$5:$T$53&gt;0))=0))</f>
        <v>0</v>
      </c>
      <c r="J497" s="25" t="n">
        <f aca="false">SUMPRODUCT(--(((Effectiveness!$F$5:$F$155&gt;=2)+(Effectiveness!$J$5:$J$155&gt;=2)+(Effectiveness!$N$5:$N$155&gt;=2)+(Effectiveness!$Q$5:$Q$155&gt;=2))&gt;0))</f>
        <v>79</v>
      </c>
      <c r="K497" s="26" t="n">
        <f aca="false">J497/151</f>
        <v>0.52317880794702</v>
      </c>
      <c r="L497" s="25" t="n">
        <f aca="false">MIN(INDEX('Move Reality'!$F$5:$F$19,MATCH(B497,'Move Reality'!$A$5:$A$19,0)),INDEX('Move Reality'!$F$5:$F$19,MATCH(C497,'Move Reality'!$A$5:$A$19,0)),INDEX('Move Reality'!$F$5:$F$19,MATCH(D497,'Move Reality'!$A$5:$A$19,0)),INDEX('Move Reality'!$F$5:$F$19,MATCH(E497,'Move Reality'!$A$5:$A$19,0)))</f>
        <v>5</v>
      </c>
      <c r="M497" s="28" t="str">
        <f aca="false">IF(L497&gt;=5,"YES","no - dead move")</f>
        <v>YES</v>
      </c>
    </row>
    <row r="498" customFormat="false" ht="15" hidden="false" customHeight="false" outlineLevel="0" collapsed="false">
      <c r="A498" s="17" t="n">
        <v>494</v>
      </c>
      <c r="B498" s="17" t="s">
        <v>42</v>
      </c>
      <c r="C498" s="17" t="s">
        <v>45</v>
      </c>
      <c r="D498" s="17" t="s">
        <v>49</v>
      </c>
      <c r="E498" s="17" t="s">
        <v>52</v>
      </c>
      <c r="F498" s="25" t="n">
        <f aca="false">SUMPRODUCT(--((('Yellow Bosses'!$J$5:$J$53&gt;=2)+('Yellow Bosses'!$M$5:$M$53&gt;=2)+('Yellow Bosses'!$Q$5:$Q$53&gt;=2)+('Yellow Bosses'!$T$5:$T$53&gt;=2))&gt;0))</f>
        <v>34</v>
      </c>
      <c r="G498" s="26" t="n">
        <f aca="false">F498/49</f>
        <v>0.693877551020408</v>
      </c>
      <c r="H498" s="25" t="n">
        <f aca="false">49-SUMPRODUCT(--((('Yellow Bosses'!$J$5:$J$53&gt;=1)+('Yellow Bosses'!$M$5:$M$53&gt;=1)+('Yellow Bosses'!$Q$5:$Q$53&gt;=1)+('Yellow Bosses'!$T$5:$T$53&gt;=1))&gt;0))</f>
        <v>0</v>
      </c>
      <c r="I498" s="25" t="n">
        <f aca="false">SUMPRODUCT(--((('Yellow Bosses'!$J$5:$J$53&gt;0)+('Yellow Bosses'!$M$5:$M$53&gt;0)+('Yellow Bosses'!$Q$5:$Q$53&gt;0)+('Yellow Bosses'!$T$5:$T$53&gt;0))=0))</f>
        <v>0</v>
      </c>
      <c r="J498" s="25" t="n">
        <f aca="false">SUMPRODUCT(--(((Effectiveness!$G$5:$G$155&gt;=2)+(Effectiveness!$J$5:$J$155&gt;=2)+(Effectiveness!$N$5:$N$155&gt;=2)+(Effectiveness!$Q$5:$Q$155&gt;=2))&gt;0))</f>
        <v>79</v>
      </c>
      <c r="K498" s="26" t="n">
        <f aca="false">J498/151</f>
        <v>0.52317880794702</v>
      </c>
      <c r="L498" s="25" t="n">
        <f aca="false">MIN(INDEX('Move Reality'!$F$5:$F$19,MATCH(B498,'Move Reality'!$A$5:$A$19,0)),INDEX('Move Reality'!$F$5:$F$19,MATCH(C498,'Move Reality'!$A$5:$A$19,0)),INDEX('Move Reality'!$F$5:$F$19,MATCH(D498,'Move Reality'!$A$5:$A$19,0)),INDEX('Move Reality'!$F$5:$F$19,MATCH(E498,'Move Reality'!$A$5:$A$19,0)))</f>
        <v>5</v>
      </c>
      <c r="M498" s="28" t="str">
        <f aca="false">IF(L498&gt;=5,"YES","no - dead move")</f>
        <v>YES</v>
      </c>
    </row>
    <row r="499" customFormat="false" ht="15" hidden="false" customHeight="false" outlineLevel="0" collapsed="false">
      <c r="A499" s="17" t="n">
        <v>495</v>
      </c>
      <c r="B499" s="17" t="s">
        <v>42</v>
      </c>
      <c r="C499" s="17" t="s">
        <v>49</v>
      </c>
      <c r="D499" s="17" t="s">
        <v>52</v>
      </c>
      <c r="E499" s="17" t="s">
        <v>54</v>
      </c>
      <c r="F499" s="25" t="n">
        <f aca="false">SUMPRODUCT(--((('Yellow Bosses'!$J$5:$J$53&gt;=2)+('Yellow Bosses'!$Q$5:$Q$53&gt;=2)+('Yellow Bosses'!$T$5:$T$53&gt;=2)+('Yellow Bosses'!$V$5:$V$53&gt;=2))&gt;0))</f>
        <v>34</v>
      </c>
      <c r="G499" s="26" t="n">
        <f aca="false">F499/49</f>
        <v>0.693877551020408</v>
      </c>
      <c r="H499" s="25" t="n">
        <f aca="false">49-SUMPRODUCT(--((('Yellow Bosses'!$J$5:$J$53&gt;=1)+('Yellow Bosses'!$Q$5:$Q$53&gt;=1)+('Yellow Bosses'!$T$5:$T$53&gt;=1)+('Yellow Bosses'!$V$5:$V$53&gt;=1))&gt;0))</f>
        <v>0</v>
      </c>
      <c r="I499" s="25" t="n">
        <f aca="false">SUMPRODUCT(--((('Yellow Bosses'!$J$5:$J$53&gt;0)+('Yellow Bosses'!$Q$5:$Q$53&gt;0)+('Yellow Bosses'!$T$5:$T$53&gt;0)+('Yellow Bosses'!$V$5:$V$53&gt;0))=0))</f>
        <v>0</v>
      </c>
      <c r="J499" s="25" t="n">
        <f aca="false">SUMPRODUCT(--(((Effectiveness!$G$5:$G$155&gt;=2)+(Effectiveness!$N$5:$N$155&gt;=2)+(Effectiveness!$Q$5:$Q$155&gt;=2)+(Effectiveness!$S$5:$S$155&gt;=2))&gt;0))</f>
        <v>79</v>
      </c>
      <c r="K499" s="26" t="n">
        <f aca="false">J499/151</f>
        <v>0.52317880794702</v>
      </c>
      <c r="L499" s="25" t="n">
        <f aca="false">MIN(INDEX('Move Reality'!$F$5:$F$19,MATCH(B499,'Move Reality'!$A$5:$A$19,0)),INDEX('Move Reality'!$F$5:$F$19,MATCH(C499,'Move Reality'!$A$5:$A$19,0)),INDEX('Move Reality'!$F$5:$F$19,MATCH(D499,'Move Reality'!$A$5:$A$19,0)),INDEX('Move Reality'!$F$5:$F$19,MATCH(E499,'Move Reality'!$A$5:$A$19,0)))</f>
        <v>1</v>
      </c>
      <c r="M499" s="28" t="str">
        <f aca="false">IF(L499&gt;=5,"YES","no - dead move")</f>
        <v>no - dead move</v>
      </c>
    </row>
    <row r="500" customFormat="false" ht="15" hidden="false" customHeight="false" outlineLevel="0" collapsed="false">
      <c r="A500" s="17" t="n">
        <v>496</v>
      </c>
      <c r="B500" s="17" t="s">
        <v>45</v>
      </c>
      <c r="C500" s="17" t="s">
        <v>47</v>
      </c>
      <c r="D500" s="17" t="s">
        <v>49</v>
      </c>
      <c r="E500" s="17" t="s">
        <v>52</v>
      </c>
      <c r="F500" s="25" t="n">
        <f aca="false">SUMPRODUCT(--((('Yellow Bosses'!$M$5:$M$53&gt;=2)+('Yellow Bosses'!$O$5:$O$53&gt;=2)+('Yellow Bosses'!$Q$5:$Q$53&gt;=2)+('Yellow Bosses'!$T$5:$T$53&gt;=2))&gt;0))</f>
        <v>34</v>
      </c>
      <c r="G500" s="26" t="n">
        <f aca="false">F500/49</f>
        <v>0.693877551020408</v>
      </c>
      <c r="H500" s="25" t="n">
        <f aca="false">49-SUMPRODUCT(--((('Yellow Bosses'!$M$5:$M$53&gt;=1)+('Yellow Bosses'!$O$5:$O$53&gt;=1)+('Yellow Bosses'!$Q$5:$Q$53&gt;=1)+('Yellow Bosses'!$T$5:$T$53&gt;=1))&gt;0))</f>
        <v>0</v>
      </c>
      <c r="I500" s="25" t="n">
        <f aca="false">SUMPRODUCT(--((('Yellow Bosses'!$M$5:$M$53&gt;0)+('Yellow Bosses'!$O$5:$O$53&gt;0)+('Yellow Bosses'!$Q$5:$Q$53&gt;0)+('Yellow Bosses'!$T$5:$T$53&gt;0))=0))</f>
        <v>0</v>
      </c>
      <c r="J500" s="25" t="n">
        <f aca="false">SUMPRODUCT(--(((Effectiveness!$J$5:$J$155&gt;=2)+(Effectiveness!$L$5:$L$155&gt;=2)+(Effectiveness!$N$5:$N$155&gt;=2)+(Effectiveness!$Q$5:$Q$155&gt;=2))&gt;0))</f>
        <v>79</v>
      </c>
      <c r="K500" s="26" t="n">
        <f aca="false">J500/151</f>
        <v>0.52317880794702</v>
      </c>
      <c r="L500" s="25" t="n">
        <f aca="false">MIN(INDEX('Move Reality'!$F$5:$F$19,MATCH(B500,'Move Reality'!$A$5:$A$19,0)),INDEX('Move Reality'!$F$5:$F$19,MATCH(C500,'Move Reality'!$A$5:$A$19,0)),INDEX('Move Reality'!$F$5:$F$19,MATCH(D500,'Move Reality'!$A$5:$A$19,0)),INDEX('Move Reality'!$F$5:$F$19,MATCH(E500,'Move Reality'!$A$5:$A$19,0)))</f>
        <v>2</v>
      </c>
      <c r="M500" s="28" t="str">
        <f aca="false">IF(L500&gt;=5,"YES","no - dead move")</f>
        <v>no - dead move</v>
      </c>
    </row>
    <row r="501" customFormat="false" ht="15" hidden="false" customHeight="false" outlineLevel="0" collapsed="false">
      <c r="A501" s="17" t="n">
        <v>497</v>
      </c>
      <c r="B501" s="17" t="s">
        <v>45</v>
      </c>
      <c r="C501" s="17" t="s">
        <v>49</v>
      </c>
      <c r="D501" s="17" t="s">
        <v>52</v>
      </c>
      <c r="E501" s="17" t="s">
        <v>54</v>
      </c>
      <c r="F501" s="25" t="n">
        <f aca="false">SUMPRODUCT(--((('Yellow Bosses'!$M$5:$M$53&gt;=2)+('Yellow Bosses'!$Q$5:$Q$53&gt;=2)+('Yellow Bosses'!$T$5:$T$53&gt;=2)+('Yellow Bosses'!$V$5:$V$53&gt;=2))&gt;0))</f>
        <v>34</v>
      </c>
      <c r="G501" s="26" t="n">
        <f aca="false">F501/49</f>
        <v>0.693877551020408</v>
      </c>
      <c r="H501" s="25" t="n">
        <f aca="false">49-SUMPRODUCT(--((('Yellow Bosses'!$M$5:$M$53&gt;=1)+('Yellow Bosses'!$Q$5:$Q$53&gt;=1)+('Yellow Bosses'!$T$5:$T$53&gt;=1)+('Yellow Bosses'!$V$5:$V$53&gt;=1))&gt;0))</f>
        <v>0</v>
      </c>
      <c r="I501" s="25" t="n">
        <f aca="false">SUMPRODUCT(--((('Yellow Bosses'!$M$5:$M$53&gt;0)+('Yellow Bosses'!$Q$5:$Q$53&gt;0)+('Yellow Bosses'!$T$5:$T$53&gt;0)+('Yellow Bosses'!$V$5:$V$53&gt;0))=0))</f>
        <v>0</v>
      </c>
      <c r="J501" s="25" t="n">
        <f aca="false">SUMPRODUCT(--(((Effectiveness!$J$5:$J$155&gt;=2)+(Effectiveness!$N$5:$N$155&gt;=2)+(Effectiveness!$Q$5:$Q$155&gt;=2)+(Effectiveness!$S$5:$S$155&gt;=2))&gt;0))</f>
        <v>79</v>
      </c>
      <c r="K501" s="26" t="n">
        <f aca="false">J501/151</f>
        <v>0.52317880794702</v>
      </c>
      <c r="L501" s="25" t="n">
        <f aca="false">MIN(INDEX('Move Reality'!$F$5:$F$19,MATCH(B501,'Move Reality'!$A$5:$A$19,0)),INDEX('Move Reality'!$F$5:$F$19,MATCH(C501,'Move Reality'!$A$5:$A$19,0)),INDEX('Move Reality'!$F$5:$F$19,MATCH(D501,'Move Reality'!$A$5:$A$19,0)),INDEX('Move Reality'!$F$5:$F$19,MATCH(E501,'Move Reality'!$A$5:$A$19,0)))</f>
        <v>1</v>
      </c>
      <c r="M501" s="28" t="str">
        <f aca="false">IF(L501&gt;=5,"YES","no - dead move")</f>
        <v>no - dead move</v>
      </c>
    </row>
    <row r="502" customFormat="false" ht="15" hidden="false" customHeight="false" outlineLevel="0" collapsed="false">
      <c r="A502" s="17" t="n">
        <v>498</v>
      </c>
      <c r="B502" s="17" t="s">
        <v>40</v>
      </c>
      <c r="C502" s="17" t="s">
        <v>45</v>
      </c>
      <c r="D502" s="17" t="s">
        <v>52</v>
      </c>
      <c r="E502" s="17" t="s">
        <v>53</v>
      </c>
      <c r="F502" s="25" t="n">
        <f aca="false">SUMPRODUCT(--((('Yellow Bosses'!$H$5:$H$53&gt;=2)+('Yellow Bosses'!$M$5:$M$53&gt;=2)+('Yellow Bosses'!$T$5:$T$53&gt;=2)+('Yellow Bosses'!$U$5:$U$53&gt;=2))&gt;0))</f>
        <v>34</v>
      </c>
      <c r="G502" s="26" t="n">
        <f aca="false">F502/49</f>
        <v>0.693877551020408</v>
      </c>
      <c r="H502" s="25" t="n">
        <f aca="false">49-SUMPRODUCT(--((('Yellow Bosses'!$H$5:$H$53&gt;=1)+('Yellow Bosses'!$M$5:$M$53&gt;=1)+('Yellow Bosses'!$T$5:$T$53&gt;=1)+('Yellow Bosses'!$U$5:$U$53&gt;=1))&gt;0))</f>
        <v>0</v>
      </c>
      <c r="I502" s="25" t="n">
        <f aca="false">SUMPRODUCT(--((('Yellow Bosses'!$H$5:$H$53&gt;0)+('Yellow Bosses'!$M$5:$M$53&gt;0)+('Yellow Bosses'!$T$5:$T$53&gt;0)+('Yellow Bosses'!$U$5:$U$53&gt;0))=0))</f>
        <v>0</v>
      </c>
      <c r="J502" s="25" t="n">
        <f aca="false">SUMPRODUCT(--(((Effectiveness!$E$5:$E$155&gt;=2)+(Effectiveness!$J$5:$J$155&gt;=2)+(Effectiveness!$Q$5:$Q$155&gt;=2)+(Effectiveness!$R$5:$R$155&gt;=2))&gt;0))</f>
        <v>74</v>
      </c>
      <c r="K502" s="26" t="n">
        <f aca="false">J502/151</f>
        <v>0.490066225165563</v>
      </c>
      <c r="L502" s="25" t="n">
        <f aca="false">MIN(INDEX('Move Reality'!$F$5:$F$19,MATCH(B502,'Move Reality'!$A$5:$A$19,0)),INDEX('Move Reality'!$F$5:$F$19,MATCH(C502,'Move Reality'!$A$5:$A$19,0)),INDEX('Move Reality'!$F$5:$F$19,MATCH(D502,'Move Reality'!$A$5:$A$19,0)),INDEX('Move Reality'!$F$5:$F$19,MATCH(E502,'Move Reality'!$A$5:$A$19,0)))</f>
        <v>1</v>
      </c>
      <c r="M502" s="28" t="str">
        <f aca="false">IF(L502&gt;=5,"YES","no - dead move")</f>
        <v>no - dead move</v>
      </c>
    </row>
    <row r="503" customFormat="false" ht="15" hidden="false" customHeight="false" outlineLevel="0" collapsed="false">
      <c r="A503" s="17" t="n">
        <v>499</v>
      </c>
      <c r="B503" s="17" t="s">
        <v>41</v>
      </c>
      <c r="C503" s="17" t="s">
        <v>45</v>
      </c>
      <c r="D503" s="17" t="s">
        <v>52</v>
      </c>
      <c r="E503" s="17" t="s">
        <v>53</v>
      </c>
      <c r="F503" s="25" t="n">
        <f aca="false">SUMPRODUCT(--((('Yellow Bosses'!$I$5:$I$53&gt;=2)+('Yellow Bosses'!$M$5:$M$53&gt;=2)+('Yellow Bosses'!$T$5:$T$53&gt;=2)+('Yellow Bosses'!$U$5:$U$53&gt;=2))&gt;0))</f>
        <v>34</v>
      </c>
      <c r="G503" s="26" t="n">
        <f aca="false">F503/49</f>
        <v>0.693877551020408</v>
      </c>
      <c r="H503" s="25" t="n">
        <f aca="false">49-SUMPRODUCT(--((('Yellow Bosses'!$I$5:$I$53&gt;=1)+('Yellow Bosses'!$M$5:$M$53&gt;=1)+('Yellow Bosses'!$T$5:$T$53&gt;=1)+('Yellow Bosses'!$U$5:$U$53&gt;=1))&gt;0))</f>
        <v>0</v>
      </c>
      <c r="I503" s="25" t="n">
        <f aca="false">SUMPRODUCT(--((('Yellow Bosses'!$I$5:$I$53&gt;0)+('Yellow Bosses'!$M$5:$M$53&gt;0)+('Yellow Bosses'!$T$5:$T$53&gt;0)+('Yellow Bosses'!$U$5:$U$53&gt;0))=0))</f>
        <v>0</v>
      </c>
      <c r="J503" s="25" t="n">
        <f aca="false">SUMPRODUCT(--(((Effectiveness!$F$5:$F$155&gt;=2)+(Effectiveness!$J$5:$J$155&gt;=2)+(Effectiveness!$Q$5:$Q$155&gt;=2)+(Effectiveness!$R$5:$R$155&gt;=2))&gt;0))</f>
        <v>74</v>
      </c>
      <c r="K503" s="26" t="n">
        <f aca="false">J503/151</f>
        <v>0.490066225165563</v>
      </c>
      <c r="L503" s="25" t="n">
        <f aca="false">MIN(INDEX('Move Reality'!$F$5:$F$19,MATCH(B503,'Move Reality'!$A$5:$A$19,0)),INDEX('Move Reality'!$F$5:$F$19,MATCH(C503,'Move Reality'!$A$5:$A$19,0)),INDEX('Move Reality'!$F$5:$F$19,MATCH(D503,'Move Reality'!$A$5:$A$19,0)),INDEX('Move Reality'!$F$5:$F$19,MATCH(E503,'Move Reality'!$A$5:$A$19,0)))</f>
        <v>1</v>
      </c>
      <c r="M503" s="28" t="str">
        <f aca="false">IF(L503&gt;=5,"YES","no - dead move")</f>
        <v>no - dead move</v>
      </c>
    </row>
    <row r="504" customFormat="false" ht="15" hidden="false" customHeight="false" outlineLevel="0" collapsed="false">
      <c r="A504" s="17" t="n">
        <v>500</v>
      </c>
      <c r="B504" s="17" t="s">
        <v>42</v>
      </c>
      <c r="C504" s="17" t="s">
        <v>45</v>
      </c>
      <c r="D504" s="17" t="s">
        <v>52</v>
      </c>
      <c r="E504" s="17" t="s">
        <v>53</v>
      </c>
      <c r="F504" s="25" t="n">
        <f aca="false">SUMPRODUCT(--((('Yellow Bosses'!$J$5:$J$53&gt;=2)+('Yellow Bosses'!$M$5:$M$53&gt;=2)+('Yellow Bosses'!$T$5:$T$53&gt;=2)+('Yellow Bosses'!$U$5:$U$53&gt;=2))&gt;0))</f>
        <v>34</v>
      </c>
      <c r="G504" s="26" t="n">
        <f aca="false">F504/49</f>
        <v>0.693877551020408</v>
      </c>
      <c r="H504" s="25" t="n">
        <f aca="false">49-SUMPRODUCT(--((('Yellow Bosses'!$J$5:$J$53&gt;=1)+('Yellow Bosses'!$M$5:$M$53&gt;=1)+('Yellow Bosses'!$T$5:$T$53&gt;=1)+('Yellow Bosses'!$U$5:$U$53&gt;=1))&gt;0))</f>
        <v>0</v>
      </c>
      <c r="I504" s="25" t="n">
        <f aca="false">SUMPRODUCT(--((('Yellow Bosses'!$J$5:$J$53&gt;0)+('Yellow Bosses'!$M$5:$M$53&gt;0)+('Yellow Bosses'!$T$5:$T$53&gt;0)+('Yellow Bosses'!$U$5:$U$53&gt;0))=0))</f>
        <v>0</v>
      </c>
      <c r="J504" s="25" t="n">
        <f aca="false">SUMPRODUCT(--(((Effectiveness!$G$5:$G$155&gt;=2)+(Effectiveness!$J$5:$J$155&gt;=2)+(Effectiveness!$Q$5:$Q$155&gt;=2)+(Effectiveness!$R$5:$R$155&gt;=2))&gt;0))</f>
        <v>74</v>
      </c>
      <c r="K504" s="26" t="n">
        <f aca="false">J504/151</f>
        <v>0.490066225165563</v>
      </c>
      <c r="L504" s="25" t="n">
        <f aca="false">MIN(INDEX('Move Reality'!$F$5:$F$19,MATCH(B504,'Move Reality'!$A$5:$A$19,0)),INDEX('Move Reality'!$F$5:$F$19,MATCH(C504,'Move Reality'!$A$5:$A$19,0)),INDEX('Move Reality'!$F$5:$F$19,MATCH(D504,'Move Reality'!$A$5:$A$19,0)),INDEX('Move Reality'!$F$5:$F$19,MATCH(E504,'Move Reality'!$A$5:$A$19,0)))</f>
        <v>1</v>
      </c>
      <c r="M504" s="28" t="str">
        <f aca="false">IF(L504&gt;=5,"YES","no - dead move")</f>
        <v>no - dead move</v>
      </c>
    </row>
    <row r="505" customFormat="false" ht="15" hidden="false" customHeight="false" outlineLevel="0" collapsed="false">
      <c r="A505" s="17" t="n">
        <v>501</v>
      </c>
      <c r="B505" s="17" t="s">
        <v>45</v>
      </c>
      <c r="C505" s="17" t="s">
        <v>47</v>
      </c>
      <c r="D505" s="17" t="s">
        <v>52</v>
      </c>
      <c r="E505" s="17" t="s">
        <v>53</v>
      </c>
      <c r="F505" s="25" t="n">
        <f aca="false">SUMPRODUCT(--((('Yellow Bosses'!$M$5:$M$53&gt;=2)+('Yellow Bosses'!$O$5:$O$53&gt;=2)+('Yellow Bosses'!$T$5:$T$53&gt;=2)+('Yellow Bosses'!$U$5:$U$53&gt;=2))&gt;0))</f>
        <v>34</v>
      </c>
      <c r="G505" s="26" t="n">
        <f aca="false">F505/49</f>
        <v>0.693877551020408</v>
      </c>
      <c r="H505" s="25" t="n">
        <f aca="false">49-SUMPRODUCT(--((('Yellow Bosses'!$M$5:$M$53&gt;=1)+('Yellow Bosses'!$O$5:$O$53&gt;=1)+('Yellow Bosses'!$T$5:$T$53&gt;=1)+('Yellow Bosses'!$U$5:$U$53&gt;=1))&gt;0))</f>
        <v>0</v>
      </c>
      <c r="I505" s="25" t="n">
        <f aca="false">SUMPRODUCT(--((('Yellow Bosses'!$M$5:$M$53&gt;0)+('Yellow Bosses'!$O$5:$O$53&gt;0)+('Yellow Bosses'!$T$5:$T$53&gt;0)+('Yellow Bosses'!$U$5:$U$53&gt;0))=0))</f>
        <v>0</v>
      </c>
      <c r="J505" s="25" t="n">
        <f aca="false">SUMPRODUCT(--(((Effectiveness!$J$5:$J$155&gt;=2)+(Effectiveness!$L$5:$L$155&gt;=2)+(Effectiveness!$Q$5:$Q$155&gt;=2)+(Effectiveness!$R$5:$R$155&gt;=2))&gt;0))</f>
        <v>74</v>
      </c>
      <c r="K505" s="26" t="n">
        <f aca="false">J505/151</f>
        <v>0.490066225165563</v>
      </c>
      <c r="L505" s="25" t="n">
        <f aca="false">MIN(INDEX('Move Reality'!$F$5:$F$19,MATCH(B505,'Move Reality'!$A$5:$A$19,0)),INDEX('Move Reality'!$F$5:$F$19,MATCH(C505,'Move Reality'!$A$5:$A$19,0)),INDEX('Move Reality'!$F$5:$F$19,MATCH(D505,'Move Reality'!$A$5:$A$19,0)),INDEX('Move Reality'!$F$5:$F$19,MATCH(E505,'Move Reality'!$A$5:$A$19,0)))</f>
        <v>1</v>
      </c>
      <c r="M505" s="28" t="str">
        <f aca="false">IF(L505&gt;=5,"YES","no - dead move")</f>
        <v>no - dead move</v>
      </c>
    </row>
    <row r="506" customFormat="false" ht="15" hidden="false" customHeight="false" outlineLevel="0" collapsed="false">
      <c r="A506" s="17" t="n">
        <v>502</v>
      </c>
      <c r="B506" s="17" t="s">
        <v>45</v>
      </c>
      <c r="C506" s="17" t="s">
        <v>52</v>
      </c>
      <c r="D506" s="17" t="s">
        <v>53</v>
      </c>
      <c r="E506" s="17" t="s">
        <v>54</v>
      </c>
      <c r="F506" s="25" t="n">
        <f aca="false">SUMPRODUCT(--((('Yellow Bosses'!$M$5:$M$53&gt;=2)+('Yellow Bosses'!$T$5:$T$53&gt;=2)+('Yellow Bosses'!$U$5:$U$53&gt;=2)+('Yellow Bosses'!$V$5:$V$53&gt;=2))&gt;0))</f>
        <v>34</v>
      </c>
      <c r="G506" s="26" t="n">
        <f aca="false">F506/49</f>
        <v>0.693877551020408</v>
      </c>
      <c r="H506" s="25" t="n">
        <f aca="false">49-SUMPRODUCT(--((('Yellow Bosses'!$M$5:$M$53&gt;=1)+('Yellow Bosses'!$T$5:$T$53&gt;=1)+('Yellow Bosses'!$U$5:$U$53&gt;=1)+('Yellow Bosses'!$V$5:$V$53&gt;=1))&gt;0))</f>
        <v>0</v>
      </c>
      <c r="I506" s="25" t="n">
        <f aca="false">SUMPRODUCT(--((('Yellow Bosses'!$M$5:$M$53&gt;0)+('Yellow Bosses'!$T$5:$T$53&gt;0)+('Yellow Bosses'!$U$5:$U$53&gt;0)+('Yellow Bosses'!$V$5:$V$53&gt;0))=0))</f>
        <v>0</v>
      </c>
      <c r="J506" s="25" t="n">
        <f aca="false">SUMPRODUCT(--(((Effectiveness!$J$5:$J$155&gt;=2)+(Effectiveness!$Q$5:$Q$155&gt;=2)+(Effectiveness!$R$5:$R$155&gt;=2)+(Effectiveness!$S$5:$S$155&gt;=2))&gt;0))</f>
        <v>74</v>
      </c>
      <c r="K506" s="26" t="n">
        <f aca="false">J506/151</f>
        <v>0.490066225165563</v>
      </c>
      <c r="L506" s="25" t="n">
        <f aca="false">MIN(INDEX('Move Reality'!$F$5:$F$19,MATCH(B506,'Move Reality'!$A$5:$A$19,0)),INDEX('Move Reality'!$F$5:$F$19,MATCH(C506,'Move Reality'!$A$5:$A$19,0)),INDEX('Move Reality'!$F$5:$F$19,MATCH(D506,'Move Reality'!$A$5:$A$19,0)),INDEX('Move Reality'!$F$5:$F$19,MATCH(E506,'Move Reality'!$A$5:$A$19,0)))</f>
        <v>1</v>
      </c>
      <c r="M506" s="28" t="str">
        <f aca="false">IF(L506&gt;=5,"YES","no - dead move")</f>
        <v>no - dead move</v>
      </c>
    </row>
    <row r="507" customFormat="false" ht="15" hidden="false" customHeight="false" outlineLevel="0" collapsed="false">
      <c r="A507" s="17" t="n">
        <v>503</v>
      </c>
      <c r="B507" s="17" t="s">
        <v>43</v>
      </c>
      <c r="C507" s="17" t="s">
        <v>46</v>
      </c>
      <c r="D507" s="17" t="s">
        <v>47</v>
      </c>
      <c r="E507" s="17" t="s">
        <v>50</v>
      </c>
      <c r="F507" s="25" t="n">
        <f aca="false">SUMPRODUCT(--((('Yellow Bosses'!$K$5:$K$53&gt;=2)+('Yellow Bosses'!$N$5:$N$53&gt;=2)+('Yellow Bosses'!$O$5:$O$53&gt;=2)+('Yellow Bosses'!$R$5:$R$53&gt;=2))&gt;0))</f>
        <v>33</v>
      </c>
      <c r="G507" s="26" t="n">
        <f aca="false">F507/49</f>
        <v>0.673469387755102</v>
      </c>
      <c r="H507" s="25" t="n">
        <f aca="false">49-SUMPRODUCT(--((('Yellow Bosses'!$K$5:$K$53&gt;=1)+('Yellow Bosses'!$N$5:$N$53&gt;=1)+('Yellow Bosses'!$O$5:$O$53&gt;=1)+('Yellow Bosses'!$R$5:$R$53&gt;=1))&gt;0))</f>
        <v>0</v>
      </c>
      <c r="I507" s="25" t="n">
        <f aca="false">SUMPRODUCT(--((('Yellow Bosses'!$K$5:$K$53&gt;0)+('Yellow Bosses'!$N$5:$N$53&gt;0)+('Yellow Bosses'!$O$5:$O$53&gt;0)+('Yellow Bosses'!$R$5:$R$53&gt;0))=0))</f>
        <v>0</v>
      </c>
      <c r="J507" s="25" t="n">
        <f aca="false">SUMPRODUCT(--(((Effectiveness!$H$5:$H$155&gt;=2)+(Effectiveness!$K$5:$K$155&gt;=2)+(Effectiveness!$L$5:$L$155&gt;=2)+(Effectiveness!$O$5:$O$155&gt;=2))&gt;0))</f>
        <v>114</v>
      </c>
      <c r="K507" s="26" t="n">
        <f aca="false">J507/151</f>
        <v>0.754966887417219</v>
      </c>
      <c r="L507" s="25" t="n">
        <f aca="false">MIN(INDEX('Move Reality'!$F$5:$F$19,MATCH(B507,'Move Reality'!$A$5:$A$19,0)),INDEX('Move Reality'!$F$5:$F$19,MATCH(C507,'Move Reality'!$A$5:$A$19,0)),INDEX('Move Reality'!$F$5:$F$19,MATCH(D507,'Move Reality'!$A$5:$A$19,0)),INDEX('Move Reality'!$F$5:$F$19,MATCH(E507,'Move Reality'!$A$5:$A$19,0)))</f>
        <v>2</v>
      </c>
      <c r="M507" s="28" t="str">
        <f aca="false">IF(L507&gt;=5,"YES","no - dead move")</f>
        <v>no - dead move</v>
      </c>
    </row>
    <row r="508" customFormat="false" ht="15" hidden="false" customHeight="false" outlineLevel="0" collapsed="false">
      <c r="A508" s="17" t="n">
        <v>504</v>
      </c>
      <c r="B508" s="17" t="s">
        <v>43</v>
      </c>
      <c r="C508" s="17" t="s">
        <v>46</v>
      </c>
      <c r="D508" s="17" t="s">
        <v>49</v>
      </c>
      <c r="E508" s="17" t="s">
        <v>50</v>
      </c>
      <c r="F508" s="25" t="n">
        <f aca="false">SUMPRODUCT(--((('Yellow Bosses'!$K$5:$K$53&gt;=2)+('Yellow Bosses'!$N$5:$N$53&gt;=2)+('Yellow Bosses'!$Q$5:$Q$53&gt;=2)+('Yellow Bosses'!$R$5:$R$53&gt;=2))&gt;0))</f>
        <v>33</v>
      </c>
      <c r="G508" s="26" t="n">
        <f aca="false">F508/49</f>
        <v>0.673469387755102</v>
      </c>
      <c r="H508" s="25" t="n">
        <f aca="false">49-SUMPRODUCT(--((('Yellow Bosses'!$K$5:$K$53&gt;=1)+('Yellow Bosses'!$N$5:$N$53&gt;=1)+('Yellow Bosses'!$Q$5:$Q$53&gt;=1)+('Yellow Bosses'!$R$5:$R$53&gt;=1))&gt;0))</f>
        <v>0</v>
      </c>
      <c r="I508" s="25" t="n">
        <f aca="false">SUMPRODUCT(--((('Yellow Bosses'!$K$5:$K$53&gt;0)+('Yellow Bosses'!$N$5:$N$53&gt;0)+('Yellow Bosses'!$Q$5:$Q$53&gt;0)+('Yellow Bosses'!$R$5:$R$53&gt;0))=0))</f>
        <v>0</v>
      </c>
      <c r="J508" s="25" t="n">
        <f aca="false">SUMPRODUCT(--(((Effectiveness!$H$5:$H$155&gt;=2)+(Effectiveness!$K$5:$K$155&gt;=2)+(Effectiveness!$N$5:$N$155&gt;=2)+(Effectiveness!$O$5:$O$155&gt;=2))&gt;0))</f>
        <v>114</v>
      </c>
      <c r="K508" s="26" t="n">
        <f aca="false">J508/151</f>
        <v>0.754966887417219</v>
      </c>
      <c r="L508" s="25" t="n">
        <f aca="false">MIN(INDEX('Move Reality'!$F$5:$F$19,MATCH(B508,'Move Reality'!$A$5:$A$19,0)),INDEX('Move Reality'!$F$5:$F$19,MATCH(C508,'Move Reality'!$A$5:$A$19,0)),INDEX('Move Reality'!$F$5:$F$19,MATCH(D508,'Move Reality'!$A$5:$A$19,0)),INDEX('Move Reality'!$F$5:$F$19,MATCH(E508,'Move Reality'!$A$5:$A$19,0)))</f>
        <v>5</v>
      </c>
      <c r="M508" s="28" t="str">
        <f aca="false">IF(L508&gt;=5,"YES","no - dead move")</f>
        <v>YES</v>
      </c>
    </row>
    <row r="509" customFormat="false" ht="15" hidden="false" customHeight="false" outlineLevel="0" collapsed="false">
      <c r="A509" s="17" t="n">
        <v>505</v>
      </c>
      <c r="B509" s="17" t="s">
        <v>43</v>
      </c>
      <c r="C509" s="17" t="s">
        <v>44</v>
      </c>
      <c r="D509" s="17" t="s">
        <v>46</v>
      </c>
      <c r="E509" s="17" t="s">
        <v>50</v>
      </c>
      <c r="F509" s="25" t="n">
        <f aca="false">SUMPRODUCT(--((('Yellow Bosses'!$K$5:$K$53&gt;=2)+('Yellow Bosses'!$L$5:$L$53&gt;=2)+('Yellow Bosses'!$N$5:$N$53&gt;=2)+('Yellow Bosses'!$R$5:$R$53&gt;=2))&gt;0))</f>
        <v>33</v>
      </c>
      <c r="G509" s="26" t="n">
        <f aca="false">F509/49</f>
        <v>0.673469387755102</v>
      </c>
      <c r="H509" s="25" t="n">
        <f aca="false">49-SUMPRODUCT(--((('Yellow Bosses'!$K$5:$K$53&gt;=1)+('Yellow Bosses'!$L$5:$L$53&gt;=1)+('Yellow Bosses'!$N$5:$N$53&gt;=1)+('Yellow Bosses'!$R$5:$R$53&gt;=1))&gt;0))</f>
        <v>1</v>
      </c>
      <c r="I509" s="25" t="n">
        <f aca="false">SUMPRODUCT(--((('Yellow Bosses'!$K$5:$K$53&gt;0)+('Yellow Bosses'!$L$5:$L$53&gt;0)+('Yellow Bosses'!$N$5:$N$53&gt;0)+('Yellow Bosses'!$R$5:$R$53&gt;0))=0))</f>
        <v>0</v>
      </c>
      <c r="J509" s="25" t="n">
        <f aca="false">SUMPRODUCT(--(((Effectiveness!$H$5:$H$155&gt;=2)+(Effectiveness!$I$5:$I$155&gt;=2)+(Effectiveness!$K$5:$K$155&gt;=2)+(Effectiveness!$O$5:$O$155&gt;=2))&gt;0))</f>
        <v>112</v>
      </c>
      <c r="K509" s="26" t="n">
        <f aca="false">J509/151</f>
        <v>0.741721854304636</v>
      </c>
      <c r="L509" s="25" t="n">
        <f aca="false">MIN(INDEX('Move Reality'!$F$5:$F$19,MATCH(B509,'Move Reality'!$A$5:$A$19,0)),INDEX('Move Reality'!$F$5:$F$19,MATCH(C509,'Move Reality'!$A$5:$A$19,0)),INDEX('Move Reality'!$F$5:$F$19,MATCH(D509,'Move Reality'!$A$5:$A$19,0)),INDEX('Move Reality'!$F$5:$F$19,MATCH(E509,'Move Reality'!$A$5:$A$19,0)))</f>
        <v>4</v>
      </c>
      <c r="M509" s="28" t="str">
        <f aca="false">IF(L509&gt;=5,"YES","no - dead move")</f>
        <v>no - dead move</v>
      </c>
    </row>
    <row r="510" customFormat="false" ht="15" hidden="false" customHeight="false" outlineLevel="0" collapsed="false">
      <c r="A510" s="17" t="n">
        <v>506</v>
      </c>
      <c r="B510" s="17" t="s">
        <v>43</v>
      </c>
      <c r="C510" s="17" t="s">
        <v>46</v>
      </c>
      <c r="D510" s="17" t="s">
        <v>49</v>
      </c>
      <c r="E510" s="17" t="s">
        <v>52</v>
      </c>
      <c r="F510" s="25" t="n">
        <f aca="false">SUMPRODUCT(--((('Yellow Bosses'!$K$5:$K$53&gt;=2)+('Yellow Bosses'!$N$5:$N$53&gt;=2)+('Yellow Bosses'!$Q$5:$Q$53&gt;=2)+('Yellow Bosses'!$T$5:$T$53&gt;=2))&gt;0))</f>
        <v>33</v>
      </c>
      <c r="G510" s="26" t="n">
        <f aca="false">F510/49</f>
        <v>0.673469387755102</v>
      </c>
      <c r="H510" s="25" t="n">
        <f aca="false">49-SUMPRODUCT(--((('Yellow Bosses'!$K$5:$K$53&gt;=1)+('Yellow Bosses'!$N$5:$N$53&gt;=1)+('Yellow Bosses'!$Q$5:$Q$53&gt;=1)+('Yellow Bosses'!$T$5:$T$53&gt;=1))&gt;0))</f>
        <v>0</v>
      </c>
      <c r="I510" s="25" t="n">
        <f aca="false">SUMPRODUCT(--((('Yellow Bosses'!$K$5:$K$53&gt;0)+('Yellow Bosses'!$N$5:$N$53&gt;0)+('Yellow Bosses'!$Q$5:$Q$53&gt;0)+('Yellow Bosses'!$T$5:$T$53&gt;0))=0))</f>
        <v>0</v>
      </c>
      <c r="J510" s="25" t="n">
        <f aca="false">SUMPRODUCT(--(((Effectiveness!$H$5:$H$155&gt;=2)+(Effectiveness!$K$5:$K$155&gt;=2)+(Effectiveness!$N$5:$N$155&gt;=2)+(Effectiveness!$Q$5:$Q$155&gt;=2))&gt;0))</f>
        <v>112</v>
      </c>
      <c r="K510" s="26" t="n">
        <f aca="false">J510/151</f>
        <v>0.741721854304636</v>
      </c>
      <c r="L510" s="25" t="n">
        <f aca="false">MIN(INDEX('Move Reality'!$F$5:$F$19,MATCH(B510,'Move Reality'!$A$5:$A$19,0)),INDEX('Move Reality'!$F$5:$F$19,MATCH(C510,'Move Reality'!$A$5:$A$19,0)),INDEX('Move Reality'!$F$5:$F$19,MATCH(D510,'Move Reality'!$A$5:$A$19,0)),INDEX('Move Reality'!$F$5:$F$19,MATCH(E510,'Move Reality'!$A$5:$A$19,0)))</f>
        <v>5</v>
      </c>
      <c r="M510" s="28" t="str">
        <f aca="false">IF(L510&gt;=5,"YES","no - dead move")</f>
        <v>YES</v>
      </c>
    </row>
    <row r="511" customFormat="false" ht="15" hidden="false" customHeight="false" outlineLevel="0" collapsed="false">
      <c r="A511" s="17" t="n">
        <v>507</v>
      </c>
      <c r="B511" s="17" t="s">
        <v>41</v>
      </c>
      <c r="C511" s="17" t="s">
        <v>42</v>
      </c>
      <c r="D511" s="17" t="s">
        <v>43</v>
      </c>
      <c r="E511" s="17" t="s">
        <v>46</v>
      </c>
      <c r="F511" s="25" t="n">
        <f aca="false">SUMPRODUCT(--((('Yellow Bosses'!$I$5:$I$53&gt;=2)+('Yellow Bosses'!$J$5:$J$53&gt;=2)+('Yellow Bosses'!$K$5:$K$53&gt;=2)+('Yellow Bosses'!$N$5:$N$53&gt;=2))&gt;0))</f>
        <v>33</v>
      </c>
      <c r="G511" s="26" t="n">
        <f aca="false">F511/49</f>
        <v>0.673469387755102</v>
      </c>
      <c r="H511" s="25" t="n">
        <f aca="false">49-SUMPRODUCT(--((('Yellow Bosses'!$I$5:$I$53&gt;=1)+('Yellow Bosses'!$J$5:$J$53&gt;=1)+('Yellow Bosses'!$K$5:$K$53&gt;=1)+('Yellow Bosses'!$N$5:$N$53&gt;=1))&gt;0))</f>
        <v>0</v>
      </c>
      <c r="I511" s="25" t="n">
        <f aca="false">SUMPRODUCT(--((('Yellow Bosses'!$I$5:$I$53&gt;0)+('Yellow Bosses'!$J$5:$J$53&gt;0)+('Yellow Bosses'!$K$5:$K$53&gt;0)+('Yellow Bosses'!$N$5:$N$53&gt;0))=0))</f>
        <v>0</v>
      </c>
      <c r="J511" s="25" t="n">
        <f aca="false">SUMPRODUCT(--(((Effectiveness!$F$5:$F$155&gt;=2)+(Effectiveness!$G$5:$G$155&gt;=2)+(Effectiveness!$H$5:$H$155&gt;=2)+(Effectiveness!$K$5:$K$155&gt;=2))&gt;0))</f>
        <v>111</v>
      </c>
      <c r="K511" s="26" t="n">
        <f aca="false">J511/151</f>
        <v>0.735099337748344</v>
      </c>
      <c r="L511" s="25" t="n">
        <f aca="false">MIN(INDEX('Move Reality'!$F$5:$F$19,MATCH(B511,'Move Reality'!$A$5:$A$19,0)),INDEX('Move Reality'!$F$5:$F$19,MATCH(C511,'Move Reality'!$A$5:$A$19,0)),INDEX('Move Reality'!$F$5:$F$19,MATCH(D511,'Move Reality'!$A$5:$A$19,0)),INDEX('Move Reality'!$F$5:$F$19,MATCH(E511,'Move Reality'!$A$5:$A$19,0)))</f>
        <v>5</v>
      </c>
      <c r="M511" s="28" t="str">
        <f aca="false">IF(L511&gt;=5,"YES","no - dead move")</f>
        <v>YES</v>
      </c>
    </row>
    <row r="512" customFormat="false" ht="15" hidden="false" customHeight="false" outlineLevel="0" collapsed="false">
      <c r="A512" s="17" t="n">
        <v>508</v>
      </c>
      <c r="B512" s="17" t="s">
        <v>44</v>
      </c>
      <c r="C512" s="17" t="s">
        <v>45</v>
      </c>
      <c r="D512" s="17" t="s">
        <v>46</v>
      </c>
      <c r="E512" s="17" t="s">
        <v>49</v>
      </c>
      <c r="F512" s="25" t="n">
        <f aca="false">SUMPRODUCT(--((('Yellow Bosses'!$L$5:$L$53&gt;=2)+('Yellow Bosses'!$M$5:$M$53&gt;=2)+('Yellow Bosses'!$N$5:$N$53&gt;=2)+('Yellow Bosses'!$Q$5:$Q$53&gt;=2))&gt;0))</f>
        <v>33</v>
      </c>
      <c r="G512" s="26" t="n">
        <f aca="false">F512/49</f>
        <v>0.673469387755102</v>
      </c>
      <c r="H512" s="25" t="n">
        <f aca="false">49-SUMPRODUCT(--((('Yellow Bosses'!$L$5:$L$53&gt;=1)+('Yellow Bosses'!$M$5:$M$53&gt;=1)+('Yellow Bosses'!$N$5:$N$53&gt;=1)+('Yellow Bosses'!$Q$5:$Q$53&gt;=1))&gt;0))</f>
        <v>0</v>
      </c>
      <c r="I512" s="25" t="n">
        <f aca="false">SUMPRODUCT(--((('Yellow Bosses'!$L$5:$L$53&gt;0)+('Yellow Bosses'!$M$5:$M$53&gt;0)+('Yellow Bosses'!$N$5:$N$53&gt;0)+('Yellow Bosses'!$Q$5:$Q$53&gt;0))=0))</f>
        <v>0</v>
      </c>
      <c r="J512" s="25" t="n">
        <f aca="false">SUMPRODUCT(--(((Effectiveness!$I$5:$I$155&gt;=2)+(Effectiveness!$J$5:$J$155&gt;=2)+(Effectiveness!$K$5:$K$155&gt;=2)+(Effectiveness!$N$5:$N$155&gt;=2))&gt;0))</f>
        <v>107</v>
      </c>
      <c r="K512" s="26" t="n">
        <f aca="false">J512/151</f>
        <v>0.708609271523179</v>
      </c>
      <c r="L512" s="25" t="n">
        <f aca="false">MIN(INDEX('Move Reality'!$F$5:$F$19,MATCH(B512,'Move Reality'!$A$5:$A$19,0)),INDEX('Move Reality'!$F$5:$F$19,MATCH(C512,'Move Reality'!$A$5:$A$19,0)),INDEX('Move Reality'!$F$5:$F$19,MATCH(D512,'Move Reality'!$A$5:$A$19,0)),INDEX('Move Reality'!$F$5:$F$19,MATCH(E512,'Move Reality'!$A$5:$A$19,0)))</f>
        <v>4</v>
      </c>
      <c r="M512" s="28" t="str">
        <f aca="false">IF(L512&gt;=5,"YES","no - dead move")</f>
        <v>no - dead move</v>
      </c>
    </row>
    <row r="513" customFormat="false" ht="15" hidden="false" customHeight="false" outlineLevel="0" collapsed="false">
      <c r="A513" s="17" t="n">
        <v>509</v>
      </c>
      <c r="B513" s="17" t="s">
        <v>44</v>
      </c>
      <c r="C513" s="17" t="s">
        <v>46</v>
      </c>
      <c r="D513" s="17" t="s">
        <v>47</v>
      </c>
      <c r="E513" s="17" t="s">
        <v>50</v>
      </c>
      <c r="F513" s="25" t="n">
        <f aca="false">SUMPRODUCT(--((('Yellow Bosses'!$L$5:$L$53&gt;=2)+('Yellow Bosses'!$N$5:$N$53&gt;=2)+('Yellow Bosses'!$O$5:$O$53&gt;=2)+('Yellow Bosses'!$R$5:$R$53&gt;=2))&gt;0))</f>
        <v>33</v>
      </c>
      <c r="G513" s="26" t="n">
        <f aca="false">F513/49</f>
        <v>0.673469387755102</v>
      </c>
      <c r="H513" s="25" t="n">
        <f aca="false">49-SUMPRODUCT(--((('Yellow Bosses'!$L$5:$L$53&gt;=1)+('Yellow Bosses'!$N$5:$N$53&gt;=1)+('Yellow Bosses'!$O$5:$O$53&gt;=1)+('Yellow Bosses'!$R$5:$R$53&gt;=1))&gt;0))</f>
        <v>0</v>
      </c>
      <c r="I513" s="25" t="n">
        <f aca="false">SUMPRODUCT(--((('Yellow Bosses'!$L$5:$L$53&gt;0)+('Yellow Bosses'!$N$5:$N$53&gt;0)+('Yellow Bosses'!$O$5:$O$53&gt;0)+('Yellow Bosses'!$R$5:$R$53&gt;0))=0))</f>
        <v>0</v>
      </c>
      <c r="J513" s="25" t="n">
        <f aca="false">SUMPRODUCT(--(((Effectiveness!$I$5:$I$155&gt;=2)+(Effectiveness!$K$5:$K$155&gt;=2)+(Effectiveness!$L$5:$L$155&gt;=2)+(Effectiveness!$O$5:$O$155&gt;=2))&gt;0))</f>
        <v>107</v>
      </c>
      <c r="K513" s="26" t="n">
        <f aca="false">J513/151</f>
        <v>0.708609271523179</v>
      </c>
      <c r="L513" s="25" t="n">
        <f aca="false">MIN(INDEX('Move Reality'!$F$5:$F$19,MATCH(B513,'Move Reality'!$A$5:$A$19,0)),INDEX('Move Reality'!$F$5:$F$19,MATCH(C513,'Move Reality'!$A$5:$A$19,0)),INDEX('Move Reality'!$F$5:$F$19,MATCH(D513,'Move Reality'!$A$5:$A$19,0)),INDEX('Move Reality'!$F$5:$F$19,MATCH(E513,'Move Reality'!$A$5:$A$19,0)))</f>
        <v>2</v>
      </c>
      <c r="M513" s="28" t="str">
        <f aca="false">IF(L513&gt;=5,"YES","no - dead move")</f>
        <v>no - dead move</v>
      </c>
    </row>
    <row r="514" customFormat="false" ht="15" hidden="false" customHeight="false" outlineLevel="0" collapsed="false">
      <c r="A514" s="17" t="n">
        <v>510</v>
      </c>
      <c r="B514" s="17" t="s">
        <v>44</v>
      </c>
      <c r="C514" s="17" t="s">
        <v>46</v>
      </c>
      <c r="D514" s="17" t="s">
        <v>49</v>
      </c>
      <c r="E514" s="17" t="s">
        <v>50</v>
      </c>
      <c r="F514" s="25" t="n">
        <f aca="false">SUMPRODUCT(--((('Yellow Bosses'!$L$5:$L$53&gt;=2)+('Yellow Bosses'!$N$5:$N$53&gt;=2)+('Yellow Bosses'!$Q$5:$Q$53&gt;=2)+('Yellow Bosses'!$R$5:$R$53&gt;=2))&gt;0))</f>
        <v>33</v>
      </c>
      <c r="G514" s="26" t="n">
        <f aca="false">F514/49</f>
        <v>0.673469387755102</v>
      </c>
      <c r="H514" s="25" t="n">
        <f aca="false">49-SUMPRODUCT(--((('Yellow Bosses'!$L$5:$L$53&gt;=1)+('Yellow Bosses'!$N$5:$N$53&gt;=1)+('Yellow Bosses'!$Q$5:$Q$53&gt;=1)+('Yellow Bosses'!$R$5:$R$53&gt;=1))&gt;0))</f>
        <v>0</v>
      </c>
      <c r="I514" s="25" t="n">
        <f aca="false">SUMPRODUCT(--((('Yellow Bosses'!$L$5:$L$53&gt;0)+('Yellow Bosses'!$N$5:$N$53&gt;0)+('Yellow Bosses'!$Q$5:$Q$53&gt;0)+('Yellow Bosses'!$R$5:$R$53&gt;0))=0))</f>
        <v>0</v>
      </c>
      <c r="J514" s="25" t="n">
        <f aca="false">SUMPRODUCT(--(((Effectiveness!$I$5:$I$155&gt;=2)+(Effectiveness!$K$5:$K$155&gt;=2)+(Effectiveness!$N$5:$N$155&gt;=2)+(Effectiveness!$O$5:$O$155&gt;=2))&gt;0))</f>
        <v>107</v>
      </c>
      <c r="K514" s="26" t="n">
        <f aca="false">J514/151</f>
        <v>0.708609271523179</v>
      </c>
      <c r="L514" s="25" t="n">
        <f aca="false">MIN(INDEX('Move Reality'!$F$5:$F$19,MATCH(B514,'Move Reality'!$A$5:$A$19,0)),INDEX('Move Reality'!$F$5:$F$19,MATCH(C514,'Move Reality'!$A$5:$A$19,0)),INDEX('Move Reality'!$F$5:$F$19,MATCH(D514,'Move Reality'!$A$5:$A$19,0)),INDEX('Move Reality'!$F$5:$F$19,MATCH(E514,'Move Reality'!$A$5:$A$19,0)))</f>
        <v>4</v>
      </c>
      <c r="M514" s="28" t="str">
        <f aca="false">IF(L514&gt;=5,"YES","no - dead move")</f>
        <v>no - dead move</v>
      </c>
    </row>
    <row r="515" customFormat="false" ht="15" hidden="false" customHeight="false" outlineLevel="0" collapsed="false">
      <c r="A515" s="17" t="n">
        <v>511</v>
      </c>
      <c r="B515" s="17" t="s">
        <v>41</v>
      </c>
      <c r="C515" s="17" t="s">
        <v>43</v>
      </c>
      <c r="D515" s="17" t="s">
        <v>50</v>
      </c>
      <c r="E515" s="17" t="s">
        <v>52</v>
      </c>
      <c r="F515" s="25" t="n">
        <f aca="false">SUMPRODUCT(--((('Yellow Bosses'!$I$5:$I$53&gt;=2)+('Yellow Bosses'!$K$5:$K$53&gt;=2)+('Yellow Bosses'!$R$5:$R$53&gt;=2)+('Yellow Bosses'!$T$5:$T$53&gt;=2))&gt;0))</f>
        <v>33</v>
      </c>
      <c r="G515" s="26" t="n">
        <f aca="false">F515/49</f>
        <v>0.673469387755102</v>
      </c>
      <c r="H515" s="25" t="n">
        <f aca="false">49-SUMPRODUCT(--((('Yellow Bosses'!$I$5:$I$53&gt;=1)+('Yellow Bosses'!$K$5:$K$53&gt;=1)+('Yellow Bosses'!$R$5:$R$53&gt;=1)+('Yellow Bosses'!$T$5:$T$53&gt;=1))&gt;0))</f>
        <v>0</v>
      </c>
      <c r="I515" s="25" t="n">
        <f aca="false">SUMPRODUCT(--((('Yellow Bosses'!$I$5:$I$53&gt;0)+('Yellow Bosses'!$K$5:$K$53&gt;0)+('Yellow Bosses'!$R$5:$R$53&gt;0)+('Yellow Bosses'!$T$5:$T$53&gt;0))=0))</f>
        <v>0</v>
      </c>
      <c r="J515" s="25" t="n">
        <f aca="false">SUMPRODUCT(--(((Effectiveness!$F$5:$F$155&gt;=2)+(Effectiveness!$H$5:$H$155&gt;=2)+(Effectiveness!$O$5:$O$155&gt;=2)+(Effectiveness!$Q$5:$Q$155&gt;=2))&gt;0))</f>
        <v>105</v>
      </c>
      <c r="K515" s="26" t="n">
        <f aca="false">J515/151</f>
        <v>0.695364238410596</v>
      </c>
      <c r="L515" s="25" t="n">
        <f aca="false">MIN(INDEX('Move Reality'!$F$5:$F$19,MATCH(B515,'Move Reality'!$A$5:$A$19,0)),INDEX('Move Reality'!$F$5:$F$19,MATCH(C515,'Move Reality'!$A$5:$A$19,0)),INDEX('Move Reality'!$F$5:$F$19,MATCH(D515,'Move Reality'!$A$5:$A$19,0)),INDEX('Move Reality'!$F$5:$F$19,MATCH(E515,'Move Reality'!$A$5:$A$19,0)))</f>
        <v>6</v>
      </c>
      <c r="M515" s="28" t="str">
        <f aca="false">IF(L515&gt;=5,"YES","no - dead move")</f>
        <v>YES</v>
      </c>
    </row>
    <row r="516" customFormat="false" ht="15" hidden="false" customHeight="false" outlineLevel="0" collapsed="false">
      <c r="A516" s="17" t="n">
        <v>512</v>
      </c>
      <c r="B516" s="17" t="s">
        <v>43</v>
      </c>
      <c r="C516" s="17" t="s">
        <v>47</v>
      </c>
      <c r="D516" s="17" t="s">
        <v>50</v>
      </c>
      <c r="E516" s="17" t="s">
        <v>52</v>
      </c>
      <c r="F516" s="25" t="n">
        <f aca="false">SUMPRODUCT(--((('Yellow Bosses'!$K$5:$K$53&gt;=2)+('Yellow Bosses'!$O$5:$O$53&gt;=2)+('Yellow Bosses'!$R$5:$R$53&gt;=2)+('Yellow Bosses'!$T$5:$T$53&gt;=2))&gt;0))</f>
        <v>33</v>
      </c>
      <c r="G516" s="26" t="n">
        <f aca="false">F516/49</f>
        <v>0.673469387755102</v>
      </c>
      <c r="H516" s="25" t="n">
        <f aca="false">49-SUMPRODUCT(--((('Yellow Bosses'!$K$5:$K$53&gt;=1)+('Yellow Bosses'!$O$5:$O$53&gt;=1)+('Yellow Bosses'!$R$5:$R$53&gt;=1)+('Yellow Bosses'!$T$5:$T$53&gt;=1))&gt;0))</f>
        <v>0</v>
      </c>
      <c r="I516" s="25" t="n">
        <f aca="false">SUMPRODUCT(--((('Yellow Bosses'!$K$5:$K$53&gt;0)+('Yellow Bosses'!$O$5:$O$53&gt;0)+('Yellow Bosses'!$R$5:$R$53&gt;0)+('Yellow Bosses'!$T$5:$T$53&gt;0))=0))</f>
        <v>0</v>
      </c>
      <c r="J516" s="25" t="n">
        <f aca="false">SUMPRODUCT(--(((Effectiveness!$H$5:$H$155&gt;=2)+(Effectiveness!$L$5:$L$155&gt;=2)+(Effectiveness!$O$5:$O$155&gt;=2)+(Effectiveness!$Q$5:$Q$155&gt;=2))&gt;0))</f>
        <v>105</v>
      </c>
      <c r="K516" s="26" t="n">
        <f aca="false">J516/151</f>
        <v>0.695364238410596</v>
      </c>
      <c r="L516" s="25" t="n">
        <f aca="false">MIN(INDEX('Move Reality'!$F$5:$F$19,MATCH(B516,'Move Reality'!$A$5:$A$19,0)),INDEX('Move Reality'!$F$5:$F$19,MATCH(C516,'Move Reality'!$A$5:$A$19,0)),INDEX('Move Reality'!$F$5:$F$19,MATCH(D516,'Move Reality'!$A$5:$A$19,0)),INDEX('Move Reality'!$F$5:$F$19,MATCH(E516,'Move Reality'!$A$5:$A$19,0)))</f>
        <v>2</v>
      </c>
      <c r="M516" s="28" t="str">
        <f aca="false">IF(L516&gt;=5,"YES","no - dead move")</f>
        <v>no - dead move</v>
      </c>
    </row>
    <row r="517" customFormat="false" ht="15" hidden="false" customHeight="false" outlineLevel="0" collapsed="false">
      <c r="A517" s="17" t="n">
        <v>513</v>
      </c>
      <c r="B517" s="17" t="s">
        <v>43</v>
      </c>
      <c r="C517" s="17" t="s">
        <v>49</v>
      </c>
      <c r="D517" s="17" t="s">
        <v>50</v>
      </c>
      <c r="E517" s="17" t="s">
        <v>52</v>
      </c>
      <c r="F517" s="25" t="n">
        <f aca="false">SUMPRODUCT(--((('Yellow Bosses'!$K$5:$K$53&gt;=2)+('Yellow Bosses'!$Q$5:$Q$53&gt;=2)+('Yellow Bosses'!$R$5:$R$53&gt;=2)+('Yellow Bosses'!$T$5:$T$53&gt;=2))&gt;0))</f>
        <v>33</v>
      </c>
      <c r="G517" s="26" t="n">
        <f aca="false">F517/49</f>
        <v>0.673469387755102</v>
      </c>
      <c r="H517" s="25" t="n">
        <f aca="false">49-SUMPRODUCT(--((('Yellow Bosses'!$K$5:$K$53&gt;=1)+('Yellow Bosses'!$Q$5:$Q$53&gt;=1)+('Yellow Bosses'!$R$5:$R$53&gt;=1)+('Yellow Bosses'!$T$5:$T$53&gt;=1))&gt;0))</f>
        <v>0</v>
      </c>
      <c r="I517" s="25" t="n">
        <f aca="false">SUMPRODUCT(--((('Yellow Bosses'!$K$5:$K$53&gt;0)+('Yellow Bosses'!$Q$5:$Q$53&gt;0)+('Yellow Bosses'!$R$5:$R$53&gt;0)+('Yellow Bosses'!$T$5:$T$53&gt;0))=0))</f>
        <v>0</v>
      </c>
      <c r="J517" s="25" t="n">
        <f aca="false">SUMPRODUCT(--(((Effectiveness!$H$5:$H$155&gt;=2)+(Effectiveness!$N$5:$N$155&gt;=2)+(Effectiveness!$O$5:$O$155&gt;=2)+(Effectiveness!$Q$5:$Q$155&gt;=2))&gt;0))</f>
        <v>105</v>
      </c>
      <c r="K517" s="26" t="n">
        <f aca="false">J517/151</f>
        <v>0.695364238410596</v>
      </c>
      <c r="L517" s="25" t="n">
        <f aca="false">MIN(INDEX('Move Reality'!$F$5:$F$19,MATCH(B517,'Move Reality'!$A$5:$A$19,0)),INDEX('Move Reality'!$F$5:$F$19,MATCH(C517,'Move Reality'!$A$5:$A$19,0)),INDEX('Move Reality'!$F$5:$F$19,MATCH(D517,'Move Reality'!$A$5:$A$19,0)),INDEX('Move Reality'!$F$5:$F$19,MATCH(E517,'Move Reality'!$A$5:$A$19,0)))</f>
        <v>5</v>
      </c>
      <c r="M517" s="28" t="str">
        <f aca="false">IF(L517&gt;=5,"YES","no - dead move")</f>
        <v>YES</v>
      </c>
    </row>
    <row r="518" customFormat="false" ht="15" hidden="false" customHeight="false" outlineLevel="0" collapsed="false">
      <c r="A518" s="17" t="n">
        <v>514</v>
      </c>
      <c r="B518" s="17" t="s">
        <v>43</v>
      </c>
      <c r="C518" s="17" t="s">
        <v>51</v>
      </c>
      <c r="D518" s="17" t="s">
        <v>52</v>
      </c>
      <c r="E518" s="17" t="s">
        <v>54</v>
      </c>
      <c r="F518" s="25" t="n">
        <f aca="false">SUMPRODUCT(--((('Yellow Bosses'!$K$5:$K$53&gt;=2)+('Yellow Bosses'!$S$5:$S$53&gt;=2)+('Yellow Bosses'!$T$5:$T$53&gt;=2)+('Yellow Bosses'!$V$5:$V$53&gt;=2))&gt;0))</f>
        <v>33</v>
      </c>
      <c r="G518" s="26" t="n">
        <f aca="false">F518/49</f>
        <v>0.673469387755102</v>
      </c>
      <c r="H518" s="25" t="n">
        <f aca="false">49-SUMPRODUCT(--((('Yellow Bosses'!$K$5:$K$53&gt;=1)+('Yellow Bosses'!$S$5:$S$53&gt;=1)+('Yellow Bosses'!$T$5:$T$53&gt;=1)+('Yellow Bosses'!$V$5:$V$53&gt;=1))&gt;0))</f>
        <v>0</v>
      </c>
      <c r="I518" s="25" t="n">
        <f aca="false">SUMPRODUCT(--((('Yellow Bosses'!$K$5:$K$53&gt;0)+('Yellow Bosses'!$S$5:$S$53&gt;0)+('Yellow Bosses'!$T$5:$T$53&gt;0)+('Yellow Bosses'!$V$5:$V$53&gt;0))=0))</f>
        <v>0</v>
      </c>
      <c r="J518" s="25" t="n">
        <f aca="false">SUMPRODUCT(--(((Effectiveness!$H$5:$H$155&gt;=2)+(Effectiveness!$P$5:$P$155&gt;=2)+(Effectiveness!$Q$5:$Q$155&gt;=2)+(Effectiveness!$S$5:$S$155&gt;=2))&gt;0))</f>
        <v>105</v>
      </c>
      <c r="K518" s="26" t="n">
        <f aca="false">J518/151</f>
        <v>0.695364238410596</v>
      </c>
      <c r="L518" s="25" t="n">
        <f aca="false">MIN(INDEX('Move Reality'!$F$5:$F$19,MATCH(B518,'Move Reality'!$A$5:$A$19,0)),INDEX('Move Reality'!$F$5:$F$19,MATCH(C518,'Move Reality'!$A$5:$A$19,0)),INDEX('Move Reality'!$F$5:$F$19,MATCH(D518,'Move Reality'!$A$5:$A$19,0)),INDEX('Move Reality'!$F$5:$F$19,MATCH(E518,'Move Reality'!$A$5:$A$19,0)))</f>
        <v>1</v>
      </c>
      <c r="M518" s="28" t="str">
        <f aca="false">IF(L518&gt;=5,"YES","no - dead move")</f>
        <v>no - dead move</v>
      </c>
    </row>
    <row r="519" customFormat="false" ht="15" hidden="false" customHeight="false" outlineLevel="0" collapsed="false">
      <c r="A519" s="17" t="n">
        <v>515</v>
      </c>
      <c r="B519" s="17" t="s">
        <v>43</v>
      </c>
      <c r="C519" s="17" t="s">
        <v>50</v>
      </c>
      <c r="D519" s="17" t="s">
        <v>52</v>
      </c>
      <c r="E519" s="17" t="s">
        <v>54</v>
      </c>
      <c r="F519" s="25" t="n">
        <f aca="false">SUMPRODUCT(--((('Yellow Bosses'!$K$5:$K$53&gt;=2)+('Yellow Bosses'!$R$5:$R$53&gt;=2)+('Yellow Bosses'!$T$5:$T$53&gt;=2)+('Yellow Bosses'!$V$5:$V$53&gt;=2))&gt;0))</f>
        <v>33</v>
      </c>
      <c r="G519" s="26" t="n">
        <f aca="false">F519/49</f>
        <v>0.673469387755102</v>
      </c>
      <c r="H519" s="25" t="n">
        <f aca="false">49-SUMPRODUCT(--((('Yellow Bosses'!$K$5:$K$53&gt;=1)+('Yellow Bosses'!$R$5:$R$53&gt;=1)+('Yellow Bosses'!$T$5:$T$53&gt;=1)+('Yellow Bosses'!$V$5:$V$53&gt;=1))&gt;0))</f>
        <v>0</v>
      </c>
      <c r="I519" s="25" t="n">
        <f aca="false">SUMPRODUCT(--((('Yellow Bosses'!$K$5:$K$53&gt;0)+('Yellow Bosses'!$R$5:$R$53&gt;0)+('Yellow Bosses'!$T$5:$T$53&gt;0)+('Yellow Bosses'!$V$5:$V$53&gt;0))=0))</f>
        <v>0</v>
      </c>
      <c r="J519" s="25" t="n">
        <f aca="false">SUMPRODUCT(--(((Effectiveness!$H$5:$H$155&gt;=2)+(Effectiveness!$O$5:$O$155&gt;=2)+(Effectiveness!$Q$5:$Q$155&gt;=2)+(Effectiveness!$S$5:$S$155&gt;=2))&gt;0))</f>
        <v>104</v>
      </c>
      <c r="K519" s="26" t="n">
        <f aca="false">J519/151</f>
        <v>0.688741721854305</v>
      </c>
      <c r="L519" s="25" t="n">
        <f aca="false">MIN(INDEX('Move Reality'!$F$5:$F$19,MATCH(B519,'Move Reality'!$A$5:$A$19,0)),INDEX('Move Reality'!$F$5:$F$19,MATCH(C519,'Move Reality'!$A$5:$A$19,0)),INDEX('Move Reality'!$F$5:$F$19,MATCH(D519,'Move Reality'!$A$5:$A$19,0)),INDEX('Move Reality'!$F$5:$F$19,MATCH(E519,'Move Reality'!$A$5:$A$19,0)))</f>
        <v>1</v>
      </c>
      <c r="M519" s="28" t="str">
        <f aca="false">IF(L519&gt;=5,"YES","no - dead move")</f>
        <v>no - dead move</v>
      </c>
    </row>
    <row r="520" customFormat="false" ht="15" hidden="false" customHeight="false" outlineLevel="0" collapsed="false">
      <c r="A520" s="17" t="n">
        <v>516</v>
      </c>
      <c r="B520" s="17" t="s">
        <v>40</v>
      </c>
      <c r="C520" s="17" t="s">
        <v>46</v>
      </c>
      <c r="D520" s="17" t="s">
        <v>50</v>
      </c>
      <c r="E520" s="17" t="s">
        <v>52</v>
      </c>
      <c r="F520" s="25" t="n">
        <f aca="false">SUMPRODUCT(--((('Yellow Bosses'!$H$5:$H$53&gt;=2)+('Yellow Bosses'!$N$5:$N$53&gt;=2)+('Yellow Bosses'!$R$5:$R$53&gt;=2)+('Yellow Bosses'!$T$5:$T$53&gt;=2))&gt;0))</f>
        <v>33</v>
      </c>
      <c r="G520" s="26" t="n">
        <f aca="false">F520/49</f>
        <v>0.673469387755102</v>
      </c>
      <c r="H520" s="25" t="n">
        <f aca="false">49-SUMPRODUCT(--((('Yellow Bosses'!$H$5:$H$53&gt;=1)+('Yellow Bosses'!$N$5:$N$53&gt;=1)+('Yellow Bosses'!$R$5:$R$53&gt;=1)+('Yellow Bosses'!$T$5:$T$53&gt;=1))&gt;0))</f>
        <v>0</v>
      </c>
      <c r="I520" s="25" t="n">
        <f aca="false">SUMPRODUCT(--((('Yellow Bosses'!$H$5:$H$53&gt;0)+('Yellow Bosses'!$N$5:$N$53&gt;0)+('Yellow Bosses'!$R$5:$R$53&gt;0)+('Yellow Bosses'!$T$5:$T$53&gt;0))=0))</f>
        <v>0</v>
      </c>
      <c r="J520" s="25" t="n">
        <f aca="false">SUMPRODUCT(--(((Effectiveness!$E$5:$E$155&gt;=2)+(Effectiveness!$K$5:$K$155&gt;=2)+(Effectiveness!$O$5:$O$155&gt;=2)+(Effectiveness!$Q$5:$Q$155&gt;=2))&gt;0))</f>
        <v>103</v>
      </c>
      <c r="K520" s="26" t="n">
        <f aca="false">J520/151</f>
        <v>0.682119205298013</v>
      </c>
      <c r="L520" s="25" t="n">
        <f aca="false">MIN(INDEX('Move Reality'!$F$5:$F$19,MATCH(B520,'Move Reality'!$A$5:$A$19,0)),INDEX('Move Reality'!$F$5:$F$19,MATCH(C520,'Move Reality'!$A$5:$A$19,0)),INDEX('Move Reality'!$F$5:$F$19,MATCH(D520,'Move Reality'!$A$5:$A$19,0)),INDEX('Move Reality'!$F$5:$F$19,MATCH(E520,'Move Reality'!$A$5:$A$19,0)))</f>
        <v>5</v>
      </c>
      <c r="M520" s="28" t="str">
        <f aca="false">IF(L520&gt;=5,"YES","no - dead move")</f>
        <v>YES</v>
      </c>
    </row>
    <row r="521" customFormat="false" ht="15" hidden="false" customHeight="false" outlineLevel="0" collapsed="false">
      <c r="A521" s="17" t="n">
        <v>517</v>
      </c>
      <c r="B521" s="17" t="s">
        <v>41</v>
      </c>
      <c r="C521" s="17" t="s">
        <v>43</v>
      </c>
      <c r="D521" s="17" t="s">
        <v>44</v>
      </c>
      <c r="E521" s="17" t="s">
        <v>51</v>
      </c>
      <c r="F521" s="25" t="n">
        <f aca="false">SUMPRODUCT(--((('Yellow Bosses'!$I$5:$I$53&gt;=2)+('Yellow Bosses'!$K$5:$K$53&gt;=2)+('Yellow Bosses'!$L$5:$L$53&gt;=2)+('Yellow Bosses'!$S$5:$S$53&gt;=2))&gt;0))</f>
        <v>33</v>
      </c>
      <c r="G521" s="26" t="n">
        <f aca="false">F521/49</f>
        <v>0.673469387755102</v>
      </c>
      <c r="H521" s="25" t="n">
        <f aca="false">49-SUMPRODUCT(--((('Yellow Bosses'!$I$5:$I$53&gt;=1)+('Yellow Bosses'!$K$5:$K$53&gt;=1)+('Yellow Bosses'!$L$5:$L$53&gt;=1)+('Yellow Bosses'!$S$5:$S$53&gt;=1))&gt;0))</f>
        <v>0</v>
      </c>
      <c r="I521" s="25" t="n">
        <f aca="false">SUMPRODUCT(--((('Yellow Bosses'!$I$5:$I$53&gt;0)+('Yellow Bosses'!$K$5:$K$53&gt;0)+('Yellow Bosses'!$L$5:$L$53&gt;0)+('Yellow Bosses'!$S$5:$S$53&gt;0))=0))</f>
        <v>0</v>
      </c>
      <c r="J521" s="25" t="n">
        <f aca="false">SUMPRODUCT(--(((Effectiveness!$F$5:$F$155&gt;=2)+(Effectiveness!$H$5:$H$155&gt;=2)+(Effectiveness!$I$5:$I$155&gt;=2)+(Effectiveness!$P$5:$P$155&gt;=2))&gt;0))</f>
        <v>103</v>
      </c>
      <c r="K521" s="26" t="n">
        <f aca="false">J521/151</f>
        <v>0.682119205298013</v>
      </c>
      <c r="L521" s="25" t="n">
        <f aca="false">MIN(INDEX('Move Reality'!$F$5:$F$19,MATCH(B521,'Move Reality'!$A$5:$A$19,0)),INDEX('Move Reality'!$F$5:$F$19,MATCH(C521,'Move Reality'!$A$5:$A$19,0)),INDEX('Move Reality'!$F$5:$F$19,MATCH(D521,'Move Reality'!$A$5:$A$19,0)),INDEX('Move Reality'!$F$5:$F$19,MATCH(E521,'Move Reality'!$A$5:$A$19,0)))</f>
        <v>1</v>
      </c>
      <c r="M521" s="28" t="str">
        <f aca="false">IF(L521&gt;=5,"YES","no - dead move")</f>
        <v>no - dead move</v>
      </c>
    </row>
    <row r="522" customFormat="false" ht="15" hidden="false" customHeight="false" outlineLevel="0" collapsed="false">
      <c r="A522" s="17" t="n">
        <v>518</v>
      </c>
      <c r="B522" s="17" t="s">
        <v>42</v>
      </c>
      <c r="C522" s="17" t="s">
        <v>44</v>
      </c>
      <c r="D522" s="17" t="s">
        <v>46</v>
      </c>
      <c r="E522" s="17" t="s">
        <v>49</v>
      </c>
      <c r="F522" s="25" t="n">
        <f aca="false">SUMPRODUCT(--((('Yellow Bosses'!$J$5:$J$53&gt;=2)+('Yellow Bosses'!$L$5:$L$53&gt;=2)+('Yellow Bosses'!$N$5:$N$53&gt;=2)+('Yellow Bosses'!$Q$5:$Q$53&gt;=2))&gt;0))</f>
        <v>33</v>
      </c>
      <c r="G522" s="26" t="n">
        <f aca="false">F522/49</f>
        <v>0.673469387755102</v>
      </c>
      <c r="H522" s="25" t="n">
        <f aca="false">49-SUMPRODUCT(--((('Yellow Bosses'!$J$5:$J$53&gt;=1)+('Yellow Bosses'!$L$5:$L$53&gt;=1)+('Yellow Bosses'!$N$5:$N$53&gt;=1)+('Yellow Bosses'!$Q$5:$Q$53&gt;=1))&gt;0))</f>
        <v>0</v>
      </c>
      <c r="I522" s="25" t="n">
        <f aca="false">SUMPRODUCT(--((('Yellow Bosses'!$J$5:$J$53&gt;0)+('Yellow Bosses'!$L$5:$L$53&gt;0)+('Yellow Bosses'!$N$5:$N$53&gt;0)+('Yellow Bosses'!$Q$5:$Q$53&gt;0))=0))</f>
        <v>0</v>
      </c>
      <c r="J522" s="25" t="n">
        <f aca="false">SUMPRODUCT(--(((Effectiveness!$G$5:$G$155&gt;=2)+(Effectiveness!$I$5:$I$155&gt;=2)+(Effectiveness!$K$5:$K$155&gt;=2)+(Effectiveness!$N$5:$N$155&gt;=2))&gt;0))</f>
        <v>103</v>
      </c>
      <c r="K522" s="26" t="n">
        <f aca="false">J522/151</f>
        <v>0.682119205298013</v>
      </c>
      <c r="L522" s="25" t="n">
        <f aca="false">MIN(INDEX('Move Reality'!$F$5:$F$19,MATCH(B522,'Move Reality'!$A$5:$A$19,0)),INDEX('Move Reality'!$F$5:$F$19,MATCH(C522,'Move Reality'!$A$5:$A$19,0)),INDEX('Move Reality'!$F$5:$F$19,MATCH(D522,'Move Reality'!$A$5:$A$19,0)),INDEX('Move Reality'!$F$5:$F$19,MATCH(E522,'Move Reality'!$A$5:$A$19,0)))</f>
        <v>4</v>
      </c>
      <c r="M522" s="28" t="str">
        <f aca="false">IF(L522&gt;=5,"YES","no - dead move")</f>
        <v>no - dead move</v>
      </c>
    </row>
    <row r="523" customFormat="false" ht="15" hidden="false" customHeight="false" outlineLevel="0" collapsed="false">
      <c r="A523" s="17" t="n">
        <v>519</v>
      </c>
      <c r="B523" s="17" t="s">
        <v>43</v>
      </c>
      <c r="C523" s="17" t="s">
        <v>44</v>
      </c>
      <c r="D523" s="17" t="s">
        <v>47</v>
      </c>
      <c r="E523" s="17" t="s">
        <v>51</v>
      </c>
      <c r="F523" s="25" t="n">
        <f aca="false">SUMPRODUCT(--((('Yellow Bosses'!$K$5:$K$53&gt;=2)+('Yellow Bosses'!$L$5:$L$53&gt;=2)+('Yellow Bosses'!$O$5:$O$53&gt;=2)+('Yellow Bosses'!$S$5:$S$53&gt;=2))&gt;0))</f>
        <v>33</v>
      </c>
      <c r="G523" s="26" t="n">
        <f aca="false">F523/49</f>
        <v>0.673469387755102</v>
      </c>
      <c r="H523" s="25" t="n">
        <f aca="false">49-SUMPRODUCT(--((('Yellow Bosses'!$K$5:$K$53&gt;=1)+('Yellow Bosses'!$L$5:$L$53&gt;=1)+('Yellow Bosses'!$O$5:$O$53&gt;=1)+('Yellow Bosses'!$S$5:$S$53&gt;=1))&gt;0))</f>
        <v>0</v>
      </c>
      <c r="I523" s="25" t="n">
        <f aca="false">SUMPRODUCT(--((('Yellow Bosses'!$K$5:$K$53&gt;0)+('Yellow Bosses'!$L$5:$L$53&gt;0)+('Yellow Bosses'!$O$5:$O$53&gt;0)+('Yellow Bosses'!$S$5:$S$53&gt;0))=0))</f>
        <v>0</v>
      </c>
      <c r="J523" s="25" t="n">
        <f aca="false">SUMPRODUCT(--(((Effectiveness!$H$5:$H$155&gt;=2)+(Effectiveness!$I$5:$I$155&gt;=2)+(Effectiveness!$L$5:$L$155&gt;=2)+(Effectiveness!$P$5:$P$155&gt;=2))&gt;0))</f>
        <v>103</v>
      </c>
      <c r="K523" s="26" t="n">
        <f aca="false">J523/151</f>
        <v>0.682119205298013</v>
      </c>
      <c r="L523" s="25" t="n">
        <f aca="false">MIN(INDEX('Move Reality'!$F$5:$F$19,MATCH(B523,'Move Reality'!$A$5:$A$19,0)),INDEX('Move Reality'!$F$5:$F$19,MATCH(C523,'Move Reality'!$A$5:$A$19,0)),INDEX('Move Reality'!$F$5:$F$19,MATCH(D523,'Move Reality'!$A$5:$A$19,0)),INDEX('Move Reality'!$F$5:$F$19,MATCH(E523,'Move Reality'!$A$5:$A$19,0)))</f>
        <v>1</v>
      </c>
      <c r="M523" s="28" t="str">
        <f aca="false">IF(L523&gt;=5,"YES","no - dead move")</f>
        <v>no - dead move</v>
      </c>
    </row>
    <row r="524" customFormat="false" ht="15" hidden="false" customHeight="false" outlineLevel="0" collapsed="false">
      <c r="A524" s="17" t="n">
        <v>520</v>
      </c>
      <c r="B524" s="17" t="s">
        <v>46</v>
      </c>
      <c r="C524" s="17" t="s">
        <v>50</v>
      </c>
      <c r="D524" s="17" t="s">
        <v>52</v>
      </c>
      <c r="E524" s="17" t="s">
        <v>53</v>
      </c>
      <c r="F524" s="25" t="n">
        <f aca="false">SUMPRODUCT(--((('Yellow Bosses'!$N$5:$N$53&gt;=2)+('Yellow Bosses'!$R$5:$R$53&gt;=2)+('Yellow Bosses'!$T$5:$T$53&gt;=2)+('Yellow Bosses'!$U$5:$U$53&gt;=2))&gt;0))</f>
        <v>33</v>
      </c>
      <c r="G524" s="26" t="n">
        <f aca="false">F524/49</f>
        <v>0.673469387755102</v>
      </c>
      <c r="H524" s="25" t="n">
        <f aca="false">49-SUMPRODUCT(--((('Yellow Bosses'!$N$5:$N$53&gt;=1)+('Yellow Bosses'!$R$5:$R$53&gt;=1)+('Yellow Bosses'!$T$5:$T$53&gt;=1)+('Yellow Bosses'!$U$5:$U$53&gt;=1))&gt;0))</f>
        <v>0</v>
      </c>
      <c r="I524" s="25" t="n">
        <f aca="false">SUMPRODUCT(--((('Yellow Bosses'!$N$5:$N$53&gt;0)+('Yellow Bosses'!$R$5:$R$53&gt;0)+('Yellow Bosses'!$T$5:$T$53&gt;0)+('Yellow Bosses'!$U$5:$U$53&gt;0))=0))</f>
        <v>0</v>
      </c>
      <c r="J524" s="25" t="n">
        <f aca="false">SUMPRODUCT(--(((Effectiveness!$K$5:$K$155&gt;=2)+(Effectiveness!$O$5:$O$155&gt;=2)+(Effectiveness!$Q$5:$Q$155&gt;=2)+(Effectiveness!$R$5:$R$155&gt;=2))&gt;0))</f>
        <v>103</v>
      </c>
      <c r="K524" s="26" t="n">
        <f aca="false">J524/151</f>
        <v>0.682119205298013</v>
      </c>
      <c r="L524" s="25" t="n">
        <f aca="false">MIN(INDEX('Move Reality'!$F$5:$F$19,MATCH(B524,'Move Reality'!$A$5:$A$19,0)),INDEX('Move Reality'!$F$5:$F$19,MATCH(C524,'Move Reality'!$A$5:$A$19,0)),INDEX('Move Reality'!$F$5:$F$19,MATCH(D524,'Move Reality'!$A$5:$A$19,0)),INDEX('Move Reality'!$F$5:$F$19,MATCH(E524,'Move Reality'!$A$5:$A$19,0)))</f>
        <v>1</v>
      </c>
      <c r="M524" s="28" t="str">
        <f aca="false">IF(L524&gt;=5,"YES","no - dead move")</f>
        <v>no - dead move</v>
      </c>
    </row>
    <row r="525" customFormat="false" ht="15" hidden="false" customHeight="false" outlineLevel="0" collapsed="false">
      <c r="A525" s="17" t="n">
        <v>521</v>
      </c>
      <c r="B525" s="17" t="s">
        <v>45</v>
      </c>
      <c r="C525" s="17" t="s">
        <v>46</v>
      </c>
      <c r="D525" s="17" t="s">
        <v>47</v>
      </c>
      <c r="E525" s="17" t="s">
        <v>50</v>
      </c>
      <c r="F525" s="25" t="n">
        <f aca="false">SUMPRODUCT(--((('Yellow Bosses'!$M$5:$M$53&gt;=2)+('Yellow Bosses'!$N$5:$N$53&gt;=2)+('Yellow Bosses'!$O$5:$O$53&gt;=2)+('Yellow Bosses'!$R$5:$R$53&gt;=2))&gt;0))</f>
        <v>33</v>
      </c>
      <c r="G525" s="26" t="n">
        <f aca="false">F525/49</f>
        <v>0.673469387755102</v>
      </c>
      <c r="H525" s="25" t="n">
        <f aca="false">49-SUMPRODUCT(--((('Yellow Bosses'!$M$5:$M$53&gt;=1)+('Yellow Bosses'!$N$5:$N$53&gt;=1)+('Yellow Bosses'!$O$5:$O$53&gt;=1)+('Yellow Bosses'!$R$5:$R$53&gt;=1))&gt;0))</f>
        <v>0</v>
      </c>
      <c r="I525" s="25" t="n">
        <f aca="false">SUMPRODUCT(--((('Yellow Bosses'!$M$5:$M$53&gt;0)+('Yellow Bosses'!$N$5:$N$53&gt;0)+('Yellow Bosses'!$O$5:$O$53&gt;0)+('Yellow Bosses'!$R$5:$R$53&gt;0))=0))</f>
        <v>0</v>
      </c>
      <c r="J525" s="25" t="n">
        <f aca="false">SUMPRODUCT(--(((Effectiveness!$J$5:$J$155&gt;=2)+(Effectiveness!$K$5:$K$155&gt;=2)+(Effectiveness!$L$5:$L$155&gt;=2)+(Effectiveness!$O$5:$O$155&gt;=2))&gt;0))</f>
        <v>101</v>
      </c>
      <c r="K525" s="26" t="n">
        <f aca="false">J525/151</f>
        <v>0.66887417218543</v>
      </c>
      <c r="L525" s="25" t="n">
        <f aca="false">MIN(INDEX('Move Reality'!$F$5:$F$19,MATCH(B525,'Move Reality'!$A$5:$A$19,0)),INDEX('Move Reality'!$F$5:$F$19,MATCH(C525,'Move Reality'!$A$5:$A$19,0)),INDEX('Move Reality'!$F$5:$F$19,MATCH(D525,'Move Reality'!$A$5:$A$19,0)),INDEX('Move Reality'!$F$5:$F$19,MATCH(E525,'Move Reality'!$A$5:$A$19,0)))</f>
        <v>2</v>
      </c>
      <c r="M525" s="28" t="str">
        <f aca="false">IF(L525&gt;=5,"YES","no - dead move")</f>
        <v>no - dead move</v>
      </c>
    </row>
    <row r="526" customFormat="false" ht="15" hidden="false" customHeight="false" outlineLevel="0" collapsed="false">
      <c r="A526" s="17" t="n">
        <v>522</v>
      </c>
      <c r="B526" s="17" t="s">
        <v>45</v>
      </c>
      <c r="C526" s="17" t="s">
        <v>46</v>
      </c>
      <c r="D526" s="17" t="s">
        <v>49</v>
      </c>
      <c r="E526" s="17" t="s">
        <v>50</v>
      </c>
      <c r="F526" s="25" t="n">
        <f aca="false">SUMPRODUCT(--((('Yellow Bosses'!$M$5:$M$53&gt;=2)+('Yellow Bosses'!$N$5:$N$53&gt;=2)+('Yellow Bosses'!$Q$5:$Q$53&gt;=2)+('Yellow Bosses'!$R$5:$R$53&gt;=2))&gt;0))</f>
        <v>33</v>
      </c>
      <c r="G526" s="26" t="n">
        <f aca="false">F526/49</f>
        <v>0.673469387755102</v>
      </c>
      <c r="H526" s="25" t="n">
        <f aca="false">49-SUMPRODUCT(--((('Yellow Bosses'!$M$5:$M$53&gt;=1)+('Yellow Bosses'!$N$5:$N$53&gt;=1)+('Yellow Bosses'!$Q$5:$Q$53&gt;=1)+('Yellow Bosses'!$R$5:$R$53&gt;=1))&gt;0))</f>
        <v>0</v>
      </c>
      <c r="I526" s="25" t="n">
        <f aca="false">SUMPRODUCT(--((('Yellow Bosses'!$M$5:$M$53&gt;0)+('Yellow Bosses'!$N$5:$N$53&gt;0)+('Yellow Bosses'!$Q$5:$Q$53&gt;0)+('Yellow Bosses'!$R$5:$R$53&gt;0))=0))</f>
        <v>0</v>
      </c>
      <c r="J526" s="25" t="n">
        <f aca="false">SUMPRODUCT(--(((Effectiveness!$J$5:$J$155&gt;=2)+(Effectiveness!$K$5:$K$155&gt;=2)+(Effectiveness!$N$5:$N$155&gt;=2)+(Effectiveness!$O$5:$O$155&gt;=2))&gt;0))</f>
        <v>101</v>
      </c>
      <c r="K526" s="26" t="n">
        <f aca="false">J526/151</f>
        <v>0.66887417218543</v>
      </c>
      <c r="L526" s="25" t="n">
        <f aca="false">MIN(INDEX('Move Reality'!$F$5:$F$19,MATCH(B526,'Move Reality'!$A$5:$A$19,0)),INDEX('Move Reality'!$F$5:$F$19,MATCH(C526,'Move Reality'!$A$5:$A$19,0)),INDEX('Move Reality'!$F$5:$F$19,MATCH(D526,'Move Reality'!$A$5:$A$19,0)),INDEX('Move Reality'!$F$5:$F$19,MATCH(E526,'Move Reality'!$A$5:$A$19,0)))</f>
        <v>5</v>
      </c>
      <c r="M526" s="28" t="str">
        <f aca="false">IF(L526&gt;=5,"YES","no - dead move")</f>
        <v>YES</v>
      </c>
    </row>
    <row r="527" customFormat="false" ht="15" hidden="false" customHeight="false" outlineLevel="0" collapsed="false">
      <c r="A527" s="17" t="n">
        <v>523</v>
      </c>
      <c r="B527" s="17" t="s">
        <v>40</v>
      </c>
      <c r="C527" s="17" t="s">
        <v>43</v>
      </c>
      <c r="D527" s="17" t="s">
        <v>44</v>
      </c>
      <c r="E527" s="17" t="s">
        <v>51</v>
      </c>
      <c r="F527" s="25" t="n">
        <f aca="false">SUMPRODUCT(--((('Yellow Bosses'!$H$5:$H$53&gt;=2)+('Yellow Bosses'!$K$5:$K$53&gt;=2)+('Yellow Bosses'!$L$5:$L$53&gt;=2)+('Yellow Bosses'!$S$5:$S$53&gt;=2))&gt;0))</f>
        <v>33</v>
      </c>
      <c r="G527" s="26" t="n">
        <f aca="false">F527/49</f>
        <v>0.673469387755102</v>
      </c>
      <c r="H527" s="25" t="n">
        <f aca="false">49-SUMPRODUCT(--((('Yellow Bosses'!$H$5:$H$53&gt;=1)+('Yellow Bosses'!$K$5:$K$53&gt;=1)+('Yellow Bosses'!$L$5:$L$53&gt;=1)+('Yellow Bosses'!$S$5:$S$53&gt;=1))&gt;0))</f>
        <v>0</v>
      </c>
      <c r="I527" s="25" t="n">
        <f aca="false">SUMPRODUCT(--((('Yellow Bosses'!$H$5:$H$53&gt;0)+('Yellow Bosses'!$K$5:$K$53&gt;0)+('Yellow Bosses'!$L$5:$L$53&gt;0)+('Yellow Bosses'!$S$5:$S$53&gt;0))=0))</f>
        <v>0</v>
      </c>
      <c r="J527" s="25" t="n">
        <f aca="false">SUMPRODUCT(--(((Effectiveness!$E$5:$E$155&gt;=2)+(Effectiveness!$H$5:$H$155&gt;=2)+(Effectiveness!$I$5:$I$155&gt;=2)+(Effectiveness!$P$5:$P$155&gt;=2))&gt;0))</f>
        <v>100</v>
      </c>
      <c r="K527" s="26" t="n">
        <f aca="false">J527/151</f>
        <v>0.662251655629139</v>
      </c>
      <c r="L527" s="25" t="n">
        <f aca="false">MIN(INDEX('Move Reality'!$F$5:$F$19,MATCH(B527,'Move Reality'!$A$5:$A$19,0)),INDEX('Move Reality'!$F$5:$F$19,MATCH(C527,'Move Reality'!$A$5:$A$19,0)),INDEX('Move Reality'!$F$5:$F$19,MATCH(D527,'Move Reality'!$A$5:$A$19,0)),INDEX('Move Reality'!$F$5:$F$19,MATCH(E527,'Move Reality'!$A$5:$A$19,0)))</f>
        <v>1</v>
      </c>
      <c r="M527" s="28" t="str">
        <f aca="false">IF(L527&gt;=5,"YES","no - dead move")</f>
        <v>no - dead move</v>
      </c>
    </row>
    <row r="528" customFormat="false" ht="15" hidden="false" customHeight="false" outlineLevel="0" collapsed="false">
      <c r="A528" s="17" t="n">
        <v>524</v>
      </c>
      <c r="B528" s="17" t="s">
        <v>40</v>
      </c>
      <c r="C528" s="17" t="s">
        <v>43</v>
      </c>
      <c r="D528" s="17" t="s">
        <v>48</v>
      </c>
      <c r="E528" s="17" t="s">
        <v>52</v>
      </c>
      <c r="F528" s="25" t="n">
        <f aca="false">SUMPRODUCT(--((('Yellow Bosses'!$H$5:$H$53&gt;=2)+('Yellow Bosses'!$K$5:$K$53&gt;=2)+('Yellow Bosses'!$P$5:$P$53&gt;=2)+('Yellow Bosses'!$T$5:$T$53&gt;=2))&gt;0))</f>
        <v>33</v>
      </c>
      <c r="G528" s="26" t="n">
        <f aca="false">F528/49</f>
        <v>0.673469387755102</v>
      </c>
      <c r="H528" s="25" t="n">
        <f aca="false">49-SUMPRODUCT(--((('Yellow Bosses'!$H$5:$H$53&gt;=1)+('Yellow Bosses'!$K$5:$K$53&gt;=1)+('Yellow Bosses'!$P$5:$P$53&gt;=1)+('Yellow Bosses'!$T$5:$T$53&gt;=1))&gt;0))</f>
        <v>0</v>
      </c>
      <c r="I528" s="25" t="n">
        <f aca="false">SUMPRODUCT(--((('Yellow Bosses'!$H$5:$H$53&gt;0)+('Yellow Bosses'!$K$5:$K$53&gt;0)+('Yellow Bosses'!$P$5:$P$53&gt;0)+('Yellow Bosses'!$T$5:$T$53&gt;0))=0))</f>
        <v>0</v>
      </c>
      <c r="J528" s="25" t="n">
        <f aca="false">SUMPRODUCT(--(((Effectiveness!$E$5:$E$155&gt;=2)+(Effectiveness!$H$5:$H$155&gt;=2)+(Effectiveness!$M$5:$M$155&gt;=2)+(Effectiveness!$Q$5:$Q$155&gt;=2))&gt;0))</f>
        <v>100</v>
      </c>
      <c r="K528" s="26" t="n">
        <f aca="false">J528/151</f>
        <v>0.662251655629139</v>
      </c>
      <c r="L528" s="25" t="n">
        <f aca="false">MIN(INDEX('Move Reality'!$F$5:$F$19,MATCH(B528,'Move Reality'!$A$5:$A$19,0)),INDEX('Move Reality'!$F$5:$F$19,MATCH(C528,'Move Reality'!$A$5:$A$19,0)),INDEX('Move Reality'!$F$5:$F$19,MATCH(D528,'Move Reality'!$A$5:$A$19,0)),INDEX('Move Reality'!$F$5:$F$19,MATCH(E528,'Move Reality'!$A$5:$A$19,0)))</f>
        <v>6</v>
      </c>
      <c r="M528" s="28" t="str">
        <f aca="false">IF(L528&gt;=5,"YES","no - dead move")</f>
        <v>YES</v>
      </c>
    </row>
    <row r="529" customFormat="false" ht="15" hidden="false" customHeight="false" outlineLevel="0" collapsed="false">
      <c r="A529" s="17" t="n">
        <v>525</v>
      </c>
      <c r="B529" s="17" t="s">
        <v>43</v>
      </c>
      <c r="C529" s="17" t="s">
        <v>48</v>
      </c>
      <c r="D529" s="17" t="s">
        <v>52</v>
      </c>
      <c r="E529" s="17" t="s">
        <v>53</v>
      </c>
      <c r="F529" s="25" t="n">
        <f aca="false">SUMPRODUCT(--((('Yellow Bosses'!$K$5:$K$53&gt;=2)+('Yellow Bosses'!$P$5:$P$53&gt;=2)+('Yellow Bosses'!$T$5:$T$53&gt;=2)+('Yellow Bosses'!$U$5:$U$53&gt;=2))&gt;0))</f>
        <v>33</v>
      </c>
      <c r="G529" s="26" t="n">
        <f aca="false">F529/49</f>
        <v>0.673469387755102</v>
      </c>
      <c r="H529" s="25" t="n">
        <f aca="false">49-SUMPRODUCT(--((('Yellow Bosses'!$K$5:$K$53&gt;=1)+('Yellow Bosses'!$P$5:$P$53&gt;=1)+('Yellow Bosses'!$T$5:$T$53&gt;=1)+('Yellow Bosses'!$U$5:$U$53&gt;=1))&gt;0))</f>
        <v>0</v>
      </c>
      <c r="I529" s="25" t="n">
        <f aca="false">SUMPRODUCT(--((('Yellow Bosses'!$K$5:$K$53&gt;0)+('Yellow Bosses'!$P$5:$P$53&gt;0)+('Yellow Bosses'!$T$5:$T$53&gt;0)+('Yellow Bosses'!$U$5:$U$53&gt;0))=0))</f>
        <v>0</v>
      </c>
      <c r="J529" s="25" t="n">
        <f aca="false">SUMPRODUCT(--(((Effectiveness!$H$5:$H$155&gt;=2)+(Effectiveness!$M$5:$M$155&gt;=2)+(Effectiveness!$Q$5:$Q$155&gt;=2)+(Effectiveness!$R$5:$R$155&gt;=2))&gt;0))</f>
        <v>100</v>
      </c>
      <c r="K529" s="26" t="n">
        <f aca="false">J529/151</f>
        <v>0.662251655629139</v>
      </c>
      <c r="L529" s="25" t="n">
        <f aca="false">MIN(INDEX('Move Reality'!$F$5:$F$19,MATCH(B529,'Move Reality'!$A$5:$A$19,0)),INDEX('Move Reality'!$F$5:$F$19,MATCH(C529,'Move Reality'!$A$5:$A$19,0)),INDEX('Move Reality'!$F$5:$F$19,MATCH(D529,'Move Reality'!$A$5:$A$19,0)),INDEX('Move Reality'!$F$5:$F$19,MATCH(E529,'Move Reality'!$A$5:$A$19,0)))</f>
        <v>1</v>
      </c>
      <c r="M529" s="28" t="str">
        <f aca="false">IF(L529&gt;=5,"YES","no - dead move")</f>
        <v>no - dead move</v>
      </c>
    </row>
    <row r="530" customFormat="false" ht="15" hidden="false" customHeight="false" outlineLevel="0" collapsed="false">
      <c r="A530" s="17" t="n">
        <v>526</v>
      </c>
      <c r="B530" s="17" t="s">
        <v>41</v>
      </c>
      <c r="C530" s="17" t="s">
        <v>42</v>
      </c>
      <c r="D530" s="17" t="s">
        <v>46</v>
      </c>
      <c r="E530" s="17" t="s">
        <v>48</v>
      </c>
      <c r="F530" s="25" t="n">
        <f aca="false">SUMPRODUCT(--((('Yellow Bosses'!$I$5:$I$53&gt;=2)+('Yellow Bosses'!$J$5:$J$53&gt;=2)+('Yellow Bosses'!$N$5:$N$53&gt;=2)+('Yellow Bosses'!$P$5:$P$53&gt;=2))&gt;0))</f>
        <v>33</v>
      </c>
      <c r="G530" s="26" t="n">
        <f aca="false">F530/49</f>
        <v>0.673469387755102</v>
      </c>
      <c r="H530" s="25" t="n">
        <f aca="false">49-SUMPRODUCT(--((('Yellow Bosses'!$I$5:$I$53&gt;=1)+('Yellow Bosses'!$J$5:$J$53&gt;=1)+('Yellow Bosses'!$N$5:$N$53&gt;=1)+('Yellow Bosses'!$P$5:$P$53&gt;=1))&gt;0))</f>
        <v>2</v>
      </c>
      <c r="I530" s="25" t="n">
        <f aca="false">SUMPRODUCT(--((('Yellow Bosses'!$I$5:$I$53&gt;0)+('Yellow Bosses'!$J$5:$J$53&gt;0)+('Yellow Bosses'!$N$5:$N$53&gt;0)+('Yellow Bosses'!$P$5:$P$53&gt;0))=0))</f>
        <v>0</v>
      </c>
      <c r="J530" s="25" t="n">
        <f aca="false">SUMPRODUCT(--(((Effectiveness!$F$5:$F$155&gt;=2)+(Effectiveness!$G$5:$G$155&gt;=2)+(Effectiveness!$K$5:$K$155&gt;=2)+(Effectiveness!$M$5:$M$155&gt;=2))&gt;0))</f>
        <v>99</v>
      </c>
      <c r="K530" s="26" t="n">
        <f aca="false">J530/151</f>
        <v>0.655629139072848</v>
      </c>
      <c r="L530" s="25" t="n">
        <f aca="false">MIN(INDEX('Move Reality'!$F$5:$F$19,MATCH(B530,'Move Reality'!$A$5:$A$19,0)),INDEX('Move Reality'!$F$5:$F$19,MATCH(C530,'Move Reality'!$A$5:$A$19,0)),INDEX('Move Reality'!$F$5:$F$19,MATCH(D530,'Move Reality'!$A$5:$A$19,0)),INDEX('Move Reality'!$F$5:$F$19,MATCH(E530,'Move Reality'!$A$5:$A$19,0)))</f>
        <v>5</v>
      </c>
      <c r="M530" s="28" t="str">
        <f aca="false">IF(L530&gt;=5,"YES","no - dead move")</f>
        <v>YES</v>
      </c>
    </row>
    <row r="531" customFormat="false" ht="15" hidden="false" customHeight="false" outlineLevel="0" collapsed="false">
      <c r="A531" s="17" t="n">
        <v>527</v>
      </c>
      <c r="B531" s="17" t="s">
        <v>40</v>
      </c>
      <c r="C531" s="17" t="s">
        <v>45</v>
      </c>
      <c r="D531" s="17" t="s">
        <v>46</v>
      </c>
      <c r="E531" s="17" t="s">
        <v>50</v>
      </c>
      <c r="F531" s="25" t="n">
        <f aca="false">SUMPRODUCT(--((('Yellow Bosses'!$H$5:$H$53&gt;=2)+('Yellow Bosses'!$M$5:$M$53&gt;=2)+('Yellow Bosses'!$N$5:$N$53&gt;=2)+('Yellow Bosses'!$R$5:$R$53&gt;=2))&gt;0))</f>
        <v>33</v>
      </c>
      <c r="G531" s="26" t="n">
        <f aca="false">F531/49</f>
        <v>0.673469387755102</v>
      </c>
      <c r="H531" s="25" t="n">
        <f aca="false">49-SUMPRODUCT(--((('Yellow Bosses'!$H$5:$H$53&gt;=1)+('Yellow Bosses'!$M$5:$M$53&gt;=1)+('Yellow Bosses'!$N$5:$N$53&gt;=1)+('Yellow Bosses'!$R$5:$R$53&gt;=1))&gt;0))</f>
        <v>0</v>
      </c>
      <c r="I531" s="25" t="n">
        <f aca="false">SUMPRODUCT(--((('Yellow Bosses'!$H$5:$H$53&gt;0)+('Yellow Bosses'!$M$5:$M$53&gt;0)+('Yellow Bosses'!$N$5:$N$53&gt;0)+('Yellow Bosses'!$R$5:$R$53&gt;0))=0))</f>
        <v>0</v>
      </c>
      <c r="J531" s="25" t="n">
        <f aca="false">SUMPRODUCT(--(((Effectiveness!$E$5:$E$155&gt;=2)+(Effectiveness!$J$5:$J$155&gt;=2)+(Effectiveness!$K$5:$K$155&gt;=2)+(Effectiveness!$O$5:$O$155&gt;=2))&gt;0))</f>
        <v>98</v>
      </c>
      <c r="K531" s="26" t="n">
        <f aca="false">J531/151</f>
        <v>0.649006622516556</v>
      </c>
      <c r="L531" s="25" t="n">
        <f aca="false">MIN(INDEX('Move Reality'!$F$5:$F$19,MATCH(B531,'Move Reality'!$A$5:$A$19,0)),INDEX('Move Reality'!$F$5:$F$19,MATCH(C531,'Move Reality'!$A$5:$A$19,0)),INDEX('Move Reality'!$F$5:$F$19,MATCH(D531,'Move Reality'!$A$5:$A$19,0)),INDEX('Move Reality'!$F$5:$F$19,MATCH(E531,'Move Reality'!$A$5:$A$19,0)))</f>
        <v>5</v>
      </c>
      <c r="M531" s="28" t="str">
        <f aca="false">IF(L531&gt;=5,"YES","no - dead move")</f>
        <v>YES</v>
      </c>
    </row>
    <row r="532" customFormat="false" ht="15" hidden="false" customHeight="false" outlineLevel="0" collapsed="false">
      <c r="A532" s="17" t="n">
        <v>528</v>
      </c>
      <c r="B532" s="17" t="s">
        <v>41</v>
      </c>
      <c r="C532" s="17" t="s">
        <v>46</v>
      </c>
      <c r="D532" s="17" t="s">
        <v>48</v>
      </c>
      <c r="E532" s="17" t="s">
        <v>49</v>
      </c>
      <c r="F532" s="25" t="n">
        <f aca="false">SUMPRODUCT(--((('Yellow Bosses'!$I$5:$I$53&gt;=2)+('Yellow Bosses'!$N$5:$N$53&gt;=2)+('Yellow Bosses'!$P$5:$P$53&gt;=2)+('Yellow Bosses'!$Q$5:$Q$53&gt;=2))&gt;0))</f>
        <v>33</v>
      </c>
      <c r="G532" s="26" t="n">
        <f aca="false">F532/49</f>
        <v>0.673469387755102</v>
      </c>
      <c r="H532" s="25" t="n">
        <f aca="false">49-SUMPRODUCT(--((('Yellow Bosses'!$I$5:$I$53&gt;=1)+('Yellow Bosses'!$N$5:$N$53&gt;=1)+('Yellow Bosses'!$P$5:$P$53&gt;=1)+('Yellow Bosses'!$Q$5:$Q$53&gt;=1))&gt;0))</f>
        <v>0</v>
      </c>
      <c r="I532" s="25" t="n">
        <f aca="false">SUMPRODUCT(--((('Yellow Bosses'!$I$5:$I$53&gt;0)+('Yellow Bosses'!$N$5:$N$53&gt;0)+('Yellow Bosses'!$P$5:$P$53&gt;0)+('Yellow Bosses'!$Q$5:$Q$53&gt;0))=0))</f>
        <v>0</v>
      </c>
      <c r="J532" s="25" t="n">
        <f aca="false">SUMPRODUCT(--(((Effectiveness!$F$5:$F$155&gt;=2)+(Effectiveness!$K$5:$K$155&gt;=2)+(Effectiveness!$M$5:$M$155&gt;=2)+(Effectiveness!$N$5:$N$155&gt;=2))&gt;0))</f>
        <v>98</v>
      </c>
      <c r="K532" s="26" t="n">
        <f aca="false">J532/151</f>
        <v>0.649006622516556</v>
      </c>
      <c r="L532" s="25" t="n">
        <f aca="false">MIN(INDEX('Move Reality'!$F$5:$F$19,MATCH(B532,'Move Reality'!$A$5:$A$19,0)),INDEX('Move Reality'!$F$5:$F$19,MATCH(C532,'Move Reality'!$A$5:$A$19,0)),INDEX('Move Reality'!$F$5:$F$19,MATCH(D532,'Move Reality'!$A$5:$A$19,0)),INDEX('Move Reality'!$F$5:$F$19,MATCH(E532,'Move Reality'!$A$5:$A$19,0)))</f>
        <v>5</v>
      </c>
      <c r="M532" s="28" t="str">
        <f aca="false">IF(L532&gt;=5,"YES","no - dead move")</f>
        <v>YES</v>
      </c>
    </row>
    <row r="533" customFormat="false" ht="15" hidden="false" customHeight="false" outlineLevel="0" collapsed="false">
      <c r="A533" s="17" t="n">
        <v>529</v>
      </c>
      <c r="B533" s="17" t="s">
        <v>45</v>
      </c>
      <c r="C533" s="17" t="s">
        <v>46</v>
      </c>
      <c r="D533" s="17" t="s">
        <v>50</v>
      </c>
      <c r="E533" s="17" t="s">
        <v>53</v>
      </c>
      <c r="F533" s="25" t="n">
        <f aca="false">SUMPRODUCT(--((('Yellow Bosses'!$M$5:$M$53&gt;=2)+('Yellow Bosses'!$N$5:$N$53&gt;=2)+('Yellow Bosses'!$R$5:$R$53&gt;=2)+('Yellow Bosses'!$U$5:$U$53&gt;=2))&gt;0))</f>
        <v>33</v>
      </c>
      <c r="G533" s="26" t="n">
        <f aca="false">F533/49</f>
        <v>0.673469387755102</v>
      </c>
      <c r="H533" s="25" t="n">
        <f aca="false">49-SUMPRODUCT(--((('Yellow Bosses'!$M$5:$M$53&gt;=1)+('Yellow Bosses'!$N$5:$N$53&gt;=1)+('Yellow Bosses'!$R$5:$R$53&gt;=1)+('Yellow Bosses'!$U$5:$U$53&gt;=1))&gt;0))</f>
        <v>2</v>
      </c>
      <c r="I533" s="25" t="n">
        <f aca="false">SUMPRODUCT(--((('Yellow Bosses'!$M$5:$M$53&gt;0)+('Yellow Bosses'!$N$5:$N$53&gt;0)+('Yellow Bosses'!$R$5:$R$53&gt;0)+('Yellow Bosses'!$U$5:$U$53&gt;0))=0))</f>
        <v>0</v>
      </c>
      <c r="J533" s="25" t="n">
        <f aca="false">SUMPRODUCT(--(((Effectiveness!$J$5:$J$155&gt;=2)+(Effectiveness!$K$5:$K$155&gt;=2)+(Effectiveness!$O$5:$O$155&gt;=2)+(Effectiveness!$R$5:$R$155&gt;=2))&gt;0))</f>
        <v>98</v>
      </c>
      <c r="K533" s="26" t="n">
        <f aca="false">J533/151</f>
        <v>0.649006622516556</v>
      </c>
      <c r="L533" s="25" t="n">
        <f aca="false">MIN(INDEX('Move Reality'!$F$5:$F$19,MATCH(B533,'Move Reality'!$A$5:$A$19,0)),INDEX('Move Reality'!$F$5:$F$19,MATCH(C533,'Move Reality'!$A$5:$A$19,0)),INDEX('Move Reality'!$F$5:$F$19,MATCH(D533,'Move Reality'!$A$5:$A$19,0)),INDEX('Move Reality'!$F$5:$F$19,MATCH(E533,'Move Reality'!$A$5:$A$19,0)))</f>
        <v>1</v>
      </c>
      <c r="M533" s="28" t="str">
        <f aca="false">IF(L533&gt;=5,"YES","no - dead move")</f>
        <v>no - dead move</v>
      </c>
    </row>
    <row r="534" customFormat="false" ht="15" hidden="false" customHeight="false" outlineLevel="0" collapsed="false">
      <c r="A534" s="17" t="n">
        <v>530</v>
      </c>
      <c r="B534" s="17" t="s">
        <v>45</v>
      </c>
      <c r="C534" s="17" t="s">
        <v>46</v>
      </c>
      <c r="D534" s="17" t="s">
        <v>50</v>
      </c>
      <c r="E534" s="17" t="s">
        <v>54</v>
      </c>
      <c r="F534" s="25" t="n">
        <f aca="false">SUMPRODUCT(--((('Yellow Bosses'!$M$5:$M$53&gt;=2)+('Yellow Bosses'!$N$5:$N$53&gt;=2)+('Yellow Bosses'!$R$5:$R$53&gt;=2)+('Yellow Bosses'!$V$5:$V$53&gt;=2))&gt;0))</f>
        <v>33</v>
      </c>
      <c r="G534" s="26" t="n">
        <f aca="false">F534/49</f>
        <v>0.673469387755102</v>
      </c>
      <c r="H534" s="25" t="n">
        <f aca="false">49-SUMPRODUCT(--((('Yellow Bosses'!$M$5:$M$53&gt;=1)+('Yellow Bosses'!$N$5:$N$53&gt;=1)+('Yellow Bosses'!$R$5:$R$53&gt;=1)+('Yellow Bosses'!$V$5:$V$53&gt;=1))&gt;0))</f>
        <v>0</v>
      </c>
      <c r="I534" s="25" t="n">
        <f aca="false">SUMPRODUCT(--((('Yellow Bosses'!$M$5:$M$53&gt;0)+('Yellow Bosses'!$N$5:$N$53&gt;0)+('Yellow Bosses'!$R$5:$R$53&gt;0)+('Yellow Bosses'!$V$5:$V$53&gt;0))=0))</f>
        <v>0</v>
      </c>
      <c r="J534" s="25" t="n">
        <f aca="false">SUMPRODUCT(--(((Effectiveness!$J$5:$J$155&gt;=2)+(Effectiveness!$K$5:$K$155&gt;=2)+(Effectiveness!$O$5:$O$155&gt;=2)+(Effectiveness!$S$5:$S$155&gt;=2))&gt;0))</f>
        <v>98</v>
      </c>
      <c r="K534" s="26" t="n">
        <f aca="false">J534/151</f>
        <v>0.649006622516556</v>
      </c>
      <c r="L534" s="25" t="n">
        <f aca="false">MIN(INDEX('Move Reality'!$F$5:$F$19,MATCH(B534,'Move Reality'!$A$5:$A$19,0)),INDEX('Move Reality'!$F$5:$F$19,MATCH(C534,'Move Reality'!$A$5:$A$19,0)),INDEX('Move Reality'!$F$5:$F$19,MATCH(D534,'Move Reality'!$A$5:$A$19,0)),INDEX('Move Reality'!$F$5:$F$19,MATCH(E534,'Move Reality'!$A$5:$A$19,0)))</f>
        <v>1</v>
      </c>
      <c r="M534" s="28" t="str">
        <f aca="false">IF(L534&gt;=5,"YES","no - dead move")</f>
        <v>no - dead move</v>
      </c>
    </row>
    <row r="535" customFormat="false" ht="15" hidden="false" customHeight="false" outlineLevel="0" collapsed="false">
      <c r="A535" s="17" t="n">
        <v>531</v>
      </c>
      <c r="B535" s="17" t="s">
        <v>46</v>
      </c>
      <c r="C535" s="17" t="s">
        <v>47</v>
      </c>
      <c r="D535" s="17" t="s">
        <v>48</v>
      </c>
      <c r="E535" s="17" t="s">
        <v>50</v>
      </c>
      <c r="F535" s="25" t="n">
        <f aca="false">SUMPRODUCT(--((('Yellow Bosses'!$N$5:$N$53&gt;=2)+('Yellow Bosses'!$O$5:$O$53&gt;=2)+('Yellow Bosses'!$P$5:$P$53&gt;=2)+('Yellow Bosses'!$R$5:$R$53&gt;=2))&gt;0))</f>
        <v>33</v>
      </c>
      <c r="G535" s="26" t="n">
        <f aca="false">F535/49</f>
        <v>0.673469387755102</v>
      </c>
      <c r="H535" s="25" t="n">
        <f aca="false">49-SUMPRODUCT(--((('Yellow Bosses'!$N$5:$N$53&gt;=1)+('Yellow Bosses'!$O$5:$O$53&gt;=1)+('Yellow Bosses'!$P$5:$P$53&gt;=1)+('Yellow Bosses'!$R$5:$R$53&gt;=1))&gt;0))</f>
        <v>0</v>
      </c>
      <c r="I535" s="25" t="n">
        <f aca="false">SUMPRODUCT(--((('Yellow Bosses'!$N$5:$N$53&gt;0)+('Yellow Bosses'!$O$5:$O$53&gt;0)+('Yellow Bosses'!$P$5:$P$53&gt;0)+('Yellow Bosses'!$R$5:$R$53&gt;0))=0))</f>
        <v>0</v>
      </c>
      <c r="J535" s="25" t="n">
        <f aca="false">SUMPRODUCT(--(((Effectiveness!$K$5:$K$155&gt;=2)+(Effectiveness!$L$5:$L$155&gt;=2)+(Effectiveness!$M$5:$M$155&gt;=2)+(Effectiveness!$O$5:$O$155&gt;=2))&gt;0))</f>
        <v>98</v>
      </c>
      <c r="K535" s="26" t="n">
        <f aca="false">J535/151</f>
        <v>0.649006622516556</v>
      </c>
      <c r="L535" s="25" t="n">
        <f aca="false">MIN(INDEX('Move Reality'!$F$5:$F$19,MATCH(B535,'Move Reality'!$A$5:$A$19,0)),INDEX('Move Reality'!$F$5:$F$19,MATCH(C535,'Move Reality'!$A$5:$A$19,0)),INDEX('Move Reality'!$F$5:$F$19,MATCH(D535,'Move Reality'!$A$5:$A$19,0)),INDEX('Move Reality'!$F$5:$F$19,MATCH(E535,'Move Reality'!$A$5:$A$19,0)))</f>
        <v>2</v>
      </c>
      <c r="M535" s="28" t="str">
        <f aca="false">IF(L535&gt;=5,"YES","no - dead move")</f>
        <v>no - dead move</v>
      </c>
    </row>
    <row r="536" customFormat="false" ht="15" hidden="false" customHeight="false" outlineLevel="0" collapsed="false">
      <c r="A536" s="17" t="n">
        <v>532</v>
      </c>
      <c r="B536" s="17" t="s">
        <v>46</v>
      </c>
      <c r="C536" s="17" t="s">
        <v>48</v>
      </c>
      <c r="D536" s="17" t="s">
        <v>49</v>
      </c>
      <c r="E536" s="17" t="s">
        <v>50</v>
      </c>
      <c r="F536" s="25" t="n">
        <f aca="false">SUMPRODUCT(--((('Yellow Bosses'!$N$5:$N$53&gt;=2)+('Yellow Bosses'!$P$5:$P$53&gt;=2)+('Yellow Bosses'!$Q$5:$Q$53&gt;=2)+('Yellow Bosses'!$R$5:$R$53&gt;=2))&gt;0))</f>
        <v>33</v>
      </c>
      <c r="G536" s="26" t="n">
        <f aca="false">F536/49</f>
        <v>0.673469387755102</v>
      </c>
      <c r="H536" s="25" t="n">
        <f aca="false">49-SUMPRODUCT(--((('Yellow Bosses'!$N$5:$N$53&gt;=1)+('Yellow Bosses'!$P$5:$P$53&gt;=1)+('Yellow Bosses'!$Q$5:$Q$53&gt;=1)+('Yellow Bosses'!$R$5:$R$53&gt;=1))&gt;0))</f>
        <v>0</v>
      </c>
      <c r="I536" s="25" t="n">
        <f aca="false">SUMPRODUCT(--((('Yellow Bosses'!$N$5:$N$53&gt;0)+('Yellow Bosses'!$P$5:$P$53&gt;0)+('Yellow Bosses'!$Q$5:$Q$53&gt;0)+('Yellow Bosses'!$R$5:$R$53&gt;0))=0))</f>
        <v>0</v>
      </c>
      <c r="J536" s="25" t="n">
        <f aca="false">SUMPRODUCT(--(((Effectiveness!$K$5:$K$155&gt;=2)+(Effectiveness!$M$5:$M$155&gt;=2)+(Effectiveness!$N$5:$N$155&gt;=2)+(Effectiveness!$O$5:$O$155&gt;=2))&gt;0))</f>
        <v>98</v>
      </c>
      <c r="K536" s="26" t="n">
        <f aca="false">J536/151</f>
        <v>0.649006622516556</v>
      </c>
      <c r="L536" s="25" t="n">
        <f aca="false">MIN(INDEX('Move Reality'!$F$5:$F$19,MATCH(B536,'Move Reality'!$A$5:$A$19,0)),INDEX('Move Reality'!$F$5:$F$19,MATCH(C536,'Move Reality'!$A$5:$A$19,0)),INDEX('Move Reality'!$F$5:$F$19,MATCH(D536,'Move Reality'!$A$5:$A$19,0)),INDEX('Move Reality'!$F$5:$F$19,MATCH(E536,'Move Reality'!$A$5:$A$19,0)))</f>
        <v>5</v>
      </c>
      <c r="M536" s="28" t="str">
        <f aca="false">IF(L536&gt;=5,"YES","no - dead move")</f>
        <v>YES</v>
      </c>
    </row>
    <row r="537" customFormat="false" ht="15" hidden="false" customHeight="false" outlineLevel="0" collapsed="false">
      <c r="A537" s="17" t="n">
        <v>533</v>
      </c>
      <c r="B537" s="17" t="s">
        <v>41</v>
      </c>
      <c r="C537" s="17" t="s">
        <v>42</v>
      </c>
      <c r="D537" s="17" t="s">
        <v>43</v>
      </c>
      <c r="E537" s="17" t="s">
        <v>52</v>
      </c>
      <c r="F537" s="25" t="n">
        <f aca="false">SUMPRODUCT(--((('Yellow Bosses'!$I$5:$I$53&gt;=2)+('Yellow Bosses'!$J$5:$J$53&gt;=2)+('Yellow Bosses'!$K$5:$K$53&gt;=2)+('Yellow Bosses'!$T$5:$T$53&gt;=2))&gt;0))</f>
        <v>33</v>
      </c>
      <c r="G537" s="26" t="n">
        <f aca="false">F537/49</f>
        <v>0.673469387755102</v>
      </c>
      <c r="H537" s="25" t="n">
        <f aca="false">49-SUMPRODUCT(--((('Yellow Bosses'!$I$5:$I$53&gt;=1)+('Yellow Bosses'!$J$5:$J$53&gt;=1)+('Yellow Bosses'!$K$5:$K$53&gt;=1)+('Yellow Bosses'!$T$5:$T$53&gt;=1))&gt;0))</f>
        <v>0</v>
      </c>
      <c r="I537" s="25" t="n">
        <f aca="false">SUMPRODUCT(--((('Yellow Bosses'!$I$5:$I$53&gt;0)+('Yellow Bosses'!$J$5:$J$53&gt;0)+('Yellow Bosses'!$K$5:$K$53&gt;0)+('Yellow Bosses'!$T$5:$T$53&gt;0))=0))</f>
        <v>0</v>
      </c>
      <c r="J537" s="25" t="n">
        <f aca="false">SUMPRODUCT(--(((Effectiveness!$F$5:$F$155&gt;=2)+(Effectiveness!$G$5:$G$155&gt;=2)+(Effectiveness!$H$5:$H$155&gt;=2)+(Effectiveness!$Q$5:$Q$155&gt;=2))&gt;0))</f>
        <v>97</v>
      </c>
      <c r="K537" s="26" t="n">
        <f aca="false">J537/151</f>
        <v>0.642384105960265</v>
      </c>
      <c r="L537" s="25" t="n">
        <f aca="false">MIN(INDEX('Move Reality'!$F$5:$F$19,MATCH(B537,'Move Reality'!$A$5:$A$19,0)),INDEX('Move Reality'!$F$5:$F$19,MATCH(C537,'Move Reality'!$A$5:$A$19,0)),INDEX('Move Reality'!$F$5:$F$19,MATCH(D537,'Move Reality'!$A$5:$A$19,0)),INDEX('Move Reality'!$F$5:$F$19,MATCH(E537,'Move Reality'!$A$5:$A$19,0)))</f>
        <v>6</v>
      </c>
      <c r="M537" s="28" t="str">
        <f aca="false">IF(L537&gt;=5,"YES","no - dead move")</f>
        <v>YES</v>
      </c>
    </row>
    <row r="538" customFormat="false" ht="15" hidden="false" customHeight="false" outlineLevel="0" collapsed="false">
      <c r="A538" s="17" t="n">
        <v>534</v>
      </c>
      <c r="B538" s="17" t="s">
        <v>42</v>
      </c>
      <c r="C538" s="17" t="s">
        <v>46</v>
      </c>
      <c r="D538" s="17" t="s">
        <v>49</v>
      </c>
      <c r="E538" s="17" t="s">
        <v>52</v>
      </c>
      <c r="F538" s="25" t="n">
        <f aca="false">SUMPRODUCT(--((('Yellow Bosses'!$J$5:$J$53&gt;=2)+('Yellow Bosses'!$N$5:$N$53&gt;=2)+('Yellow Bosses'!$Q$5:$Q$53&gt;=2)+('Yellow Bosses'!$T$5:$T$53&gt;=2))&gt;0))</f>
        <v>33</v>
      </c>
      <c r="G538" s="26" t="n">
        <f aca="false">F538/49</f>
        <v>0.673469387755102</v>
      </c>
      <c r="H538" s="25" t="n">
        <f aca="false">49-SUMPRODUCT(--((('Yellow Bosses'!$J$5:$J$53&gt;=1)+('Yellow Bosses'!$N$5:$N$53&gt;=1)+('Yellow Bosses'!$Q$5:$Q$53&gt;=1)+('Yellow Bosses'!$T$5:$T$53&gt;=1))&gt;0))</f>
        <v>0</v>
      </c>
      <c r="I538" s="25" t="n">
        <f aca="false">SUMPRODUCT(--((('Yellow Bosses'!$J$5:$J$53&gt;0)+('Yellow Bosses'!$N$5:$N$53&gt;0)+('Yellow Bosses'!$Q$5:$Q$53&gt;0)+('Yellow Bosses'!$T$5:$T$53&gt;0))=0))</f>
        <v>0</v>
      </c>
      <c r="J538" s="25" t="n">
        <f aca="false">SUMPRODUCT(--(((Effectiveness!$G$5:$G$155&gt;=2)+(Effectiveness!$K$5:$K$155&gt;=2)+(Effectiveness!$N$5:$N$155&gt;=2)+(Effectiveness!$Q$5:$Q$155&gt;=2))&gt;0))</f>
        <v>97</v>
      </c>
      <c r="K538" s="26" t="n">
        <f aca="false">J538/151</f>
        <v>0.642384105960265</v>
      </c>
      <c r="L538" s="25" t="n">
        <f aca="false">MIN(INDEX('Move Reality'!$F$5:$F$19,MATCH(B538,'Move Reality'!$A$5:$A$19,0)),INDEX('Move Reality'!$F$5:$F$19,MATCH(C538,'Move Reality'!$A$5:$A$19,0)),INDEX('Move Reality'!$F$5:$F$19,MATCH(D538,'Move Reality'!$A$5:$A$19,0)),INDEX('Move Reality'!$F$5:$F$19,MATCH(E538,'Move Reality'!$A$5:$A$19,0)))</f>
        <v>5</v>
      </c>
      <c r="M538" s="28" t="str">
        <f aca="false">IF(L538&gt;=5,"YES","no - dead move")</f>
        <v>YES</v>
      </c>
    </row>
    <row r="539" customFormat="false" ht="15" hidden="false" customHeight="false" outlineLevel="0" collapsed="false">
      <c r="A539" s="17" t="n">
        <v>535</v>
      </c>
      <c r="B539" s="17" t="s">
        <v>41</v>
      </c>
      <c r="C539" s="17" t="s">
        <v>44</v>
      </c>
      <c r="D539" s="17" t="s">
        <v>49</v>
      </c>
      <c r="E539" s="17" t="s">
        <v>51</v>
      </c>
      <c r="F539" s="25" t="n">
        <f aca="false">SUMPRODUCT(--((('Yellow Bosses'!$I$5:$I$53&gt;=2)+('Yellow Bosses'!$L$5:$L$53&gt;=2)+('Yellow Bosses'!$Q$5:$Q$53&gt;=2)+('Yellow Bosses'!$S$5:$S$53&gt;=2))&gt;0))</f>
        <v>33</v>
      </c>
      <c r="G539" s="26" t="n">
        <f aca="false">F539/49</f>
        <v>0.673469387755102</v>
      </c>
      <c r="H539" s="25" t="n">
        <f aca="false">49-SUMPRODUCT(--((('Yellow Bosses'!$I$5:$I$53&gt;=1)+('Yellow Bosses'!$L$5:$L$53&gt;=1)+('Yellow Bosses'!$Q$5:$Q$53&gt;=1)+('Yellow Bosses'!$S$5:$S$53&gt;=1))&gt;0))</f>
        <v>0</v>
      </c>
      <c r="I539" s="25" t="n">
        <f aca="false">SUMPRODUCT(--((('Yellow Bosses'!$I$5:$I$53&gt;0)+('Yellow Bosses'!$L$5:$L$53&gt;0)+('Yellow Bosses'!$Q$5:$Q$53&gt;0)+('Yellow Bosses'!$S$5:$S$53&gt;0))=0))</f>
        <v>0</v>
      </c>
      <c r="J539" s="25" t="n">
        <f aca="false">SUMPRODUCT(--(((Effectiveness!$F$5:$F$155&gt;=2)+(Effectiveness!$I$5:$I$155&gt;=2)+(Effectiveness!$N$5:$N$155&gt;=2)+(Effectiveness!$P$5:$P$155&gt;=2))&gt;0))</f>
        <v>96</v>
      </c>
      <c r="K539" s="26" t="n">
        <f aca="false">J539/151</f>
        <v>0.635761589403974</v>
      </c>
      <c r="L539" s="25" t="n">
        <f aca="false">MIN(INDEX('Move Reality'!$F$5:$F$19,MATCH(B539,'Move Reality'!$A$5:$A$19,0)),INDEX('Move Reality'!$F$5:$F$19,MATCH(C539,'Move Reality'!$A$5:$A$19,0)),INDEX('Move Reality'!$F$5:$F$19,MATCH(D539,'Move Reality'!$A$5:$A$19,0)),INDEX('Move Reality'!$F$5:$F$19,MATCH(E539,'Move Reality'!$A$5:$A$19,0)))</f>
        <v>1</v>
      </c>
      <c r="M539" s="28" t="str">
        <f aca="false">IF(L539&gt;=5,"YES","no - dead move")</f>
        <v>no - dead move</v>
      </c>
    </row>
    <row r="540" customFormat="false" ht="15" hidden="false" customHeight="false" outlineLevel="0" collapsed="false">
      <c r="A540" s="17" t="n">
        <v>536</v>
      </c>
      <c r="B540" s="17" t="s">
        <v>42</v>
      </c>
      <c r="C540" s="17" t="s">
        <v>45</v>
      </c>
      <c r="D540" s="17" t="s">
        <v>46</v>
      </c>
      <c r="E540" s="17" t="s">
        <v>49</v>
      </c>
      <c r="F540" s="25" t="n">
        <f aca="false">SUMPRODUCT(--((('Yellow Bosses'!$J$5:$J$53&gt;=2)+('Yellow Bosses'!$M$5:$M$53&gt;=2)+('Yellow Bosses'!$N$5:$N$53&gt;=2)+('Yellow Bosses'!$Q$5:$Q$53&gt;=2))&gt;0))</f>
        <v>33</v>
      </c>
      <c r="G540" s="26" t="n">
        <f aca="false">F540/49</f>
        <v>0.673469387755102</v>
      </c>
      <c r="H540" s="25" t="n">
        <f aca="false">49-SUMPRODUCT(--((('Yellow Bosses'!$J$5:$J$53&gt;=1)+('Yellow Bosses'!$M$5:$M$53&gt;=1)+('Yellow Bosses'!$N$5:$N$53&gt;=1)+('Yellow Bosses'!$Q$5:$Q$53&gt;=1))&gt;0))</f>
        <v>0</v>
      </c>
      <c r="I540" s="25" t="n">
        <f aca="false">SUMPRODUCT(--((('Yellow Bosses'!$J$5:$J$53&gt;0)+('Yellow Bosses'!$M$5:$M$53&gt;0)+('Yellow Bosses'!$N$5:$N$53&gt;0)+('Yellow Bosses'!$Q$5:$Q$53&gt;0))=0))</f>
        <v>0</v>
      </c>
      <c r="J540" s="25" t="n">
        <f aca="false">SUMPRODUCT(--(((Effectiveness!$G$5:$G$155&gt;=2)+(Effectiveness!$J$5:$J$155&gt;=2)+(Effectiveness!$K$5:$K$155&gt;=2)+(Effectiveness!$N$5:$N$155&gt;=2))&gt;0))</f>
        <v>96</v>
      </c>
      <c r="K540" s="26" t="n">
        <f aca="false">J540/151</f>
        <v>0.635761589403974</v>
      </c>
      <c r="L540" s="25" t="n">
        <f aca="false">MIN(INDEX('Move Reality'!$F$5:$F$19,MATCH(B540,'Move Reality'!$A$5:$A$19,0)),INDEX('Move Reality'!$F$5:$F$19,MATCH(C540,'Move Reality'!$A$5:$A$19,0)),INDEX('Move Reality'!$F$5:$F$19,MATCH(D540,'Move Reality'!$A$5:$A$19,0)),INDEX('Move Reality'!$F$5:$F$19,MATCH(E540,'Move Reality'!$A$5:$A$19,0)))</f>
        <v>5</v>
      </c>
      <c r="M540" s="28" t="str">
        <f aca="false">IF(L540&gt;=5,"YES","no - dead move")</f>
        <v>YES</v>
      </c>
    </row>
    <row r="541" customFormat="false" ht="15" hidden="false" customHeight="false" outlineLevel="0" collapsed="false">
      <c r="A541" s="17" t="n">
        <v>537</v>
      </c>
      <c r="B541" s="17" t="s">
        <v>40</v>
      </c>
      <c r="C541" s="17" t="s">
        <v>43</v>
      </c>
      <c r="D541" s="17" t="s">
        <v>45</v>
      </c>
      <c r="E541" s="17" t="s">
        <v>49</v>
      </c>
      <c r="F541" s="25" t="n">
        <f aca="false">SUMPRODUCT(--((('Yellow Bosses'!$H$5:$H$53&gt;=2)+('Yellow Bosses'!$K$5:$K$53&gt;=2)+('Yellow Bosses'!$M$5:$M$53&gt;=2)+('Yellow Bosses'!$Q$5:$Q$53&gt;=2))&gt;0))</f>
        <v>33</v>
      </c>
      <c r="G541" s="26" t="n">
        <f aca="false">F541/49</f>
        <v>0.673469387755102</v>
      </c>
      <c r="H541" s="25" t="n">
        <f aca="false">49-SUMPRODUCT(--((('Yellow Bosses'!$H$5:$H$53&gt;=1)+('Yellow Bosses'!$K$5:$K$53&gt;=1)+('Yellow Bosses'!$M$5:$M$53&gt;=1)+('Yellow Bosses'!$Q$5:$Q$53&gt;=1))&gt;0))</f>
        <v>0</v>
      </c>
      <c r="I541" s="25" t="n">
        <f aca="false">SUMPRODUCT(--((('Yellow Bosses'!$H$5:$H$53&gt;0)+('Yellow Bosses'!$K$5:$K$53&gt;0)+('Yellow Bosses'!$M$5:$M$53&gt;0)+('Yellow Bosses'!$Q$5:$Q$53&gt;0))=0))</f>
        <v>0</v>
      </c>
      <c r="J541" s="25" t="n">
        <f aca="false">SUMPRODUCT(--(((Effectiveness!$E$5:$E$155&gt;=2)+(Effectiveness!$H$5:$H$155&gt;=2)+(Effectiveness!$J$5:$J$155&gt;=2)+(Effectiveness!$N$5:$N$155&gt;=2))&gt;0))</f>
        <v>95</v>
      </c>
      <c r="K541" s="26" t="n">
        <f aca="false">J541/151</f>
        <v>0.629139072847682</v>
      </c>
      <c r="L541" s="25" t="n">
        <f aca="false">MIN(INDEX('Move Reality'!$F$5:$F$19,MATCH(B541,'Move Reality'!$A$5:$A$19,0)),INDEX('Move Reality'!$F$5:$F$19,MATCH(C541,'Move Reality'!$A$5:$A$19,0)),INDEX('Move Reality'!$F$5:$F$19,MATCH(D541,'Move Reality'!$A$5:$A$19,0)),INDEX('Move Reality'!$F$5:$F$19,MATCH(E541,'Move Reality'!$A$5:$A$19,0)))</f>
        <v>5</v>
      </c>
      <c r="M541" s="28" t="str">
        <f aca="false">IF(L541&gt;=5,"YES","no - dead move")</f>
        <v>YES</v>
      </c>
    </row>
    <row r="542" customFormat="false" ht="15" hidden="false" customHeight="false" outlineLevel="0" collapsed="false">
      <c r="A542" s="17" t="n">
        <v>538</v>
      </c>
      <c r="B542" s="17" t="s">
        <v>40</v>
      </c>
      <c r="C542" s="17" t="s">
        <v>44</v>
      </c>
      <c r="D542" s="17" t="s">
        <v>49</v>
      </c>
      <c r="E542" s="17" t="s">
        <v>51</v>
      </c>
      <c r="F542" s="25" t="n">
        <f aca="false">SUMPRODUCT(--((('Yellow Bosses'!$H$5:$H$53&gt;=2)+('Yellow Bosses'!$L$5:$L$53&gt;=2)+('Yellow Bosses'!$Q$5:$Q$53&gt;=2)+('Yellow Bosses'!$S$5:$S$53&gt;=2))&gt;0))</f>
        <v>33</v>
      </c>
      <c r="G542" s="26" t="n">
        <f aca="false">F542/49</f>
        <v>0.673469387755102</v>
      </c>
      <c r="H542" s="25" t="n">
        <f aca="false">49-SUMPRODUCT(--((('Yellow Bosses'!$H$5:$H$53&gt;=1)+('Yellow Bosses'!$L$5:$L$53&gt;=1)+('Yellow Bosses'!$Q$5:$Q$53&gt;=1)+('Yellow Bosses'!$S$5:$S$53&gt;=1))&gt;0))</f>
        <v>0</v>
      </c>
      <c r="I542" s="25" t="n">
        <f aca="false">SUMPRODUCT(--((('Yellow Bosses'!$H$5:$H$53&gt;0)+('Yellow Bosses'!$L$5:$L$53&gt;0)+('Yellow Bosses'!$Q$5:$Q$53&gt;0)+('Yellow Bosses'!$S$5:$S$53&gt;0))=0))</f>
        <v>0</v>
      </c>
      <c r="J542" s="25" t="n">
        <f aca="false">SUMPRODUCT(--(((Effectiveness!$E$5:$E$155&gt;=2)+(Effectiveness!$I$5:$I$155&gt;=2)+(Effectiveness!$N$5:$N$155&gt;=2)+(Effectiveness!$P$5:$P$155&gt;=2))&gt;0))</f>
        <v>95</v>
      </c>
      <c r="K542" s="26" t="n">
        <f aca="false">J542/151</f>
        <v>0.629139072847682</v>
      </c>
      <c r="L542" s="25" t="n">
        <f aca="false">MIN(INDEX('Move Reality'!$F$5:$F$19,MATCH(B542,'Move Reality'!$A$5:$A$19,0)),INDEX('Move Reality'!$F$5:$F$19,MATCH(C542,'Move Reality'!$A$5:$A$19,0)),INDEX('Move Reality'!$F$5:$F$19,MATCH(D542,'Move Reality'!$A$5:$A$19,0)),INDEX('Move Reality'!$F$5:$F$19,MATCH(E542,'Move Reality'!$A$5:$A$19,0)))</f>
        <v>1</v>
      </c>
      <c r="M542" s="28" t="str">
        <f aca="false">IF(L542&gt;=5,"YES","no - dead move")</f>
        <v>no - dead move</v>
      </c>
    </row>
    <row r="543" customFormat="false" ht="15" hidden="false" customHeight="false" outlineLevel="0" collapsed="false">
      <c r="A543" s="17" t="n">
        <v>539</v>
      </c>
      <c r="B543" s="17" t="s">
        <v>41</v>
      </c>
      <c r="C543" s="17" t="s">
        <v>42</v>
      </c>
      <c r="D543" s="17" t="s">
        <v>44</v>
      </c>
      <c r="E543" s="17" t="s">
        <v>52</v>
      </c>
      <c r="F543" s="25" t="n">
        <f aca="false">SUMPRODUCT(--((('Yellow Bosses'!$I$5:$I$53&gt;=2)+('Yellow Bosses'!$J$5:$J$53&gt;=2)+('Yellow Bosses'!$L$5:$L$53&gt;=2)+('Yellow Bosses'!$T$5:$T$53&gt;=2))&gt;0))</f>
        <v>33</v>
      </c>
      <c r="G543" s="26" t="n">
        <f aca="false">F543/49</f>
        <v>0.673469387755102</v>
      </c>
      <c r="H543" s="25" t="n">
        <f aca="false">49-SUMPRODUCT(--((('Yellow Bosses'!$I$5:$I$53&gt;=1)+('Yellow Bosses'!$J$5:$J$53&gt;=1)+('Yellow Bosses'!$L$5:$L$53&gt;=1)+('Yellow Bosses'!$T$5:$T$53&gt;=1))&gt;0))</f>
        <v>0</v>
      </c>
      <c r="I543" s="25" t="n">
        <f aca="false">SUMPRODUCT(--((('Yellow Bosses'!$I$5:$I$53&gt;0)+('Yellow Bosses'!$J$5:$J$53&gt;0)+('Yellow Bosses'!$L$5:$L$53&gt;0)+('Yellow Bosses'!$T$5:$T$53&gt;0))=0))</f>
        <v>0</v>
      </c>
      <c r="J543" s="25" t="n">
        <f aca="false">SUMPRODUCT(--(((Effectiveness!$F$5:$F$155&gt;=2)+(Effectiveness!$G$5:$G$155&gt;=2)+(Effectiveness!$I$5:$I$155&gt;=2)+(Effectiveness!$Q$5:$Q$155&gt;=2))&gt;0))</f>
        <v>95</v>
      </c>
      <c r="K543" s="26" t="n">
        <f aca="false">J543/151</f>
        <v>0.629139072847682</v>
      </c>
      <c r="L543" s="25" t="n">
        <f aca="false">MIN(INDEX('Move Reality'!$F$5:$F$19,MATCH(B543,'Move Reality'!$A$5:$A$19,0)),INDEX('Move Reality'!$F$5:$F$19,MATCH(C543,'Move Reality'!$A$5:$A$19,0)),INDEX('Move Reality'!$F$5:$F$19,MATCH(D543,'Move Reality'!$A$5:$A$19,0)),INDEX('Move Reality'!$F$5:$F$19,MATCH(E543,'Move Reality'!$A$5:$A$19,0)))</f>
        <v>4</v>
      </c>
      <c r="M543" s="28" t="str">
        <f aca="false">IF(L543&gt;=5,"YES","no - dead move")</f>
        <v>no - dead move</v>
      </c>
    </row>
    <row r="544" customFormat="false" ht="15" hidden="false" customHeight="false" outlineLevel="0" collapsed="false">
      <c r="A544" s="17" t="n">
        <v>540</v>
      </c>
      <c r="B544" s="17" t="s">
        <v>41</v>
      </c>
      <c r="C544" s="17" t="s">
        <v>44</v>
      </c>
      <c r="D544" s="17" t="s">
        <v>52</v>
      </c>
      <c r="E544" s="17" t="s">
        <v>54</v>
      </c>
      <c r="F544" s="25" t="n">
        <f aca="false">SUMPRODUCT(--((('Yellow Bosses'!$I$5:$I$53&gt;=2)+('Yellow Bosses'!$L$5:$L$53&gt;=2)+('Yellow Bosses'!$T$5:$T$53&gt;=2)+('Yellow Bosses'!$V$5:$V$53&gt;=2))&gt;0))</f>
        <v>33</v>
      </c>
      <c r="G544" s="26" t="n">
        <f aca="false">F544/49</f>
        <v>0.673469387755102</v>
      </c>
      <c r="H544" s="25" t="n">
        <f aca="false">49-SUMPRODUCT(--((('Yellow Bosses'!$I$5:$I$53&gt;=1)+('Yellow Bosses'!$L$5:$L$53&gt;=1)+('Yellow Bosses'!$T$5:$T$53&gt;=1)+('Yellow Bosses'!$V$5:$V$53&gt;=1))&gt;0))</f>
        <v>0</v>
      </c>
      <c r="I544" s="25" t="n">
        <f aca="false">SUMPRODUCT(--((('Yellow Bosses'!$I$5:$I$53&gt;0)+('Yellow Bosses'!$L$5:$L$53&gt;0)+('Yellow Bosses'!$T$5:$T$53&gt;0)+('Yellow Bosses'!$V$5:$V$53&gt;0))=0))</f>
        <v>0</v>
      </c>
      <c r="J544" s="25" t="n">
        <f aca="false">SUMPRODUCT(--(((Effectiveness!$F$5:$F$155&gt;=2)+(Effectiveness!$I$5:$I$155&gt;=2)+(Effectiveness!$Q$5:$Q$155&gt;=2)+(Effectiveness!$S$5:$S$155&gt;=2))&gt;0))</f>
        <v>95</v>
      </c>
      <c r="K544" s="26" t="n">
        <f aca="false">J544/151</f>
        <v>0.629139072847682</v>
      </c>
      <c r="L544" s="25" t="n">
        <f aca="false">MIN(INDEX('Move Reality'!$F$5:$F$19,MATCH(B544,'Move Reality'!$A$5:$A$19,0)),INDEX('Move Reality'!$F$5:$F$19,MATCH(C544,'Move Reality'!$A$5:$A$19,0)),INDEX('Move Reality'!$F$5:$F$19,MATCH(D544,'Move Reality'!$A$5:$A$19,0)),INDEX('Move Reality'!$F$5:$F$19,MATCH(E544,'Move Reality'!$A$5:$A$19,0)))</f>
        <v>1</v>
      </c>
      <c r="M544" s="28" t="str">
        <f aca="false">IF(L544&gt;=5,"YES","no - dead move")</f>
        <v>no - dead move</v>
      </c>
    </row>
    <row r="545" customFormat="false" ht="15" hidden="false" customHeight="false" outlineLevel="0" collapsed="false">
      <c r="A545" s="17" t="n">
        <v>541</v>
      </c>
      <c r="B545" s="17" t="s">
        <v>43</v>
      </c>
      <c r="C545" s="17" t="s">
        <v>44</v>
      </c>
      <c r="D545" s="17" t="s">
        <v>45</v>
      </c>
      <c r="E545" s="17" t="s">
        <v>49</v>
      </c>
      <c r="F545" s="25" t="n">
        <f aca="false">SUMPRODUCT(--((('Yellow Bosses'!$K$5:$K$53&gt;=2)+('Yellow Bosses'!$L$5:$L$53&gt;=2)+('Yellow Bosses'!$M$5:$M$53&gt;=2)+('Yellow Bosses'!$Q$5:$Q$53&gt;=2))&gt;0))</f>
        <v>33</v>
      </c>
      <c r="G545" s="26" t="n">
        <f aca="false">F545/49</f>
        <v>0.673469387755102</v>
      </c>
      <c r="H545" s="25" t="n">
        <f aca="false">49-SUMPRODUCT(--((('Yellow Bosses'!$K$5:$K$53&gt;=1)+('Yellow Bosses'!$L$5:$L$53&gt;=1)+('Yellow Bosses'!$M$5:$M$53&gt;=1)+('Yellow Bosses'!$Q$5:$Q$53&gt;=1))&gt;0))</f>
        <v>0</v>
      </c>
      <c r="I545" s="25" t="n">
        <f aca="false">SUMPRODUCT(--((('Yellow Bosses'!$K$5:$K$53&gt;0)+('Yellow Bosses'!$L$5:$L$53&gt;0)+('Yellow Bosses'!$M$5:$M$53&gt;0)+('Yellow Bosses'!$Q$5:$Q$53&gt;0))=0))</f>
        <v>0</v>
      </c>
      <c r="J545" s="25" t="n">
        <f aca="false">SUMPRODUCT(--(((Effectiveness!$H$5:$H$155&gt;=2)+(Effectiveness!$I$5:$I$155&gt;=2)+(Effectiveness!$J$5:$J$155&gt;=2)+(Effectiveness!$N$5:$N$155&gt;=2))&gt;0))</f>
        <v>95</v>
      </c>
      <c r="K545" s="26" t="n">
        <f aca="false">J545/151</f>
        <v>0.629139072847682</v>
      </c>
      <c r="L545" s="25" t="n">
        <f aca="false">MIN(INDEX('Move Reality'!$F$5:$F$19,MATCH(B545,'Move Reality'!$A$5:$A$19,0)),INDEX('Move Reality'!$F$5:$F$19,MATCH(C545,'Move Reality'!$A$5:$A$19,0)),INDEX('Move Reality'!$F$5:$F$19,MATCH(D545,'Move Reality'!$A$5:$A$19,0)),INDEX('Move Reality'!$F$5:$F$19,MATCH(E545,'Move Reality'!$A$5:$A$19,0)))</f>
        <v>4</v>
      </c>
      <c r="M545" s="28" t="str">
        <f aca="false">IF(L545&gt;=5,"YES","no - dead move")</f>
        <v>no - dead move</v>
      </c>
    </row>
    <row r="546" customFormat="false" ht="15" hidden="false" customHeight="false" outlineLevel="0" collapsed="false">
      <c r="A546" s="17" t="n">
        <v>542</v>
      </c>
      <c r="B546" s="17" t="s">
        <v>43</v>
      </c>
      <c r="C546" s="17" t="s">
        <v>45</v>
      </c>
      <c r="D546" s="17" t="s">
        <v>47</v>
      </c>
      <c r="E546" s="17" t="s">
        <v>49</v>
      </c>
      <c r="F546" s="25" t="n">
        <f aca="false">SUMPRODUCT(--((('Yellow Bosses'!$K$5:$K$53&gt;=2)+('Yellow Bosses'!$M$5:$M$53&gt;=2)+('Yellow Bosses'!$O$5:$O$53&gt;=2)+('Yellow Bosses'!$Q$5:$Q$53&gt;=2))&gt;0))</f>
        <v>33</v>
      </c>
      <c r="G546" s="26" t="n">
        <f aca="false">F546/49</f>
        <v>0.673469387755102</v>
      </c>
      <c r="H546" s="25" t="n">
        <f aca="false">49-SUMPRODUCT(--((('Yellow Bosses'!$K$5:$K$53&gt;=1)+('Yellow Bosses'!$M$5:$M$53&gt;=1)+('Yellow Bosses'!$O$5:$O$53&gt;=1)+('Yellow Bosses'!$Q$5:$Q$53&gt;=1))&gt;0))</f>
        <v>0</v>
      </c>
      <c r="I546" s="25" t="n">
        <f aca="false">SUMPRODUCT(--((('Yellow Bosses'!$K$5:$K$53&gt;0)+('Yellow Bosses'!$M$5:$M$53&gt;0)+('Yellow Bosses'!$O$5:$O$53&gt;0)+('Yellow Bosses'!$Q$5:$Q$53&gt;0))=0))</f>
        <v>0</v>
      </c>
      <c r="J546" s="25" t="n">
        <f aca="false">SUMPRODUCT(--(((Effectiveness!$H$5:$H$155&gt;=2)+(Effectiveness!$J$5:$J$155&gt;=2)+(Effectiveness!$L$5:$L$155&gt;=2)+(Effectiveness!$N$5:$N$155&gt;=2))&gt;0))</f>
        <v>95</v>
      </c>
      <c r="K546" s="26" t="n">
        <f aca="false">J546/151</f>
        <v>0.629139072847682</v>
      </c>
      <c r="L546" s="25" t="n">
        <f aca="false">MIN(INDEX('Move Reality'!$F$5:$F$19,MATCH(B546,'Move Reality'!$A$5:$A$19,0)),INDEX('Move Reality'!$F$5:$F$19,MATCH(C546,'Move Reality'!$A$5:$A$19,0)),INDEX('Move Reality'!$F$5:$F$19,MATCH(D546,'Move Reality'!$A$5:$A$19,0)),INDEX('Move Reality'!$F$5:$F$19,MATCH(E546,'Move Reality'!$A$5:$A$19,0)))</f>
        <v>2</v>
      </c>
      <c r="M546" s="28" t="str">
        <f aca="false">IF(L546&gt;=5,"YES","no - dead move")</f>
        <v>no - dead move</v>
      </c>
    </row>
    <row r="547" customFormat="false" ht="15" hidden="false" customHeight="false" outlineLevel="0" collapsed="false">
      <c r="A547" s="17" t="n">
        <v>543</v>
      </c>
      <c r="B547" s="17" t="s">
        <v>43</v>
      </c>
      <c r="C547" s="17" t="s">
        <v>45</v>
      </c>
      <c r="D547" s="17" t="s">
        <v>49</v>
      </c>
      <c r="E547" s="17" t="s">
        <v>54</v>
      </c>
      <c r="F547" s="25" t="n">
        <f aca="false">SUMPRODUCT(--((('Yellow Bosses'!$K$5:$K$53&gt;=2)+('Yellow Bosses'!$M$5:$M$53&gt;=2)+('Yellow Bosses'!$Q$5:$Q$53&gt;=2)+('Yellow Bosses'!$V$5:$V$53&gt;=2))&gt;0))</f>
        <v>33</v>
      </c>
      <c r="G547" s="26" t="n">
        <f aca="false">F547/49</f>
        <v>0.673469387755102</v>
      </c>
      <c r="H547" s="25" t="n">
        <f aca="false">49-SUMPRODUCT(--((('Yellow Bosses'!$K$5:$K$53&gt;=1)+('Yellow Bosses'!$M$5:$M$53&gt;=1)+('Yellow Bosses'!$Q$5:$Q$53&gt;=1)+('Yellow Bosses'!$V$5:$V$53&gt;=1))&gt;0))</f>
        <v>0</v>
      </c>
      <c r="I547" s="25" t="n">
        <f aca="false">SUMPRODUCT(--((('Yellow Bosses'!$K$5:$K$53&gt;0)+('Yellow Bosses'!$M$5:$M$53&gt;0)+('Yellow Bosses'!$Q$5:$Q$53&gt;0)+('Yellow Bosses'!$V$5:$V$53&gt;0))=0))</f>
        <v>0</v>
      </c>
      <c r="J547" s="25" t="n">
        <f aca="false">SUMPRODUCT(--(((Effectiveness!$H$5:$H$155&gt;=2)+(Effectiveness!$J$5:$J$155&gt;=2)+(Effectiveness!$N$5:$N$155&gt;=2)+(Effectiveness!$S$5:$S$155&gt;=2))&gt;0))</f>
        <v>95</v>
      </c>
      <c r="K547" s="26" t="n">
        <f aca="false">J547/151</f>
        <v>0.629139072847682</v>
      </c>
      <c r="L547" s="25" t="n">
        <f aca="false">MIN(INDEX('Move Reality'!$F$5:$F$19,MATCH(B547,'Move Reality'!$A$5:$A$19,0)),INDEX('Move Reality'!$F$5:$F$19,MATCH(C547,'Move Reality'!$A$5:$A$19,0)),INDEX('Move Reality'!$F$5:$F$19,MATCH(D547,'Move Reality'!$A$5:$A$19,0)),INDEX('Move Reality'!$F$5:$F$19,MATCH(E547,'Move Reality'!$A$5:$A$19,0)))</f>
        <v>1</v>
      </c>
      <c r="M547" s="28" t="str">
        <f aca="false">IF(L547&gt;=5,"YES","no - dead move")</f>
        <v>no - dead move</v>
      </c>
    </row>
    <row r="548" customFormat="false" ht="15" hidden="false" customHeight="false" outlineLevel="0" collapsed="false">
      <c r="A548" s="17" t="n">
        <v>544</v>
      </c>
      <c r="B548" s="17" t="s">
        <v>44</v>
      </c>
      <c r="C548" s="17" t="s">
        <v>47</v>
      </c>
      <c r="D548" s="17" t="s">
        <v>49</v>
      </c>
      <c r="E548" s="17" t="s">
        <v>51</v>
      </c>
      <c r="F548" s="25" t="n">
        <f aca="false">SUMPRODUCT(--((('Yellow Bosses'!$L$5:$L$53&gt;=2)+('Yellow Bosses'!$O$5:$O$53&gt;=2)+('Yellow Bosses'!$Q$5:$Q$53&gt;=2)+('Yellow Bosses'!$S$5:$S$53&gt;=2))&gt;0))</f>
        <v>33</v>
      </c>
      <c r="G548" s="26" t="n">
        <f aca="false">F548/49</f>
        <v>0.673469387755102</v>
      </c>
      <c r="H548" s="25" t="n">
        <f aca="false">49-SUMPRODUCT(--((('Yellow Bosses'!$L$5:$L$53&gt;=1)+('Yellow Bosses'!$O$5:$O$53&gt;=1)+('Yellow Bosses'!$Q$5:$Q$53&gt;=1)+('Yellow Bosses'!$S$5:$S$53&gt;=1))&gt;0))</f>
        <v>0</v>
      </c>
      <c r="I548" s="25" t="n">
        <f aca="false">SUMPRODUCT(--((('Yellow Bosses'!$L$5:$L$53&gt;0)+('Yellow Bosses'!$O$5:$O$53&gt;0)+('Yellow Bosses'!$Q$5:$Q$53&gt;0)+('Yellow Bosses'!$S$5:$S$53&gt;0))=0))</f>
        <v>0</v>
      </c>
      <c r="J548" s="25" t="n">
        <f aca="false">SUMPRODUCT(--(((Effectiveness!$I$5:$I$155&gt;=2)+(Effectiveness!$L$5:$L$155&gt;=2)+(Effectiveness!$N$5:$N$155&gt;=2)+(Effectiveness!$P$5:$P$155&gt;=2))&gt;0))</f>
        <v>95</v>
      </c>
      <c r="K548" s="26" t="n">
        <f aca="false">J548/151</f>
        <v>0.629139072847682</v>
      </c>
      <c r="L548" s="25" t="n">
        <f aca="false">MIN(INDEX('Move Reality'!$F$5:$F$19,MATCH(B548,'Move Reality'!$A$5:$A$19,0)),INDEX('Move Reality'!$F$5:$F$19,MATCH(C548,'Move Reality'!$A$5:$A$19,0)),INDEX('Move Reality'!$F$5:$F$19,MATCH(D548,'Move Reality'!$A$5:$A$19,0)),INDEX('Move Reality'!$F$5:$F$19,MATCH(E548,'Move Reality'!$A$5:$A$19,0)))</f>
        <v>1</v>
      </c>
      <c r="M548" s="28" t="str">
        <f aca="false">IF(L548&gt;=5,"YES","no - dead move")</f>
        <v>no - dead move</v>
      </c>
    </row>
    <row r="549" customFormat="false" ht="15" hidden="false" customHeight="false" outlineLevel="0" collapsed="false">
      <c r="A549" s="17" t="n">
        <v>545</v>
      </c>
      <c r="B549" s="17" t="s">
        <v>40</v>
      </c>
      <c r="C549" s="17" t="s">
        <v>41</v>
      </c>
      <c r="D549" s="17" t="s">
        <v>45</v>
      </c>
      <c r="E549" s="17" t="s">
        <v>48</v>
      </c>
      <c r="F549" s="25" t="n">
        <f aca="false">SUMPRODUCT(--((('Yellow Bosses'!$H$5:$H$53&gt;=2)+('Yellow Bosses'!$I$5:$I$53&gt;=2)+('Yellow Bosses'!$M$5:$M$53&gt;=2)+('Yellow Bosses'!$P$5:$P$53&gt;=2))&gt;0))</f>
        <v>33</v>
      </c>
      <c r="G549" s="26" t="n">
        <f aca="false">F549/49</f>
        <v>0.673469387755102</v>
      </c>
      <c r="H549" s="25" t="n">
        <f aca="false">49-SUMPRODUCT(--((('Yellow Bosses'!$H$5:$H$53&gt;=1)+('Yellow Bosses'!$I$5:$I$53&gt;=1)+('Yellow Bosses'!$M$5:$M$53&gt;=1)+('Yellow Bosses'!$P$5:$P$53&gt;=1))&gt;0))</f>
        <v>0</v>
      </c>
      <c r="I549" s="25" t="n">
        <f aca="false">SUMPRODUCT(--((('Yellow Bosses'!$H$5:$H$53&gt;0)+('Yellow Bosses'!$I$5:$I$53&gt;0)+('Yellow Bosses'!$M$5:$M$53&gt;0)+('Yellow Bosses'!$P$5:$P$53&gt;0))=0))</f>
        <v>0</v>
      </c>
      <c r="J549" s="25" t="n">
        <f aca="false">SUMPRODUCT(--(((Effectiveness!$E$5:$E$155&gt;=2)+(Effectiveness!$F$5:$F$155&gt;=2)+(Effectiveness!$J$5:$J$155&gt;=2)+(Effectiveness!$M$5:$M$155&gt;=2))&gt;0))</f>
        <v>94</v>
      </c>
      <c r="K549" s="26" t="n">
        <f aca="false">J549/151</f>
        <v>0.622516556291391</v>
      </c>
      <c r="L549" s="25" t="n">
        <f aca="false">MIN(INDEX('Move Reality'!$F$5:$F$19,MATCH(B549,'Move Reality'!$A$5:$A$19,0)),INDEX('Move Reality'!$F$5:$F$19,MATCH(C549,'Move Reality'!$A$5:$A$19,0)),INDEX('Move Reality'!$F$5:$F$19,MATCH(D549,'Move Reality'!$A$5:$A$19,0)),INDEX('Move Reality'!$F$5:$F$19,MATCH(E549,'Move Reality'!$A$5:$A$19,0)))</f>
        <v>7</v>
      </c>
      <c r="M549" s="28" t="str">
        <f aca="false">IF(L549&gt;=5,"YES","no - dead move")</f>
        <v>YES</v>
      </c>
    </row>
    <row r="550" customFormat="false" ht="15" hidden="false" customHeight="false" outlineLevel="0" collapsed="false">
      <c r="A550" s="17" t="n">
        <v>546</v>
      </c>
      <c r="B550" s="17" t="s">
        <v>41</v>
      </c>
      <c r="C550" s="17" t="s">
        <v>42</v>
      </c>
      <c r="D550" s="17" t="s">
        <v>45</v>
      </c>
      <c r="E550" s="17" t="s">
        <v>48</v>
      </c>
      <c r="F550" s="25" t="n">
        <f aca="false">SUMPRODUCT(--((('Yellow Bosses'!$I$5:$I$53&gt;=2)+('Yellow Bosses'!$J$5:$J$53&gt;=2)+('Yellow Bosses'!$M$5:$M$53&gt;=2)+('Yellow Bosses'!$P$5:$P$53&gt;=2))&gt;0))</f>
        <v>33</v>
      </c>
      <c r="G550" s="26" t="n">
        <f aca="false">F550/49</f>
        <v>0.673469387755102</v>
      </c>
      <c r="H550" s="25" t="n">
        <f aca="false">49-SUMPRODUCT(--((('Yellow Bosses'!$I$5:$I$53&gt;=1)+('Yellow Bosses'!$J$5:$J$53&gt;=1)+('Yellow Bosses'!$M$5:$M$53&gt;=1)+('Yellow Bosses'!$P$5:$P$53&gt;=1))&gt;0))</f>
        <v>0</v>
      </c>
      <c r="I550" s="25" t="n">
        <f aca="false">SUMPRODUCT(--((('Yellow Bosses'!$I$5:$I$53&gt;0)+('Yellow Bosses'!$J$5:$J$53&gt;0)+('Yellow Bosses'!$M$5:$M$53&gt;0)+('Yellow Bosses'!$P$5:$P$53&gt;0))=0))</f>
        <v>0</v>
      </c>
      <c r="J550" s="25" t="n">
        <f aca="false">SUMPRODUCT(--(((Effectiveness!$F$5:$F$155&gt;=2)+(Effectiveness!$G$5:$G$155&gt;=2)+(Effectiveness!$J$5:$J$155&gt;=2)+(Effectiveness!$M$5:$M$155&gt;=2))&gt;0))</f>
        <v>94</v>
      </c>
      <c r="K550" s="26" t="n">
        <f aca="false">J550/151</f>
        <v>0.622516556291391</v>
      </c>
      <c r="L550" s="25" t="n">
        <f aca="false">MIN(INDEX('Move Reality'!$F$5:$F$19,MATCH(B550,'Move Reality'!$A$5:$A$19,0)),INDEX('Move Reality'!$F$5:$F$19,MATCH(C550,'Move Reality'!$A$5:$A$19,0)),INDEX('Move Reality'!$F$5:$F$19,MATCH(D550,'Move Reality'!$A$5:$A$19,0)),INDEX('Move Reality'!$F$5:$F$19,MATCH(E550,'Move Reality'!$A$5:$A$19,0)))</f>
        <v>7</v>
      </c>
      <c r="M550" s="28" t="str">
        <f aca="false">IF(L550&gt;=5,"YES","no - dead move")</f>
        <v>YES</v>
      </c>
    </row>
    <row r="551" customFormat="false" ht="15" hidden="false" customHeight="false" outlineLevel="0" collapsed="false">
      <c r="A551" s="17" t="n">
        <v>547</v>
      </c>
      <c r="B551" s="17" t="s">
        <v>41</v>
      </c>
      <c r="C551" s="17" t="s">
        <v>45</v>
      </c>
      <c r="D551" s="17" t="s">
        <v>47</v>
      </c>
      <c r="E551" s="17" t="s">
        <v>48</v>
      </c>
      <c r="F551" s="25" t="n">
        <f aca="false">SUMPRODUCT(--((('Yellow Bosses'!$I$5:$I$53&gt;=2)+('Yellow Bosses'!$M$5:$M$53&gt;=2)+('Yellow Bosses'!$O$5:$O$53&gt;=2)+('Yellow Bosses'!$P$5:$P$53&gt;=2))&gt;0))</f>
        <v>33</v>
      </c>
      <c r="G551" s="26" t="n">
        <f aca="false">F551/49</f>
        <v>0.673469387755102</v>
      </c>
      <c r="H551" s="25" t="n">
        <f aca="false">49-SUMPRODUCT(--((('Yellow Bosses'!$I$5:$I$53&gt;=1)+('Yellow Bosses'!$M$5:$M$53&gt;=1)+('Yellow Bosses'!$O$5:$O$53&gt;=1)+('Yellow Bosses'!$P$5:$P$53&gt;=1))&gt;0))</f>
        <v>0</v>
      </c>
      <c r="I551" s="25" t="n">
        <f aca="false">SUMPRODUCT(--((('Yellow Bosses'!$I$5:$I$53&gt;0)+('Yellow Bosses'!$M$5:$M$53&gt;0)+('Yellow Bosses'!$O$5:$O$53&gt;0)+('Yellow Bosses'!$P$5:$P$53&gt;0))=0))</f>
        <v>0</v>
      </c>
      <c r="J551" s="25" t="n">
        <f aca="false">SUMPRODUCT(--(((Effectiveness!$F$5:$F$155&gt;=2)+(Effectiveness!$J$5:$J$155&gt;=2)+(Effectiveness!$L$5:$L$155&gt;=2)+(Effectiveness!$M$5:$M$155&gt;=2))&gt;0))</f>
        <v>94</v>
      </c>
      <c r="K551" s="26" t="n">
        <f aca="false">J551/151</f>
        <v>0.622516556291391</v>
      </c>
      <c r="L551" s="25" t="n">
        <f aca="false">MIN(INDEX('Move Reality'!$F$5:$F$19,MATCH(B551,'Move Reality'!$A$5:$A$19,0)),INDEX('Move Reality'!$F$5:$F$19,MATCH(C551,'Move Reality'!$A$5:$A$19,0)),INDEX('Move Reality'!$F$5:$F$19,MATCH(D551,'Move Reality'!$A$5:$A$19,0)),INDEX('Move Reality'!$F$5:$F$19,MATCH(E551,'Move Reality'!$A$5:$A$19,0)))</f>
        <v>2</v>
      </c>
      <c r="M551" s="28" t="str">
        <f aca="false">IF(L551&gt;=5,"YES","no - dead move")</f>
        <v>no - dead move</v>
      </c>
    </row>
    <row r="552" customFormat="false" ht="15" hidden="false" customHeight="false" outlineLevel="0" collapsed="false">
      <c r="A552" s="17" t="n">
        <v>548</v>
      </c>
      <c r="B552" s="17" t="s">
        <v>41</v>
      </c>
      <c r="C552" s="17" t="s">
        <v>45</v>
      </c>
      <c r="D552" s="17" t="s">
        <v>48</v>
      </c>
      <c r="E552" s="17" t="s">
        <v>53</v>
      </c>
      <c r="F552" s="25" t="n">
        <f aca="false">SUMPRODUCT(--((('Yellow Bosses'!$I$5:$I$53&gt;=2)+('Yellow Bosses'!$M$5:$M$53&gt;=2)+('Yellow Bosses'!$P$5:$P$53&gt;=2)+('Yellow Bosses'!$U$5:$U$53&gt;=2))&gt;0))</f>
        <v>33</v>
      </c>
      <c r="G552" s="26" t="n">
        <f aca="false">F552/49</f>
        <v>0.673469387755102</v>
      </c>
      <c r="H552" s="25" t="n">
        <f aca="false">49-SUMPRODUCT(--((('Yellow Bosses'!$I$5:$I$53&gt;=1)+('Yellow Bosses'!$M$5:$M$53&gt;=1)+('Yellow Bosses'!$P$5:$P$53&gt;=1)+('Yellow Bosses'!$U$5:$U$53&gt;=1))&gt;0))</f>
        <v>0</v>
      </c>
      <c r="I552" s="25" t="n">
        <f aca="false">SUMPRODUCT(--((('Yellow Bosses'!$I$5:$I$53&gt;0)+('Yellow Bosses'!$M$5:$M$53&gt;0)+('Yellow Bosses'!$P$5:$P$53&gt;0)+('Yellow Bosses'!$U$5:$U$53&gt;0))=0))</f>
        <v>0</v>
      </c>
      <c r="J552" s="25" t="n">
        <f aca="false">SUMPRODUCT(--(((Effectiveness!$F$5:$F$155&gt;=2)+(Effectiveness!$J$5:$J$155&gt;=2)+(Effectiveness!$M$5:$M$155&gt;=2)+(Effectiveness!$R$5:$R$155&gt;=2))&gt;0))</f>
        <v>94</v>
      </c>
      <c r="K552" s="26" t="n">
        <f aca="false">J552/151</f>
        <v>0.622516556291391</v>
      </c>
      <c r="L552" s="25" t="n">
        <f aca="false">MIN(INDEX('Move Reality'!$F$5:$F$19,MATCH(B552,'Move Reality'!$A$5:$A$19,0)),INDEX('Move Reality'!$F$5:$F$19,MATCH(C552,'Move Reality'!$A$5:$A$19,0)),INDEX('Move Reality'!$F$5:$F$19,MATCH(D552,'Move Reality'!$A$5:$A$19,0)),INDEX('Move Reality'!$F$5:$F$19,MATCH(E552,'Move Reality'!$A$5:$A$19,0)))</f>
        <v>1</v>
      </c>
      <c r="M552" s="28" t="str">
        <f aca="false">IF(L552&gt;=5,"YES","no - dead move")</f>
        <v>no - dead move</v>
      </c>
    </row>
    <row r="553" customFormat="false" ht="15" hidden="false" customHeight="false" outlineLevel="0" collapsed="false">
      <c r="A553" s="17" t="n">
        <v>549</v>
      </c>
      <c r="B553" s="17" t="s">
        <v>41</v>
      </c>
      <c r="C553" s="17" t="s">
        <v>45</v>
      </c>
      <c r="D553" s="17" t="s">
        <v>48</v>
      </c>
      <c r="E553" s="17" t="s">
        <v>54</v>
      </c>
      <c r="F553" s="25" t="n">
        <f aca="false">SUMPRODUCT(--((('Yellow Bosses'!$I$5:$I$53&gt;=2)+('Yellow Bosses'!$M$5:$M$53&gt;=2)+('Yellow Bosses'!$P$5:$P$53&gt;=2)+('Yellow Bosses'!$V$5:$V$53&gt;=2))&gt;0))</f>
        <v>33</v>
      </c>
      <c r="G553" s="26" t="n">
        <f aca="false">F553/49</f>
        <v>0.673469387755102</v>
      </c>
      <c r="H553" s="25" t="n">
        <f aca="false">49-SUMPRODUCT(--((('Yellow Bosses'!$I$5:$I$53&gt;=1)+('Yellow Bosses'!$M$5:$M$53&gt;=1)+('Yellow Bosses'!$P$5:$P$53&gt;=1)+('Yellow Bosses'!$V$5:$V$53&gt;=1))&gt;0))</f>
        <v>0</v>
      </c>
      <c r="I553" s="25" t="n">
        <f aca="false">SUMPRODUCT(--((('Yellow Bosses'!$I$5:$I$53&gt;0)+('Yellow Bosses'!$M$5:$M$53&gt;0)+('Yellow Bosses'!$P$5:$P$53&gt;0)+('Yellow Bosses'!$V$5:$V$53&gt;0))=0))</f>
        <v>0</v>
      </c>
      <c r="J553" s="25" t="n">
        <f aca="false">SUMPRODUCT(--(((Effectiveness!$F$5:$F$155&gt;=2)+(Effectiveness!$J$5:$J$155&gt;=2)+(Effectiveness!$M$5:$M$155&gt;=2)+(Effectiveness!$S$5:$S$155&gt;=2))&gt;0))</f>
        <v>94</v>
      </c>
      <c r="K553" s="26" t="n">
        <f aca="false">J553/151</f>
        <v>0.622516556291391</v>
      </c>
      <c r="L553" s="25" t="n">
        <f aca="false">MIN(INDEX('Move Reality'!$F$5:$F$19,MATCH(B553,'Move Reality'!$A$5:$A$19,0)),INDEX('Move Reality'!$F$5:$F$19,MATCH(C553,'Move Reality'!$A$5:$A$19,0)),INDEX('Move Reality'!$F$5:$F$19,MATCH(D553,'Move Reality'!$A$5:$A$19,0)),INDEX('Move Reality'!$F$5:$F$19,MATCH(E553,'Move Reality'!$A$5:$A$19,0)))</f>
        <v>1</v>
      </c>
      <c r="M553" s="28" t="str">
        <f aca="false">IF(L553&gt;=5,"YES","no - dead move")</f>
        <v>no - dead move</v>
      </c>
    </row>
    <row r="554" customFormat="false" ht="15" hidden="false" customHeight="false" outlineLevel="0" collapsed="false">
      <c r="A554" s="17" t="n">
        <v>550</v>
      </c>
      <c r="B554" s="17" t="s">
        <v>40</v>
      </c>
      <c r="C554" s="17" t="s">
        <v>41</v>
      </c>
      <c r="D554" s="17" t="s">
        <v>44</v>
      </c>
      <c r="E554" s="17" t="s">
        <v>50</v>
      </c>
      <c r="F554" s="25" t="n">
        <f aca="false">SUMPRODUCT(--((('Yellow Bosses'!$H$5:$H$53&gt;=2)+('Yellow Bosses'!$I$5:$I$53&gt;=2)+('Yellow Bosses'!$L$5:$L$53&gt;=2)+('Yellow Bosses'!$R$5:$R$53&gt;=2))&gt;0))</f>
        <v>33</v>
      </c>
      <c r="G554" s="26" t="n">
        <f aca="false">F554/49</f>
        <v>0.673469387755102</v>
      </c>
      <c r="H554" s="25" t="n">
        <f aca="false">49-SUMPRODUCT(--((('Yellow Bosses'!$H$5:$H$53&gt;=1)+('Yellow Bosses'!$I$5:$I$53&gt;=1)+('Yellow Bosses'!$L$5:$L$53&gt;=1)+('Yellow Bosses'!$R$5:$R$53&gt;=1))&gt;0))</f>
        <v>0</v>
      </c>
      <c r="I554" s="25" t="n">
        <f aca="false">SUMPRODUCT(--((('Yellow Bosses'!$H$5:$H$53&gt;0)+('Yellow Bosses'!$I$5:$I$53&gt;0)+('Yellow Bosses'!$L$5:$L$53&gt;0)+('Yellow Bosses'!$R$5:$R$53&gt;0))=0))</f>
        <v>0</v>
      </c>
      <c r="J554" s="25" t="n">
        <f aca="false">SUMPRODUCT(--(((Effectiveness!$E$5:$E$155&gt;=2)+(Effectiveness!$F$5:$F$155&gt;=2)+(Effectiveness!$I$5:$I$155&gt;=2)+(Effectiveness!$O$5:$O$155&gt;=2))&gt;0))</f>
        <v>93</v>
      </c>
      <c r="K554" s="26" t="n">
        <f aca="false">J554/151</f>
        <v>0.615894039735099</v>
      </c>
      <c r="L554" s="25" t="n">
        <f aca="false">MIN(INDEX('Move Reality'!$F$5:$F$19,MATCH(B554,'Move Reality'!$A$5:$A$19,0)),INDEX('Move Reality'!$F$5:$F$19,MATCH(C554,'Move Reality'!$A$5:$A$19,0)),INDEX('Move Reality'!$F$5:$F$19,MATCH(D554,'Move Reality'!$A$5:$A$19,0)),INDEX('Move Reality'!$F$5:$F$19,MATCH(E554,'Move Reality'!$A$5:$A$19,0)))</f>
        <v>4</v>
      </c>
      <c r="M554" s="28" t="str">
        <f aca="false">IF(L554&gt;=5,"YES","no - dead move")</f>
        <v>no - dead move</v>
      </c>
    </row>
    <row r="555" customFormat="false" ht="15" hidden="false" customHeight="false" outlineLevel="0" collapsed="false">
      <c r="A555" s="17" t="n">
        <v>551</v>
      </c>
      <c r="B555" s="17" t="s">
        <v>41</v>
      </c>
      <c r="C555" s="17" t="s">
        <v>44</v>
      </c>
      <c r="D555" s="17" t="s">
        <v>45</v>
      </c>
      <c r="E555" s="17" t="s">
        <v>49</v>
      </c>
      <c r="F555" s="25" t="n">
        <f aca="false">SUMPRODUCT(--((('Yellow Bosses'!$I$5:$I$53&gt;=2)+('Yellow Bosses'!$L$5:$L$53&gt;=2)+('Yellow Bosses'!$M$5:$M$53&gt;=2)+('Yellow Bosses'!$Q$5:$Q$53&gt;=2))&gt;0))</f>
        <v>33</v>
      </c>
      <c r="G555" s="26" t="n">
        <f aca="false">F555/49</f>
        <v>0.673469387755102</v>
      </c>
      <c r="H555" s="25" t="n">
        <f aca="false">49-SUMPRODUCT(--((('Yellow Bosses'!$I$5:$I$53&gt;=1)+('Yellow Bosses'!$L$5:$L$53&gt;=1)+('Yellow Bosses'!$M$5:$M$53&gt;=1)+('Yellow Bosses'!$Q$5:$Q$53&gt;=1))&gt;0))</f>
        <v>0</v>
      </c>
      <c r="I555" s="25" t="n">
        <f aca="false">SUMPRODUCT(--((('Yellow Bosses'!$I$5:$I$53&gt;0)+('Yellow Bosses'!$L$5:$L$53&gt;0)+('Yellow Bosses'!$M$5:$M$53&gt;0)+('Yellow Bosses'!$Q$5:$Q$53&gt;0))=0))</f>
        <v>0</v>
      </c>
      <c r="J555" s="25" t="n">
        <f aca="false">SUMPRODUCT(--(((Effectiveness!$F$5:$F$155&gt;=2)+(Effectiveness!$I$5:$I$155&gt;=2)+(Effectiveness!$J$5:$J$155&gt;=2)+(Effectiveness!$N$5:$N$155&gt;=2))&gt;0))</f>
        <v>93</v>
      </c>
      <c r="K555" s="26" t="n">
        <f aca="false">J555/151</f>
        <v>0.615894039735099</v>
      </c>
      <c r="L555" s="25" t="n">
        <f aca="false">MIN(INDEX('Move Reality'!$F$5:$F$19,MATCH(B555,'Move Reality'!$A$5:$A$19,0)),INDEX('Move Reality'!$F$5:$F$19,MATCH(C555,'Move Reality'!$A$5:$A$19,0)),INDEX('Move Reality'!$F$5:$F$19,MATCH(D555,'Move Reality'!$A$5:$A$19,0)),INDEX('Move Reality'!$F$5:$F$19,MATCH(E555,'Move Reality'!$A$5:$A$19,0)))</f>
        <v>4</v>
      </c>
      <c r="M555" s="28" t="str">
        <f aca="false">IF(L555&gt;=5,"YES","no - dead move")</f>
        <v>no - dead move</v>
      </c>
    </row>
    <row r="556" customFormat="false" ht="15" hidden="false" customHeight="false" outlineLevel="0" collapsed="false">
      <c r="A556" s="17" t="n">
        <v>552</v>
      </c>
      <c r="B556" s="17" t="s">
        <v>41</v>
      </c>
      <c r="C556" s="17" t="s">
        <v>44</v>
      </c>
      <c r="D556" s="17" t="s">
        <v>47</v>
      </c>
      <c r="E556" s="17" t="s">
        <v>50</v>
      </c>
      <c r="F556" s="25" t="n">
        <f aca="false">SUMPRODUCT(--((('Yellow Bosses'!$I$5:$I$53&gt;=2)+('Yellow Bosses'!$L$5:$L$53&gt;=2)+('Yellow Bosses'!$O$5:$O$53&gt;=2)+('Yellow Bosses'!$R$5:$R$53&gt;=2))&gt;0))</f>
        <v>33</v>
      </c>
      <c r="G556" s="26" t="n">
        <f aca="false">F556/49</f>
        <v>0.673469387755102</v>
      </c>
      <c r="H556" s="25" t="n">
        <f aca="false">49-SUMPRODUCT(--((('Yellow Bosses'!$I$5:$I$53&gt;=1)+('Yellow Bosses'!$L$5:$L$53&gt;=1)+('Yellow Bosses'!$O$5:$O$53&gt;=1)+('Yellow Bosses'!$R$5:$R$53&gt;=1))&gt;0))</f>
        <v>0</v>
      </c>
      <c r="I556" s="25" t="n">
        <f aca="false">SUMPRODUCT(--((('Yellow Bosses'!$I$5:$I$53&gt;0)+('Yellow Bosses'!$L$5:$L$53&gt;0)+('Yellow Bosses'!$O$5:$O$53&gt;0)+('Yellow Bosses'!$R$5:$R$53&gt;0))=0))</f>
        <v>0</v>
      </c>
      <c r="J556" s="25" t="n">
        <f aca="false">SUMPRODUCT(--(((Effectiveness!$F$5:$F$155&gt;=2)+(Effectiveness!$I$5:$I$155&gt;=2)+(Effectiveness!$L$5:$L$155&gt;=2)+(Effectiveness!$O$5:$O$155&gt;=2))&gt;0))</f>
        <v>93</v>
      </c>
      <c r="K556" s="26" t="n">
        <f aca="false">J556/151</f>
        <v>0.615894039735099</v>
      </c>
      <c r="L556" s="25" t="n">
        <f aca="false">MIN(INDEX('Move Reality'!$F$5:$F$19,MATCH(B556,'Move Reality'!$A$5:$A$19,0)),INDEX('Move Reality'!$F$5:$F$19,MATCH(C556,'Move Reality'!$A$5:$A$19,0)),INDEX('Move Reality'!$F$5:$F$19,MATCH(D556,'Move Reality'!$A$5:$A$19,0)),INDEX('Move Reality'!$F$5:$F$19,MATCH(E556,'Move Reality'!$A$5:$A$19,0)))</f>
        <v>2</v>
      </c>
      <c r="M556" s="28" t="str">
        <f aca="false">IF(L556&gt;=5,"YES","no - dead move")</f>
        <v>no - dead move</v>
      </c>
    </row>
    <row r="557" customFormat="false" ht="15" hidden="false" customHeight="false" outlineLevel="0" collapsed="false">
      <c r="A557" s="17" t="n">
        <v>553</v>
      </c>
      <c r="B557" s="17" t="s">
        <v>41</v>
      </c>
      <c r="C557" s="17" t="s">
        <v>44</v>
      </c>
      <c r="D557" s="17" t="s">
        <v>49</v>
      </c>
      <c r="E557" s="17" t="s">
        <v>50</v>
      </c>
      <c r="F557" s="25" t="n">
        <f aca="false">SUMPRODUCT(--((('Yellow Bosses'!$I$5:$I$53&gt;=2)+('Yellow Bosses'!$L$5:$L$53&gt;=2)+('Yellow Bosses'!$Q$5:$Q$53&gt;=2)+('Yellow Bosses'!$R$5:$R$53&gt;=2))&gt;0))</f>
        <v>33</v>
      </c>
      <c r="G557" s="26" t="n">
        <f aca="false">F557/49</f>
        <v>0.673469387755102</v>
      </c>
      <c r="H557" s="25" t="n">
        <f aca="false">49-SUMPRODUCT(--((('Yellow Bosses'!$I$5:$I$53&gt;=1)+('Yellow Bosses'!$L$5:$L$53&gt;=1)+('Yellow Bosses'!$Q$5:$Q$53&gt;=1)+('Yellow Bosses'!$R$5:$R$53&gt;=1))&gt;0))</f>
        <v>0</v>
      </c>
      <c r="I557" s="25" t="n">
        <f aca="false">SUMPRODUCT(--((('Yellow Bosses'!$I$5:$I$53&gt;0)+('Yellow Bosses'!$L$5:$L$53&gt;0)+('Yellow Bosses'!$Q$5:$Q$53&gt;0)+('Yellow Bosses'!$R$5:$R$53&gt;0))=0))</f>
        <v>0</v>
      </c>
      <c r="J557" s="25" t="n">
        <f aca="false">SUMPRODUCT(--(((Effectiveness!$F$5:$F$155&gt;=2)+(Effectiveness!$I$5:$I$155&gt;=2)+(Effectiveness!$N$5:$N$155&gt;=2)+(Effectiveness!$O$5:$O$155&gt;=2))&gt;0))</f>
        <v>93</v>
      </c>
      <c r="K557" s="26" t="n">
        <f aca="false">J557/151</f>
        <v>0.615894039735099</v>
      </c>
      <c r="L557" s="25" t="n">
        <f aca="false">MIN(INDEX('Move Reality'!$F$5:$F$19,MATCH(B557,'Move Reality'!$A$5:$A$19,0)),INDEX('Move Reality'!$F$5:$F$19,MATCH(C557,'Move Reality'!$A$5:$A$19,0)),INDEX('Move Reality'!$F$5:$F$19,MATCH(D557,'Move Reality'!$A$5:$A$19,0)),INDEX('Move Reality'!$F$5:$F$19,MATCH(E557,'Move Reality'!$A$5:$A$19,0)))</f>
        <v>4</v>
      </c>
      <c r="M557" s="28" t="str">
        <f aca="false">IF(L557&gt;=5,"YES","no - dead move")</f>
        <v>no - dead move</v>
      </c>
    </row>
    <row r="558" customFormat="false" ht="15" hidden="false" customHeight="false" outlineLevel="0" collapsed="false">
      <c r="A558" s="17" t="n">
        <v>554</v>
      </c>
      <c r="B558" s="17" t="s">
        <v>41</v>
      </c>
      <c r="C558" s="17" t="s">
        <v>44</v>
      </c>
      <c r="D558" s="17" t="s">
        <v>50</v>
      </c>
      <c r="E558" s="17" t="s">
        <v>53</v>
      </c>
      <c r="F558" s="25" t="n">
        <f aca="false">SUMPRODUCT(--((('Yellow Bosses'!$I$5:$I$53&gt;=2)+('Yellow Bosses'!$L$5:$L$53&gt;=2)+('Yellow Bosses'!$R$5:$R$53&gt;=2)+('Yellow Bosses'!$U$5:$U$53&gt;=2))&gt;0))</f>
        <v>33</v>
      </c>
      <c r="G558" s="26" t="n">
        <f aca="false">F558/49</f>
        <v>0.673469387755102</v>
      </c>
      <c r="H558" s="25" t="n">
        <f aca="false">49-SUMPRODUCT(--((('Yellow Bosses'!$I$5:$I$53&gt;=1)+('Yellow Bosses'!$L$5:$L$53&gt;=1)+('Yellow Bosses'!$R$5:$R$53&gt;=1)+('Yellow Bosses'!$U$5:$U$53&gt;=1))&gt;0))</f>
        <v>0</v>
      </c>
      <c r="I558" s="25" t="n">
        <f aca="false">SUMPRODUCT(--((('Yellow Bosses'!$I$5:$I$53&gt;0)+('Yellow Bosses'!$L$5:$L$53&gt;0)+('Yellow Bosses'!$R$5:$R$53&gt;0)+('Yellow Bosses'!$U$5:$U$53&gt;0))=0))</f>
        <v>0</v>
      </c>
      <c r="J558" s="25" t="n">
        <f aca="false">SUMPRODUCT(--(((Effectiveness!$F$5:$F$155&gt;=2)+(Effectiveness!$I$5:$I$155&gt;=2)+(Effectiveness!$O$5:$O$155&gt;=2)+(Effectiveness!$R$5:$R$155&gt;=2))&gt;0))</f>
        <v>93</v>
      </c>
      <c r="K558" s="26" t="n">
        <f aca="false">J558/151</f>
        <v>0.615894039735099</v>
      </c>
      <c r="L558" s="25" t="n">
        <f aca="false">MIN(INDEX('Move Reality'!$F$5:$F$19,MATCH(B558,'Move Reality'!$A$5:$A$19,0)),INDEX('Move Reality'!$F$5:$F$19,MATCH(C558,'Move Reality'!$A$5:$A$19,0)),INDEX('Move Reality'!$F$5:$F$19,MATCH(D558,'Move Reality'!$A$5:$A$19,0)),INDEX('Move Reality'!$F$5:$F$19,MATCH(E558,'Move Reality'!$A$5:$A$19,0)))</f>
        <v>1</v>
      </c>
      <c r="M558" s="28" t="str">
        <f aca="false">IF(L558&gt;=5,"YES","no - dead move")</f>
        <v>no - dead move</v>
      </c>
    </row>
    <row r="559" customFormat="false" ht="15" hidden="false" customHeight="false" outlineLevel="0" collapsed="false">
      <c r="A559" s="17" t="n">
        <v>555</v>
      </c>
      <c r="B559" s="17" t="s">
        <v>41</v>
      </c>
      <c r="C559" s="17" t="s">
        <v>46</v>
      </c>
      <c r="D559" s="17" t="s">
        <v>48</v>
      </c>
      <c r="E559" s="17" t="s">
        <v>54</v>
      </c>
      <c r="F559" s="25" t="n">
        <f aca="false">SUMPRODUCT(--((('Yellow Bosses'!$I$5:$I$53&gt;=2)+('Yellow Bosses'!$N$5:$N$53&gt;=2)+('Yellow Bosses'!$P$5:$P$53&gt;=2)+('Yellow Bosses'!$V$5:$V$53&gt;=2))&gt;0))</f>
        <v>33</v>
      </c>
      <c r="G559" s="26" t="n">
        <f aca="false">F559/49</f>
        <v>0.673469387755102</v>
      </c>
      <c r="H559" s="25" t="n">
        <f aca="false">49-SUMPRODUCT(--((('Yellow Bosses'!$I$5:$I$53&gt;=1)+('Yellow Bosses'!$N$5:$N$53&gt;=1)+('Yellow Bosses'!$P$5:$P$53&gt;=1)+('Yellow Bosses'!$V$5:$V$53&gt;=1))&gt;0))</f>
        <v>0</v>
      </c>
      <c r="I559" s="25" t="n">
        <f aca="false">SUMPRODUCT(--((('Yellow Bosses'!$I$5:$I$53&gt;0)+('Yellow Bosses'!$N$5:$N$53&gt;0)+('Yellow Bosses'!$P$5:$P$53&gt;0)+('Yellow Bosses'!$V$5:$V$53&gt;0))=0))</f>
        <v>0</v>
      </c>
      <c r="J559" s="25" t="n">
        <f aca="false">SUMPRODUCT(--(((Effectiveness!$F$5:$F$155&gt;=2)+(Effectiveness!$K$5:$K$155&gt;=2)+(Effectiveness!$M$5:$M$155&gt;=2)+(Effectiveness!$S$5:$S$155&gt;=2))&gt;0))</f>
        <v>93</v>
      </c>
      <c r="K559" s="26" t="n">
        <f aca="false">J559/151</f>
        <v>0.615894039735099</v>
      </c>
      <c r="L559" s="25" t="n">
        <f aca="false">MIN(INDEX('Move Reality'!$F$5:$F$19,MATCH(B559,'Move Reality'!$A$5:$A$19,0)),INDEX('Move Reality'!$F$5:$F$19,MATCH(C559,'Move Reality'!$A$5:$A$19,0)),INDEX('Move Reality'!$F$5:$F$19,MATCH(D559,'Move Reality'!$A$5:$A$19,0)),INDEX('Move Reality'!$F$5:$F$19,MATCH(E559,'Move Reality'!$A$5:$A$19,0)))</f>
        <v>1</v>
      </c>
      <c r="M559" s="28" t="str">
        <f aca="false">IF(L559&gt;=5,"YES","no - dead move")</f>
        <v>no - dead move</v>
      </c>
    </row>
    <row r="560" customFormat="false" ht="15" hidden="false" customHeight="false" outlineLevel="0" collapsed="false">
      <c r="A560" s="17" t="n">
        <v>556</v>
      </c>
      <c r="B560" s="17" t="s">
        <v>42</v>
      </c>
      <c r="C560" s="17" t="s">
        <v>43</v>
      </c>
      <c r="D560" s="17" t="s">
        <v>45</v>
      </c>
      <c r="E560" s="17" t="s">
        <v>53</v>
      </c>
      <c r="F560" s="25" t="n">
        <f aca="false">SUMPRODUCT(--((('Yellow Bosses'!$J$5:$J$53&gt;=2)+('Yellow Bosses'!$K$5:$K$53&gt;=2)+('Yellow Bosses'!$M$5:$M$53&gt;=2)+('Yellow Bosses'!$U$5:$U$53&gt;=2))&gt;0))</f>
        <v>33</v>
      </c>
      <c r="G560" s="26" t="n">
        <f aca="false">F560/49</f>
        <v>0.673469387755102</v>
      </c>
      <c r="H560" s="25" t="n">
        <f aca="false">49-SUMPRODUCT(--((('Yellow Bosses'!$J$5:$J$53&gt;=1)+('Yellow Bosses'!$K$5:$K$53&gt;=1)+('Yellow Bosses'!$M$5:$M$53&gt;=1)+('Yellow Bosses'!$U$5:$U$53&gt;=1))&gt;0))</f>
        <v>0</v>
      </c>
      <c r="I560" s="25" t="n">
        <f aca="false">SUMPRODUCT(--((('Yellow Bosses'!$J$5:$J$53&gt;0)+('Yellow Bosses'!$K$5:$K$53&gt;0)+('Yellow Bosses'!$M$5:$M$53&gt;0)+('Yellow Bosses'!$U$5:$U$53&gt;0))=0))</f>
        <v>0</v>
      </c>
      <c r="J560" s="25" t="n">
        <f aca="false">SUMPRODUCT(--(((Effectiveness!$G$5:$G$155&gt;=2)+(Effectiveness!$H$5:$H$155&gt;=2)+(Effectiveness!$J$5:$J$155&gt;=2)+(Effectiveness!$R$5:$R$155&gt;=2))&gt;0))</f>
        <v>93</v>
      </c>
      <c r="K560" s="26" t="n">
        <f aca="false">J560/151</f>
        <v>0.615894039735099</v>
      </c>
      <c r="L560" s="25" t="n">
        <f aca="false">MIN(INDEX('Move Reality'!$F$5:$F$19,MATCH(B560,'Move Reality'!$A$5:$A$19,0)),INDEX('Move Reality'!$F$5:$F$19,MATCH(C560,'Move Reality'!$A$5:$A$19,0)),INDEX('Move Reality'!$F$5:$F$19,MATCH(D560,'Move Reality'!$A$5:$A$19,0)),INDEX('Move Reality'!$F$5:$F$19,MATCH(E560,'Move Reality'!$A$5:$A$19,0)))</f>
        <v>1</v>
      </c>
      <c r="M560" s="28" t="str">
        <f aca="false">IF(L560&gt;=5,"YES","no - dead move")</f>
        <v>no - dead move</v>
      </c>
    </row>
    <row r="561" customFormat="false" ht="15" hidden="false" customHeight="false" outlineLevel="0" collapsed="false">
      <c r="A561" s="17" t="n">
        <v>557</v>
      </c>
      <c r="B561" s="17" t="s">
        <v>41</v>
      </c>
      <c r="C561" s="17" t="s">
        <v>44</v>
      </c>
      <c r="D561" s="17" t="s">
        <v>51</v>
      </c>
      <c r="E561" s="17" t="s">
        <v>53</v>
      </c>
      <c r="F561" s="25" t="n">
        <f aca="false">SUMPRODUCT(--((('Yellow Bosses'!$I$5:$I$53&gt;=2)+('Yellow Bosses'!$L$5:$L$53&gt;=2)+('Yellow Bosses'!$S$5:$S$53&gt;=2)+('Yellow Bosses'!$U$5:$U$53&gt;=2))&gt;0))</f>
        <v>33</v>
      </c>
      <c r="G561" s="26" t="n">
        <f aca="false">F561/49</f>
        <v>0.673469387755102</v>
      </c>
      <c r="H561" s="25" t="n">
        <f aca="false">49-SUMPRODUCT(--((('Yellow Bosses'!$I$5:$I$53&gt;=1)+('Yellow Bosses'!$L$5:$L$53&gt;=1)+('Yellow Bosses'!$S$5:$S$53&gt;=1)+('Yellow Bosses'!$U$5:$U$53&gt;=1))&gt;0))</f>
        <v>0</v>
      </c>
      <c r="I561" s="25" t="n">
        <f aca="false">SUMPRODUCT(--((('Yellow Bosses'!$I$5:$I$53&gt;0)+('Yellow Bosses'!$L$5:$L$53&gt;0)+('Yellow Bosses'!$S$5:$S$53&gt;0)+('Yellow Bosses'!$U$5:$U$53&gt;0))=0))</f>
        <v>0</v>
      </c>
      <c r="J561" s="25" t="n">
        <f aca="false">SUMPRODUCT(--(((Effectiveness!$F$5:$F$155&gt;=2)+(Effectiveness!$I$5:$I$155&gt;=2)+(Effectiveness!$P$5:$P$155&gt;=2)+(Effectiveness!$R$5:$R$155&gt;=2))&gt;0))</f>
        <v>92</v>
      </c>
      <c r="K561" s="26" t="n">
        <f aca="false">J561/151</f>
        <v>0.609271523178808</v>
      </c>
      <c r="L561" s="25" t="n">
        <f aca="false">MIN(INDEX('Move Reality'!$F$5:$F$19,MATCH(B561,'Move Reality'!$A$5:$A$19,0)),INDEX('Move Reality'!$F$5:$F$19,MATCH(C561,'Move Reality'!$A$5:$A$19,0)),INDEX('Move Reality'!$F$5:$F$19,MATCH(D561,'Move Reality'!$A$5:$A$19,0)),INDEX('Move Reality'!$F$5:$F$19,MATCH(E561,'Move Reality'!$A$5:$A$19,0)))</f>
        <v>1</v>
      </c>
      <c r="M561" s="28" t="str">
        <f aca="false">IF(L561&gt;=5,"YES","no - dead move")</f>
        <v>no - dead move</v>
      </c>
    </row>
    <row r="562" customFormat="false" ht="15" hidden="false" customHeight="false" outlineLevel="0" collapsed="false">
      <c r="A562" s="17" t="n">
        <v>558</v>
      </c>
      <c r="B562" s="17" t="s">
        <v>41</v>
      </c>
      <c r="C562" s="17" t="s">
        <v>44</v>
      </c>
      <c r="D562" s="17" t="s">
        <v>51</v>
      </c>
      <c r="E562" s="17" t="s">
        <v>54</v>
      </c>
      <c r="F562" s="25" t="n">
        <f aca="false">SUMPRODUCT(--((('Yellow Bosses'!$I$5:$I$53&gt;=2)+('Yellow Bosses'!$L$5:$L$53&gt;=2)+('Yellow Bosses'!$S$5:$S$53&gt;=2)+('Yellow Bosses'!$V$5:$V$53&gt;=2))&gt;0))</f>
        <v>33</v>
      </c>
      <c r="G562" s="26" t="n">
        <f aca="false">F562/49</f>
        <v>0.673469387755102</v>
      </c>
      <c r="H562" s="25" t="n">
        <f aca="false">49-SUMPRODUCT(--((('Yellow Bosses'!$I$5:$I$53&gt;=1)+('Yellow Bosses'!$L$5:$L$53&gt;=1)+('Yellow Bosses'!$S$5:$S$53&gt;=1)+('Yellow Bosses'!$V$5:$V$53&gt;=1))&gt;0))</f>
        <v>0</v>
      </c>
      <c r="I562" s="25" t="n">
        <f aca="false">SUMPRODUCT(--((('Yellow Bosses'!$I$5:$I$53&gt;0)+('Yellow Bosses'!$L$5:$L$53&gt;0)+('Yellow Bosses'!$S$5:$S$53&gt;0)+('Yellow Bosses'!$V$5:$V$53&gt;0))=0))</f>
        <v>0</v>
      </c>
      <c r="J562" s="25" t="n">
        <f aca="false">SUMPRODUCT(--(((Effectiveness!$F$5:$F$155&gt;=2)+(Effectiveness!$I$5:$I$155&gt;=2)+(Effectiveness!$P$5:$P$155&gt;=2)+(Effectiveness!$S$5:$S$155&gt;=2))&gt;0))</f>
        <v>92</v>
      </c>
      <c r="K562" s="26" t="n">
        <f aca="false">J562/151</f>
        <v>0.609271523178808</v>
      </c>
      <c r="L562" s="25" t="n">
        <f aca="false">MIN(INDEX('Move Reality'!$F$5:$F$19,MATCH(B562,'Move Reality'!$A$5:$A$19,0)),INDEX('Move Reality'!$F$5:$F$19,MATCH(C562,'Move Reality'!$A$5:$A$19,0)),INDEX('Move Reality'!$F$5:$F$19,MATCH(D562,'Move Reality'!$A$5:$A$19,0)),INDEX('Move Reality'!$F$5:$F$19,MATCH(E562,'Move Reality'!$A$5:$A$19,0)))</f>
        <v>1</v>
      </c>
      <c r="M562" s="28" t="str">
        <f aca="false">IF(L562&gt;=5,"YES","no - dead move")</f>
        <v>no - dead move</v>
      </c>
    </row>
    <row r="563" customFormat="false" ht="15" hidden="false" customHeight="false" outlineLevel="0" collapsed="false">
      <c r="A563" s="17" t="n">
        <v>559</v>
      </c>
      <c r="B563" s="17" t="s">
        <v>44</v>
      </c>
      <c r="C563" s="17" t="s">
        <v>47</v>
      </c>
      <c r="D563" s="17" t="s">
        <v>51</v>
      </c>
      <c r="E563" s="17" t="s">
        <v>53</v>
      </c>
      <c r="F563" s="25" t="n">
        <f aca="false">SUMPRODUCT(--((('Yellow Bosses'!$L$5:$L$53&gt;=2)+('Yellow Bosses'!$O$5:$O$53&gt;=2)+('Yellow Bosses'!$S$5:$S$53&gt;=2)+('Yellow Bosses'!$U$5:$U$53&gt;=2))&gt;0))</f>
        <v>33</v>
      </c>
      <c r="G563" s="26" t="n">
        <f aca="false">F563/49</f>
        <v>0.673469387755102</v>
      </c>
      <c r="H563" s="25" t="n">
        <f aca="false">49-SUMPRODUCT(--((('Yellow Bosses'!$L$5:$L$53&gt;=1)+('Yellow Bosses'!$O$5:$O$53&gt;=1)+('Yellow Bosses'!$S$5:$S$53&gt;=1)+('Yellow Bosses'!$U$5:$U$53&gt;=1))&gt;0))</f>
        <v>0</v>
      </c>
      <c r="I563" s="25" t="n">
        <f aca="false">SUMPRODUCT(--((('Yellow Bosses'!$L$5:$L$53&gt;0)+('Yellow Bosses'!$O$5:$O$53&gt;0)+('Yellow Bosses'!$S$5:$S$53&gt;0)+('Yellow Bosses'!$U$5:$U$53&gt;0))=0))</f>
        <v>0</v>
      </c>
      <c r="J563" s="25" t="n">
        <f aca="false">SUMPRODUCT(--(((Effectiveness!$I$5:$I$155&gt;=2)+(Effectiveness!$L$5:$L$155&gt;=2)+(Effectiveness!$P$5:$P$155&gt;=2)+(Effectiveness!$R$5:$R$155&gt;=2))&gt;0))</f>
        <v>91</v>
      </c>
      <c r="K563" s="26" t="n">
        <f aca="false">J563/151</f>
        <v>0.602649006622517</v>
      </c>
      <c r="L563" s="25" t="n">
        <f aca="false">MIN(INDEX('Move Reality'!$F$5:$F$19,MATCH(B563,'Move Reality'!$A$5:$A$19,0)),INDEX('Move Reality'!$F$5:$F$19,MATCH(C563,'Move Reality'!$A$5:$A$19,0)),INDEX('Move Reality'!$F$5:$F$19,MATCH(D563,'Move Reality'!$A$5:$A$19,0)),INDEX('Move Reality'!$F$5:$F$19,MATCH(E563,'Move Reality'!$A$5:$A$19,0)))</f>
        <v>1</v>
      </c>
      <c r="M563" s="28" t="str">
        <f aca="false">IF(L563&gt;=5,"YES","no - dead move")</f>
        <v>no - dead move</v>
      </c>
    </row>
    <row r="564" customFormat="false" ht="15" hidden="false" customHeight="false" outlineLevel="0" collapsed="false">
      <c r="A564" s="17" t="n">
        <v>560</v>
      </c>
      <c r="B564" s="17" t="s">
        <v>44</v>
      </c>
      <c r="C564" s="17" t="s">
        <v>47</v>
      </c>
      <c r="D564" s="17" t="s">
        <v>51</v>
      </c>
      <c r="E564" s="17" t="s">
        <v>54</v>
      </c>
      <c r="F564" s="25" t="n">
        <f aca="false">SUMPRODUCT(--((('Yellow Bosses'!$L$5:$L$53&gt;=2)+('Yellow Bosses'!$O$5:$O$53&gt;=2)+('Yellow Bosses'!$S$5:$S$53&gt;=2)+('Yellow Bosses'!$V$5:$V$53&gt;=2))&gt;0))</f>
        <v>33</v>
      </c>
      <c r="G564" s="26" t="n">
        <f aca="false">F564/49</f>
        <v>0.673469387755102</v>
      </c>
      <c r="H564" s="25" t="n">
        <f aca="false">49-SUMPRODUCT(--((('Yellow Bosses'!$L$5:$L$53&gt;=1)+('Yellow Bosses'!$O$5:$O$53&gt;=1)+('Yellow Bosses'!$S$5:$S$53&gt;=1)+('Yellow Bosses'!$V$5:$V$53&gt;=1))&gt;0))</f>
        <v>0</v>
      </c>
      <c r="I564" s="25" t="n">
        <f aca="false">SUMPRODUCT(--((('Yellow Bosses'!$L$5:$L$53&gt;0)+('Yellow Bosses'!$O$5:$O$53&gt;0)+('Yellow Bosses'!$S$5:$S$53&gt;0)+('Yellow Bosses'!$V$5:$V$53&gt;0))=0))</f>
        <v>0</v>
      </c>
      <c r="J564" s="25" t="n">
        <f aca="false">SUMPRODUCT(--(((Effectiveness!$I$5:$I$155&gt;=2)+(Effectiveness!$L$5:$L$155&gt;=2)+(Effectiveness!$P$5:$P$155&gt;=2)+(Effectiveness!$S$5:$S$155&gt;=2))&gt;0))</f>
        <v>91</v>
      </c>
      <c r="K564" s="26" t="n">
        <f aca="false">J564/151</f>
        <v>0.602649006622517</v>
      </c>
      <c r="L564" s="25" t="n">
        <f aca="false">MIN(INDEX('Move Reality'!$F$5:$F$19,MATCH(B564,'Move Reality'!$A$5:$A$19,0)),INDEX('Move Reality'!$F$5:$F$19,MATCH(C564,'Move Reality'!$A$5:$A$19,0)),INDEX('Move Reality'!$F$5:$F$19,MATCH(D564,'Move Reality'!$A$5:$A$19,0)),INDEX('Move Reality'!$F$5:$F$19,MATCH(E564,'Move Reality'!$A$5:$A$19,0)))</f>
        <v>1</v>
      </c>
      <c r="M564" s="28" t="str">
        <f aca="false">IF(L564&gt;=5,"YES","no - dead move")</f>
        <v>no - dead move</v>
      </c>
    </row>
    <row r="565" customFormat="false" ht="15" hidden="false" customHeight="false" outlineLevel="0" collapsed="false">
      <c r="A565" s="17" t="n">
        <v>561</v>
      </c>
      <c r="B565" s="17" t="s">
        <v>40</v>
      </c>
      <c r="C565" s="17" t="s">
        <v>41</v>
      </c>
      <c r="D565" s="17" t="s">
        <v>48</v>
      </c>
      <c r="E565" s="17" t="s">
        <v>52</v>
      </c>
      <c r="F565" s="25" t="n">
        <f aca="false">SUMPRODUCT(--((('Yellow Bosses'!$H$5:$H$53&gt;=2)+('Yellow Bosses'!$I$5:$I$53&gt;=2)+('Yellow Bosses'!$P$5:$P$53&gt;=2)+('Yellow Bosses'!$T$5:$T$53&gt;=2))&gt;0))</f>
        <v>33</v>
      </c>
      <c r="G565" s="26" t="n">
        <f aca="false">F565/49</f>
        <v>0.673469387755102</v>
      </c>
      <c r="H565" s="25" t="n">
        <f aca="false">49-SUMPRODUCT(--((('Yellow Bosses'!$H$5:$H$53&gt;=1)+('Yellow Bosses'!$I$5:$I$53&gt;=1)+('Yellow Bosses'!$P$5:$P$53&gt;=1)+('Yellow Bosses'!$T$5:$T$53&gt;=1))&gt;0))</f>
        <v>0</v>
      </c>
      <c r="I565" s="25" t="n">
        <f aca="false">SUMPRODUCT(--((('Yellow Bosses'!$H$5:$H$53&gt;0)+('Yellow Bosses'!$I$5:$I$53&gt;0)+('Yellow Bosses'!$P$5:$P$53&gt;0)+('Yellow Bosses'!$T$5:$T$53&gt;0))=0))</f>
        <v>0</v>
      </c>
      <c r="J565" s="25" t="n">
        <f aca="false">SUMPRODUCT(--(((Effectiveness!$E$5:$E$155&gt;=2)+(Effectiveness!$F$5:$F$155&gt;=2)+(Effectiveness!$M$5:$M$155&gt;=2)+(Effectiveness!$Q$5:$Q$155&gt;=2))&gt;0))</f>
        <v>90</v>
      </c>
      <c r="K565" s="26" t="n">
        <f aca="false">J565/151</f>
        <v>0.596026490066225</v>
      </c>
      <c r="L565" s="25" t="n">
        <f aca="false">MIN(INDEX('Move Reality'!$F$5:$F$19,MATCH(B565,'Move Reality'!$A$5:$A$19,0)),INDEX('Move Reality'!$F$5:$F$19,MATCH(C565,'Move Reality'!$A$5:$A$19,0)),INDEX('Move Reality'!$F$5:$F$19,MATCH(D565,'Move Reality'!$A$5:$A$19,0)),INDEX('Move Reality'!$F$5:$F$19,MATCH(E565,'Move Reality'!$A$5:$A$19,0)))</f>
        <v>6</v>
      </c>
      <c r="M565" s="28" t="str">
        <f aca="false">IF(L565&gt;=5,"YES","no - dead move")</f>
        <v>YES</v>
      </c>
    </row>
    <row r="566" customFormat="false" ht="15" hidden="false" customHeight="false" outlineLevel="0" collapsed="false">
      <c r="A566" s="17" t="n">
        <v>562</v>
      </c>
      <c r="B566" s="17" t="s">
        <v>41</v>
      </c>
      <c r="C566" s="17" t="s">
        <v>42</v>
      </c>
      <c r="D566" s="17" t="s">
        <v>48</v>
      </c>
      <c r="E566" s="17" t="s">
        <v>50</v>
      </c>
      <c r="F566" s="25" t="n">
        <f aca="false">SUMPRODUCT(--((('Yellow Bosses'!$I$5:$I$53&gt;=2)+('Yellow Bosses'!$J$5:$J$53&gt;=2)+('Yellow Bosses'!$P$5:$P$53&gt;=2)+('Yellow Bosses'!$R$5:$R$53&gt;=2))&gt;0))</f>
        <v>33</v>
      </c>
      <c r="G566" s="26" t="n">
        <f aca="false">F566/49</f>
        <v>0.673469387755102</v>
      </c>
      <c r="H566" s="25" t="n">
        <f aca="false">49-SUMPRODUCT(--((('Yellow Bosses'!$I$5:$I$53&gt;=1)+('Yellow Bosses'!$J$5:$J$53&gt;=1)+('Yellow Bosses'!$P$5:$P$53&gt;=1)+('Yellow Bosses'!$R$5:$R$53&gt;=1))&gt;0))</f>
        <v>0</v>
      </c>
      <c r="I566" s="25" t="n">
        <f aca="false">SUMPRODUCT(--((('Yellow Bosses'!$I$5:$I$53&gt;0)+('Yellow Bosses'!$J$5:$J$53&gt;0)+('Yellow Bosses'!$P$5:$P$53&gt;0)+('Yellow Bosses'!$R$5:$R$53&gt;0))=0))</f>
        <v>0</v>
      </c>
      <c r="J566" s="25" t="n">
        <f aca="false">SUMPRODUCT(--(((Effectiveness!$F$5:$F$155&gt;=2)+(Effectiveness!$G$5:$G$155&gt;=2)+(Effectiveness!$M$5:$M$155&gt;=2)+(Effectiveness!$O$5:$O$155&gt;=2))&gt;0))</f>
        <v>90</v>
      </c>
      <c r="K566" s="26" t="n">
        <f aca="false">J566/151</f>
        <v>0.596026490066225</v>
      </c>
      <c r="L566" s="25" t="n">
        <f aca="false">MIN(INDEX('Move Reality'!$F$5:$F$19,MATCH(B566,'Move Reality'!$A$5:$A$19,0)),INDEX('Move Reality'!$F$5:$F$19,MATCH(C566,'Move Reality'!$A$5:$A$19,0)),INDEX('Move Reality'!$F$5:$F$19,MATCH(D566,'Move Reality'!$A$5:$A$19,0)),INDEX('Move Reality'!$F$5:$F$19,MATCH(E566,'Move Reality'!$A$5:$A$19,0)))</f>
        <v>7</v>
      </c>
      <c r="M566" s="28" t="str">
        <f aca="false">IF(L566&gt;=5,"YES","no - dead move")</f>
        <v>YES</v>
      </c>
    </row>
    <row r="567" customFormat="false" ht="15" hidden="false" customHeight="false" outlineLevel="0" collapsed="false">
      <c r="A567" s="17" t="n">
        <v>563</v>
      </c>
      <c r="B567" s="17" t="s">
        <v>41</v>
      </c>
      <c r="C567" s="17" t="s">
        <v>47</v>
      </c>
      <c r="D567" s="17" t="s">
        <v>48</v>
      </c>
      <c r="E567" s="17" t="s">
        <v>52</v>
      </c>
      <c r="F567" s="25" t="n">
        <f aca="false">SUMPRODUCT(--((('Yellow Bosses'!$I$5:$I$53&gt;=2)+('Yellow Bosses'!$O$5:$O$53&gt;=2)+('Yellow Bosses'!$P$5:$P$53&gt;=2)+('Yellow Bosses'!$T$5:$T$53&gt;=2))&gt;0))</f>
        <v>33</v>
      </c>
      <c r="G567" s="26" t="n">
        <f aca="false">F567/49</f>
        <v>0.673469387755102</v>
      </c>
      <c r="H567" s="25" t="n">
        <f aca="false">49-SUMPRODUCT(--((('Yellow Bosses'!$I$5:$I$53&gt;=1)+('Yellow Bosses'!$O$5:$O$53&gt;=1)+('Yellow Bosses'!$P$5:$P$53&gt;=1)+('Yellow Bosses'!$T$5:$T$53&gt;=1))&gt;0))</f>
        <v>0</v>
      </c>
      <c r="I567" s="25" t="n">
        <f aca="false">SUMPRODUCT(--((('Yellow Bosses'!$I$5:$I$53&gt;0)+('Yellow Bosses'!$O$5:$O$53&gt;0)+('Yellow Bosses'!$P$5:$P$53&gt;0)+('Yellow Bosses'!$T$5:$T$53&gt;0))=0))</f>
        <v>0</v>
      </c>
      <c r="J567" s="25" t="n">
        <f aca="false">SUMPRODUCT(--(((Effectiveness!$F$5:$F$155&gt;=2)+(Effectiveness!$L$5:$L$155&gt;=2)+(Effectiveness!$M$5:$M$155&gt;=2)+(Effectiveness!$Q$5:$Q$155&gt;=2))&gt;0))</f>
        <v>90</v>
      </c>
      <c r="K567" s="26" t="n">
        <f aca="false">J567/151</f>
        <v>0.596026490066225</v>
      </c>
      <c r="L567" s="25" t="n">
        <f aca="false">MIN(INDEX('Move Reality'!$F$5:$F$19,MATCH(B567,'Move Reality'!$A$5:$A$19,0)),INDEX('Move Reality'!$F$5:$F$19,MATCH(C567,'Move Reality'!$A$5:$A$19,0)),INDEX('Move Reality'!$F$5:$F$19,MATCH(D567,'Move Reality'!$A$5:$A$19,0)),INDEX('Move Reality'!$F$5:$F$19,MATCH(E567,'Move Reality'!$A$5:$A$19,0)))</f>
        <v>2</v>
      </c>
      <c r="M567" s="28" t="str">
        <f aca="false">IF(L567&gt;=5,"YES","no - dead move")</f>
        <v>no - dead move</v>
      </c>
    </row>
    <row r="568" customFormat="false" ht="15" hidden="false" customHeight="false" outlineLevel="0" collapsed="false">
      <c r="A568" s="17" t="n">
        <v>564</v>
      </c>
      <c r="B568" s="17" t="s">
        <v>41</v>
      </c>
      <c r="C568" s="17" t="s">
        <v>48</v>
      </c>
      <c r="D568" s="17" t="s">
        <v>52</v>
      </c>
      <c r="E568" s="17" t="s">
        <v>53</v>
      </c>
      <c r="F568" s="25" t="n">
        <f aca="false">SUMPRODUCT(--((('Yellow Bosses'!$I$5:$I$53&gt;=2)+('Yellow Bosses'!$P$5:$P$53&gt;=2)+('Yellow Bosses'!$T$5:$T$53&gt;=2)+('Yellow Bosses'!$U$5:$U$53&gt;=2))&gt;0))</f>
        <v>33</v>
      </c>
      <c r="G568" s="26" t="n">
        <f aca="false">F568/49</f>
        <v>0.673469387755102</v>
      </c>
      <c r="H568" s="25" t="n">
        <f aca="false">49-SUMPRODUCT(--((('Yellow Bosses'!$I$5:$I$53&gt;=1)+('Yellow Bosses'!$P$5:$P$53&gt;=1)+('Yellow Bosses'!$T$5:$T$53&gt;=1)+('Yellow Bosses'!$U$5:$U$53&gt;=1))&gt;0))</f>
        <v>0</v>
      </c>
      <c r="I568" s="25" t="n">
        <f aca="false">SUMPRODUCT(--((('Yellow Bosses'!$I$5:$I$53&gt;0)+('Yellow Bosses'!$P$5:$P$53&gt;0)+('Yellow Bosses'!$T$5:$T$53&gt;0)+('Yellow Bosses'!$U$5:$U$53&gt;0))=0))</f>
        <v>0</v>
      </c>
      <c r="J568" s="25" t="n">
        <f aca="false">SUMPRODUCT(--(((Effectiveness!$F$5:$F$155&gt;=2)+(Effectiveness!$M$5:$M$155&gt;=2)+(Effectiveness!$Q$5:$Q$155&gt;=2)+(Effectiveness!$R$5:$R$155&gt;=2))&gt;0))</f>
        <v>90</v>
      </c>
      <c r="K568" s="26" t="n">
        <f aca="false">J568/151</f>
        <v>0.596026490066225</v>
      </c>
      <c r="L568" s="25" t="n">
        <f aca="false">MIN(INDEX('Move Reality'!$F$5:$F$19,MATCH(B568,'Move Reality'!$A$5:$A$19,0)),INDEX('Move Reality'!$F$5:$F$19,MATCH(C568,'Move Reality'!$A$5:$A$19,0)),INDEX('Move Reality'!$F$5:$F$19,MATCH(D568,'Move Reality'!$A$5:$A$19,0)),INDEX('Move Reality'!$F$5:$F$19,MATCH(E568,'Move Reality'!$A$5:$A$19,0)))</f>
        <v>1</v>
      </c>
      <c r="M568" s="28" t="str">
        <f aca="false">IF(L568&gt;=5,"YES","no - dead move")</f>
        <v>no - dead move</v>
      </c>
    </row>
    <row r="569" customFormat="false" ht="15" hidden="false" customHeight="false" outlineLevel="0" collapsed="false">
      <c r="A569" s="17" t="n">
        <v>565</v>
      </c>
      <c r="B569" s="17" t="s">
        <v>46</v>
      </c>
      <c r="C569" s="17" t="s">
        <v>49</v>
      </c>
      <c r="D569" s="17" t="s">
        <v>51</v>
      </c>
      <c r="E569" s="17" t="s">
        <v>53</v>
      </c>
      <c r="F569" s="25" t="n">
        <f aca="false">SUMPRODUCT(--((('Yellow Bosses'!$N$5:$N$53&gt;=2)+('Yellow Bosses'!$Q$5:$Q$53&gt;=2)+('Yellow Bosses'!$S$5:$S$53&gt;=2)+('Yellow Bosses'!$U$5:$U$53&gt;=2))&gt;0))</f>
        <v>33</v>
      </c>
      <c r="G569" s="26" t="n">
        <f aca="false">F569/49</f>
        <v>0.673469387755102</v>
      </c>
      <c r="H569" s="25" t="n">
        <f aca="false">49-SUMPRODUCT(--((('Yellow Bosses'!$N$5:$N$53&gt;=1)+('Yellow Bosses'!$Q$5:$Q$53&gt;=1)+('Yellow Bosses'!$S$5:$S$53&gt;=1)+('Yellow Bosses'!$U$5:$U$53&gt;=1))&gt;0))</f>
        <v>0</v>
      </c>
      <c r="I569" s="25" t="n">
        <f aca="false">SUMPRODUCT(--((('Yellow Bosses'!$N$5:$N$53&gt;0)+('Yellow Bosses'!$Q$5:$Q$53&gt;0)+('Yellow Bosses'!$S$5:$S$53&gt;0)+('Yellow Bosses'!$U$5:$U$53&gt;0))=0))</f>
        <v>0</v>
      </c>
      <c r="J569" s="25" t="n">
        <f aca="false">SUMPRODUCT(--(((Effectiveness!$K$5:$K$155&gt;=2)+(Effectiveness!$N$5:$N$155&gt;=2)+(Effectiveness!$P$5:$P$155&gt;=2)+(Effectiveness!$R$5:$R$155&gt;=2))&gt;0))</f>
        <v>90</v>
      </c>
      <c r="K569" s="26" t="n">
        <f aca="false">J569/151</f>
        <v>0.596026490066225</v>
      </c>
      <c r="L569" s="25" t="n">
        <f aca="false">MIN(INDEX('Move Reality'!$F$5:$F$19,MATCH(B569,'Move Reality'!$A$5:$A$19,0)),INDEX('Move Reality'!$F$5:$F$19,MATCH(C569,'Move Reality'!$A$5:$A$19,0)),INDEX('Move Reality'!$F$5:$F$19,MATCH(D569,'Move Reality'!$A$5:$A$19,0)),INDEX('Move Reality'!$F$5:$F$19,MATCH(E569,'Move Reality'!$A$5:$A$19,0)))</f>
        <v>1</v>
      </c>
      <c r="M569" s="28" t="str">
        <f aca="false">IF(L569&gt;=5,"YES","no - dead move")</f>
        <v>no - dead move</v>
      </c>
    </row>
    <row r="570" customFormat="false" ht="15" hidden="false" customHeight="false" outlineLevel="0" collapsed="false">
      <c r="A570" s="17" t="n">
        <v>566</v>
      </c>
      <c r="B570" s="17" t="s">
        <v>46</v>
      </c>
      <c r="C570" s="17" t="s">
        <v>49</v>
      </c>
      <c r="D570" s="17" t="s">
        <v>51</v>
      </c>
      <c r="E570" s="17" t="s">
        <v>54</v>
      </c>
      <c r="F570" s="25" t="n">
        <f aca="false">SUMPRODUCT(--((('Yellow Bosses'!$N$5:$N$53&gt;=2)+('Yellow Bosses'!$Q$5:$Q$53&gt;=2)+('Yellow Bosses'!$S$5:$S$53&gt;=2)+('Yellow Bosses'!$V$5:$V$53&gt;=2))&gt;0))</f>
        <v>33</v>
      </c>
      <c r="G570" s="26" t="n">
        <f aca="false">F570/49</f>
        <v>0.673469387755102</v>
      </c>
      <c r="H570" s="25" t="n">
        <f aca="false">49-SUMPRODUCT(--((('Yellow Bosses'!$N$5:$N$53&gt;=1)+('Yellow Bosses'!$Q$5:$Q$53&gt;=1)+('Yellow Bosses'!$S$5:$S$53&gt;=1)+('Yellow Bosses'!$V$5:$V$53&gt;=1))&gt;0))</f>
        <v>0</v>
      </c>
      <c r="I570" s="25" t="n">
        <f aca="false">SUMPRODUCT(--((('Yellow Bosses'!$N$5:$N$53&gt;0)+('Yellow Bosses'!$Q$5:$Q$53&gt;0)+('Yellow Bosses'!$S$5:$S$53&gt;0)+('Yellow Bosses'!$V$5:$V$53&gt;0))=0))</f>
        <v>0</v>
      </c>
      <c r="J570" s="25" t="n">
        <f aca="false">SUMPRODUCT(--(((Effectiveness!$K$5:$K$155&gt;=2)+(Effectiveness!$N$5:$N$155&gt;=2)+(Effectiveness!$P$5:$P$155&gt;=2)+(Effectiveness!$S$5:$S$155&gt;=2))&gt;0))</f>
        <v>90</v>
      </c>
      <c r="K570" s="26" t="n">
        <f aca="false">J570/151</f>
        <v>0.596026490066225</v>
      </c>
      <c r="L570" s="25" t="n">
        <f aca="false">MIN(INDEX('Move Reality'!$F$5:$F$19,MATCH(B570,'Move Reality'!$A$5:$A$19,0)),INDEX('Move Reality'!$F$5:$F$19,MATCH(C570,'Move Reality'!$A$5:$A$19,0)),INDEX('Move Reality'!$F$5:$F$19,MATCH(D570,'Move Reality'!$A$5:$A$19,0)),INDEX('Move Reality'!$F$5:$F$19,MATCH(E570,'Move Reality'!$A$5:$A$19,0)))</f>
        <v>1</v>
      </c>
      <c r="M570" s="28" t="str">
        <f aca="false">IF(L570&gt;=5,"YES","no - dead move")</f>
        <v>no - dead move</v>
      </c>
    </row>
    <row r="571" customFormat="false" ht="15" hidden="false" customHeight="false" outlineLevel="0" collapsed="false">
      <c r="A571" s="17" t="n">
        <v>567</v>
      </c>
      <c r="B571" s="17" t="s">
        <v>41</v>
      </c>
      <c r="C571" s="17" t="s">
        <v>42</v>
      </c>
      <c r="D571" s="17" t="s">
        <v>44</v>
      </c>
      <c r="E571" s="17" t="s">
        <v>49</v>
      </c>
      <c r="F571" s="25" t="n">
        <f aca="false">SUMPRODUCT(--((('Yellow Bosses'!$I$5:$I$53&gt;=2)+('Yellow Bosses'!$J$5:$J$53&gt;=2)+('Yellow Bosses'!$L$5:$L$53&gt;=2)+('Yellow Bosses'!$Q$5:$Q$53&gt;=2))&gt;0))</f>
        <v>33</v>
      </c>
      <c r="G571" s="26" t="n">
        <f aca="false">F571/49</f>
        <v>0.673469387755102</v>
      </c>
      <c r="H571" s="25" t="n">
        <f aca="false">49-SUMPRODUCT(--((('Yellow Bosses'!$I$5:$I$53&gt;=1)+('Yellow Bosses'!$J$5:$J$53&gt;=1)+('Yellow Bosses'!$L$5:$L$53&gt;=1)+('Yellow Bosses'!$Q$5:$Q$53&gt;=1))&gt;0))</f>
        <v>0</v>
      </c>
      <c r="I571" s="25" t="n">
        <f aca="false">SUMPRODUCT(--((('Yellow Bosses'!$I$5:$I$53&gt;0)+('Yellow Bosses'!$J$5:$J$53&gt;0)+('Yellow Bosses'!$L$5:$L$53&gt;0)+('Yellow Bosses'!$Q$5:$Q$53&gt;0))=0))</f>
        <v>0</v>
      </c>
      <c r="J571" s="25" t="n">
        <f aca="false">SUMPRODUCT(--(((Effectiveness!$F$5:$F$155&gt;=2)+(Effectiveness!$G$5:$G$155&gt;=2)+(Effectiveness!$I$5:$I$155&gt;=2)+(Effectiveness!$N$5:$N$155&gt;=2))&gt;0))</f>
        <v>89</v>
      </c>
      <c r="K571" s="26" t="n">
        <f aca="false">J571/151</f>
        <v>0.589403973509934</v>
      </c>
      <c r="L571" s="25" t="n">
        <f aca="false">MIN(INDEX('Move Reality'!$F$5:$F$19,MATCH(B571,'Move Reality'!$A$5:$A$19,0)),INDEX('Move Reality'!$F$5:$F$19,MATCH(C571,'Move Reality'!$A$5:$A$19,0)),INDEX('Move Reality'!$F$5:$F$19,MATCH(D571,'Move Reality'!$A$5:$A$19,0)),INDEX('Move Reality'!$F$5:$F$19,MATCH(E571,'Move Reality'!$A$5:$A$19,0)))</f>
        <v>4</v>
      </c>
      <c r="M571" s="28" t="str">
        <f aca="false">IF(L571&gt;=5,"YES","no - dead move")</f>
        <v>no - dead move</v>
      </c>
    </row>
    <row r="572" customFormat="false" ht="15" hidden="false" customHeight="false" outlineLevel="0" collapsed="false">
      <c r="A572" s="17" t="n">
        <v>568</v>
      </c>
      <c r="B572" s="17" t="s">
        <v>41</v>
      </c>
      <c r="C572" s="17" t="s">
        <v>44</v>
      </c>
      <c r="D572" s="17" t="s">
        <v>45</v>
      </c>
      <c r="E572" s="17" t="s">
        <v>53</v>
      </c>
      <c r="F572" s="25" t="n">
        <f aca="false">SUMPRODUCT(--((('Yellow Bosses'!$I$5:$I$53&gt;=2)+('Yellow Bosses'!$L$5:$L$53&gt;=2)+('Yellow Bosses'!$M$5:$M$53&gt;=2)+('Yellow Bosses'!$U$5:$U$53&gt;=2))&gt;0))</f>
        <v>33</v>
      </c>
      <c r="G572" s="26" t="n">
        <f aca="false">F572/49</f>
        <v>0.673469387755102</v>
      </c>
      <c r="H572" s="25" t="n">
        <f aca="false">49-SUMPRODUCT(--((('Yellow Bosses'!$I$5:$I$53&gt;=1)+('Yellow Bosses'!$L$5:$L$53&gt;=1)+('Yellow Bosses'!$M$5:$M$53&gt;=1)+('Yellow Bosses'!$U$5:$U$53&gt;=1))&gt;0))</f>
        <v>0</v>
      </c>
      <c r="I572" s="25" t="n">
        <f aca="false">SUMPRODUCT(--((('Yellow Bosses'!$I$5:$I$53&gt;0)+('Yellow Bosses'!$L$5:$L$53&gt;0)+('Yellow Bosses'!$M$5:$M$53&gt;0)+('Yellow Bosses'!$U$5:$U$53&gt;0))=0))</f>
        <v>0</v>
      </c>
      <c r="J572" s="25" t="n">
        <f aca="false">SUMPRODUCT(--(((Effectiveness!$F$5:$F$155&gt;=2)+(Effectiveness!$I$5:$I$155&gt;=2)+(Effectiveness!$J$5:$J$155&gt;=2)+(Effectiveness!$R$5:$R$155&gt;=2))&gt;0))</f>
        <v>89</v>
      </c>
      <c r="K572" s="26" t="n">
        <f aca="false">J572/151</f>
        <v>0.589403973509934</v>
      </c>
      <c r="L572" s="25" t="n">
        <f aca="false">MIN(INDEX('Move Reality'!$F$5:$F$19,MATCH(B572,'Move Reality'!$A$5:$A$19,0)),INDEX('Move Reality'!$F$5:$F$19,MATCH(C572,'Move Reality'!$A$5:$A$19,0)),INDEX('Move Reality'!$F$5:$F$19,MATCH(D572,'Move Reality'!$A$5:$A$19,0)),INDEX('Move Reality'!$F$5:$F$19,MATCH(E572,'Move Reality'!$A$5:$A$19,0)))</f>
        <v>1</v>
      </c>
      <c r="M572" s="28" t="str">
        <f aca="false">IF(L572&gt;=5,"YES","no - dead move")</f>
        <v>no - dead move</v>
      </c>
    </row>
    <row r="573" customFormat="false" ht="15" hidden="false" customHeight="false" outlineLevel="0" collapsed="false">
      <c r="A573" s="17" t="n">
        <v>569</v>
      </c>
      <c r="B573" s="17" t="s">
        <v>41</v>
      </c>
      <c r="C573" s="17" t="s">
        <v>45</v>
      </c>
      <c r="D573" s="17" t="s">
        <v>49</v>
      </c>
      <c r="E573" s="17" t="s">
        <v>51</v>
      </c>
      <c r="F573" s="25" t="n">
        <f aca="false">SUMPRODUCT(--((('Yellow Bosses'!$I$5:$I$53&gt;=2)+('Yellow Bosses'!$M$5:$M$53&gt;=2)+('Yellow Bosses'!$Q$5:$Q$53&gt;=2)+('Yellow Bosses'!$S$5:$S$53&gt;=2))&gt;0))</f>
        <v>33</v>
      </c>
      <c r="G573" s="26" t="n">
        <f aca="false">F573/49</f>
        <v>0.673469387755102</v>
      </c>
      <c r="H573" s="25" t="n">
        <f aca="false">49-SUMPRODUCT(--((('Yellow Bosses'!$I$5:$I$53&gt;=1)+('Yellow Bosses'!$M$5:$M$53&gt;=1)+('Yellow Bosses'!$Q$5:$Q$53&gt;=1)+('Yellow Bosses'!$S$5:$S$53&gt;=1))&gt;0))</f>
        <v>0</v>
      </c>
      <c r="I573" s="25" t="n">
        <f aca="false">SUMPRODUCT(--((('Yellow Bosses'!$I$5:$I$53&gt;0)+('Yellow Bosses'!$M$5:$M$53&gt;0)+('Yellow Bosses'!$Q$5:$Q$53&gt;0)+('Yellow Bosses'!$S$5:$S$53&gt;0))=0))</f>
        <v>0</v>
      </c>
      <c r="J573" s="25" t="n">
        <f aca="false">SUMPRODUCT(--(((Effectiveness!$F$5:$F$155&gt;=2)+(Effectiveness!$J$5:$J$155&gt;=2)+(Effectiveness!$N$5:$N$155&gt;=2)+(Effectiveness!$P$5:$P$155&gt;=2))&gt;0))</f>
        <v>88</v>
      </c>
      <c r="K573" s="26" t="n">
        <f aca="false">J573/151</f>
        <v>0.582781456953642</v>
      </c>
      <c r="L573" s="25" t="n">
        <f aca="false">MIN(INDEX('Move Reality'!$F$5:$F$19,MATCH(B573,'Move Reality'!$A$5:$A$19,0)),INDEX('Move Reality'!$F$5:$F$19,MATCH(C573,'Move Reality'!$A$5:$A$19,0)),INDEX('Move Reality'!$F$5:$F$19,MATCH(D573,'Move Reality'!$A$5:$A$19,0)),INDEX('Move Reality'!$F$5:$F$19,MATCH(E573,'Move Reality'!$A$5:$A$19,0)))</f>
        <v>1</v>
      </c>
      <c r="M573" s="28" t="str">
        <f aca="false">IF(L573&gt;=5,"YES","no - dead move")</f>
        <v>no - dead move</v>
      </c>
    </row>
    <row r="574" customFormat="false" ht="15" hidden="false" customHeight="false" outlineLevel="0" collapsed="false">
      <c r="A574" s="17" t="n">
        <v>570</v>
      </c>
      <c r="B574" s="17" t="s">
        <v>42</v>
      </c>
      <c r="C574" s="17" t="s">
        <v>45</v>
      </c>
      <c r="D574" s="17" t="s">
        <v>47</v>
      </c>
      <c r="E574" s="17" t="s">
        <v>50</v>
      </c>
      <c r="F574" s="25" t="n">
        <f aca="false">SUMPRODUCT(--((('Yellow Bosses'!$J$5:$J$53&gt;=2)+('Yellow Bosses'!$M$5:$M$53&gt;=2)+('Yellow Bosses'!$O$5:$O$53&gt;=2)+('Yellow Bosses'!$R$5:$R$53&gt;=2))&gt;0))</f>
        <v>33</v>
      </c>
      <c r="G574" s="26" t="n">
        <f aca="false">F574/49</f>
        <v>0.673469387755102</v>
      </c>
      <c r="H574" s="25" t="n">
        <f aca="false">49-SUMPRODUCT(--((('Yellow Bosses'!$J$5:$J$53&gt;=1)+('Yellow Bosses'!$M$5:$M$53&gt;=1)+('Yellow Bosses'!$O$5:$O$53&gt;=1)+('Yellow Bosses'!$R$5:$R$53&gt;=1))&gt;0))</f>
        <v>0</v>
      </c>
      <c r="I574" s="25" t="n">
        <f aca="false">SUMPRODUCT(--((('Yellow Bosses'!$J$5:$J$53&gt;0)+('Yellow Bosses'!$M$5:$M$53&gt;0)+('Yellow Bosses'!$O$5:$O$53&gt;0)+('Yellow Bosses'!$R$5:$R$53&gt;0))=0))</f>
        <v>0</v>
      </c>
      <c r="J574" s="25" t="n">
        <f aca="false">SUMPRODUCT(--(((Effectiveness!$G$5:$G$155&gt;=2)+(Effectiveness!$J$5:$J$155&gt;=2)+(Effectiveness!$L$5:$L$155&gt;=2)+(Effectiveness!$O$5:$O$155&gt;=2))&gt;0))</f>
        <v>88</v>
      </c>
      <c r="K574" s="26" t="n">
        <f aca="false">J574/151</f>
        <v>0.582781456953642</v>
      </c>
      <c r="L574" s="25" t="n">
        <f aca="false">MIN(INDEX('Move Reality'!$F$5:$F$19,MATCH(B574,'Move Reality'!$A$5:$A$19,0)),INDEX('Move Reality'!$F$5:$F$19,MATCH(C574,'Move Reality'!$A$5:$A$19,0)),INDEX('Move Reality'!$F$5:$F$19,MATCH(D574,'Move Reality'!$A$5:$A$19,0)),INDEX('Move Reality'!$F$5:$F$19,MATCH(E574,'Move Reality'!$A$5:$A$19,0)))</f>
        <v>2</v>
      </c>
      <c r="M574" s="28" t="str">
        <f aca="false">IF(L574&gt;=5,"YES","no - dead move")</f>
        <v>no - dead move</v>
      </c>
    </row>
    <row r="575" customFormat="false" ht="15" hidden="false" customHeight="false" outlineLevel="0" collapsed="false">
      <c r="A575" s="17" t="n">
        <v>571</v>
      </c>
      <c r="B575" s="17" t="s">
        <v>42</v>
      </c>
      <c r="C575" s="17" t="s">
        <v>45</v>
      </c>
      <c r="D575" s="17" t="s">
        <v>49</v>
      </c>
      <c r="E575" s="17" t="s">
        <v>50</v>
      </c>
      <c r="F575" s="25" t="n">
        <f aca="false">SUMPRODUCT(--((('Yellow Bosses'!$J$5:$J$53&gt;=2)+('Yellow Bosses'!$M$5:$M$53&gt;=2)+('Yellow Bosses'!$Q$5:$Q$53&gt;=2)+('Yellow Bosses'!$R$5:$R$53&gt;=2))&gt;0))</f>
        <v>33</v>
      </c>
      <c r="G575" s="26" t="n">
        <f aca="false">F575/49</f>
        <v>0.673469387755102</v>
      </c>
      <c r="H575" s="25" t="n">
        <f aca="false">49-SUMPRODUCT(--((('Yellow Bosses'!$J$5:$J$53&gt;=1)+('Yellow Bosses'!$M$5:$M$53&gt;=1)+('Yellow Bosses'!$Q$5:$Q$53&gt;=1)+('Yellow Bosses'!$R$5:$R$53&gt;=1))&gt;0))</f>
        <v>0</v>
      </c>
      <c r="I575" s="25" t="n">
        <f aca="false">SUMPRODUCT(--((('Yellow Bosses'!$J$5:$J$53&gt;0)+('Yellow Bosses'!$M$5:$M$53&gt;0)+('Yellow Bosses'!$Q$5:$Q$53&gt;0)+('Yellow Bosses'!$R$5:$R$53&gt;0))=0))</f>
        <v>0</v>
      </c>
      <c r="J575" s="25" t="n">
        <f aca="false">SUMPRODUCT(--(((Effectiveness!$G$5:$G$155&gt;=2)+(Effectiveness!$J$5:$J$155&gt;=2)+(Effectiveness!$N$5:$N$155&gt;=2)+(Effectiveness!$O$5:$O$155&gt;=2))&gt;0))</f>
        <v>88</v>
      </c>
      <c r="K575" s="26" t="n">
        <f aca="false">J575/151</f>
        <v>0.582781456953642</v>
      </c>
      <c r="L575" s="25" t="n">
        <f aca="false">MIN(INDEX('Move Reality'!$F$5:$F$19,MATCH(B575,'Move Reality'!$A$5:$A$19,0)),INDEX('Move Reality'!$F$5:$F$19,MATCH(C575,'Move Reality'!$A$5:$A$19,0)),INDEX('Move Reality'!$F$5:$F$19,MATCH(D575,'Move Reality'!$A$5:$A$19,0)),INDEX('Move Reality'!$F$5:$F$19,MATCH(E575,'Move Reality'!$A$5:$A$19,0)))</f>
        <v>5</v>
      </c>
      <c r="M575" s="28" t="str">
        <f aca="false">IF(L575&gt;=5,"YES","no - dead move")</f>
        <v>YES</v>
      </c>
    </row>
    <row r="576" customFormat="false" ht="15" hidden="false" customHeight="false" outlineLevel="0" collapsed="false">
      <c r="A576" s="17" t="n">
        <v>572</v>
      </c>
      <c r="B576" s="17" t="s">
        <v>40</v>
      </c>
      <c r="C576" s="17" t="s">
        <v>45</v>
      </c>
      <c r="D576" s="17" t="s">
        <v>49</v>
      </c>
      <c r="E576" s="17" t="s">
        <v>51</v>
      </c>
      <c r="F576" s="25" t="n">
        <f aca="false">SUMPRODUCT(--((('Yellow Bosses'!$H$5:$H$53&gt;=2)+('Yellow Bosses'!$M$5:$M$53&gt;=2)+('Yellow Bosses'!$Q$5:$Q$53&gt;=2)+('Yellow Bosses'!$S$5:$S$53&gt;=2))&gt;0))</f>
        <v>33</v>
      </c>
      <c r="G576" s="26" t="n">
        <f aca="false">F576/49</f>
        <v>0.673469387755102</v>
      </c>
      <c r="H576" s="25" t="n">
        <f aca="false">49-SUMPRODUCT(--((('Yellow Bosses'!$H$5:$H$53&gt;=1)+('Yellow Bosses'!$M$5:$M$53&gt;=1)+('Yellow Bosses'!$Q$5:$Q$53&gt;=1)+('Yellow Bosses'!$S$5:$S$53&gt;=1))&gt;0))</f>
        <v>0</v>
      </c>
      <c r="I576" s="25" t="n">
        <f aca="false">SUMPRODUCT(--((('Yellow Bosses'!$H$5:$H$53&gt;0)+('Yellow Bosses'!$M$5:$M$53&gt;0)+('Yellow Bosses'!$Q$5:$Q$53&gt;0)+('Yellow Bosses'!$S$5:$S$53&gt;0))=0))</f>
        <v>0</v>
      </c>
      <c r="J576" s="25" t="n">
        <f aca="false">SUMPRODUCT(--(((Effectiveness!$E$5:$E$155&gt;=2)+(Effectiveness!$J$5:$J$155&gt;=2)+(Effectiveness!$N$5:$N$155&gt;=2)+(Effectiveness!$P$5:$P$155&gt;=2))&gt;0))</f>
        <v>87</v>
      </c>
      <c r="K576" s="26" t="n">
        <f aca="false">J576/151</f>
        <v>0.576158940397351</v>
      </c>
      <c r="L576" s="25" t="n">
        <f aca="false">MIN(INDEX('Move Reality'!$F$5:$F$19,MATCH(B576,'Move Reality'!$A$5:$A$19,0)),INDEX('Move Reality'!$F$5:$F$19,MATCH(C576,'Move Reality'!$A$5:$A$19,0)),INDEX('Move Reality'!$F$5:$F$19,MATCH(D576,'Move Reality'!$A$5:$A$19,0)),INDEX('Move Reality'!$F$5:$F$19,MATCH(E576,'Move Reality'!$A$5:$A$19,0)))</f>
        <v>1</v>
      </c>
      <c r="M576" s="28" t="str">
        <f aca="false">IF(L576&gt;=5,"YES","no - dead move")</f>
        <v>no - dead move</v>
      </c>
    </row>
    <row r="577" customFormat="false" ht="15" hidden="false" customHeight="false" outlineLevel="0" collapsed="false">
      <c r="A577" s="17" t="n">
        <v>573</v>
      </c>
      <c r="B577" s="17" t="s">
        <v>42</v>
      </c>
      <c r="C577" s="17" t="s">
        <v>47</v>
      </c>
      <c r="D577" s="17" t="s">
        <v>48</v>
      </c>
      <c r="E577" s="17" t="s">
        <v>52</v>
      </c>
      <c r="F577" s="25" t="n">
        <f aca="false">SUMPRODUCT(--((('Yellow Bosses'!$J$5:$J$53&gt;=2)+('Yellow Bosses'!$O$5:$O$53&gt;=2)+('Yellow Bosses'!$P$5:$P$53&gt;=2)+('Yellow Bosses'!$T$5:$T$53&gt;=2))&gt;0))</f>
        <v>33</v>
      </c>
      <c r="G577" s="26" t="n">
        <f aca="false">F577/49</f>
        <v>0.673469387755102</v>
      </c>
      <c r="H577" s="25" t="n">
        <f aca="false">49-SUMPRODUCT(--((('Yellow Bosses'!$J$5:$J$53&gt;=1)+('Yellow Bosses'!$O$5:$O$53&gt;=1)+('Yellow Bosses'!$P$5:$P$53&gt;=1)+('Yellow Bosses'!$T$5:$T$53&gt;=1))&gt;0))</f>
        <v>0</v>
      </c>
      <c r="I577" s="25" t="n">
        <f aca="false">SUMPRODUCT(--((('Yellow Bosses'!$J$5:$J$53&gt;0)+('Yellow Bosses'!$O$5:$O$53&gt;0)+('Yellow Bosses'!$P$5:$P$53&gt;0)+('Yellow Bosses'!$T$5:$T$53&gt;0))=0))</f>
        <v>0</v>
      </c>
      <c r="J577" s="25" t="n">
        <f aca="false">SUMPRODUCT(--(((Effectiveness!$G$5:$G$155&gt;=2)+(Effectiveness!$L$5:$L$155&gt;=2)+(Effectiveness!$M$5:$M$155&gt;=2)+(Effectiveness!$Q$5:$Q$155&gt;=2))&gt;0))</f>
        <v>87</v>
      </c>
      <c r="K577" s="26" t="n">
        <f aca="false">J577/151</f>
        <v>0.576158940397351</v>
      </c>
      <c r="L577" s="25" t="n">
        <f aca="false">MIN(INDEX('Move Reality'!$F$5:$F$19,MATCH(B577,'Move Reality'!$A$5:$A$19,0)),INDEX('Move Reality'!$F$5:$F$19,MATCH(C577,'Move Reality'!$A$5:$A$19,0)),INDEX('Move Reality'!$F$5:$F$19,MATCH(D577,'Move Reality'!$A$5:$A$19,0)),INDEX('Move Reality'!$F$5:$F$19,MATCH(E577,'Move Reality'!$A$5:$A$19,0)))</f>
        <v>2</v>
      </c>
      <c r="M577" s="28" t="str">
        <f aca="false">IF(L577&gt;=5,"YES","no - dead move")</f>
        <v>no - dead move</v>
      </c>
    </row>
    <row r="578" customFormat="false" ht="15" hidden="false" customHeight="false" outlineLevel="0" collapsed="false">
      <c r="A578" s="17" t="n">
        <v>574</v>
      </c>
      <c r="B578" s="17" t="s">
        <v>45</v>
      </c>
      <c r="C578" s="17" t="s">
        <v>47</v>
      </c>
      <c r="D578" s="17" t="s">
        <v>49</v>
      </c>
      <c r="E578" s="17" t="s">
        <v>51</v>
      </c>
      <c r="F578" s="25" t="n">
        <f aca="false">SUMPRODUCT(--((('Yellow Bosses'!$M$5:$M$53&gt;=2)+('Yellow Bosses'!$O$5:$O$53&gt;=2)+('Yellow Bosses'!$Q$5:$Q$53&gt;=2)+('Yellow Bosses'!$S$5:$S$53&gt;=2))&gt;0))</f>
        <v>33</v>
      </c>
      <c r="G578" s="26" t="n">
        <f aca="false">F578/49</f>
        <v>0.673469387755102</v>
      </c>
      <c r="H578" s="25" t="n">
        <f aca="false">49-SUMPRODUCT(--((('Yellow Bosses'!$M$5:$M$53&gt;=1)+('Yellow Bosses'!$O$5:$O$53&gt;=1)+('Yellow Bosses'!$Q$5:$Q$53&gt;=1)+('Yellow Bosses'!$S$5:$S$53&gt;=1))&gt;0))</f>
        <v>0</v>
      </c>
      <c r="I578" s="25" t="n">
        <f aca="false">SUMPRODUCT(--((('Yellow Bosses'!$M$5:$M$53&gt;0)+('Yellow Bosses'!$O$5:$O$53&gt;0)+('Yellow Bosses'!$Q$5:$Q$53&gt;0)+('Yellow Bosses'!$S$5:$S$53&gt;0))=0))</f>
        <v>0</v>
      </c>
      <c r="J578" s="25" t="n">
        <f aca="false">SUMPRODUCT(--(((Effectiveness!$J$5:$J$155&gt;=2)+(Effectiveness!$L$5:$L$155&gt;=2)+(Effectiveness!$N$5:$N$155&gt;=2)+(Effectiveness!$P$5:$P$155&gt;=2))&gt;0))</f>
        <v>87</v>
      </c>
      <c r="K578" s="26" t="n">
        <f aca="false">J578/151</f>
        <v>0.576158940397351</v>
      </c>
      <c r="L578" s="25" t="n">
        <f aca="false">MIN(INDEX('Move Reality'!$F$5:$F$19,MATCH(B578,'Move Reality'!$A$5:$A$19,0)),INDEX('Move Reality'!$F$5:$F$19,MATCH(C578,'Move Reality'!$A$5:$A$19,0)),INDEX('Move Reality'!$F$5:$F$19,MATCH(D578,'Move Reality'!$A$5:$A$19,0)),INDEX('Move Reality'!$F$5:$F$19,MATCH(E578,'Move Reality'!$A$5:$A$19,0)))</f>
        <v>1</v>
      </c>
      <c r="M578" s="28" t="str">
        <f aca="false">IF(L578&gt;=5,"YES","no - dead move")</f>
        <v>no - dead move</v>
      </c>
    </row>
    <row r="579" customFormat="false" ht="15" hidden="false" customHeight="false" outlineLevel="0" collapsed="false">
      <c r="A579" s="17" t="n">
        <v>575</v>
      </c>
      <c r="B579" s="17" t="s">
        <v>45</v>
      </c>
      <c r="C579" s="17" t="s">
        <v>49</v>
      </c>
      <c r="D579" s="17" t="s">
        <v>51</v>
      </c>
      <c r="E579" s="17" t="s">
        <v>54</v>
      </c>
      <c r="F579" s="25" t="n">
        <f aca="false">SUMPRODUCT(--((('Yellow Bosses'!$M$5:$M$53&gt;=2)+('Yellow Bosses'!$Q$5:$Q$53&gt;=2)+('Yellow Bosses'!$S$5:$S$53&gt;=2)+('Yellow Bosses'!$V$5:$V$53&gt;=2))&gt;0))</f>
        <v>33</v>
      </c>
      <c r="G579" s="26" t="n">
        <f aca="false">F579/49</f>
        <v>0.673469387755102</v>
      </c>
      <c r="H579" s="25" t="n">
        <f aca="false">49-SUMPRODUCT(--((('Yellow Bosses'!$M$5:$M$53&gt;=1)+('Yellow Bosses'!$Q$5:$Q$53&gt;=1)+('Yellow Bosses'!$S$5:$S$53&gt;=1)+('Yellow Bosses'!$V$5:$V$53&gt;=1))&gt;0))</f>
        <v>0</v>
      </c>
      <c r="I579" s="25" t="n">
        <f aca="false">SUMPRODUCT(--((('Yellow Bosses'!$M$5:$M$53&gt;0)+('Yellow Bosses'!$Q$5:$Q$53&gt;0)+('Yellow Bosses'!$S$5:$S$53&gt;0)+('Yellow Bosses'!$V$5:$V$53&gt;0))=0))</f>
        <v>0</v>
      </c>
      <c r="J579" s="25" t="n">
        <f aca="false">SUMPRODUCT(--(((Effectiveness!$J$5:$J$155&gt;=2)+(Effectiveness!$N$5:$N$155&gt;=2)+(Effectiveness!$P$5:$P$155&gt;=2)+(Effectiveness!$S$5:$S$155&gt;=2))&gt;0))</f>
        <v>87</v>
      </c>
      <c r="K579" s="26" t="n">
        <f aca="false">J579/151</f>
        <v>0.576158940397351</v>
      </c>
      <c r="L579" s="25" t="n">
        <f aca="false">MIN(INDEX('Move Reality'!$F$5:$F$19,MATCH(B579,'Move Reality'!$A$5:$A$19,0)),INDEX('Move Reality'!$F$5:$F$19,MATCH(C579,'Move Reality'!$A$5:$A$19,0)),INDEX('Move Reality'!$F$5:$F$19,MATCH(D579,'Move Reality'!$A$5:$A$19,0)),INDEX('Move Reality'!$F$5:$F$19,MATCH(E579,'Move Reality'!$A$5:$A$19,0)))</f>
        <v>1</v>
      </c>
      <c r="M579" s="28" t="str">
        <f aca="false">IF(L579&gt;=5,"YES","no - dead move")</f>
        <v>no - dead move</v>
      </c>
    </row>
    <row r="580" customFormat="false" ht="15" hidden="false" customHeight="false" outlineLevel="0" collapsed="false">
      <c r="A580" s="17" t="n">
        <v>576</v>
      </c>
      <c r="B580" s="17" t="s">
        <v>40</v>
      </c>
      <c r="C580" s="17" t="s">
        <v>44</v>
      </c>
      <c r="D580" s="17" t="s">
        <v>51</v>
      </c>
      <c r="E580" s="17" t="s">
        <v>53</v>
      </c>
      <c r="F580" s="25" t="n">
        <f aca="false">SUMPRODUCT(--((('Yellow Bosses'!$H$5:$H$53&gt;=2)+('Yellow Bosses'!$L$5:$L$53&gt;=2)+('Yellow Bosses'!$S$5:$S$53&gt;=2)+('Yellow Bosses'!$U$5:$U$53&gt;=2))&gt;0))</f>
        <v>33</v>
      </c>
      <c r="G580" s="26" t="n">
        <f aca="false">F580/49</f>
        <v>0.673469387755102</v>
      </c>
      <c r="H580" s="25" t="n">
        <f aca="false">49-SUMPRODUCT(--((('Yellow Bosses'!$H$5:$H$53&gt;=1)+('Yellow Bosses'!$L$5:$L$53&gt;=1)+('Yellow Bosses'!$S$5:$S$53&gt;=1)+('Yellow Bosses'!$U$5:$U$53&gt;=1))&gt;0))</f>
        <v>0</v>
      </c>
      <c r="I580" s="25" t="n">
        <f aca="false">SUMPRODUCT(--((('Yellow Bosses'!$H$5:$H$53&gt;0)+('Yellow Bosses'!$L$5:$L$53&gt;0)+('Yellow Bosses'!$S$5:$S$53&gt;0)+('Yellow Bosses'!$U$5:$U$53&gt;0))=0))</f>
        <v>0</v>
      </c>
      <c r="J580" s="25" t="n">
        <f aca="false">SUMPRODUCT(--(((Effectiveness!$E$5:$E$155&gt;=2)+(Effectiveness!$I$5:$I$155&gt;=2)+(Effectiveness!$P$5:$P$155&gt;=2)+(Effectiveness!$R$5:$R$155&gt;=2))&gt;0))</f>
        <v>86</v>
      </c>
      <c r="K580" s="26" t="n">
        <f aca="false">J580/151</f>
        <v>0.56953642384106</v>
      </c>
      <c r="L580" s="25" t="n">
        <f aca="false">MIN(INDEX('Move Reality'!$F$5:$F$19,MATCH(B580,'Move Reality'!$A$5:$A$19,0)),INDEX('Move Reality'!$F$5:$F$19,MATCH(C580,'Move Reality'!$A$5:$A$19,0)),INDEX('Move Reality'!$F$5:$F$19,MATCH(D580,'Move Reality'!$A$5:$A$19,0)),INDEX('Move Reality'!$F$5:$F$19,MATCH(E580,'Move Reality'!$A$5:$A$19,0)))</f>
        <v>1</v>
      </c>
      <c r="M580" s="28" t="str">
        <f aca="false">IF(L580&gt;=5,"YES","no - dead move")</f>
        <v>no - dead move</v>
      </c>
    </row>
    <row r="581" customFormat="false" ht="15" hidden="false" customHeight="false" outlineLevel="0" collapsed="false">
      <c r="A581" s="17" t="n">
        <v>577</v>
      </c>
      <c r="B581" s="17" t="s">
        <v>40</v>
      </c>
      <c r="C581" s="17" t="s">
        <v>44</v>
      </c>
      <c r="D581" s="17" t="s">
        <v>51</v>
      </c>
      <c r="E581" s="17" t="s">
        <v>54</v>
      </c>
      <c r="F581" s="25" t="n">
        <f aca="false">SUMPRODUCT(--((('Yellow Bosses'!$H$5:$H$53&gt;=2)+('Yellow Bosses'!$L$5:$L$53&gt;=2)+('Yellow Bosses'!$S$5:$S$53&gt;=2)+('Yellow Bosses'!$V$5:$V$53&gt;=2))&gt;0))</f>
        <v>33</v>
      </c>
      <c r="G581" s="26" t="n">
        <f aca="false">F581/49</f>
        <v>0.673469387755102</v>
      </c>
      <c r="H581" s="25" t="n">
        <f aca="false">49-SUMPRODUCT(--((('Yellow Bosses'!$H$5:$H$53&gt;=1)+('Yellow Bosses'!$L$5:$L$53&gt;=1)+('Yellow Bosses'!$S$5:$S$53&gt;=1)+('Yellow Bosses'!$V$5:$V$53&gt;=1))&gt;0))</f>
        <v>0</v>
      </c>
      <c r="I581" s="25" t="n">
        <f aca="false">SUMPRODUCT(--((('Yellow Bosses'!$H$5:$H$53&gt;0)+('Yellow Bosses'!$L$5:$L$53&gt;0)+('Yellow Bosses'!$S$5:$S$53&gt;0)+('Yellow Bosses'!$V$5:$V$53&gt;0))=0))</f>
        <v>0</v>
      </c>
      <c r="J581" s="25" t="n">
        <f aca="false">SUMPRODUCT(--(((Effectiveness!$E$5:$E$155&gt;=2)+(Effectiveness!$I$5:$I$155&gt;=2)+(Effectiveness!$P$5:$P$155&gt;=2)+(Effectiveness!$S$5:$S$155&gt;=2))&gt;0))</f>
        <v>86</v>
      </c>
      <c r="K581" s="26" t="n">
        <f aca="false">J581/151</f>
        <v>0.56953642384106</v>
      </c>
      <c r="L581" s="25" t="n">
        <f aca="false">MIN(INDEX('Move Reality'!$F$5:$F$19,MATCH(B581,'Move Reality'!$A$5:$A$19,0)),INDEX('Move Reality'!$F$5:$F$19,MATCH(C581,'Move Reality'!$A$5:$A$19,0)),INDEX('Move Reality'!$F$5:$F$19,MATCH(D581,'Move Reality'!$A$5:$A$19,0)),INDEX('Move Reality'!$F$5:$F$19,MATCH(E581,'Move Reality'!$A$5:$A$19,0)))</f>
        <v>1</v>
      </c>
      <c r="M581" s="28" t="str">
        <f aca="false">IF(L581&gt;=5,"YES","no - dead move")</f>
        <v>no - dead move</v>
      </c>
    </row>
    <row r="582" customFormat="false" ht="15" hidden="false" customHeight="false" outlineLevel="0" collapsed="false">
      <c r="A582" s="17" t="n">
        <v>578</v>
      </c>
      <c r="B582" s="17" t="s">
        <v>42</v>
      </c>
      <c r="C582" s="17" t="s">
        <v>48</v>
      </c>
      <c r="D582" s="17" t="s">
        <v>52</v>
      </c>
      <c r="E582" s="17" t="s">
        <v>54</v>
      </c>
      <c r="F582" s="25" t="n">
        <f aca="false">SUMPRODUCT(--((('Yellow Bosses'!$J$5:$J$53&gt;=2)+('Yellow Bosses'!$P$5:$P$53&gt;=2)+('Yellow Bosses'!$T$5:$T$53&gt;=2)+('Yellow Bosses'!$V$5:$V$53&gt;=2))&gt;0))</f>
        <v>33</v>
      </c>
      <c r="G582" s="26" t="n">
        <f aca="false">F582/49</f>
        <v>0.673469387755102</v>
      </c>
      <c r="H582" s="25" t="n">
        <f aca="false">49-SUMPRODUCT(--((('Yellow Bosses'!$J$5:$J$53&gt;=1)+('Yellow Bosses'!$P$5:$P$53&gt;=1)+('Yellow Bosses'!$T$5:$T$53&gt;=1)+('Yellow Bosses'!$V$5:$V$53&gt;=1))&gt;0))</f>
        <v>0</v>
      </c>
      <c r="I582" s="25" t="n">
        <f aca="false">SUMPRODUCT(--((('Yellow Bosses'!$J$5:$J$53&gt;0)+('Yellow Bosses'!$P$5:$P$53&gt;0)+('Yellow Bosses'!$T$5:$T$53&gt;0)+('Yellow Bosses'!$V$5:$V$53&gt;0))=0))</f>
        <v>0</v>
      </c>
      <c r="J582" s="25" t="n">
        <f aca="false">SUMPRODUCT(--(((Effectiveness!$G$5:$G$155&gt;=2)+(Effectiveness!$M$5:$M$155&gt;=2)+(Effectiveness!$Q$5:$Q$155&gt;=2)+(Effectiveness!$S$5:$S$155&gt;=2))&gt;0))</f>
        <v>86</v>
      </c>
      <c r="K582" s="26" t="n">
        <f aca="false">J582/151</f>
        <v>0.56953642384106</v>
      </c>
      <c r="L582" s="25" t="n">
        <f aca="false">MIN(INDEX('Move Reality'!$F$5:$F$19,MATCH(B582,'Move Reality'!$A$5:$A$19,0)),INDEX('Move Reality'!$F$5:$F$19,MATCH(C582,'Move Reality'!$A$5:$A$19,0)),INDEX('Move Reality'!$F$5:$F$19,MATCH(D582,'Move Reality'!$A$5:$A$19,0)),INDEX('Move Reality'!$F$5:$F$19,MATCH(E582,'Move Reality'!$A$5:$A$19,0)))</f>
        <v>1</v>
      </c>
      <c r="M582" s="28" t="str">
        <f aca="false">IF(L582&gt;=5,"YES","no - dead move")</f>
        <v>no - dead move</v>
      </c>
    </row>
    <row r="583" customFormat="false" ht="15" hidden="false" customHeight="false" outlineLevel="0" collapsed="false">
      <c r="A583" s="17" t="n">
        <v>579</v>
      </c>
      <c r="B583" s="17" t="s">
        <v>40</v>
      </c>
      <c r="C583" s="17" t="s">
        <v>42</v>
      </c>
      <c r="D583" s="17" t="s">
        <v>45</v>
      </c>
      <c r="E583" s="17" t="s">
        <v>50</v>
      </c>
      <c r="F583" s="25" t="n">
        <f aca="false">SUMPRODUCT(--((('Yellow Bosses'!$H$5:$H$53&gt;=2)+('Yellow Bosses'!$J$5:$J$53&gt;=2)+('Yellow Bosses'!$M$5:$M$53&gt;=2)+('Yellow Bosses'!$R$5:$R$53&gt;=2))&gt;0))</f>
        <v>33</v>
      </c>
      <c r="G583" s="26" t="n">
        <f aca="false">F583/49</f>
        <v>0.673469387755102</v>
      </c>
      <c r="H583" s="25" t="n">
        <f aca="false">49-SUMPRODUCT(--((('Yellow Bosses'!$H$5:$H$53&gt;=1)+('Yellow Bosses'!$J$5:$J$53&gt;=1)+('Yellow Bosses'!$M$5:$M$53&gt;=1)+('Yellow Bosses'!$R$5:$R$53&gt;=1))&gt;0))</f>
        <v>0</v>
      </c>
      <c r="I583" s="25" t="n">
        <f aca="false">SUMPRODUCT(--((('Yellow Bosses'!$H$5:$H$53&gt;0)+('Yellow Bosses'!$J$5:$J$53&gt;0)+('Yellow Bosses'!$M$5:$M$53&gt;0)+('Yellow Bosses'!$R$5:$R$53&gt;0))=0))</f>
        <v>0</v>
      </c>
      <c r="J583" s="25" t="n">
        <f aca="false">SUMPRODUCT(--(((Effectiveness!$E$5:$E$155&gt;=2)+(Effectiveness!$G$5:$G$155&gt;=2)+(Effectiveness!$J$5:$J$155&gt;=2)+(Effectiveness!$O$5:$O$155&gt;=2))&gt;0))</f>
        <v>85</v>
      </c>
      <c r="K583" s="26" t="n">
        <f aca="false">J583/151</f>
        <v>0.562913907284768</v>
      </c>
      <c r="L583" s="25" t="n">
        <f aca="false">MIN(INDEX('Move Reality'!$F$5:$F$19,MATCH(B583,'Move Reality'!$A$5:$A$19,0)),INDEX('Move Reality'!$F$5:$F$19,MATCH(C583,'Move Reality'!$A$5:$A$19,0)),INDEX('Move Reality'!$F$5:$F$19,MATCH(D583,'Move Reality'!$A$5:$A$19,0)),INDEX('Move Reality'!$F$5:$F$19,MATCH(E583,'Move Reality'!$A$5:$A$19,0)))</f>
        <v>9</v>
      </c>
      <c r="M583" s="28" t="str">
        <f aca="false">IF(L583&gt;=5,"YES","no - dead move")</f>
        <v>YES</v>
      </c>
    </row>
    <row r="584" customFormat="false" ht="15" hidden="false" customHeight="false" outlineLevel="0" collapsed="false">
      <c r="A584" s="17" t="n">
        <v>580</v>
      </c>
      <c r="B584" s="17" t="s">
        <v>41</v>
      </c>
      <c r="C584" s="17" t="s">
        <v>42</v>
      </c>
      <c r="D584" s="17" t="s">
        <v>44</v>
      </c>
      <c r="E584" s="17" t="s">
        <v>53</v>
      </c>
      <c r="F584" s="25" t="n">
        <f aca="false">SUMPRODUCT(--((('Yellow Bosses'!$I$5:$I$53&gt;=2)+('Yellow Bosses'!$J$5:$J$53&gt;=2)+('Yellow Bosses'!$L$5:$L$53&gt;=2)+('Yellow Bosses'!$U$5:$U$53&gt;=2))&gt;0))</f>
        <v>33</v>
      </c>
      <c r="G584" s="26" t="n">
        <f aca="false">F584/49</f>
        <v>0.673469387755102</v>
      </c>
      <c r="H584" s="25" t="n">
        <f aca="false">49-SUMPRODUCT(--((('Yellow Bosses'!$I$5:$I$53&gt;=1)+('Yellow Bosses'!$J$5:$J$53&gt;=1)+('Yellow Bosses'!$L$5:$L$53&gt;=1)+('Yellow Bosses'!$U$5:$U$53&gt;=1))&gt;0))</f>
        <v>0</v>
      </c>
      <c r="I584" s="25" t="n">
        <f aca="false">SUMPRODUCT(--((('Yellow Bosses'!$I$5:$I$53&gt;0)+('Yellow Bosses'!$J$5:$J$53&gt;0)+('Yellow Bosses'!$L$5:$L$53&gt;0)+('Yellow Bosses'!$U$5:$U$53&gt;0))=0))</f>
        <v>0</v>
      </c>
      <c r="J584" s="25" t="n">
        <f aca="false">SUMPRODUCT(--(((Effectiveness!$F$5:$F$155&gt;=2)+(Effectiveness!$G$5:$G$155&gt;=2)+(Effectiveness!$I$5:$I$155&gt;=2)+(Effectiveness!$R$5:$R$155&gt;=2))&gt;0))</f>
        <v>85</v>
      </c>
      <c r="K584" s="26" t="n">
        <f aca="false">J584/151</f>
        <v>0.562913907284768</v>
      </c>
      <c r="L584" s="25" t="n">
        <f aca="false">MIN(INDEX('Move Reality'!$F$5:$F$19,MATCH(B584,'Move Reality'!$A$5:$A$19,0)),INDEX('Move Reality'!$F$5:$F$19,MATCH(C584,'Move Reality'!$A$5:$A$19,0)),INDEX('Move Reality'!$F$5:$F$19,MATCH(D584,'Move Reality'!$A$5:$A$19,0)),INDEX('Move Reality'!$F$5:$F$19,MATCH(E584,'Move Reality'!$A$5:$A$19,0)))</f>
        <v>1</v>
      </c>
      <c r="M584" s="28" t="str">
        <f aca="false">IF(L584&gt;=5,"YES","no - dead move")</f>
        <v>no - dead move</v>
      </c>
    </row>
    <row r="585" customFormat="false" ht="15" hidden="false" customHeight="false" outlineLevel="0" collapsed="false">
      <c r="A585" s="17" t="n">
        <v>581</v>
      </c>
      <c r="B585" s="17" t="s">
        <v>41</v>
      </c>
      <c r="C585" s="17" t="s">
        <v>42</v>
      </c>
      <c r="D585" s="17" t="s">
        <v>44</v>
      </c>
      <c r="E585" s="17" t="s">
        <v>54</v>
      </c>
      <c r="F585" s="25" t="n">
        <f aca="false">SUMPRODUCT(--((('Yellow Bosses'!$I$5:$I$53&gt;=2)+('Yellow Bosses'!$J$5:$J$53&gt;=2)+('Yellow Bosses'!$L$5:$L$53&gt;=2)+('Yellow Bosses'!$V$5:$V$53&gt;=2))&gt;0))</f>
        <v>33</v>
      </c>
      <c r="G585" s="26" t="n">
        <f aca="false">F585/49</f>
        <v>0.673469387755102</v>
      </c>
      <c r="H585" s="25" t="n">
        <f aca="false">49-SUMPRODUCT(--((('Yellow Bosses'!$I$5:$I$53&gt;=1)+('Yellow Bosses'!$J$5:$J$53&gt;=1)+('Yellow Bosses'!$L$5:$L$53&gt;=1)+('Yellow Bosses'!$V$5:$V$53&gt;=1))&gt;0))</f>
        <v>0</v>
      </c>
      <c r="I585" s="25" t="n">
        <f aca="false">SUMPRODUCT(--((('Yellow Bosses'!$I$5:$I$53&gt;0)+('Yellow Bosses'!$J$5:$J$53&gt;0)+('Yellow Bosses'!$L$5:$L$53&gt;0)+('Yellow Bosses'!$V$5:$V$53&gt;0))=0))</f>
        <v>0</v>
      </c>
      <c r="J585" s="25" t="n">
        <f aca="false">SUMPRODUCT(--(((Effectiveness!$F$5:$F$155&gt;=2)+(Effectiveness!$G$5:$G$155&gt;=2)+(Effectiveness!$I$5:$I$155&gt;=2)+(Effectiveness!$S$5:$S$155&gt;=2))&gt;0))</f>
        <v>85</v>
      </c>
      <c r="K585" s="26" t="n">
        <f aca="false">J585/151</f>
        <v>0.562913907284768</v>
      </c>
      <c r="L585" s="25" t="n">
        <f aca="false">MIN(INDEX('Move Reality'!$F$5:$F$19,MATCH(B585,'Move Reality'!$A$5:$A$19,0)),INDEX('Move Reality'!$F$5:$F$19,MATCH(C585,'Move Reality'!$A$5:$A$19,0)),INDEX('Move Reality'!$F$5:$F$19,MATCH(D585,'Move Reality'!$A$5:$A$19,0)),INDEX('Move Reality'!$F$5:$F$19,MATCH(E585,'Move Reality'!$A$5:$A$19,0)))</f>
        <v>1</v>
      </c>
      <c r="M585" s="28" t="str">
        <f aca="false">IF(L585&gt;=5,"YES","no - dead move")</f>
        <v>no - dead move</v>
      </c>
    </row>
    <row r="586" customFormat="false" ht="15" hidden="false" customHeight="false" outlineLevel="0" collapsed="false">
      <c r="A586" s="17" t="n">
        <v>582</v>
      </c>
      <c r="B586" s="17" t="s">
        <v>42</v>
      </c>
      <c r="C586" s="17" t="s">
        <v>45</v>
      </c>
      <c r="D586" s="17" t="s">
        <v>50</v>
      </c>
      <c r="E586" s="17" t="s">
        <v>53</v>
      </c>
      <c r="F586" s="25" t="n">
        <f aca="false">SUMPRODUCT(--((('Yellow Bosses'!$J$5:$J$53&gt;=2)+('Yellow Bosses'!$M$5:$M$53&gt;=2)+('Yellow Bosses'!$R$5:$R$53&gt;=2)+('Yellow Bosses'!$U$5:$U$53&gt;=2))&gt;0))</f>
        <v>33</v>
      </c>
      <c r="G586" s="26" t="n">
        <f aca="false">F586/49</f>
        <v>0.673469387755102</v>
      </c>
      <c r="H586" s="25" t="n">
        <f aca="false">49-SUMPRODUCT(--((('Yellow Bosses'!$J$5:$J$53&gt;=1)+('Yellow Bosses'!$M$5:$M$53&gt;=1)+('Yellow Bosses'!$R$5:$R$53&gt;=1)+('Yellow Bosses'!$U$5:$U$53&gt;=1))&gt;0))</f>
        <v>2</v>
      </c>
      <c r="I586" s="25" t="n">
        <f aca="false">SUMPRODUCT(--((('Yellow Bosses'!$J$5:$J$53&gt;0)+('Yellow Bosses'!$M$5:$M$53&gt;0)+('Yellow Bosses'!$R$5:$R$53&gt;0)+('Yellow Bosses'!$U$5:$U$53&gt;0))=0))</f>
        <v>0</v>
      </c>
      <c r="J586" s="25" t="n">
        <f aca="false">SUMPRODUCT(--(((Effectiveness!$G$5:$G$155&gt;=2)+(Effectiveness!$J$5:$J$155&gt;=2)+(Effectiveness!$O$5:$O$155&gt;=2)+(Effectiveness!$R$5:$R$155&gt;=2))&gt;0))</f>
        <v>85</v>
      </c>
      <c r="K586" s="26" t="n">
        <f aca="false">J586/151</f>
        <v>0.562913907284768</v>
      </c>
      <c r="L586" s="25" t="n">
        <f aca="false">MIN(INDEX('Move Reality'!$F$5:$F$19,MATCH(B586,'Move Reality'!$A$5:$A$19,0)),INDEX('Move Reality'!$F$5:$F$19,MATCH(C586,'Move Reality'!$A$5:$A$19,0)),INDEX('Move Reality'!$F$5:$F$19,MATCH(D586,'Move Reality'!$A$5:$A$19,0)),INDEX('Move Reality'!$F$5:$F$19,MATCH(E586,'Move Reality'!$A$5:$A$19,0)))</f>
        <v>1</v>
      </c>
      <c r="M586" s="28" t="str">
        <f aca="false">IF(L586&gt;=5,"YES","no - dead move")</f>
        <v>no - dead move</v>
      </c>
    </row>
    <row r="587" customFormat="false" ht="15" hidden="false" customHeight="false" outlineLevel="0" collapsed="false">
      <c r="A587" s="17" t="n">
        <v>583</v>
      </c>
      <c r="B587" s="17" t="s">
        <v>42</v>
      </c>
      <c r="C587" s="17" t="s">
        <v>45</v>
      </c>
      <c r="D587" s="17" t="s">
        <v>50</v>
      </c>
      <c r="E587" s="17" t="s">
        <v>54</v>
      </c>
      <c r="F587" s="25" t="n">
        <f aca="false">SUMPRODUCT(--((('Yellow Bosses'!$J$5:$J$53&gt;=2)+('Yellow Bosses'!$M$5:$M$53&gt;=2)+('Yellow Bosses'!$R$5:$R$53&gt;=2)+('Yellow Bosses'!$V$5:$V$53&gt;=2))&gt;0))</f>
        <v>33</v>
      </c>
      <c r="G587" s="26" t="n">
        <f aca="false">F587/49</f>
        <v>0.673469387755102</v>
      </c>
      <c r="H587" s="25" t="n">
        <f aca="false">49-SUMPRODUCT(--((('Yellow Bosses'!$J$5:$J$53&gt;=1)+('Yellow Bosses'!$M$5:$M$53&gt;=1)+('Yellow Bosses'!$R$5:$R$53&gt;=1)+('Yellow Bosses'!$V$5:$V$53&gt;=1))&gt;0))</f>
        <v>0</v>
      </c>
      <c r="I587" s="25" t="n">
        <f aca="false">SUMPRODUCT(--((('Yellow Bosses'!$J$5:$J$53&gt;0)+('Yellow Bosses'!$M$5:$M$53&gt;0)+('Yellow Bosses'!$R$5:$R$53&gt;0)+('Yellow Bosses'!$V$5:$V$53&gt;0))=0))</f>
        <v>0</v>
      </c>
      <c r="J587" s="25" t="n">
        <f aca="false">SUMPRODUCT(--(((Effectiveness!$G$5:$G$155&gt;=2)+(Effectiveness!$J$5:$J$155&gt;=2)+(Effectiveness!$O$5:$O$155&gt;=2)+(Effectiveness!$S$5:$S$155&gt;=2))&gt;0))</f>
        <v>85</v>
      </c>
      <c r="K587" s="26" t="n">
        <f aca="false">J587/151</f>
        <v>0.562913907284768</v>
      </c>
      <c r="L587" s="25" t="n">
        <f aca="false">MIN(INDEX('Move Reality'!$F$5:$F$19,MATCH(B587,'Move Reality'!$A$5:$A$19,0)),INDEX('Move Reality'!$F$5:$F$19,MATCH(C587,'Move Reality'!$A$5:$A$19,0)),INDEX('Move Reality'!$F$5:$F$19,MATCH(D587,'Move Reality'!$A$5:$A$19,0)),INDEX('Move Reality'!$F$5:$F$19,MATCH(E587,'Move Reality'!$A$5:$A$19,0)))</f>
        <v>1</v>
      </c>
      <c r="M587" s="28" t="str">
        <f aca="false">IF(L587&gt;=5,"YES","no - dead move")</f>
        <v>no - dead move</v>
      </c>
    </row>
    <row r="588" customFormat="false" ht="15" hidden="false" customHeight="false" outlineLevel="0" collapsed="false">
      <c r="A588" s="17" t="n">
        <v>584</v>
      </c>
      <c r="B588" s="17" t="s">
        <v>40</v>
      </c>
      <c r="C588" s="17" t="s">
        <v>44</v>
      </c>
      <c r="D588" s="17" t="s">
        <v>50</v>
      </c>
      <c r="E588" s="17" t="s">
        <v>54</v>
      </c>
      <c r="F588" s="25" t="n">
        <f aca="false">SUMPRODUCT(--((('Yellow Bosses'!$H$5:$H$53&gt;=2)+('Yellow Bosses'!$L$5:$L$53&gt;=2)+('Yellow Bosses'!$R$5:$R$53&gt;=2)+('Yellow Bosses'!$V$5:$V$53&gt;=2))&gt;0))</f>
        <v>33</v>
      </c>
      <c r="G588" s="26" t="n">
        <f aca="false">F588/49</f>
        <v>0.673469387755102</v>
      </c>
      <c r="H588" s="25" t="n">
        <f aca="false">49-SUMPRODUCT(--((('Yellow Bosses'!$H$5:$H$53&gt;=1)+('Yellow Bosses'!$L$5:$L$53&gt;=1)+('Yellow Bosses'!$R$5:$R$53&gt;=1)+('Yellow Bosses'!$V$5:$V$53&gt;=1))&gt;0))</f>
        <v>0</v>
      </c>
      <c r="I588" s="25" t="n">
        <f aca="false">SUMPRODUCT(--((('Yellow Bosses'!$H$5:$H$53&gt;0)+('Yellow Bosses'!$L$5:$L$53&gt;0)+('Yellow Bosses'!$R$5:$R$53&gt;0)+('Yellow Bosses'!$V$5:$V$53&gt;0))=0))</f>
        <v>0</v>
      </c>
      <c r="J588" s="25" t="n">
        <f aca="false">SUMPRODUCT(--(((Effectiveness!$E$5:$E$155&gt;=2)+(Effectiveness!$I$5:$I$155&gt;=2)+(Effectiveness!$O$5:$O$155&gt;=2)+(Effectiveness!$S$5:$S$155&gt;=2))&gt;0))</f>
        <v>84</v>
      </c>
      <c r="K588" s="26" t="n">
        <f aca="false">J588/151</f>
        <v>0.556291390728477</v>
      </c>
      <c r="L588" s="25" t="n">
        <f aca="false">MIN(INDEX('Move Reality'!$F$5:$F$19,MATCH(B588,'Move Reality'!$A$5:$A$19,0)),INDEX('Move Reality'!$F$5:$F$19,MATCH(C588,'Move Reality'!$A$5:$A$19,0)),INDEX('Move Reality'!$F$5:$F$19,MATCH(D588,'Move Reality'!$A$5:$A$19,0)),INDEX('Move Reality'!$F$5:$F$19,MATCH(E588,'Move Reality'!$A$5:$A$19,0)))</f>
        <v>1</v>
      </c>
      <c r="M588" s="28" t="str">
        <f aca="false">IF(L588&gt;=5,"YES","no - dead move")</f>
        <v>no - dead move</v>
      </c>
    </row>
    <row r="589" customFormat="false" ht="15" hidden="false" customHeight="false" outlineLevel="0" collapsed="false">
      <c r="A589" s="17" t="n">
        <v>585</v>
      </c>
      <c r="B589" s="17" t="s">
        <v>41</v>
      </c>
      <c r="C589" s="17" t="s">
        <v>42</v>
      </c>
      <c r="D589" s="17" t="s">
        <v>49</v>
      </c>
      <c r="E589" s="17" t="s">
        <v>51</v>
      </c>
      <c r="F589" s="25" t="n">
        <f aca="false">SUMPRODUCT(--((('Yellow Bosses'!$I$5:$I$53&gt;=2)+('Yellow Bosses'!$J$5:$J$53&gt;=2)+('Yellow Bosses'!$Q$5:$Q$53&gt;=2)+('Yellow Bosses'!$S$5:$S$53&gt;=2))&gt;0))</f>
        <v>33</v>
      </c>
      <c r="G589" s="26" t="n">
        <f aca="false">F589/49</f>
        <v>0.673469387755102</v>
      </c>
      <c r="H589" s="25" t="n">
        <f aca="false">49-SUMPRODUCT(--((('Yellow Bosses'!$I$5:$I$53&gt;=1)+('Yellow Bosses'!$J$5:$J$53&gt;=1)+('Yellow Bosses'!$Q$5:$Q$53&gt;=1)+('Yellow Bosses'!$S$5:$S$53&gt;=1))&gt;0))</f>
        <v>0</v>
      </c>
      <c r="I589" s="25" t="n">
        <f aca="false">SUMPRODUCT(--((('Yellow Bosses'!$I$5:$I$53&gt;0)+('Yellow Bosses'!$J$5:$J$53&gt;0)+('Yellow Bosses'!$Q$5:$Q$53&gt;0)+('Yellow Bosses'!$S$5:$S$53&gt;0))=0))</f>
        <v>0</v>
      </c>
      <c r="J589" s="25" t="n">
        <f aca="false">SUMPRODUCT(--(((Effectiveness!$F$5:$F$155&gt;=2)+(Effectiveness!$G$5:$G$155&gt;=2)+(Effectiveness!$N$5:$N$155&gt;=2)+(Effectiveness!$P$5:$P$155&gt;=2))&gt;0))</f>
        <v>84</v>
      </c>
      <c r="K589" s="26" t="n">
        <f aca="false">J589/151</f>
        <v>0.556291390728477</v>
      </c>
      <c r="L589" s="25" t="n">
        <f aca="false">MIN(INDEX('Move Reality'!$F$5:$F$19,MATCH(B589,'Move Reality'!$A$5:$A$19,0)),INDEX('Move Reality'!$F$5:$F$19,MATCH(C589,'Move Reality'!$A$5:$A$19,0)),INDEX('Move Reality'!$F$5:$F$19,MATCH(D589,'Move Reality'!$A$5:$A$19,0)),INDEX('Move Reality'!$F$5:$F$19,MATCH(E589,'Move Reality'!$A$5:$A$19,0)))</f>
        <v>1</v>
      </c>
      <c r="M589" s="28" t="str">
        <f aca="false">IF(L589&gt;=5,"YES","no - dead move")</f>
        <v>no - dead move</v>
      </c>
    </row>
    <row r="590" customFormat="false" ht="15" hidden="false" customHeight="false" outlineLevel="0" collapsed="false">
      <c r="A590" s="17" t="n">
        <v>586</v>
      </c>
      <c r="B590" s="17" t="s">
        <v>41</v>
      </c>
      <c r="C590" s="17" t="s">
        <v>48</v>
      </c>
      <c r="D590" s="17" t="s">
        <v>50</v>
      </c>
      <c r="E590" s="17" t="s">
        <v>54</v>
      </c>
      <c r="F590" s="25" t="n">
        <f aca="false">SUMPRODUCT(--((('Yellow Bosses'!$I$5:$I$53&gt;=2)+('Yellow Bosses'!$P$5:$P$53&gt;=2)+('Yellow Bosses'!$R$5:$R$53&gt;=2)+('Yellow Bosses'!$V$5:$V$53&gt;=2))&gt;0))</f>
        <v>33</v>
      </c>
      <c r="G590" s="26" t="n">
        <f aca="false">F590/49</f>
        <v>0.673469387755102</v>
      </c>
      <c r="H590" s="25" t="n">
        <f aca="false">49-SUMPRODUCT(--((('Yellow Bosses'!$I$5:$I$53&gt;=1)+('Yellow Bosses'!$P$5:$P$53&gt;=1)+('Yellow Bosses'!$R$5:$R$53&gt;=1)+('Yellow Bosses'!$V$5:$V$53&gt;=1))&gt;0))</f>
        <v>0</v>
      </c>
      <c r="I590" s="25" t="n">
        <f aca="false">SUMPRODUCT(--((('Yellow Bosses'!$I$5:$I$53&gt;0)+('Yellow Bosses'!$P$5:$P$53&gt;0)+('Yellow Bosses'!$R$5:$R$53&gt;0)+('Yellow Bosses'!$V$5:$V$53&gt;0))=0))</f>
        <v>0</v>
      </c>
      <c r="J590" s="25" t="n">
        <f aca="false">SUMPRODUCT(--(((Effectiveness!$F$5:$F$155&gt;=2)+(Effectiveness!$M$5:$M$155&gt;=2)+(Effectiveness!$O$5:$O$155&gt;=2)+(Effectiveness!$S$5:$S$155&gt;=2))&gt;0))</f>
        <v>84</v>
      </c>
      <c r="K590" s="26" t="n">
        <f aca="false">J590/151</f>
        <v>0.556291390728477</v>
      </c>
      <c r="L590" s="25" t="n">
        <f aca="false">MIN(INDEX('Move Reality'!$F$5:$F$19,MATCH(B590,'Move Reality'!$A$5:$A$19,0)),INDEX('Move Reality'!$F$5:$F$19,MATCH(C590,'Move Reality'!$A$5:$A$19,0)),INDEX('Move Reality'!$F$5:$F$19,MATCH(D590,'Move Reality'!$A$5:$A$19,0)),INDEX('Move Reality'!$F$5:$F$19,MATCH(E590,'Move Reality'!$A$5:$A$19,0)))</f>
        <v>1</v>
      </c>
      <c r="M590" s="28" t="str">
        <f aca="false">IF(L590&gt;=5,"YES","no - dead move")</f>
        <v>no - dead move</v>
      </c>
    </row>
    <row r="591" customFormat="false" ht="15" hidden="false" customHeight="false" outlineLevel="0" collapsed="false">
      <c r="A591" s="17" t="n">
        <v>587</v>
      </c>
      <c r="B591" s="17" t="s">
        <v>44</v>
      </c>
      <c r="C591" s="17" t="s">
        <v>50</v>
      </c>
      <c r="D591" s="17" t="s">
        <v>53</v>
      </c>
      <c r="E591" s="17" t="s">
        <v>54</v>
      </c>
      <c r="F591" s="25" t="n">
        <f aca="false">SUMPRODUCT(--((('Yellow Bosses'!$L$5:$L$53&gt;=2)+('Yellow Bosses'!$R$5:$R$53&gt;=2)+('Yellow Bosses'!$U$5:$U$53&gt;=2)+('Yellow Bosses'!$V$5:$V$53&gt;=2))&gt;0))</f>
        <v>33</v>
      </c>
      <c r="G591" s="26" t="n">
        <f aca="false">F591/49</f>
        <v>0.673469387755102</v>
      </c>
      <c r="H591" s="25" t="n">
        <f aca="false">49-SUMPRODUCT(--((('Yellow Bosses'!$L$5:$L$53&gt;=1)+('Yellow Bosses'!$R$5:$R$53&gt;=1)+('Yellow Bosses'!$U$5:$U$53&gt;=1)+('Yellow Bosses'!$V$5:$V$53&gt;=1))&gt;0))</f>
        <v>0</v>
      </c>
      <c r="I591" s="25" t="n">
        <f aca="false">SUMPRODUCT(--((('Yellow Bosses'!$L$5:$L$53&gt;0)+('Yellow Bosses'!$R$5:$R$53&gt;0)+('Yellow Bosses'!$U$5:$U$53&gt;0)+('Yellow Bosses'!$V$5:$V$53&gt;0))=0))</f>
        <v>0</v>
      </c>
      <c r="J591" s="25" t="n">
        <f aca="false">SUMPRODUCT(--(((Effectiveness!$I$5:$I$155&gt;=2)+(Effectiveness!$O$5:$O$155&gt;=2)+(Effectiveness!$R$5:$R$155&gt;=2)+(Effectiveness!$S$5:$S$155&gt;=2))&gt;0))</f>
        <v>84</v>
      </c>
      <c r="K591" s="26" t="n">
        <f aca="false">J591/151</f>
        <v>0.556291390728477</v>
      </c>
      <c r="L591" s="25" t="n">
        <f aca="false">MIN(INDEX('Move Reality'!$F$5:$F$19,MATCH(B591,'Move Reality'!$A$5:$A$19,0)),INDEX('Move Reality'!$F$5:$F$19,MATCH(C591,'Move Reality'!$A$5:$A$19,0)),INDEX('Move Reality'!$F$5:$F$19,MATCH(D591,'Move Reality'!$A$5:$A$19,0)),INDEX('Move Reality'!$F$5:$F$19,MATCH(E591,'Move Reality'!$A$5:$A$19,0)))</f>
        <v>1</v>
      </c>
      <c r="M591" s="28" t="str">
        <f aca="false">IF(L591&gt;=5,"YES","no - dead move")</f>
        <v>no - dead move</v>
      </c>
    </row>
    <row r="592" customFormat="false" ht="15" hidden="false" customHeight="false" outlineLevel="0" collapsed="false">
      <c r="A592" s="17" t="n">
        <v>588</v>
      </c>
      <c r="B592" s="17" t="s">
        <v>40</v>
      </c>
      <c r="C592" s="17" t="s">
        <v>42</v>
      </c>
      <c r="D592" s="17" t="s">
        <v>49</v>
      </c>
      <c r="E592" s="17" t="s">
        <v>51</v>
      </c>
      <c r="F592" s="25" t="n">
        <f aca="false">SUMPRODUCT(--((('Yellow Bosses'!$H$5:$H$53&gt;=2)+('Yellow Bosses'!$J$5:$J$53&gt;=2)+('Yellow Bosses'!$Q$5:$Q$53&gt;=2)+('Yellow Bosses'!$S$5:$S$53&gt;=2))&gt;0))</f>
        <v>33</v>
      </c>
      <c r="G592" s="26" t="n">
        <f aca="false">F592/49</f>
        <v>0.673469387755102</v>
      </c>
      <c r="H592" s="25" t="n">
        <f aca="false">49-SUMPRODUCT(--((('Yellow Bosses'!$H$5:$H$53&gt;=1)+('Yellow Bosses'!$J$5:$J$53&gt;=1)+('Yellow Bosses'!$Q$5:$Q$53&gt;=1)+('Yellow Bosses'!$S$5:$S$53&gt;=1))&gt;0))</f>
        <v>0</v>
      </c>
      <c r="I592" s="25" t="n">
        <f aca="false">SUMPRODUCT(--((('Yellow Bosses'!$H$5:$H$53&gt;0)+('Yellow Bosses'!$J$5:$J$53&gt;0)+('Yellow Bosses'!$Q$5:$Q$53&gt;0)+('Yellow Bosses'!$S$5:$S$53&gt;0))=0))</f>
        <v>0</v>
      </c>
      <c r="J592" s="25" t="n">
        <f aca="false">SUMPRODUCT(--(((Effectiveness!$E$5:$E$155&gt;=2)+(Effectiveness!$G$5:$G$155&gt;=2)+(Effectiveness!$N$5:$N$155&gt;=2)+(Effectiveness!$P$5:$P$155&gt;=2))&gt;0))</f>
        <v>83</v>
      </c>
      <c r="K592" s="26" t="n">
        <f aca="false">J592/151</f>
        <v>0.549668874172186</v>
      </c>
      <c r="L592" s="25" t="n">
        <f aca="false">MIN(INDEX('Move Reality'!$F$5:$F$19,MATCH(B592,'Move Reality'!$A$5:$A$19,0)),INDEX('Move Reality'!$F$5:$F$19,MATCH(C592,'Move Reality'!$A$5:$A$19,0)),INDEX('Move Reality'!$F$5:$F$19,MATCH(D592,'Move Reality'!$A$5:$A$19,0)),INDEX('Move Reality'!$F$5:$F$19,MATCH(E592,'Move Reality'!$A$5:$A$19,0)))</f>
        <v>1</v>
      </c>
      <c r="M592" s="28" t="str">
        <f aca="false">IF(L592&gt;=5,"YES","no - dead move")</f>
        <v>no - dead move</v>
      </c>
    </row>
    <row r="593" customFormat="false" ht="15" hidden="false" customHeight="false" outlineLevel="0" collapsed="false">
      <c r="A593" s="17" t="n">
        <v>589</v>
      </c>
      <c r="B593" s="17" t="s">
        <v>41</v>
      </c>
      <c r="C593" s="17" t="s">
        <v>45</v>
      </c>
      <c r="D593" s="17" t="s">
        <v>51</v>
      </c>
      <c r="E593" s="17" t="s">
        <v>53</v>
      </c>
      <c r="F593" s="25" t="n">
        <f aca="false">SUMPRODUCT(--((('Yellow Bosses'!$I$5:$I$53&gt;=2)+('Yellow Bosses'!$M$5:$M$53&gt;=2)+('Yellow Bosses'!$S$5:$S$53&gt;=2)+('Yellow Bosses'!$U$5:$U$53&gt;=2))&gt;0))</f>
        <v>33</v>
      </c>
      <c r="G593" s="26" t="n">
        <f aca="false">F593/49</f>
        <v>0.673469387755102</v>
      </c>
      <c r="H593" s="25" t="n">
        <f aca="false">49-SUMPRODUCT(--((('Yellow Bosses'!$I$5:$I$53&gt;=1)+('Yellow Bosses'!$M$5:$M$53&gt;=1)+('Yellow Bosses'!$S$5:$S$53&gt;=1)+('Yellow Bosses'!$U$5:$U$53&gt;=1))&gt;0))</f>
        <v>0</v>
      </c>
      <c r="I593" s="25" t="n">
        <f aca="false">SUMPRODUCT(--((('Yellow Bosses'!$I$5:$I$53&gt;0)+('Yellow Bosses'!$M$5:$M$53&gt;0)+('Yellow Bosses'!$S$5:$S$53&gt;0)+('Yellow Bosses'!$U$5:$U$53&gt;0))=0))</f>
        <v>0</v>
      </c>
      <c r="J593" s="25" t="n">
        <f aca="false">SUMPRODUCT(--(((Effectiveness!$F$5:$F$155&gt;=2)+(Effectiveness!$J$5:$J$155&gt;=2)+(Effectiveness!$P$5:$P$155&gt;=2)+(Effectiveness!$R$5:$R$155&gt;=2))&gt;0))</f>
        <v>83</v>
      </c>
      <c r="K593" s="26" t="n">
        <f aca="false">J593/151</f>
        <v>0.549668874172186</v>
      </c>
      <c r="L593" s="25" t="n">
        <f aca="false">MIN(INDEX('Move Reality'!$F$5:$F$19,MATCH(B593,'Move Reality'!$A$5:$A$19,0)),INDEX('Move Reality'!$F$5:$F$19,MATCH(C593,'Move Reality'!$A$5:$A$19,0)),INDEX('Move Reality'!$F$5:$F$19,MATCH(D593,'Move Reality'!$A$5:$A$19,0)),INDEX('Move Reality'!$F$5:$F$19,MATCH(E593,'Move Reality'!$A$5:$A$19,0)))</f>
        <v>1</v>
      </c>
      <c r="M593" s="28" t="str">
        <f aca="false">IF(L593&gt;=5,"YES","no - dead move")</f>
        <v>no - dead move</v>
      </c>
    </row>
    <row r="594" customFormat="false" ht="15" hidden="false" customHeight="false" outlineLevel="0" collapsed="false">
      <c r="A594" s="17" t="n">
        <v>590</v>
      </c>
      <c r="B594" s="17" t="s">
        <v>42</v>
      </c>
      <c r="C594" s="17" t="s">
        <v>47</v>
      </c>
      <c r="D594" s="17" t="s">
        <v>49</v>
      </c>
      <c r="E594" s="17" t="s">
        <v>51</v>
      </c>
      <c r="F594" s="25" t="n">
        <f aca="false">SUMPRODUCT(--((('Yellow Bosses'!$J$5:$J$53&gt;=2)+('Yellow Bosses'!$O$5:$O$53&gt;=2)+('Yellow Bosses'!$Q$5:$Q$53&gt;=2)+('Yellow Bosses'!$S$5:$S$53&gt;=2))&gt;0))</f>
        <v>33</v>
      </c>
      <c r="G594" s="26" t="n">
        <f aca="false">F594/49</f>
        <v>0.673469387755102</v>
      </c>
      <c r="H594" s="25" t="n">
        <f aca="false">49-SUMPRODUCT(--((('Yellow Bosses'!$J$5:$J$53&gt;=1)+('Yellow Bosses'!$O$5:$O$53&gt;=1)+('Yellow Bosses'!$Q$5:$Q$53&gt;=1)+('Yellow Bosses'!$S$5:$S$53&gt;=1))&gt;0))</f>
        <v>0</v>
      </c>
      <c r="I594" s="25" t="n">
        <f aca="false">SUMPRODUCT(--((('Yellow Bosses'!$J$5:$J$53&gt;0)+('Yellow Bosses'!$O$5:$O$53&gt;0)+('Yellow Bosses'!$Q$5:$Q$53&gt;0)+('Yellow Bosses'!$S$5:$S$53&gt;0))=0))</f>
        <v>0</v>
      </c>
      <c r="J594" s="25" t="n">
        <f aca="false">SUMPRODUCT(--(((Effectiveness!$G$5:$G$155&gt;=2)+(Effectiveness!$L$5:$L$155&gt;=2)+(Effectiveness!$N$5:$N$155&gt;=2)+(Effectiveness!$P$5:$P$155&gt;=2))&gt;0))</f>
        <v>83</v>
      </c>
      <c r="K594" s="26" t="n">
        <f aca="false">J594/151</f>
        <v>0.549668874172186</v>
      </c>
      <c r="L594" s="25" t="n">
        <f aca="false">MIN(INDEX('Move Reality'!$F$5:$F$19,MATCH(B594,'Move Reality'!$A$5:$A$19,0)),INDEX('Move Reality'!$F$5:$F$19,MATCH(C594,'Move Reality'!$A$5:$A$19,0)),INDEX('Move Reality'!$F$5:$F$19,MATCH(D594,'Move Reality'!$A$5:$A$19,0)),INDEX('Move Reality'!$F$5:$F$19,MATCH(E594,'Move Reality'!$A$5:$A$19,0)))</f>
        <v>1</v>
      </c>
      <c r="M594" s="28" t="str">
        <f aca="false">IF(L594&gt;=5,"YES","no - dead move")</f>
        <v>no - dead move</v>
      </c>
    </row>
    <row r="595" customFormat="false" ht="15" hidden="false" customHeight="false" outlineLevel="0" collapsed="false">
      <c r="A595" s="17" t="n">
        <v>591</v>
      </c>
      <c r="B595" s="17" t="s">
        <v>47</v>
      </c>
      <c r="C595" s="17" t="s">
        <v>48</v>
      </c>
      <c r="D595" s="17" t="s">
        <v>52</v>
      </c>
      <c r="E595" s="17" t="s">
        <v>54</v>
      </c>
      <c r="F595" s="25" t="n">
        <f aca="false">SUMPRODUCT(--((('Yellow Bosses'!$O$5:$O$53&gt;=2)+('Yellow Bosses'!$P$5:$P$53&gt;=2)+('Yellow Bosses'!$T$5:$T$53&gt;=2)+('Yellow Bosses'!$V$5:$V$53&gt;=2))&gt;0))</f>
        <v>33</v>
      </c>
      <c r="G595" s="26" t="n">
        <f aca="false">F595/49</f>
        <v>0.673469387755102</v>
      </c>
      <c r="H595" s="25" t="n">
        <f aca="false">49-SUMPRODUCT(--((('Yellow Bosses'!$O$5:$O$53&gt;=1)+('Yellow Bosses'!$P$5:$P$53&gt;=1)+('Yellow Bosses'!$T$5:$T$53&gt;=1)+('Yellow Bosses'!$V$5:$V$53&gt;=1))&gt;0))</f>
        <v>0</v>
      </c>
      <c r="I595" s="25" t="n">
        <f aca="false">SUMPRODUCT(--((('Yellow Bosses'!$O$5:$O$53&gt;0)+('Yellow Bosses'!$P$5:$P$53&gt;0)+('Yellow Bosses'!$T$5:$T$53&gt;0)+('Yellow Bosses'!$V$5:$V$53&gt;0))=0))</f>
        <v>0</v>
      </c>
      <c r="J595" s="25" t="n">
        <f aca="false">SUMPRODUCT(--(((Effectiveness!$L$5:$L$155&gt;=2)+(Effectiveness!$M$5:$M$155&gt;=2)+(Effectiveness!$Q$5:$Q$155&gt;=2)+(Effectiveness!$S$5:$S$155&gt;=2))&gt;0))</f>
        <v>83</v>
      </c>
      <c r="K595" s="26" t="n">
        <f aca="false">J595/151</f>
        <v>0.549668874172186</v>
      </c>
      <c r="L595" s="25" t="n">
        <f aca="false">MIN(INDEX('Move Reality'!$F$5:$F$19,MATCH(B595,'Move Reality'!$A$5:$A$19,0)),INDEX('Move Reality'!$F$5:$F$19,MATCH(C595,'Move Reality'!$A$5:$A$19,0)),INDEX('Move Reality'!$F$5:$F$19,MATCH(D595,'Move Reality'!$A$5:$A$19,0)),INDEX('Move Reality'!$F$5:$F$19,MATCH(E595,'Move Reality'!$A$5:$A$19,0)))</f>
        <v>1</v>
      </c>
      <c r="M595" s="28" t="str">
        <f aca="false">IF(L595&gt;=5,"YES","no - dead move")</f>
        <v>no - dead move</v>
      </c>
    </row>
    <row r="596" customFormat="false" ht="15" hidden="false" customHeight="false" outlineLevel="0" collapsed="false">
      <c r="A596" s="17" t="n">
        <v>592</v>
      </c>
      <c r="B596" s="17" t="s">
        <v>45</v>
      </c>
      <c r="C596" s="17" t="s">
        <v>47</v>
      </c>
      <c r="D596" s="17" t="s">
        <v>51</v>
      </c>
      <c r="E596" s="17" t="s">
        <v>53</v>
      </c>
      <c r="F596" s="25" t="n">
        <f aca="false">SUMPRODUCT(--((('Yellow Bosses'!$M$5:$M$53&gt;=2)+('Yellow Bosses'!$O$5:$O$53&gt;=2)+('Yellow Bosses'!$S$5:$S$53&gt;=2)+('Yellow Bosses'!$U$5:$U$53&gt;=2))&gt;0))</f>
        <v>33</v>
      </c>
      <c r="G596" s="26" t="n">
        <f aca="false">F596/49</f>
        <v>0.673469387755102</v>
      </c>
      <c r="H596" s="25" t="n">
        <f aca="false">49-SUMPRODUCT(--((('Yellow Bosses'!$M$5:$M$53&gt;=1)+('Yellow Bosses'!$O$5:$O$53&gt;=1)+('Yellow Bosses'!$S$5:$S$53&gt;=1)+('Yellow Bosses'!$U$5:$U$53&gt;=1))&gt;0))</f>
        <v>0</v>
      </c>
      <c r="I596" s="25" t="n">
        <f aca="false">SUMPRODUCT(--((('Yellow Bosses'!$M$5:$M$53&gt;0)+('Yellow Bosses'!$O$5:$O$53&gt;0)+('Yellow Bosses'!$S$5:$S$53&gt;0)+('Yellow Bosses'!$U$5:$U$53&gt;0))=0))</f>
        <v>0</v>
      </c>
      <c r="J596" s="25" t="n">
        <f aca="false">SUMPRODUCT(--(((Effectiveness!$J$5:$J$155&gt;=2)+(Effectiveness!$L$5:$L$155&gt;=2)+(Effectiveness!$P$5:$P$155&gt;=2)+(Effectiveness!$R$5:$R$155&gt;=2))&gt;0))</f>
        <v>82</v>
      </c>
      <c r="K596" s="26" t="n">
        <f aca="false">J596/151</f>
        <v>0.543046357615894</v>
      </c>
      <c r="L596" s="25" t="n">
        <f aca="false">MIN(INDEX('Move Reality'!$F$5:$F$19,MATCH(B596,'Move Reality'!$A$5:$A$19,0)),INDEX('Move Reality'!$F$5:$F$19,MATCH(C596,'Move Reality'!$A$5:$A$19,0)),INDEX('Move Reality'!$F$5:$F$19,MATCH(D596,'Move Reality'!$A$5:$A$19,0)),INDEX('Move Reality'!$F$5:$F$19,MATCH(E596,'Move Reality'!$A$5:$A$19,0)))</f>
        <v>1</v>
      </c>
      <c r="M596" s="28" t="str">
        <f aca="false">IF(L596&gt;=5,"YES","no - dead move")</f>
        <v>no - dead move</v>
      </c>
    </row>
    <row r="597" customFormat="false" ht="15" hidden="false" customHeight="false" outlineLevel="0" collapsed="false">
      <c r="A597" s="17" t="n">
        <v>593</v>
      </c>
      <c r="B597" s="17" t="s">
        <v>42</v>
      </c>
      <c r="C597" s="17" t="s">
        <v>48</v>
      </c>
      <c r="D597" s="17" t="s">
        <v>50</v>
      </c>
      <c r="E597" s="17" t="s">
        <v>54</v>
      </c>
      <c r="F597" s="25" t="n">
        <f aca="false">SUMPRODUCT(--((('Yellow Bosses'!$J$5:$J$53&gt;=2)+('Yellow Bosses'!$P$5:$P$53&gt;=2)+('Yellow Bosses'!$R$5:$R$53&gt;=2)+('Yellow Bosses'!$V$5:$V$53&gt;=2))&gt;0))</f>
        <v>33</v>
      </c>
      <c r="G597" s="26" t="n">
        <f aca="false">F597/49</f>
        <v>0.673469387755102</v>
      </c>
      <c r="H597" s="25" t="n">
        <f aca="false">49-SUMPRODUCT(--((('Yellow Bosses'!$J$5:$J$53&gt;=1)+('Yellow Bosses'!$P$5:$P$53&gt;=1)+('Yellow Bosses'!$R$5:$R$53&gt;=1)+('Yellow Bosses'!$V$5:$V$53&gt;=1))&gt;0))</f>
        <v>0</v>
      </c>
      <c r="I597" s="25" t="n">
        <f aca="false">SUMPRODUCT(--((('Yellow Bosses'!$J$5:$J$53&gt;0)+('Yellow Bosses'!$P$5:$P$53&gt;0)+('Yellow Bosses'!$R$5:$R$53&gt;0)+('Yellow Bosses'!$V$5:$V$53&gt;0))=0))</f>
        <v>0</v>
      </c>
      <c r="J597" s="25" t="n">
        <f aca="false">SUMPRODUCT(--(((Effectiveness!$G$5:$G$155&gt;=2)+(Effectiveness!$M$5:$M$155&gt;=2)+(Effectiveness!$O$5:$O$155&gt;=2)+(Effectiveness!$S$5:$S$155&gt;=2))&gt;0))</f>
        <v>81</v>
      </c>
      <c r="K597" s="26" t="n">
        <f aca="false">J597/151</f>
        <v>0.536423841059603</v>
      </c>
      <c r="L597" s="25" t="n">
        <f aca="false">MIN(INDEX('Move Reality'!$F$5:$F$19,MATCH(B597,'Move Reality'!$A$5:$A$19,0)),INDEX('Move Reality'!$F$5:$F$19,MATCH(C597,'Move Reality'!$A$5:$A$19,0)),INDEX('Move Reality'!$F$5:$F$19,MATCH(D597,'Move Reality'!$A$5:$A$19,0)),INDEX('Move Reality'!$F$5:$F$19,MATCH(E597,'Move Reality'!$A$5:$A$19,0)))</f>
        <v>1</v>
      </c>
      <c r="M597" s="28" t="str">
        <f aca="false">IF(L597&gt;=5,"YES","no - dead move")</f>
        <v>no - dead move</v>
      </c>
    </row>
    <row r="598" customFormat="false" ht="15" hidden="false" customHeight="false" outlineLevel="0" collapsed="false">
      <c r="A598" s="17" t="n">
        <v>594</v>
      </c>
      <c r="B598" s="17" t="s">
        <v>46</v>
      </c>
      <c r="C598" s="17" t="s">
        <v>51</v>
      </c>
      <c r="D598" s="17" t="s">
        <v>53</v>
      </c>
      <c r="E598" s="17" t="s">
        <v>54</v>
      </c>
      <c r="F598" s="25" t="n">
        <f aca="false">SUMPRODUCT(--((('Yellow Bosses'!$N$5:$N$53&gt;=2)+('Yellow Bosses'!$S$5:$S$53&gt;=2)+('Yellow Bosses'!$U$5:$U$53&gt;=2)+('Yellow Bosses'!$V$5:$V$53&gt;=2))&gt;0))</f>
        <v>33</v>
      </c>
      <c r="G598" s="26" t="n">
        <f aca="false">F598/49</f>
        <v>0.673469387755102</v>
      </c>
      <c r="H598" s="25" t="n">
        <f aca="false">49-SUMPRODUCT(--((('Yellow Bosses'!$N$5:$N$53&gt;=1)+('Yellow Bosses'!$S$5:$S$53&gt;=1)+('Yellow Bosses'!$U$5:$U$53&gt;=1)+('Yellow Bosses'!$V$5:$V$53&gt;=1))&gt;0))</f>
        <v>0</v>
      </c>
      <c r="I598" s="25" t="n">
        <f aca="false">SUMPRODUCT(--((('Yellow Bosses'!$N$5:$N$53&gt;0)+('Yellow Bosses'!$S$5:$S$53&gt;0)+('Yellow Bosses'!$U$5:$U$53&gt;0)+('Yellow Bosses'!$V$5:$V$53&gt;0))=0))</f>
        <v>0</v>
      </c>
      <c r="J598" s="25" t="n">
        <f aca="false">SUMPRODUCT(--(((Effectiveness!$K$5:$K$155&gt;=2)+(Effectiveness!$P$5:$P$155&gt;=2)+(Effectiveness!$R$5:$R$155&gt;=2)+(Effectiveness!$S$5:$S$155&gt;=2))&gt;0))</f>
        <v>80</v>
      </c>
      <c r="K598" s="26" t="n">
        <f aca="false">J598/151</f>
        <v>0.529801324503311</v>
      </c>
      <c r="L598" s="25" t="n">
        <f aca="false">MIN(INDEX('Move Reality'!$F$5:$F$19,MATCH(B598,'Move Reality'!$A$5:$A$19,0)),INDEX('Move Reality'!$F$5:$F$19,MATCH(C598,'Move Reality'!$A$5:$A$19,0)),INDEX('Move Reality'!$F$5:$F$19,MATCH(D598,'Move Reality'!$A$5:$A$19,0)),INDEX('Move Reality'!$F$5:$F$19,MATCH(E598,'Move Reality'!$A$5:$A$19,0)))</f>
        <v>1</v>
      </c>
      <c r="M598" s="28" t="str">
        <f aca="false">IF(L598&gt;=5,"YES","no - dead move")</f>
        <v>no - dead move</v>
      </c>
    </row>
    <row r="599" customFormat="false" ht="15" hidden="false" customHeight="false" outlineLevel="0" collapsed="false">
      <c r="A599" s="17" t="n">
        <v>595</v>
      </c>
      <c r="B599" s="17" t="s">
        <v>40</v>
      </c>
      <c r="C599" s="17" t="s">
        <v>45</v>
      </c>
      <c r="D599" s="17" t="s">
        <v>51</v>
      </c>
      <c r="E599" s="17" t="s">
        <v>53</v>
      </c>
      <c r="F599" s="25" t="n">
        <f aca="false">SUMPRODUCT(--((('Yellow Bosses'!$H$5:$H$53&gt;=2)+('Yellow Bosses'!$M$5:$M$53&gt;=2)+('Yellow Bosses'!$S$5:$S$53&gt;=2)+('Yellow Bosses'!$U$5:$U$53&gt;=2))&gt;0))</f>
        <v>33</v>
      </c>
      <c r="G599" s="26" t="n">
        <f aca="false">F599/49</f>
        <v>0.673469387755102</v>
      </c>
      <c r="H599" s="25" t="n">
        <f aca="false">49-SUMPRODUCT(--((('Yellow Bosses'!$H$5:$H$53&gt;=1)+('Yellow Bosses'!$M$5:$M$53&gt;=1)+('Yellow Bosses'!$S$5:$S$53&gt;=1)+('Yellow Bosses'!$U$5:$U$53&gt;=1))&gt;0))</f>
        <v>0</v>
      </c>
      <c r="I599" s="25" t="n">
        <f aca="false">SUMPRODUCT(--((('Yellow Bosses'!$H$5:$H$53&gt;0)+('Yellow Bosses'!$M$5:$M$53&gt;0)+('Yellow Bosses'!$S$5:$S$53&gt;0)+('Yellow Bosses'!$U$5:$U$53&gt;0))=0))</f>
        <v>0</v>
      </c>
      <c r="J599" s="25" t="n">
        <f aca="false">SUMPRODUCT(--(((Effectiveness!$E$5:$E$155&gt;=2)+(Effectiveness!$J$5:$J$155&gt;=2)+(Effectiveness!$P$5:$P$155&gt;=2)+(Effectiveness!$R$5:$R$155&gt;=2))&gt;0))</f>
        <v>79</v>
      </c>
      <c r="K599" s="26" t="n">
        <f aca="false">J599/151</f>
        <v>0.52317880794702</v>
      </c>
      <c r="L599" s="25" t="n">
        <f aca="false">MIN(INDEX('Move Reality'!$F$5:$F$19,MATCH(B599,'Move Reality'!$A$5:$A$19,0)),INDEX('Move Reality'!$F$5:$F$19,MATCH(C599,'Move Reality'!$A$5:$A$19,0)),INDEX('Move Reality'!$F$5:$F$19,MATCH(D599,'Move Reality'!$A$5:$A$19,0)),INDEX('Move Reality'!$F$5:$F$19,MATCH(E599,'Move Reality'!$A$5:$A$19,0)))</f>
        <v>1</v>
      </c>
      <c r="M599" s="28" t="str">
        <f aca="false">IF(L599&gt;=5,"YES","no - dead move")</f>
        <v>no - dead move</v>
      </c>
    </row>
    <row r="600" customFormat="false" ht="15" hidden="false" customHeight="false" outlineLevel="0" collapsed="false">
      <c r="A600" s="17" t="n">
        <v>596</v>
      </c>
      <c r="B600" s="17" t="s">
        <v>41</v>
      </c>
      <c r="C600" s="17" t="s">
        <v>42</v>
      </c>
      <c r="D600" s="17" t="s">
        <v>51</v>
      </c>
      <c r="E600" s="17" t="s">
        <v>53</v>
      </c>
      <c r="F600" s="25" t="n">
        <f aca="false">SUMPRODUCT(--((('Yellow Bosses'!$I$5:$I$53&gt;=2)+('Yellow Bosses'!$J$5:$J$53&gt;=2)+('Yellow Bosses'!$S$5:$S$53&gt;=2)+('Yellow Bosses'!$U$5:$U$53&gt;=2))&gt;0))</f>
        <v>33</v>
      </c>
      <c r="G600" s="26" t="n">
        <f aca="false">F600/49</f>
        <v>0.673469387755102</v>
      </c>
      <c r="H600" s="25" t="n">
        <f aca="false">49-SUMPRODUCT(--((('Yellow Bosses'!$I$5:$I$53&gt;=1)+('Yellow Bosses'!$J$5:$J$53&gt;=1)+('Yellow Bosses'!$S$5:$S$53&gt;=1)+('Yellow Bosses'!$U$5:$U$53&gt;=1))&gt;0))</f>
        <v>0</v>
      </c>
      <c r="I600" s="25" t="n">
        <f aca="false">SUMPRODUCT(--((('Yellow Bosses'!$I$5:$I$53&gt;0)+('Yellow Bosses'!$J$5:$J$53&gt;0)+('Yellow Bosses'!$S$5:$S$53&gt;0)+('Yellow Bosses'!$U$5:$U$53&gt;0))=0))</f>
        <v>0</v>
      </c>
      <c r="J600" s="25" t="n">
        <f aca="false">SUMPRODUCT(--(((Effectiveness!$F$5:$F$155&gt;=2)+(Effectiveness!$G$5:$G$155&gt;=2)+(Effectiveness!$P$5:$P$155&gt;=2)+(Effectiveness!$R$5:$R$155&gt;=2))&gt;0))</f>
        <v>79</v>
      </c>
      <c r="K600" s="26" t="n">
        <f aca="false">J600/151</f>
        <v>0.52317880794702</v>
      </c>
      <c r="L600" s="25" t="n">
        <f aca="false">MIN(INDEX('Move Reality'!$F$5:$F$19,MATCH(B600,'Move Reality'!$A$5:$A$19,0)),INDEX('Move Reality'!$F$5:$F$19,MATCH(C600,'Move Reality'!$A$5:$A$19,0)),INDEX('Move Reality'!$F$5:$F$19,MATCH(D600,'Move Reality'!$A$5:$A$19,0)),INDEX('Move Reality'!$F$5:$F$19,MATCH(E600,'Move Reality'!$A$5:$A$19,0)))</f>
        <v>1</v>
      </c>
      <c r="M600" s="28" t="str">
        <f aca="false">IF(L600&gt;=5,"YES","no - dead move")</f>
        <v>no - dead move</v>
      </c>
    </row>
    <row r="601" customFormat="false" ht="15" hidden="false" customHeight="false" outlineLevel="0" collapsed="false">
      <c r="A601" s="17" t="n">
        <v>597</v>
      </c>
      <c r="B601" s="17" t="s">
        <v>41</v>
      </c>
      <c r="C601" s="17" t="s">
        <v>42</v>
      </c>
      <c r="D601" s="17" t="s">
        <v>51</v>
      </c>
      <c r="E601" s="17" t="s">
        <v>54</v>
      </c>
      <c r="F601" s="25" t="n">
        <f aca="false">SUMPRODUCT(--((('Yellow Bosses'!$I$5:$I$53&gt;=2)+('Yellow Bosses'!$J$5:$J$53&gt;=2)+('Yellow Bosses'!$S$5:$S$53&gt;=2)+('Yellow Bosses'!$V$5:$V$53&gt;=2))&gt;0))</f>
        <v>33</v>
      </c>
      <c r="G601" s="26" t="n">
        <f aca="false">F601/49</f>
        <v>0.673469387755102</v>
      </c>
      <c r="H601" s="25" t="n">
        <f aca="false">49-SUMPRODUCT(--((('Yellow Bosses'!$I$5:$I$53&gt;=1)+('Yellow Bosses'!$J$5:$J$53&gt;=1)+('Yellow Bosses'!$S$5:$S$53&gt;=1)+('Yellow Bosses'!$V$5:$V$53&gt;=1))&gt;0))</f>
        <v>0</v>
      </c>
      <c r="I601" s="25" t="n">
        <f aca="false">SUMPRODUCT(--((('Yellow Bosses'!$I$5:$I$53&gt;0)+('Yellow Bosses'!$J$5:$J$53&gt;0)+('Yellow Bosses'!$S$5:$S$53&gt;0)+('Yellow Bosses'!$V$5:$V$53&gt;0))=0))</f>
        <v>0</v>
      </c>
      <c r="J601" s="25" t="n">
        <f aca="false">SUMPRODUCT(--(((Effectiveness!$F$5:$F$155&gt;=2)+(Effectiveness!$G$5:$G$155&gt;=2)+(Effectiveness!$P$5:$P$155&gt;=2)+(Effectiveness!$S$5:$S$155&gt;=2))&gt;0))</f>
        <v>79</v>
      </c>
      <c r="K601" s="26" t="n">
        <f aca="false">J601/151</f>
        <v>0.52317880794702</v>
      </c>
      <c r="L601" s="25" t="n">
        <f aca="false">MIN(INDEX('Move Reality'!$F$5:$F$19,MATCH(B601,'Move Reality'!$A$5:$A$19,0)),INDEX('Move Reality'!$F$5:$F$19,MATCH(C601,'Move Reality'!$A$5:$A$19,0)),INDEX('Move Reality'!$F$5:$F$19,MATCH(D601,'Move Reality'!$A$5:$A$19,0)),INDEX('Move Reality'!$F$5:$F$19,MATCH(E601,'Move Reality'!$A$5:$A$19,0)))</f>
        <v>1</v>
      </c>
      <c r="M601" s="28" t="str">
        <f aca="false">IF(L601&gt;=5,"YES","no - dead move")</f>
        <v>no - dead move</v>
      </c>
    </row>
    <row r="602" customFormat="false" ht="15" hidden="false" customHeight="false" outlineLevel="0" collapsed="false">
      <c r="A602" s="17" t="n">
        <v>598</v>
      </c>
      <c r="B602" s="17" t="s">
        <v>42</v>
      </c>
      <c r="C602" s="17" t="s">
        <v>47</v>
      </c>
      <c r="D602" s="17" t="s">
        <v>50</v>
      </c>
      <c r="E602" s="17" t="s">
        <v>54</v>
      </c>
      <c r="F602" s="25" t="n">
        <f aca="false">SUMPRODUCT(--((('Yellow Bosses'!$J$5:$J$53&gt;=2)+('Yellow Bosses'!$O$5:$O$53&gt;=2)+('Yellow Bosses'!$R$5:$R$53&gt;=2)+('Yellow Bosses'!$V$5:$V$53&gt;=2))&gt;0))</f>
        <v>33</v>
      </c>
      <c r="G602" s="26" t="n">
        <f aca="false">F602/49</f>
        <v>0.673469387755102</v>
      </c>
      <c r="H602" s="25" t="n">
        <f aca="false">49-SUMPRODUCT(--((('Yellow Bosses'!$J$5:$J$53&gt;=1)+('Yellow Bosses'!$O$5:$O$53&gt;=1)+('Yellow Bosses'!$R$5:$R$53&gt;=1)+('Yellow Bosses'!$V$5:$V$53&gt;=1))&gt;0))</f>
        <v>0</v>
      </c>
      <c r="I602" s="25" t="n">
        <f aca="false">SUMPRODUCT(--((('Yellow Bosses'!$J$5:$J$53&gt;0)+('Yellow Bosses'!$O$5:$O$53&gt;0)+('Yellow Bosses'!$R$5:$R$53&gt;0)+('Yellow Bosses'!$V$5:$V$53&gt;0))=0))</f>
        <v>0</v>
      </c>
      <c r="J602" s="25" t="n">
        <f aca="false">SUMPRODUCT(--(((Effectiveness!$G$5:$G$155&gt;=2)+(Effectiveness!$L$5:$L$155&gt;=2)+(Effectiveness!$O$5:$O$155&gt;=2)+(Effectiveness!$S$5:$S$155&gt;=2))&gt;0))</f>
        <v>79</v>
      </c>
      <c r="K602" s="26" t="n">
        <f aca="false">J602/151</f>
        <v>0.52317880794702</v>
      </c>
      <c r="L602" s="25" t="n">
        <f aca="false">MIN(INDEX('Move Reality'!$F$5:$F$19,MATCH(B602,'Move Reality'!$A$5:$A$19,0)),INDEX('Move Reality'!$F$5:$F$19,MATCH(C602,'Move Reality'!$A$5:$A$19,0)),INDEX('Move Reality'!$F$5:$F$19,MATCH(D602,'Move Reality'!$A$5:$A$19,0)),INDEX('Move Reality'!$F$5:$F$19,MATCH(E602,'Move Reality'!$A$5:$A$19,0)))</f>
        <v>1</v>
      </c>
      <c r="M602" s="28" t="str">
        <f aca="false">IF(L602&gt;=5,"YES","no - dead move")</f>
        <v>no - dead move</v>
      </c>
    </row>
    <row r="603" customFormat="false" ht="15" hidden="false" customHeight="false" outlineLevel="0" collapsed="false">
      <c r="A603" s="17" t="n">
        <v>599</v>
      </c>
      <c r="B603" s="17" t="s">
        <v>42</v>
      </c>
      <c r="C603" s="17" t="s">
        <v>49</v>
      </c>
      <c r="D603" s="17" t="s">
        <v>50</v>
      </c>
      <c r="E603" s="17" t="s">
        <v>54</v>
      </c>
      <c r="F603" s="25" t="n">
        <f aca="false">SUMPRODUCT(--((('Yellow Bosses'!$J$5:$J$53&gt;=2)+('Yellow Bosses'!$Q$5:$Q$53&gt;=2)+('Yellow Bosses'!$R$5:$R$53&gt;=2)+('Yellow Bosses'!$V$5:$V$53&gt;=2))&gt;0))</f>
        <v>33</v>
      </c>
      <c r="G603" s="26" t="n">
        <f aca="false">F603/49</f>
        <v>0.673469387755102</v>
      </c>
      <c r="H603" s="25" t="n">
        <f aca="false">49-SUMPRODUCT(--((('Yellow Bosses'!$J$5:$J$53&gt;=1)+('Yellow Bosses'!$Q$5:$Q$53&gt;=1)+('Yellow Bosses'!$R$5:$R$53&gt;=1)+('Yellow Bosses'!$V$5:$V$53&gt;=1))&gt;0))</f>
        <v>0</v>
      </c>
      <c r="I603" s="25" t="n">
        <f aca="false">SUMPRODUCT(--((('Yellow Bosses'!$J$5:$J$53&gt;0)+('Yellow Bosses'!$Q$5:$Q$53&gt;0)+('Yellow Bosses'!$R$5:$R$53&gt;0)+('Yellow Bosses'!$V$5:$V$53&gt;0))=0))</f>
        <v>0</v>
      </c>
      <c r="J603" s="25" t="n">
        <f aca="false">SUMPRODUCT(--(((Effectiveness!$G$5:$G$155&gt;=2)+(Effectiveness!$N$5:$N$155&gt;=2)+(Effectiveness!$O$5:$O$155&gt;=2)+(Effectiveness!$S$5:$S$155&gt;=2))&gt;0))</f>
        <v>79</v>
      </c>
      <c r="K603" s="26" t="n">
        <f aca="false">J603/151</f>
        <v>0.52317880794702</v>
      </c>
      <c r="L603" s="25" t="n">
        <f aca="false">MIN(INDEX('Move Reality'!$F$5:$F$19,MATCH(B603,'Move Reality'!$A$5:$A$19,0)),INDEX('Move Reality'!$F$5:$F$19,MATCH(C603,'Move Reality'!$A$5:$A$19,0)),INDEX('Move Reality'!$F$5:$F$19,MATCH(D603,'Move Reality'!$A$5:$A$19,0)),INDEX('Move Reality'!$F$5:$F$19,MATCH(E603,'Move Reality'!$A$5:$A$19,0)))</f>
        <v>1</v>
      </c>
      <c r="M603" s="28" t="str">
        <f aca="false">IF(L603&gt;=5,"YES","no - dead move")</f>
        <v>no - dead move</v>
      </c>
    </row>
    <row r="604" customFormat="false" ht="15" hidden="false" customHeight="false" outlineLevel="0" collapsed="false">
      <c r="A604" s="17" t="n">
        <v>600</v>
      </c>
      <c r="B604" s="17" t="s">
        <v>45</v>
      </c>
      <c r="C604" s="17" t="s">
        <v>51</v>
      </c>
      <c r="D604" s="17" t="s">
        <v>53</v>
      </c>
      <c r="E604" s="17" t="s">
        <v>54</v>
      </c>
      <c r="F604" s="25" t="n">
        <f aca="false">SUMPRODUCT(--((('Yellow Bosses'!$M$5:$M$53&gt;=2)+('Yellow Bosses'!$S$5:$S$53&gt;=2)+('Yellow Bosses'!$U$5:$U$53&gt;=2)+('Yellow Bosses'!$V$5:$V$53&gt;=2))&gt;0))</f>
        <v>33</v>
      </c>
      <c r="G604" s="26" t="n">
        <f aca="false">F604/49</f>
        <v>0.673469387755102</v>
      </c>
      <c r="H604" s="25" t="n">
        <f aca="false">49-SUMPRODUCT(--((('Yellow Bosses'!$M$5:$M$53&gt;=1)+('Yellow Bosses'!$S$5:$S$53&gt;=1)+('Yellow Bosses'!$U$5:$U$53&gt;=1)+('Yellow Bosses'!$V$5:$V$53&gt;=1))&gt;0))</f>
        <v>0</v>
      </c>
      <c r="I604" s="25" t="n">
        <f aca="false">SUMPRODUCT(--((('Yellow Bosses'!$M$5:$M$53&gt;0)+('Yellow Bosses'!$S$5:$S$53&gt;0)+('Yellow Bosses'!$U$5:$U$53&gt;0)+('Yellow Bosses'!$V$5:$V$53&gt;0))=0))</f>
        <v>0</v>
      </c>
      <c r="J604" s="25" t="n">
        <f aca="false">SUMPRODUCT(--(((Effectiveness!$J$5:$J$155&gt;=2)+(Effectiveness!$P$5:$P$155&gt;=2)+(Effectiveness!$R$5:$R$155&gt;=2)+(Effectiveness!$S$5:$S$155&gt;=2))&gt;0))</f>
        <v>79</v>
      </c>
      <c r="K604" s="26" t="n">
        <f aca="false">J604/151</f>
        <v>0.52317880794702</v>
      </c>
      <c r="L604" s="25" t="n">
        <f aca="false">MIN(INDEX('Move Reality'!$F$5:$F$19,MATCH(B604,'Move Reality'!$A$5:$A$19,0)),INDEX('Move Reality'!$F$5:$F$19,MATCH(C604,'Move Reality'!$A$5:$A$19,0)),INDEX('Move Reality'!$F$5:$F$19,MATCH(D604,'Move Reality'!$A$5:$A$19,0)),INDEX('Move Reality'!$F$5:$F$19,MATCH(E604,'Move Reality'!$A$5:$A$19,0)))</f>
        <v>1</v>
      </c>
      <c r="M604" s="28" t="str">
        <f aca="false">IF(L604&gt;=5,"YES","no - dead move")</f>
        <v>no - dead move</v>
      </c>
    </row>
    <row r="605" customFormat="false" ht="15" hidden="false" customHeight="false" outlineLevel="0" collapsed="false">
      <c r="A605" s="17" t="n">
        <v>601</v>
      </c>
      <c r="B605" s="17" t="s">
        <v>42</v>
      </c>
      <c r="C605" s="17" t="s">
        <v>47</v>
      </c>
      <c r="D605" s="17" t="s">
        <v>51</v>
      </c>
      <c r="E605" s="17" t="s">
        <v>53</v>
      </c>
      <c r="F605" s="25" t="n">
        <f aca="false">SUMPRODUCT(--((('Yellow Bosses'!$J$5:$J$53&gt;=2)+('Yellow Bosses'!$O$5:$O$53&gt;=2)+('Yellow Bosses'!$S$5:$S$53&gt;=2)+('Yellow Bosses'!$U$5:$U$53&gt;=2))&gt;0))</f>
        <v>33</v>
      </c>
      <c r="G605" s="26" t="n">
        <f aca="false">F605/49</f>
        <v>0.673469387755102</v>
      </c>
      <c r="H605" s="25" t="n">
        <f aca="false">49-SUMPRODUCT(--((('Yellow Bosses'!$J$5:$J$53&gt;=1)+('Yellow Bosses'!$O$5:$O$53&gt;=1)+('Yellow Bosses'!$S$5:$S$53&gt;=1)+('Yellow Bosses'!$U$5:$U$53&gt;=1))&gt;0))</f>
        <v>0</v>
      </c>
      <c r="I605" s="25" t="n">
        <f aca="false">SUMPRODUCT(--((('Yellow Bosses'!$J$5:$J$53&gt;0)+('Yellow Bosses'!$O$5:$O$53&gt;0)+('Yellow Bosses'!$S$5:$S$53&gt;0)+('Yellow Bosses'!$U$5:$U$53&gt;0))=0))</f>
        <v>0</v>
      </c>
      <c r="J605" s="25" t="n">
        <f aca="false">SUMPRODUCT(--(((Effectiveness!$G$5:$G$155&gt;=2)+(Effectiveness!$L$5:$L$155&gt;=2)+(Effectiveness!$P$5:$P$155&gt;=2)+(Effectiveness!$R$5:$R$155&gt;=2))&gt;0))</f>
        <v>78</v>
      </c>
      <c r="K605" s="26" t="n">
        <f aca="false">J605/151</f>
        <v>0.516556291390729</v>
      </c>
      <c r="L605" s="25" t="n">
        <f aca="false">MIN(INDEX('Move Reality'!$F$5:$F$19,MATCH(B605,'Move Reality'!$A$5:$A$19,0)),INDEX('Move Reality'!$F$5:$F$19,MATCH(C605,'Move Reality'!$A$5:$A$19,0)),INDEX('Move Reality'!$F$5:$F$19,MATCH(D605,'Move Reality'!$A$5:$A$19,0)),INDEX('Move Reality'!$F$5:$F$19,MATCH(E605,'Move Reality'!$A$5:$A$19,0)))</f>
        <v>1</v>
      </c>
      <c r="M605" s="28" t="str">
        <f aca="false">IF(L605&gt;=5,"YES","no - dead move")</f>
        <v>no - dead move</v>
      </c>
    </row>
    <row r="606" customFormat="false" ht="15" hidden="false" customHeight="false" outlineLevel="0" collapsed="false">
      <c r="A606" s="17" t="n">
        <v>602</v>
      </c>
      <c r="B606" s="17" t="s">
        <v>42</v>
      </c>
      <c r="C606" s="17" t="s">
        <v>47</v>
      </c>
      <c r="D606" s="17" t="s">
        <v>51</v>
      </c>
      <c r="E606" s="17" t="s">
        <v>54</v>
      </c>
      <c r="F606" s="25" t="n">
        <f aca="false">SUMPRODUCT(--((('Yellow Bosses'!$J$5:$J$53&gt;=2)+('Yellow Bosses'!$O$5:$O$53&gt;=2)+('Yellow Bosses'!$S$5:$S$53&gt;=2)+('Yellow Bosses'!$V$5:$V$53&gt;=2))&gt;0))</f>
        <v>33</v>
      </c>
      <c r="G606" s="26" t="n">
        <f aca="false">F606/49</f>
        <v>0.673469387755102</v>
      </c>
      <c r="H606" s="25" t="n">
        <f aca="false">49-SUMPRODUCT(--((('Yellow Bosses'!$J$5:$J$53&gt;=1)+('Yellow Bosses'!$O$5:$O$53&gt;=1)+('Yellow Bosses'!$S$5:$S$53&gt;=1)+('Yellow Bosses'!$V$5:$V$53&gt;=1))&gt;0))</f>
        <v>0</v>
      </c>
      <c r="I606" s="25" t="n">
        <f aca="false">SUMPRODUCT(--((('Yellow Bosses'!$J$5:$J$53&gt;0)+('Yellow Bosses'!$O$5:$O$53&gt;0)+('Yellow Bosses'!$S$5:$S$53&gt;0)+('Yellow Bosses'!$V$5:$V$53&gt;0))=0))</f>
        <v>0</v>
      </c>
      <c r="J606" s="25" t="n">
        <f aca="false">SUMPRODUCT(--(((Effectiveness!$G$5:$G$155&gt;=2)+(Effectiveness!$L$5:$L$155&gt;=2)+(Effectiveness!$P$5:$P$155&gt;=2)+(Effectiveness!$S$5:$S$155&gt;=2))&gt;0))</f>
        <v>78</v>
      </c>
      <c r="K606" s="26" t="n">
        <f aca="false">J606/151</f>
        <v>0.516556291390729</v>
      </c>
      <c r="L606" s="25" t="n">
        <f aca="false">MIN(INDEX('Move Reality'!$F$5:$F$19,MATCH(B606,'Move Reality'!$A$5:$A$19,0)),INDEX('Move Reality'!$F$5:$F$19,MATCH(C606,'Move Reality'!$A$5:$A$19,0)),INDEX('Move Reality'!$F$5:$F$19,MATCH(D606,'Move Reality'!$A$5:$A$19,0)),INDEX('Move Reality'!$F$5:$F$19,MATCH(E606,'Move Reality'!$A$5:$A$19,0)))</f>
        <v>1</v>
      </c>
      <c r="M606" s="28" t="str">
        <f aca="false">IF(L606&gt;=5,"YES","no - dead move")</f>
        <v>no - dead move</v>
      </c>
    </row>
    <row r="607" customFormat="false" ht="15" hidden="false" customHeight="false" outlineLevel="0" collapsed="false">
      <c r="A607" s="17" t="n">
        <v>603</v>
      </c>
      <c r="B607" s="17" t="s">
        <v>40</v>
      </c>
      <c r="C607" s="17" t="s">
        <v>42</v>
      </c>
      <c r="D607" s="17" t="s">
        <v>51</v>
      </c>
      <c r="E607" s="17" t="s">
        <v>53</v>
      </c>
      <c r="F607" s="25" t="n">
        <f aca="false">SUMPRODUCT(--((('Yellow Bosses'!$H$5:$H$53&gt;=2)+('Yellow Bosses'!$J$5:$J$53&gt;=2)+('Yellow Bosses'!$S$5:$S$53&gt;=2)+('Yellow Bosses'!$U$5:$U$53&gt;=2))&gt;0))</f>
        <v>33</v>
      </c>
      <c r="G607" s="26" t="n">
        <f aca="false">F607/49</f>
        <v>0.673469387755102</v>
      </c>
      <c r="H607" s="25" t="n">
        <f aca="false">49-SUMPRODUCT(--((('Yellow Bosses'!$H$5:$H$53&gt;=1)+('Yellow Bosses'!$J$5:$J$53&gt;=1)+('Yellow Bosses'!$S$5:$S$53&gt;=1)+('Yellow Bosses'!$U$5:$U$53&gt;=1))&gt;0))</f>
        <v>0</v>
      </c>
      <c r="I607" s="25" t="n">
        <f aca="false">SUMPRODUCT(--((('Yellow Bosses'!$H$5:$H$53&gt;0)+('Yellow Bosses'!$J$5:$J$53&gt;0)+('Yellow Bosses'!$S$5:$S$53&gt;0)+('Yellow Bosses'!$U$5:$U$53&gt;0))=0))</f>
        <v>0</v>
      </c>
      <c r="J607" s="25" t="n">
        <f aca="false">SUMPRODUCT(--(((Effectiveness!$E$5:$E$155&gt;=2)+(Effectiveness!$G$5:$G$155&gt;=2)+(Effectiveness!$P$5:$P$155&gt;=2)+(Effectiveness!$R$5:$R$155&gt;=2))&gt;0))</f>
        <v>73</v>
      </c>
      <c r="K607" s="26" t="n">
        <f aca="false">J607/151</f>
        <v>0.483443708609272</v>
      </c>
      <c r="L607" s="25" t="n">
        <f aca="false">MIN(INDEX('Move Reality'!$F$5:$F$19,MATCH(B607,'Move Reality'!$A$5:$A$19,0)),INDEX('Move Reality'!$F$5:$F$19,MATCH(C607,'Move Reality'!$A$5:$A$19,0)),INDEX('Move Reality'!$F$5:$F$19,MATCH(D607,'Move Reality'!$A$5:$A$19,0)),INDEX('Move Reality'!$F$5:$F$19,MATCH(E607,'Move Reality'!$A$5:$A$19,0)))</f>
        <v>1</v>
      </c>
      <c r="M607" s="28" t="str">
        <f aca="false">IF(L607&gt;=5,"YES","no - dead move")</f>
        <v>no - dead move</v>
      </c>
    </row>
    <row r="608" customFormat="false" ht="15" hidden="false" customHeight="false" outlineLevel="0" collapsed="false">
      <c r="A608" s="17" t="n">
        <v>604</v>
      </c>
      <c r="B608" s="17" t="s">
        <v>40</v>
      </c>
      <c r="C608" s="17" t="s">
        <v>42</v>
      </c>
      <c r="D608" s="17" t="s">
        <v>51</v>
      </c>
      <c r="E608" s="17" t="s">
        <v>54</v>
      </c>
      <c r="F608" s="25" t="n">
        <f aca="false">SUMPRODUCT(--((('Yellow Bosses'!$H$5:$H$53&gt;=2)+('Yellow Bosses'!$J$5:$J$53&gt;=2)+('Yellow Bosses'!$S$5:$S$53&gt;=2)+('Yellow Bosses'!$V$5:$V$53&gt;=2))&gt;0))</f>
        <v>33</v>
      </c>
      <c r="G608" s="26" t="n">
        <f aca="false">F608/49</f>
        <v>0.673469387755102</v>
      </c>
      <c r="H608" s="25" t="n">
        <f aca="false">49-SUMPRODUCT(--((('Yellow Bosses'!$H$5:$H$53&gt;=1)+('Yellow Bosses'!$J$5:$J$53&gt;=1)+('Yellow Bosses'!$S$5:$S$53&gt;=1)+('Yellow Bosses'!$V$5:$V$53&gt;=1))&gt;0))</f>
        <v>0</v>
      </c>
      <c r="I608" s="25" t="n">
        <f aca="false">SUMPRODUCT(--((('Yellow Bosses'!$H$5:$H$53&gt;0)+('Yellow Bosses'!$J$5:$J$53&gt;0)+('Yellow Bosses'!$S$5:$S$53&gt;0)+('Yellow Bosses'!$V$5:$V$53&gt;0))=0))</f>
        <v>0</v>
      </c>
      <c r="J608" s="25" t="n">
        <f aca="false">SUMPRODUCT(--(((Effectiveness!$E$5:$E$155&gt;=2)+(Effectiveness!$G$5:$G$155&gt;=2)+(Effectiveness!$P$5:$P$155&gt;=2)+(Effectiveness!$S$5:$S$155&gt;=2))&gt;0))</f>
        <v>73</v>
      </c>
      <c r="K608" s="26" t="n">
        <f aca="false">J608/151</f>
        <v>0.483443708609272</v>
      </c>
      <c r="L608" s="25" t="n">
        <f aca="false">MIN(INDEX('Move Reality'!$F$5:$F$19,MATCH(B608,'Move Reality'!$A$5:$A$19,0)),INDEX('Move Reality'!$F$5:$F$19,MATCH(C608,'Move Reality'!$A$5:$A$19,0)),INDEX('Move Reality'!$F$5:$F$19,MATCH(D608,'Move Reality'!$A$5:$A$19,0)),INDEX('Move Reality'!$F$5:$F$19,MATCH(E608,'Move Reality'!$A$5:$A$19,0)))</f>
        <v>1</v>
      </c>
      <c r="M608" s="28" t="str">
        <f aca="false">IF(L608&gt;=5,"YES","no - dead move")</f>
        <v>no - dead move</v>
      </c>
    </row>
    <row r="609" customFormat="false" ht="15" hidden="false" customHeight="false" outlineLevel="0" collapsed="false">
      <c r="A609" s="17" t="n">
        <v>605</v>
      </c>
      <c r="B609" s="17" t="s">
        <v>41</v>
      </c>
      <c r="C609" s="17" t="s">
        <v>43</v>
      </c>
      <c r="D609" s="17" t="s">
        <v>46</v>
      </c>
      <c r="E609" s="17" t="s">
        <v>51</v>
      </c>
      <c r="F609" s="25" t="n">
        <f aca="false">SUMPRODUCT(--((('Yellow Bosses'!$I$5:$I$53&gt;=2)+('Yellow Bosses'!$K$5:$K$53&gt;=2)+('Yellow Bosses'!$N$5:$N$53&gt;=2)+('Yellow Bosses'!$S$5:$S$53&gt;=2))&gt;0))</f>
        <v>32</v>
      </c>
      <c r="G609" s="26" t="n">
        <f aca="false">F609/49</f>
        <v>0.653061224489796</v>
      </c>
      <c r="H609" s="25" t="n">
        <f aca="false">49-SUMPRODUCT(--((('Yellow Bosses'!$I$5:$I$53&gt;=1)+('Yellow Bosses'!$K$5:$K$53&gt;=1)+('Yellow Bosses'!$N$5:$N$53&gt;=1)+('Yellow Bosses'!$S$5:$S$53&gt;=1))&gt;0))</f>
        <v>0</v>
      </c>
      <c r="I609" s="25" t="n">
        <f aca="false">SUMPRODUCT(--((('Yellow Bosses'!$I$5:$I$53&gt;0)+('Yellow Bosses'!$K$5:$K$53&gt;0)+('Yellow Bosses'!$N$5:$N$53&gt;0)+('Yellow Bosses'!$S$5:$S$53&gt;0))=0))</f>
        <v>0</v>
      </c>
      <c r="J609" s="25" t="n">
        <f aca="false">SUMPRODUCT(--(((Effectiveness!$F$5:$F$155&gt;=2)+(Effectiveness!$H$5:$H$155&gt;=2)+(Effectiveness!$K$5:$K$155&gt;=2)+(Effectiveness!$P$5:$P$155&gt;=2))&gt;0))</f>
        <v>113</v>
      </c>
      <c r="K609" s="26" t="n">
        <f aca="false">J609/151</f>
        <v>0.748344370860927</v>
      </c>
      <c r="L609" s="25" t="n">
        <f aca="false">MIN(INDEX('Move Reality'!$F$5:$F$19,MATCH(B609,'Move Reality'!$A$5:$A$19,0)),INDEX('Move Reality'!$F$5:$F$19,MATCH(C609,'Move Reality'!$A$5:$A$19,0)),INDEX('Move Reality'!$F$5:$F$19,MATCH(D609,'Move Reality'!$A$5:$A$19,0)),INDEX('Move Reality'!$F$5:$F$19,MATCH(E609,'Move Reality'!$A$5:$A$19,0)))</f>
        <v>1</v>
      </c>
      <c r="M609" s="28" t="str">
        <f aca="false">IF(L609&gt;=5,"YES","no - dead move")</f>
        <v>no - dead move</v>
      </c>
    </row>
    <row r="610" customFormat="false" ht="15" hidden="false" customHeight="false" outlineLevel="0" collapsed="false">
      <c r="A610" s="17" t="n">
        <v>606</v>
      </c>
      <c r="B610" s="17" t="s">
        <v>43</v>
      </c>
      <c r="C610" s="17" t="s">
        <v>46</v>
      </c>
      <c r="D610" s="17" t="s">
        <v>47</v>
      </c>
      <c r="E610" s="17" t="s">
        <v>51</v>
      </c>
      <c r="F610" s="25" t="n">
        <f aca="false">SUMPRODUCT(--((('Yellow Bosses'!$K$5:$K$53&gt;=2)+('Yellow Bosses'!$N$5:$N$53&gt;=2)+('Yellow Bosses'!$O$5:$O$53&gt;=2)+('Yellow Bosses'!$S$5:$S$53&gt;=2))&gt;0))</f>
        <v>32</v>
      </c>
      <c r="G610" s="26" t="n">
        <f aca="false">F610/49</f>
        <v>0.653061224489796</v>
      </c>
      <c r="H610" s="25" t="n">
        <f aca="false">49-SUMPRODUCT(--((('Yellow Bosses'!$K$5:$K$53&gt;=1)+('Yellow Bosses'!$N$5:$N$53&gt;=1)+('Yellow Bosses'!$O$5:$O$53&gt;=1)+('Yellow Bosses'!$S$5:$S$53&gt;=1))&gt;0))</f>
        <v>0</v>
      </c>
      <c r="I610" s="25" t="n">
        <f aca="false">SUMPRODUCT(--((('Yellow Bosses'!$K$5:$K$53&gt;0)+('Yellow Bosses'!$N$5:$N$53&gt;0)+('Yellow Bosses'!$O$5:$O$53&gt;0)+('Yellow Bosses'!$S$5:$S$53&gt;0))=0))</f>
        <v>0</v>
      </c>
      <c r="J610" s="25" t="n">
        <f aca="false">SUMPRODUCT(--(((Effectiveness!$H$5:$H$155&gt;=2)+(Effectiveness!$K$5:$K$155&gt;=2)+(Effectiveness!$L$5:$L$155&gt;=2)+(Effectiveness!$P$5:$P$155&gt;=2))&gt;0))</f>
        <v>113</v>
      </c>
      <c r="K610" s="26" t="n">
        <f aca="false">J610/151</f>
        <v>0.748344370860927</v>
      </c>
      <c r="L610" s="25" t="n">
        <f aca="false">MIN(INDEX('Move Reality'!$F$5:$F$19,MATCH(B610,'Move Reality'!$A$5:$A$19,0)),INDEX('Move Reality'!$F$5:$F$19,MATCH(C610,'Move Reality'!$A$5:$A$19,0)),INDEX('Move Reality'!$F$5:$F$19,MATCH(D610,'Move Reality'!$A$5:$A$19,0)),INDEX('Move Reality'!$F$5:$F$19,MATCH(E610,'Move Reality'!$A$5:$A$19,0)))</f>
        <v>1</v>
      </c>
      <c r="M610" s="28" t="str">
        <f aca="false">IF(L610&gt;=5,"YES","no - dead move")</f>
        <v>no - dead move</v>
      </c>
    </row>
    <row r="611" customFormat="false" ht="15" hidden="false" customHeight="false" outlineLevel="0" collapsed="false">
      <c r="A611" s="17" t="n">
        <v>607</v>
      </c>
      <c r="B611" s="17" t="s">
        <v>40</v>
      </c>
      <c r="C611" s="17" t="s">
        <v>43</v>
      </c>
      <c r="D611" s="17" t="s">
        <v>46</v>
      </c>
      <c r="E611" s="17" t="s">
        <v>51</v>
      </c>
      <c r="F611" s="25" t="n">
        <f aca="false">SUMPRODUCT(--((('Yellow Bosses'!$H$5:$H$53&gt;=2)+('Yellow Bosses'!$K$5:$K$53&gt;=2)+('Yellow Bosses'!$N$5:$N$53&gt;=2)+('Yellow Bosses'!$S$5:$S$53&gt;=2))&gt;0))</f>
        <v>32</v>
      </c>
      <c r="G611" s="26" t="n">
        <f aca="false">F611/49</f>
        <v>0.653061224489796</v>
      </c>
      <c r="H611" s="25" t="n">
        <f aca="false">49-SUMPRODUCT(--((('Yellow Bosses'!$H$5:$H$53&gt;=1)+('Yellow Bosses'!$K$5:$K$53&gt;=1)+('Yellow Bosses'!$N$5:$N$53&gt;=1)+('Yellow Bosses'!$S$5:$S$53&gt;=1))&gt;0))</f>
        <v>0</v>
      </c>
      <c r="I611" s="25" t="n">
        <f aca="false">SUMPRODUCT(--((('Yellow Bosses'!$H$5:$H$53&gt;0)+('Yellow Bosses'!$K$5:$K$53&gt;0)+('Yellow Bosses'!$N$5:$N$53&gt;0)+('Yellow Bosses'!$S$5:$S$53&gt;0))=0))</f>
        <v>0</v>
      </c>
      <c r="J611" s="25" t="n">
        <f aca="false">SUMPRODUCT(--(((Effectiveness!$E$5:$E$155&gt;=2)+(Effectiveness!$H$5:$H$155&gt;=2)+(Effectiveness!$K$5:$K$155&gt;=2)+(Effectiveness!$P$5:$P$155&gt;=2))&gt;0))</f>
        <v>110</v>
      </c>
      <c r="K611" s="26" t="n">
        <f aca="false">J611/151</f>
        <v>0.728476821192053</v>
      </c>
      <c r="L611" s="25" t="n">
        <f aca="false">MIN(INDEX('Move Reality'!$F$5:$F$19,MATCH(B611,'Move Reality'!$A$5:$A$19,0)),INDEX('Move Reality'!$F$5:$F$19,MATCH(C611,'Move Reality'!$A$5:$A$19,0)),INDEX('Move Reality'!$F$5:$F$19,MATCH(D611,'Move Reality'!$A$5:$A$19,0)),INDEX('Move Reality'!$F$5:$F$19,MATCH(E611,'Move Reality'!$A$5:$A$19,0)))</f>
        <v>1</v>
      </c>
      <c r="M611" s="28" t="str">
        <f aca="false">IF(L611&gt;=5,"YES","no - dead move")</f>
        <v>no - dead move</v>
      </c>
    </row>
    <row r="612" customFormat="false" ht="15" hidden="false" customHeight="false" outlineLevel="0" collapsed="false">
      <c r="A612" s="17" t="n">
        <v>608</v>
      </c>
      <c r="B612" s="17" t="s">
        <v>41</v>
      </c>
      <c r="C612" s="17" t="s">
        <v>44</v>
      </c>
      <c r="D612" s="17" t="s">
        <v>46</v>
      </c>
      <c r="E612" s="17" t="s">
        <v>52</v>
      </c>
      <c r="F612" s="25" t="n">
        <f aca="false">SUMPRODUCT(--((('Yellow Bosses'!$I$5:$I$53&gt;=2)+('Yellow Bosses'!$L$5:$L$53&gt;=2)+('Yellow Bosses'!$N$5:$N$53&gt;=2)+('Yellow Bosses'!$T$5:$T$53&gt;=2))&gt;0))</f>
        <v>32</v>
      </c>
      <c r="G612" s="26" t="n">
        <f aca="false">F612/49</f>
        <v>0.653061224489796</v>
      </c>
      <c r="H612" s="25" t="n">
        <f aca="false">49-SUMPRODUCT(--((('Yellow Bosses'!$I$5:$I$53&gt;=1)+('Yellow Bosses'!$L$5:$L$53&gt;=1)+('Yellow Bosses'!$N$5:$N$53&gt;=1)+('Yellow Bosses'!$T$5:$T$53&gt;=1))&gt;0))</f>
        <v>0</v>
      </c>
      <c r="I612" s="25" t="n">
        <f aca="false">SUMPRODUCT(--((('Yellow Bosses'!$I$5:$I$53&gt;0)+('Yellow Bosses'!$L$5:$L$53&gt;0)+('Yellow Bosses'!$N$5:$N$53&gt;0)+('Yellow Bosses'!$T$5:$T$53&gt;0))=0))</f>
        <v>0</v>
      </c>
      <c r="J612" s="25" t="n">
        <f aca="false">SUMPRODUCT(--(((Effectiveness!$F$5:$F$155&gt;=2)+(Effectiveness!$I$5:$I$155&gt;=2)+(Effectiveness!$K$5:$K$155&gt;=2)+(Effectiveness!$Q$5:$Q$155&gt;=2))&gt;0))</f>
        <v>109</v>
      </c>
      <c r="K612" s="26" t="n">
        <f aca="false">J612/151</f>
        <v>0.721854304635762</v>
      </c>
      <c r="L612" s="25" t="n">
        <f aca="false">MIN(INDEX('Move Reality'!$F$5:$F$19,MATCH(B612,'Move Reality'!$A$5:$A$19,0)),INDEX('Move Reality'!$F$5:$F$19,MATCH(C612,'Move Reality'!$A$5:$A$19,0)),INDEX('Move Reality'!$F$5:$F$19,MATCH(D612,'Move Reality'!$A$5:$A$19,0)),INDEX('Move Reality'!$F$5:$F$19,MATCH(E612,'Move Reality'!$A$5:$A$19,0)))</f>
        <v>4</v>
      </c>
      <c r="M612" s="28" t="str">
        <f aca="false">IF(L612&gt;=5,"YES","no - dead move")</f>
        <v>no - dead move</v>
      </c>
    </row>
    <row r="613" customFormat="false" ht="15" hidden="false" customHeight="false" outlineLevel="0" collapsed="false">
      <c r="A613" s="17" t="n">
        <v>609</v>
      </c>
      <c r="B613" s="17" t="s">
        <v>45</v>
      </c>
      <c r="C613" s="17" t="s">
        <v>46</v>
      </c>
      <c r="D613" s="17" t="s">
        <v>47</v>
      </c>
      <c r="E613" s="17" t="s">
        <v>48</v>
      </c>
      <c r="F613" s="25" t="n">
        <f aca="false">SUMPRODUCT(--((('Yellow Bosses'!$M$5:$M$53&gt;=2)+('Yellow Bosses'!$N$5:$N$53&gt;=2)+('Yellow Bosses'!$O$5:$O$53&gt;=2)+('Yellow Bosses'!$P$5:$P$53&gt;=2))&gt;0))</f>
        <v>32</v>
      </c>
      <c r="G613" s="26" t="n">
        <f aca="false">F613/49</f>
        <v>0.653061224489796</v>
      </c>
      <c r="H613" s="25" t="n">
        <f aca="false">49-SUMPRODUCT(--((('Yellow Bosses'!$M$5:$M$53&gt;=1)+('Yellow Bosses'!$N$5:$N$53&gt;=1)+('Yellow Bosses'!$O$5:$O$53&gt;=1)+('Yellow Bosses'!$P$5:$P$53&gt;=1))&gt;0))</f>
        <v>0</v>
      </c>
      <c r="I613" s="25" t="n">
        <f aca="false">SUMPRODUCT(--((('Yellow Bosses'!$M$5:$M$53&gt;0)+('Yellow Bosses'!$N$5:$N$53&gt;0)+('Yellow Bosses'!$O$5:$O$53&gt;0)+('Yellow Bosses'!$P$5:$P$53&gt;0))=0))</f>
        <v>0</v>
      </c>
      <c r="J613" s="25" t="n">
        <f aca="false">SUMPRODUCT(--(((Effectiveness!$J$5:$J$155&gt;=2)+(Effectiveness!$K$5:$K$155&gt;=2)+(Effectiveness!$L$5:$L$155&gt;=2)+(Effectiveness!$M$5:$M$155&gt;=2))&gt;0))</f>
        <v>106</v>
      </c>
      <c r="K613" s="26" t="n">
        <f aca="false">J613/151</f>
        <v>0.701986754966887</v>
      </c>
      <c r="L613" s="25" t="n">
        <f aca="false">MIN(INDEX('Move Reality'!$F$5:$F$19,MATCH(B613,'Move Reality'!$A$5:$A$19,0)),INDEX('Move Reality'!$F$5:$F$19,MATCH(C613,'Move Reality'!$A$5:$A$19,0)),INDEX('Move Reality'!$F$5:$F$19,MATCH(D613,'Move Reality'!$A$5:$A$19,0)),INDEX('Move Reality'!$F$5:$F$19,MATCH(E613,'Move Reality'!$A$5:$A$19,0)))</f>
        <v>2</v>
      </c>
      <c r="M613" s="28" t="str">
        <f aca="false">IF(L613&gt;=5,"YES","no - dead move")</f>
        <v>no - dead move</v>
      </c>
    </row>
    <row r="614" customFormat="false" ht="15" hidden="false" customHeight="false" outlineLevel="0" collapsed="false">
      <c r="A614" s="17" t="n">
        <v>610</v>
      </c>
      <c r="B614" s="17" t="s">
        <v>41</v>
      </c>
      <c r="C614" s="17" t="s">
        <v>43</v>
      </c>
      <c r="D614" s="17" t="s">
        <v>45</v>
      </c>
      <c r="E614" s="17" t="s">
        <v>46</v>
      </c>
      <c r="F614" s="25" t="n">
        <f aca="false">SUMPRODUCT(--((('Yellow Bosses'!$I$5:$I$53&gt;=2)+('Yellow Bosses'!$K$5:$K$53&gt;=2)+('Yellow Bosses'!$M$5:$M$53&gt;=2)+('Yellow Bosses'!$N$5:$N$53&gt;=2))&gt;0))</f>
        <v>32</v>
      </c>
      <c r="G614" s="26" t="n">
        <f aca="false">F614/49</f>
        <v>0.653061224489796</v>
      </c>
      <c r="H614" s="25" t="n">
        <f aca="false">49-SUMPRODUCT(--((('Yellow Bosses'!$I$5:$I$53&gt;=1)+('Yellow Bosses'!$K$5:$K$53&gt;=1)+('Yellow Bosses'!$M$5:$M$53&gt;=1)+('Yellow Bosses'!$N$5:$N$53&gt;=1))&gt;0))</f>
        <v>0</v>
      </c>
      <c r="I614" s="25" t="n">
        <f aca="false">SUMPRODUCT(--((('Yellow Bosses'!$I$5:$I$53&gt;0)+('Yellow Bosses'!$K$5:$K$53&gt;0)+('Yellow Bosses'!$M$5:$M$53&gt;0)+('Yellow Bosses'!$N$5:$N$53&gt;0))=0))</f>
        <v>0</v>
      </c>
      <c r="J614" s="25" t="n">
        <f aca="false">SUMPRODUCT(--(((Effectiveness!$F$5:$F$155&gt;=2)+(Effectiveness!$H$5:$H$155&gt;=2)+(Effectiveness!$J$5:$J$155&gt;=2)+(Effectiveness!$K$5:$K$155&gt;=2))&gt;0))</f>
        <v>105</v>
      </c>
      <c r="K614" s="26" t="n">
        <f aca="false">J614/151</f>
        <v>0.695364238410596</v>
      </c>
      <c r="L614" s="25" t="n">
        <f aca="false">MIN(INDEX('Move Reality'!$F$5:$F$19,MATCH(B614,'Move Reality'!$A$5:$A$19,0)),INDEX('Move Reality'!$F$5:$F$19,MATCH(C614,'Move Reality'!$A$5:$A$19,0)),INDEX('Move Reality'!$F$5:$F$19,MATCH(D614,'Move Reality'!$A$5:$A$19,0)),INDEX('Move Reality'!$F$5:$F$19,MATCH(E614,'Move Reality'!$A$5:$A$19,0)))</f>
        <v>5</v>
      </c>
      <c r="M614" s="28" t="str">
        <f aca="false">IF(L614&gt;=5,"YES","no - dead move")</f>
        <v>YES</v>
      </c>
    </row>
    <row r="615" customFormat="false" ht="15" hidden="false" customHeight="false" outlineLevel="0" collapsed="false">
      <c r="A615" s="17" t="n">
        <v>611</v>
      </c>
      <c r="B615" s="17" t="s">
        <v>40</v>
      </c>
      <c r="C615" s="17" t="s">
        <v>45</v>
      </c>
      <c r="D615" s="17" t="s">
        <v>46</v>
      </c>
      <c r="E615" s="17" t="s">
        <v>48</v>
      </c>
      <c r="F615" s="25" t="n">
        <f aca="false">SUMPRODUCT(--((('Yellow Bosses'!$H$5:$H$53&gt;=2)+('Yellow Bosses'!$M$5:$M$53&gt;=2)+('Yellow Bosses'!$N$5:$N$53&gt;=2)+('Yellow Bosses'!$P$5:$P$53&gt;=2))&gt;0))</f>
        <v>32</v>
      </c>
      <c r="G615" s="26" t="n">
        <f aca="false">F615/49</f>
        <v>0.653061224489796</v>
      </c>
      <c r="H615" s="25" t="n">
        <f aca="false">49-SUMPRODUCT(--((('Yellow Bosses'!$H$5:$H$53&gt;=1)+('Yellow Bosses'!$M$5:$M$53&gt;=1)+('Yellow Bosses'!$N$5:$N$53&gt;=1)+('Yellow Bosses'!$P$5:$P$53&gt;=1))&gt;0))</f>
        <v>0</v>
      </c>
      <c r="I615" s="25" t="n">
        <f aca="false">SUMPRODUCT(--((('Yellow Bosses'!$H$5:$H$53&gt;0)+('Yellow Bosses'!$M$5:$M$53&gt;0)+('Yellow Bosses'!$N$5:$N$53&gt;0)+('Yellow Bosses'!$P$5:$P$53&gt;0))=0))</f>
        <v>0</v>
      </c>
      <c r="J615" s="25" t="n">
        <f aca="false">SUMPRODUCT(--(((Effectiveness!$E$5:$E$155&gt;=2)+(Effectiveness!$J$5:$J$155&gt;=2)+(Effectiveness!$K$5:$K$155&gt;=2)+(Effectiveness!$M$5:$M$155&gt;=2))&gt;0))</f>
        <v>103</v>
      </c>
      <c r="K615" s="26" t="n">
        <f aca="false">J615/151</f>
        <v>0.682119205298013</v>
      </c>
      <c r="L615" s="25" t="n">
        <f aca="false">MIN(INDEX('Move Reality'!$F$5:$F$19,MATCH(B615,'Move Reality'!$A$5:$A$19,0)),INDEX('Move Reality'!$F$5:$F$19,MATCH(C615,'Move Reality'!$A$5:$A$19,0)),INDEX('Move Reality'!$F$5:$F$19,MATCH(D615,'Move Reality'!$A$5:$A$19,0)),INDEX('Move Reality'!$F$5:$F$19,MATCH(E615,'Move Reality'!$A$5:$A$19,0)))</f>
        <v>5</v>
      </c>
      <c r="M615" s="28" t="str">
        <f aca="false">IF(L615&gt;=5,"YES","no - dead move")</f>
        <v>YES</v>
      </c>
    </row>
    <row r="616" customFormat="false" ht="15" hidden="false" customHeight="false" outlineLevel="0" collapsed="false">
      <c r="A616" s="17" t="n">
        <v>612</v>
      </c>
      <c r="B616" s="17" t="s">
        <v>42</v>
      </c>
      <c r="C616" s="17" t="s">
        <v>45</v>
      </c>
      <c r="D616" s="17" t="s">
        <v>46</v>
      </c>
      <c r="E616" s="17" t="s">
        <v>48</v>
      </c>
      <c r="F616" s="25" t="n">
        <f aca="false">SUMPRODUCT(--((('Yellow Bosses'!$J$5:$J$53&gt;=2)+('Yellow Bosses'!$M$5:$M$53&gt;=2)+('Yellow Bosses'!$N$5:$N$53&gt;=2)+('Yellow Bosses'!$P$5:$P$53&gt;=2))&gt;0))</f>
        <v>32</v>
      </c>
      <c r="G616" s="26" t="n">
        <f aca="false">F616/49</f>
        <v>0.653061224489796</v>
      </c>
      <c r="H616" s="25" t="n">
        <f aca="false">49-SUMPRODUCT(--((('Yellow Bosses'!$J$5:$J$53&gt;=1)+('Yellow Bosses'!$M$5:$M$53&gt;=1)+('Yellow Bosses'!$N$5:$N$53&gt;=1)+('Yellow Bosses'!$P$5:$P$53&gt;=1))&gt;0))</f>
        <v>0</v>
      </c>
      <c r="I616" s="25" t="n">
        <f aca="false">SUMPRODUCT(--((('Yellow Bosses'!$J$5:$J$53&gt;0)+('Yellow Bosses'!$M$5:$M$53&gt;0)+('Yellow Bosses'!$N$5:$N$53&gt;0)+('Yellow Bosses'!$P$5:$P$53&gt;0))=0))</f>
        <v>0</v>
      </c>
      <c r="J616" s="25" t="n">
        <f aca="false">SUMPRODUCT(--(((Effectiveness!$G$5:$G$155&gt;=2)+(Effectiveness!$J$5:$J$155&gt;=2)+(Effectiveness!$K$5:$K$155&gt;=2)+(Effectiveness!$M$5:$M$155&gt;=2))&gt;0))</f>
        <v>103</v>
      </c>
      <c r="K616" s="26" t="n">
        <f aca="false">J616/151</f>
        <v>0.682119205298013</v>
      </c>
      <c r="L616" s="25" t="n">
        <f aca="false">MIN(INDEX('Move Reality'!$F$5:$F$19,MATCH(B616,'Move Reality'!$A$5:$A$19,0)),INDEX('Move Reality'!$F$5:$F$19,MATCH(C616,'Move Reality'!$A$5:$A$19,0)),INDEX('Move Reality'!$F$5:$F$19,MATCH(D616,'Move Reality'!$A$5:$A$19,0)),INDEX('Move Reality'!$F$5:$F$19,MATCH(E616,'Move Reality'!$A$5:$A$19,0)))</f>
        <v>5</v>
      </c>
      <c r="M616" s="28" t="str">
        <f aca="false">IF(L616&gt;=5,"YES","no - dead move")</f>
        <v>YES</v>
      </c>
    </row>
    <row r="617" customFormat="false" ht="15" hidden="false" customHeight="false" outlineLevel="0" collapsed="false">
      <c r="A617" s="17" t="n">
        <v>613</v>
      </c>
      <c r="B617" s="17" t="s">
        <v>45</v>
      </c>
      <c r="C617" s="17" t="s">
        <v>46</v>
      </c>
      <c r="D617" s="17" t="s">
        <v>48</v>
      </c>
      <c r="E617" s="17" t="s">
        <v>53</v>
      </c>
      <c r="F617" s="25" t="n">
        <f aca="false">SUMPRODUCT(--((('Yellow Bosses'!$M$5:$M$53&gt;=2)+('Yellow Bosses'!$N$5:$N$53&gt;=2)+('Yellow Bosses'!$P$5:$P$53&gt;=2)+('Yellow Bosses'!$U$5:$U$53&gt;=2))&gt;0))</f>
        <v>32</v>
      </c>
      <c r="G617" s="26" t="n">
        <f aca="false">F617/49</f>
        <v>0.653061224489796</v>
      </c>
      <c r="H617" s="25" t="n">
        <f aca="false">49-SUMPRODUCT(--((('Yellow Bosses'!$M$5:$M$53&gt;=1)+('Yellow Bosses'!$N$5:$N$53&gt;=1)+('Yellow Bosses'!$P$5:$P$53&gt;=1)+('Yellow Bosses'!$U$5:$U$53&gt;=1))&gt;0))</f>
        <v>0</v>
      </c>
      <c r="I617" s="25" t="n">
        <f aca="false">SUMPRODUCT(--((('Yellow Bosses'!$M$5:$M$53&gt;0)+('Yellow Bosses'!$N$5:$N$53&gt;0)+('Yellow Bosses'!$P$5:$P$53&gt;0)+('Yellow Bosses'!$U$5:$U$53&gt;0))=0))</f>
        <v>0</v>
      </c>
      <c r="J617" s="25" t="n">
        <f aca="false">SUMPRODUCT(--(((Effectiveness!$J$5:$J$155&gt;=2)+(Effectiveness!$K$5:$K$155&gt;=2)+(Effectiveness!$M$5:$M$155&gt;=2)+(Effectiveness!$R$5:$R$155&gt;=2))&gt;0))</f>
        <v>103</v>
      </c>
      <c r="K617" s="26" t="n">
        <f aca="false">J617/151</f>
        <v>0.682119205298013</v>
      </c>
      <c r="L617" s="25" t="n">
        <f aca="false">MIN(INDEX('Move Reality'!$F$5:$F$19,MATCH(B617,'Move Reality'!$A$5:$A$19,0)),INDEX('Move Reality'!$F$5:$F$19,MATCH(C617,'Move Reality'!$A$5:$A$19,0)),INDEX('Move Reality'!$F$5:$F$19,MATCH(D617,'Move Reality'!$A$5:$A$19,0)),INDEX('Move Reality'!$F$5:$F$19,MATCH(E617,'Move Reality'!$A$5:$A$19,0)))</f>
        <v>1</v>
      </c>
      <c r="M617" s="28" t="str">
        <f aca="false">IF(L617&gt;=5,"YES","no - dead move")</f>
        <v>no - dead move</v>
      </c>
    </row>
    <row r="618" customFormat="false" ht="15" hidden="false" customHeight="false" outlineLevel="0" collapsed="false">
      <c r="A618" s="17" t="n">
        <v>614</v>
      </c>
      <c r="B618" s="17" t="s">
        <v>45</v>
      </c>
      <c r="C618" s="17" t="s">
        <v>46</v>
      </c>
      <c r="D618" s="17" t="s">
        <v>48</v>
      </c>
      <c r="E618" s="17" t="s">
        <v>54</v>
      </c>
      <c r="F618" s="25" t="n">
        <f aca="false">SUMPRODUCT(--((('Yellow Bosses'!$M$5:$M$53&gt;=2)+('Yellow Bosses'!$N$5:$N$53&gt;=2)+('Yellow Bosses'!$P$5:$P$53&gt;=2)+('Yellow Bosses'!$V$5:$V$53&gt;=2))&gt;0))</f>
        <v>32</v>
      </c>
      <c r="G618" s="26" t="n">
        <f aca="false">F618/49</f>
        <v>0.653061224489796</v>
      </c>
      <c r="H618" s="25" t="n">
        <f aca="false">49-SUMPRODUCT(--((('Yellow Bosses'!$M$5:$M$53&gt;=1)+('Yellow Bosses'!$N$5:$N$53&gt;=1)+('Yellow Bosses'!$P$5:$P$53&gt;=1)+('Yellow Bosses'!$V$5:$V$53&gt;=1))&gt;0))</f>
        <v>0</v>
      </c>
      <c r="I618" s="25" t="n">
        <f aca="false">SUMPRODUCT(--((('Yellow Bosses'!$M$5:$M$53&gt;0)+('Yellow Bosses'!$N$5:$N$53&gt;0)+('Yellow Bosses'!$P$5:$P$53&gt;0)+('Yellow Bosses'!$V$5:$V$53&gt;0))=0))</f>
        <v>0</v>
      </c>
      <c r="J618" s="25" t="n">
        <f aca="false">SUMPRODUCT(--(((Effectiveness!$J$5:$J$155&gt;=2)+(Effectiveness!$K$5:$K$155&gt;=2)+(Effectiveness!$M$5:$M$155&gt;=2)+(Effectiveness!$S$5:$S$155&gt;=2))&gt;0))</f>
        <v>103</v>
      </c>
      <c r="K618" s="26" t="n">
        <f aca="false">J618/151</f>
        <v>0.682119205298013</v>
      </c>
      <c r="L618" s="25" t="n">
        <f aca="false">MIN(INDEX('Move Reality'!$F$5:$F$19,MATCH(B618,'Move Reality'!$A$5:$A$19,0)),INDEX('Move Reality'!$F$5:$F$19,MATCH(C618,'Move Reality'!$A$5:$A$19,0)),INDEX('Move Reality'!$F$5:$F$19,MATCH(D618,'Move Reality'!$A$5:$A$19,0)),INDEX('Move Reality'!$F$5:$F$19,MATCH(E618,'Move Reality'!$A$5:$A$19,0)))</f>
        <v>1</v>
      </c>
      <c r="M618" s="28" t="str">
        <f aca="false">IF(L618&gt;=5,"YES","no - dead move")</f>
        <v>no - dead move</v>
      </c>
    </row>
    <row r="619" customFormat="false" ht="15" hidden="false" customHeight="false" outlineLevel="0" collapsed="false">
      <c r="A619" s="17" t="n">
        <v>615</v>
      </c>
      <c r="B619" s="17" t="s">
        <v>41</v>
      </c>
      <c r="C619" s="17" t="s">
        <v>43</v>
      </c>
      <c r="D619" s="17" t="s">
        <v>50</v>
      </c>
      <c r="E619" s="17" t="s">
        <v>51</v>
      </c>
      <c r="F619" s="25" t="n">
        <f aca="false">SUMPRODUCT(--((('Yellow Bosses'!$I$5:$I$53&gt;=2)+('Yellow Bosses'!$K$5:$K$53&gt;=2)+('Yellow Bosses'!$R$5:$R$53&gt;=2)+('Yellow Bosses'!$S$5:$S$53&gt;=2))&gt;0))</f>
        <v>32</v>
      </c>
      <c r="G619" s="26" t="n">
        <f aca="false">F619/49</f>
        <v>0.653061224489796</v>
      </c>
      <c r="H619" s="25" t="n">
        <f aca="false">49-SUMPRODUCT(--((('Yellow Bosses'!$I$5:$I$53&gt;=1)+('Yellow Bosses'!$K$5:$K$53&gt;=1)+('Yellow Bosses'!$R$5:$R$53&gt;=1)+('Yellow Bosses'!$S$5:$S$53&gt;=1))&gt;0))</f>
        <v>0</v>
      </c>
      <c r="I619" s="25" t="n">
        <f aca="false">SUMPRODUCT(--((('Yellow Bosses'!$I$5:$I$53&gt;0)+('Yellow Bosses'!$K$5:$K$53&gt;0)+('Yellow Bosses'!$R$5:$R$53&gt;0)+('Yellow Bosses'!$S$5:$S$53&gt;0))=0))</f>
        <v>0</v>
      </c>
      <c r="J619" s="25" t="n">
        <f aca="false">SUMPRODUCT(--(((Effectiveness!$F$5:$F$155&gt;=2)+(Effectiveness!$H$5:$H$155&gt;=2)+(Effectiveness!$O$5:$O$155&gt;=2)+(Effectiveness!$P$5:$P$155&gt;=2))&gt;0))</f>
        <v>101</v>
      </c>
      <c r="K619" s="26" t="n">
        <f aca="false">J619/151</f>
        <v>0.66887417218543</v>
      </c>
      <c r="L619" s="25" t="n">
        <f aca="false">MIN(INDEX('Move Reality'!$F$5:$F$19,MATCH(B619,'Move Reality'!$A$5:$A$19,0)),INDEX('Move Reality'!$F$5:$F$19,MATCH(C619,'Move Reality'!$A$5:$A$19,0)),INDEX('Move Reality'!$F$5:$F$19,MATCH(D619,'Move Reality'!$A$5:$A$19,0)),INDEX('Move Reality'!$F$5:$F$19,MATCH(E619,'Move Reality'!$A$5:$A$19,0)))</f>
        <v>1</v>
      </c>
      <c r="M619" s="28" t="str">
        <f aca="false">IF(L619&gt;=5,"YES","no - dead move")</f>
        <v>no - dead move</v>
      </c>
    </row>
    <row r="620" customFormat="false" ht="15" hidden="false" customHeight="false" outlineLevel="0" collapsed="false">
      <c r="A620" s="17" t="n">
        <v>616</v>
      </c>
      <c r="B620" s="17" t="s">
        <v>43</v>
      </c>
      <c r="C620" s="17" t="s">
        <v>47</v>
      </c>
      <c r="D620" s="17" t="s">
        <v>50</v>
      </c>
      <c r="E620" s="17" t="s">
        <v>51</v>
      </c>
      <c r="F620" s="25" t="n">
        <f aca="false">SUMPRODUCT(--((('Yellow Bosses'!$K$5:$K$53&gt;=2)+('Yellow Bosses'!$O$5:$O$53&gt;=2)+('Yellow Bosses'!$R$5:$R$53&gt;=2)+('Yellow Bosses'!$S$5:$S$53&gt;=2))&gt;0))</f>
        <v>32</v>
      </c>
      <c r="G620" s="26" t="n">
        <f aca="false">F620/49</f>
        <v>0.653061224489796</v>
      </c>
      <c r="H620" s="25" t="n">
        <f aca="false">49-SUMPRODUCT(--((('Yellow Bosses'!$K$5:$K$53&gt;=1)+('Yellow Bosses'!$O$5:$O$53&gt;=1)+('Yellow Bosses'!$R$5:$R$53&gt;=1)+('Yellow Bosses'!$S$5:$S$53&gt;=1))&gt;0))</f>
        <v>0</v>
      </c>
      <c r="I620" s="25" t="n">
        <f aca="false">SUMPRODUCT(--((('Yellow Bosses'!$K$5:$K$53&gt;0)+('Yellow Bosses'!$O$5:$O$53&gt;0)+('Yellow Bosses'!$R$5:$R$53&gt;0)+('Yellow Bosses'!$S$5:$S$53&gt;0))=0))</f>
        <v>0</v>
      </c>
      <c r="J620" s="25" t="n">
        <f aca="false">SUMPRODUCT(--(((Effectiveness!$H$5:$H$155&gt;=2)+(Effectiveness!$L$5:$L$155&gt;=2)+(Effectiveness!$O$5:$O$155&gt;=2)+(Effectiveness!$P$5:$P$155&gt;=2))&gt;0))</f>
        <v>101</v>
      </c>
      <c r="K620" s="26" t="n">
        <f aca="false">J620/151</f>
        <v>0.66887417218543</v>
      </c>
      <c r="L620" s="25" t="n">
        <f aca="false">MIN(INDEX('Move Reality'!$F$5:$F$19,MATCH(B620,'Move Reality'!$A$5:$A$19,0)),INDEX('Move Reality'!$F$5:$F$19,MATCH(C620,'Move Reality'!$A$5:$A$19,0)),INDEX('Move Reality'!$F$5:$F$19,MATCH(D620,'Move Reality'!$A$5:$A$19,0)),INDEX('Move Reality'!$F$5:$F$19,MATCH(E620,'Move Reality'!$A$5:$A$19,0)))</f>
        <v>1</v>
      </c>
      <c r="M620" s="28" t="str">
        <f aca="false">IF(L620&gt;=5,"YES","no - dead move")</f>
        <v>no - dead move</v>
      </c>
    </row>
    <row r="621" customFormat="false" ht="15" hidden="false" customHeight="false" outlineLevel="0" collapsed="false">
      <c r="A621" s="17" t="n">
        <v>617</v>
      </c>
      <c r="B621" s="17" t="s">
        <v>43</v>
      </c>
      <c r="C621" s="17" t="s">
        <v>49</v>
      </c>
      <c r="D621" s="17" t="s">
        <v>50</v>
      </c>
      <c r="E621" s="17" t="s">
        <v>51</v>
      </c>
      <c r="F621" s="25" t="n">
        <f aca="false">SUMPRODUCT(--((('Yellow Bosses'!$K$5:$K$53&gt;=2)+('Yellow Bosses'!$Q$5:$Q$53&gt;=2)+('Yellow Bosses'!$R$5:$R$53&gt;=2)+('Yellow Bosses'!$S$5:$S$53&gt;=2))&gt;0))</f>
        <v>32</v>
      </c>
      <c r="G621" s="26" t="n">
        <f aca="false">F621/49</f>
        <v>0.653061224489796</v>
      </c>
      <c r="H621" s="25" t="n">
        <f aca="false">49-SUMPRODUCT(--((('Yellow Bosses'!$K$5:$K$53&gt;=1)+('Yellow Bosses'!$Q$5:$Q$53&gt;=1)+('Yellow Bosses'!$R$5:$R$53&gt;=1)+('Yellow Bosses'!$S$5:$S$53&gt;=1))&gt;0))</f>
        <v>0</v>
      </c>
      <c r="I621" s="25" t="n">
        <f aca="false">SUMPRODUCT(--((('Yellow Bosses'!$K$5:$K$53&gt;0)+('Yellow Bosses'!$Q$5:$Q$53&gt;0)+('Yellow Bosses'!$R$5:$R$53&gt;0)+('Yellow Bosses'!$S$5:$S$53&gt;0))=0))</f>
        <v>0</v>
      </c>
      <c r="J621" s="25" t="n">
        <f aca="false">SUMPRODUCT(--(((Effectiveness!$H$5:$H$155&gt;=2)+(Effectiveness!$N$5:$N$155&gt;=2)+(Effectiveness!$O$5:$O$155&gt;=2)+(Effectiveness!$P$5:$P$155&gt;=2))&gt;0))</f>
        <v>101</v>
      </c>
      <c r="K621" s="26" t="n">
        <f aca="false">J621/151</f>
        <v>0.66887417218543</v>
      </c>
      <c r="L621" s="25" t="n">
        <f aca="false">MIN(INDEX('Move Reality'!$F$5:$F$19,MATCH(B621,'Move Reality'!$A$5:$A$19,0)),INDEX('Move Reality'!$F$5:$F$19,MATCH(C621,'Move Reality'!$A$5:$A$19,0)),INDEX('Move Reality'!$F$5:$F$19,MATCH(D621,'Move Reality'!$A$5:$A$19,0)),INDEX('Move Reality'!$F$5:$F$19,MATCH(E621,'Move Reality'!$A$5:$A$19,0)))</f>
        <v>1</v>
      </c>
      <c r="M621" s="28" t="str">
        <f aca="false">IF(L621&gt;=5,"YES","no - dead move")</f>
        <v>no - dead move</v>
      </c>
    </row>
    <row r="622" customFormat="false" ht="15" hidden="false" customHeight="false" outlineLevel="0" collapsed="false">
      <c r="A622" s="17" t="n">
        <v>618</v>
      </c>
      <c r="B622" s="17" t="s">
        <v>43</v>
      </c>
      <c r="C622" s="17" t="s">
        <v>49</v>
      </c>
      <c r="D622" s="17" t="s">
        <v>51</v>
      </c>
      <c r="E622" s="17" t="s">
        <v>53</v>
      </c>
      <c r="F622" s="25" t="n">
        <f aca="false">SUMPRODUCT(--((('Yellow Bosses'!$K$5:$K$53&gt;=2)+('Yellow Bosses'!$Q$5:$Q$53&gt;=2)+('Yellow Bosses'!$S$5:$S$53&gt;=2)+('Yellow Bosses'!$U$5:$U$53&gt;=2))&gt;0))</f>
        <v>32</v>
      </c>
      <c r="G622" s="26" t="n">
        <f aca="false">F622/49</f>
        <v>0.653061224489796</v>
      </c>
      <c r="H622" s="25" t="n">
        <f aca="false">49-SUMPRODUCT(--((('Yellow Bosses'!$K$5:$K$53&gt;=1)+('Yellow Bosses'!$Q$5:$Q$53&gt;=1)+('Yellow Bosses'!$S$5:$S$53&gt;=1)+('Yellow Bosses'!$U$5:$U$53&gt;=1))&gt;0))</f>
        <v>0</v>
      </c>
      <c r="I622" s="25" t="n">
        <f aca="false">SUMPRODUCT(--((('Yellow Bosses'!$K$5:$K$53&gt;0)+('Yellow Bosses'!$Q$5:$Q$53&gt;0)+('Yellow Bosses'!$S$5:$S$53&gt;0)+('Yellow Bosses'!$U$5:$U$53&gt;0))=0))</f>
        <v>0</v>
      </c>
      <c r="J622" s="25" t="n">
        <f aca="false">SUMPRODUCT(--(((Effectiveness!$H$5:$H$155&gt;=2)+(Effectiveness!$N$5:$N$155&gt;=2)+(Effectiveness!$P$5:$P$155&gt;=2)+(Effectiveness!$R$5:$R$155&gt;=2))&gt;0))</f>
        <v>101</v>
      </c>
      <c r="K622" s="26" t="n">
        <f aca="false">J622/151</f>
        <v>0.66887417218543</v>
      </c>
      <c r="L622" s="25" t="n">
        <f aca="false">MIN(INDEX('Move Reality'!$F$5:$F$19,MATCH(B622,'Move Reality'!$A$5:$A$19,0)),INDEX('Move Reality'!$F$5:$F$19,MATCH(C622,'Move Reality'!$A$5:$A$19,0)),INDEX('Move Reality'!$F$5:$F$19,MATCH(D622,'Move Reality'!$A$5:$A$19,0)),INDEX('Move Reality'!$F$5:$F$19,MATCH(E622,'Move Reality'!$A$5:$A$19,0)))</f>
        <v>1</v>
      </c>
      <c r="M622" s="28" t="str">
        <f aca="false">IF(L622&gt;=5,"YES","no - dead move")</f>
        <v>no - dead move</v>
      </c>
    </row>
    <row r="623" customFormat="false" ht="15" hidden="false" customHeight="false" outlineLevel="0" collapsed="false">
      <c r="A623" s="17" t="n">
        <v>619</v>
      </c>
      <c r="B623" s="17" t="s">
        <v>43</v>
      </c>
      <c r="C623" s="17" t="s">
        <v>49</v>
      </c>
      <c r="D623" s="17" t="s">
        <v>51</v>
      </c>
      <c r="E623" s="17" t="s">
        <v>54</v>
      </c>
      <c r="F623" s="25" t="n">
        <f aca="false">SUMPRODUCT(--((('Yellow Bosses'!$K$5:$K$53&gt;=2)+('Yellow Bosses'!$Q$5:$Q$53&gt;=2)+('Yellow Bosses'!$S$5:$S$53&gt;=2)+('Yellow Bosses'!$V$5:$V$53&gt;=2))&gt;0))</f>
        <v>32</v>
      </c>
      <c r="G623" s="26" t="n">
        <f aca="false">F623/49</f>
        <v>0.653061224489796</v>
      </c>
      <c r="H623" s="25" t="n">
        <f aca="false">49-SUMPRODUCT(--((('Yellow Bosses'!$K$5:$K$53&gt;=1)+('Yellow Bosses'!$Q$5:$Q$53&gt;=1)+('Yellow Bosses'!$S$5:$S$53&gt;=1)+('Yellow Bosses'!$V$5:$V$53&gt;=1))&gt;0))</f>
        <v>0</v>
      </c>
      <c r="I623" s="25" t="n">
        <f aca="false">SUMPRODUCT(--((('Yellow Bosses'!$K$5:$K$53&gt;0)+('Yellow Bosses'!$Q$5:$Q$53&gt;0)+('Yellow Bosses'!$S$5:$S$53&gt;0)+('Yellow Bosses'!$V$5:$V$53&gt;0))=0))</f>
        <v>0</v>
      </c>
      <c r="J623" s="25" t="n">
        <f aca="false">SUMPRODUCT(--(((Effectiveness!$H$5:$H$155&gt;=2)+(Effectiveness!$N$5:$N$155&gt;=2)+(Effectiveness!$P$5:$P$155&gt;=2)+(Effectiveness!$S$5:$S$155&gt;=2))&gt;0))</f>
        <v>101</v>
      </c>
      <c r="K623" s="26" t="n">
        <f aca="false">J623/151</f>
        <v>0.66887417218543</v>
      </c>
      <c r="L623" s="25" t="n">
        <f aca="false">MIN(INDEX('Move Reality'!$F$5:$F$19,MATCH(B623,'Move Reality'!$A$5:$A$19,0)),INDEX('Move Reality'!$F$5:$F$19,MATCH(C623,'Move Reality'!$A$5:$A$19,0)),INDEX('Move Reality'!$F$5:$F$19,MATCH(D623,'Move Reality'!$A$5:$A$19,0)),INDEX('Move Reality'!$F$5:$F$19,MATCH(E623,'Move Reality'!$A$5:$A$19,0)))</f>
        <v>1</v>
      </c>
      <c r="M623" s="28" t="str">
        <f aca="false">IF(L623&gt;=5,"YES","no - dead move")</f>
        <v>no - dead move</v>
      </c>
    </row>
    <row r="624" customFormat="false" ht="15" hidden="false" customHeight="false" outlineLevel="0" collapsed="false">
      <c r="A624" s="17" t="n">
        <v>620</v>
      </c>
      <c r="B624" s="17" t="s">
        <v>42</v>
      </c>
      <c r="C624" s="17" t="s">
        <v>46</v>
      </c>
      <c r="D624" s="17" t="s">
        <v>48</v>
      </c>
      <c r="E624" s="17" t="s">
        <v>52</v>
      </c>
      <c r="F624" s="25" t="n">
        <f aca="false">SUMPRODUCT(--((('Yellow Bosses'!$J$5:$J$53&gt;=2)+('Yellow Bosses'!$N$5:$N$53&gt;=2)+('Yellow Bosses'!$P$5:$P$53&gt;=2)+('Yellow Bosses'!$T$5:$T$53&gt;=2))&gt;0))</f>
        <v>32</v>
      </c>
      <c r="G624" s="26" t="n">
        <f aca="false">F624/49</f>
        <v>0.653061224489796</v>
      </c>
      <c r="H624" s="25" t="n">
        <f aca="false">49-SUMPRODUCT(--((('Yellow Bosses'!$J$5:$J$53&gt;=1)+('Yellow Bosses'!$N$5:$N$53&gt;=1)+('Yellow Bosses'!$P$5:$P$53&gt;=1)+('Yellow Bosses'!$T$5:$T$53&gt;=1))&gt;0))</f>
        <v>0</v>
      </c>
      <c r="I624" s="25" t="n">
        <f aca="false">SUMPRODUCT(--((('Yellow Bosses'!$J$5:$J$53&gt;0)+('Yellow Bosses'!$N$5:$N$53&gt;0)+('Yellow Bosses'!$P$5:$P$53&gt;0)+('Yellow Bosses'!$T$5:$T$53&gt;0))=0))</f>
        <v>0</v>
      </c>
      <c r="J624" s="25" t="n">
        <f aca="false">SUMPRODUCT(--(((Effectiveness!$G$5:$G$155&gt;=2)+(Effectiveness!$K$5:$K$155&gt;=2)+(Effectiveness!$M$5:$M$155&gt;=2)+(Effectiveness!$Q$5:$Q$155&gt;=2))&gt;0))</f>
        <v>100</v>
      </c>
      <c r="K624" s="26" t="n">
        <f aca="false">J624/151</f>
        <v>0.662251655629139</v>
      </c>
      <c r="L624" s="25" t="n">
        <f aca="false">MIN(INDEX('Move Reality'!$F$5:$F$19,MATCH(B624,'Move Reality'!$A$5:$A$19,0)),INDEX('Move Reality'!$F$5:$F$19,MATCH(C624,'Move Reality'!$A$5:$A$19,0)),INDEX('Move Reality'!$F$5:$F$19,MATCH(D624,'Move Reality'!$A$5:$A$19,0)),INDEX('Move Reality'!$F$5:$F$19,MATCH(E624,'Move Reality'!$A$5:$A$19,0)))</f>
        <v>5</v>
      </c>
      <c r="M624" s="28" t="str">
        <f aca="false">IF(L624&gt;=5,"YES","no - dead move")</f>
        <v>YES</v>
      </c>
    </row>
    <row r="625" customFormat="false" ht="15" hidden="false" customHeight="false" outlineLevel="0" collapsed="false">
      <c r="A625" s="17" t="n">
        <v>621</v>
      </c>
      <c r="B625" s="17" t="s">
        <v>40</v>
      </c>
      <c r="C625" s="17" t="s">
        <v>43</v>
      </c>
      <c r="D625" s="17" t="s">
        <v>50</v>
      </c>
      <c r="E625" s="17" t="s">
        <v>51</v>
      </c>
      <c r="F625" s="25" t="n">
        <f aca="false">SUMPRODUCT(--((('Yellow Bosses'!$H$5:$H$53&gt;=2)+('Yellow Bosses'!$K$5:$K$53&gt;=2)+('Yellow Bosses'!$R$5:$R$53&gt;=2)+('Yellow Bosses'!$S$5:$S$53&gt;=2))&gt;0))</f>
        <v>32</v>
      </c>
      <c r="G625" s="26" t="n">
        <f aca="false">F625/49</f>
        <v>0.653061224489796</v>
      </c>
      <c r="H625" s="25" t="n">
        <f aca="false">49-SUMPRODUCT(--((('Yellow Bosses'!$H$5:$H$53&gt;=1)+('Yellow Bosses'!$K$5:$K$53&gt;=1)+('Yellow Bosses'!$R$5:$R$53&gt;=1)+('Yellow Bosses'!$S$5:$S$53&gt;=1))&gt;0))</f>
        <v>0</v>
      </c>
      <c r="I625" s="25" t="n">
        <f aca="false">SUMPRODUCT(--((('Yellow Bosses'!$H$5:$H$53&gt;0)+('Yellow Bosses'!$K$5:$K$53&gt;0)+('Yellow Bosses'!$R$5:$R$53&gt;0)+('Yellow Bosses'!$S$5:$S$53&gt;0))=0))</f>
        <v>0</v>
      </c>
      <c r="J625" s="25" t="n">
        <f aca="false">SUMPRODUCT(--(((Effectiveness!$E$5:$E$155&gt;=2)+(Effectiveness!$H$5:$H$155&gt;=2)+(Effectiveness!$O$5:$O$155&gt;=2)+(Effectiveness!$P$5:$P$155&gt;=2))&gt;0))</f>
        <v>98</v>
      </c>
      <c r="K625" s="26" t="n">
        <f aca="false">J625/151</f>
        <v>0.649006622516556</v>
      </c>
      <c r="L625" s="25" t="n">
        <f aca="false">MIN(INDEX('Move Reality'!$F$5:$F$19,MATCH(B625,'Move Reality'!$A$5:$A$19,0)),INDEX('Move Reality'!$F$5:$F$19,MATCH(C625,'Move Reality'!$A$5:$A$19,0)),INDEX('Move Reality'!$F$5:$F$19,MATCH(D625,'Move Reality'!$A$5:$A$19,0)),INDEX('Move Reality'!$F$5:$F$19,MATCH(E625,'Move Reality'!$A$5:$A$19,0)))</f>
        <v>1</v>
      </c>
      <c r="M625" s="28" t="str">
        <f aca="false">IF(L625&gt;=5,"YES","no - dead move")</f>
        <v>no - dead move</v>
      </c>
    </row>
    <row r="626" customFormat="false" ht="15" hidden="false" customHeight="false" outlineLevel="0" collapsed="false">
      <c r="A626" s="17" t="n">
        <v>622</v>
      </c>
      <c r="B626" s="17" t="s">
        <v>43</v>
      </c>
      <c r="C626" s="17" t="s">
        <v>47</v>
      </c>
      <c r="D626" s="17" t="s">
        <v>48</v>
      </c>
      <c r="E626" s="17" t="s">
        <v>54</v>
      </c>
      <c r="F626" s="25" t="n">
        <f aca="false">SUMPRODUCT(--((('Yellow Bosses'!$K$5:$K$53&gt;=2)+('Yellow Bosses'!$O$5:$O$53&gt;=2)+('Yellow Bosses'!$P$5:$P$53&gt;=2)+('Yellow Bosses'!$V$5:$V$53&gt;=2))&gt;0))</f>
        <v>32</v>
      </c>
      <c r="G626" s="26" t="n">
        <f aca="false">F626/49</f>
        <v>0.653061224489796</v>
      </c>
      <c r="H626" s="25" t="n">
        <f aca="false">49-SUMPRODUCT(--((('Yellow Bosses'!$K$5:$K$53&gt;=1)+('Yellow Bosses'!$O$5:$O$53&gt;=1)+('Yellow Bosses'!$P$5:$P$53&gt;=1)+('Yellow Bosses'!$V$5:$V$53&gt;=1))&gt;0))</f>
        <v>0</v>
      </c>
      <c r="I626" s="25" t="n">
        <f aca="false">SUMPRODUCT(--((('Yellow Bosses'!$K$5:$K$53&gt;0)+('Yellow Bosses'!$O$5:$O$53&gt;0)+('Yellow Bosses'!$P$5:$P$53&gt;0)+('Yellow Bosses'!$V$5:$V$53&gt;0))=0))</f>
        <v>0</v>
      </c>
      <c r="J626" s="25" t="n">
        <f aca="false">SUMPRODUCT(--(((Effectiveness!$H$5:$H$155&gt;=2)+(Effectiveness!$L$5:$L$155&gt;=2)+(Effectiveness!$M$5:$M$155&gt;=2)+(Effectiveness!$S$5:$S$155&gt;=2))&gt;0))</f>
        <v>98</v>
      </c>
      <c r="K626" s="26" t="n">
        <f aca="false">J626/151</f>
        <v>0.649006622516556</v>
      </c>
      <c r="L626" s="25" t="n">
        <f aca="false">MIN(INDEX('Move Reality'!$F$5:$F$19,MATCH(B626,'Move Reality'!$A$5:$A$19,0)),INDEX('Move Reality'!$F$5:$F$19,MATCH(C626,'Move Reality'!$A$5:$A$19,0)),INDEX('Move Reality'!$F$5:$F$19,MATCH(D626,'Move Reality'!$A$5:$A$19,0)),INDEX('Move Reality'!$F$5:$F$19,MATCH(E626,'Move Reality'!$A$5:$A$19,0)))</f>
        <v>1</v>
      </c>
      <c r="M626" s="28" t="str">
        <f aca="false">IF(L626&gt;=5,"YES","no - dead move")</f>
        <v>no - dead move</v>
      </c>
    </row>
    <row r="627" customFormat="false" ht="15" hidden="false" customHeight="false" outlineLevel="0" collapsed="false">
      <c r="A627" s="17" t="n">
        <v>623</v>
      </c>
      <c r="B627" s="17" t="s">
        <v>43</v>
      </c>
      <c r="C627" s="17" t="s">
        <v>50</v>
      </c>
      <c r="D627" s="17" t="s">
        <v>51</v>
      </c>
      <c r="E627" s="17" t="s">
        <v>53</v>
      </c>
      <c r="F627" s="25" t="n">
        <f aca="false">SUMPRODUCT(--((('Yellow Bosses'!$K$5:$K$53&gt;=2)+('Yellow Bosses'!$R$5:$R$53&gt;=2)+('Yellow Bosses'!$S$5:$S$53&gt;=2)+('Yellow Bosses'!$U$5:$U$53&gt;=2))&gt;0))</f>
        <v>32</v>
      </c>
      <c r="G627" s="26" t="n">
        <f aca="false">F627/49</f>
        <v>0.653061224489796</v>
      </c>
      <c r="H627" s="25" t="n">
        <f aca="false">49-SUMPRODUCT(--((('Yellow Bosses'!$K$5:$K$53&gt;=1)+('Yellow Bosses'!$R$5:$R$53&gt;=1)+('Yellow Bosses'!$S$5:$S$53&gt;=1)+('Yellow Bosses'!$U$5:$U$53&gt;=1))&gt;0))</f>
        <v>0</v>
      </c>
      <c r="I627" s="25" t="n">
        <f aca="false">SUMPRODUCT(--((('Yellow Bosses'!$K$5:$K$53&gt;0)+('Yellow Bosses'!$R$5:$R$53&gt;0)+('Yellow Bosses'!$S$5:$S$53&gt;0)+('Yellow Bosses'!$U$5:$U$53&gt;0))=0))</f>
        <v>0</v>
      </c>
      <c r="J627" s="25" t="n">
        <f aca="false">SUMPRODUCT(--(((Effectiveness!$H$5:$H$155&gt;=2)+(Effectiveness!$O$5:$O$155&gt;=2)+(Effectiveness!$P$5:$P$155&gt;=2)+(Effectiveness!$R$5:$R$155&gt;=2))&gt;0))</f>
        <v>98</v>
      </c>
      <c r="K627" s="26" t="n">
        <f aca="false">J627/151</f>
        <v>0.649006622516556</v>
      </c>
      <c r="L627" s="25" t="n">
        <f aca="false">MIN(INDEX('Move Reality'!$F$5:$F$19,MATCH(B627,'Move Reality'!$A$5:$A$19,0)),INDEX('Move Reality'!$F$5:$F$19,MATCH(C627,'Move Reality'!$A$5:$A$19,0)),INDEX('Move Reality'!$F$5:$F$19,MATCH(D627,'Move Reality'!$A$5:$A$19,0)),INDEX('Move Reality'!$F$5:$F$19,MATCH(E627,'Move Reality'!$A$5:$A$19,0)))</f>
        <v>1</v>
      </c>
      <c r="M627" s="28" t="str">
        <f aca="false">IF(L627&gt;=5,"YES","no - dead move")</f>
        <v>no - dead move</v>
      </c>
    </row>
    <row r="628" customFormat="false" ht="15" hidden="false" customHeight="false" outlineLevel="0" collapsed="false">
      <c r="A628" s="17" t="n">
        <v>624</v>
      </c>
      <c r="B628" s="17" t="s">
        <v>46</v>
      </c>
      <c r="C628" s="17" t="s">
        <v>47</v>
      </c>
      <c r="D628" s="17" t="s">
        <v>48</v>
      </c>
      <c r="E628" s="17" t="s">
        <v>52</v>
      </c>
      <c r="F628" s="25" t="n">
        <f aca="false">SUMPRODUCT(--((('Yellow Bosses'!$N$5:$N$53&gt;=2)+('Yellow Bosses'!$O$5:$O$53&gt;=2)+('Yellow Bosses'!$P$5:$P$53&gt;=2)+('Yellow Bosses'!$T$5:$T$53&gt;=2))&gt;0))</f>
        <v>32</v>
      </c>
      <c r="G628" s="26" t="n">
        <f aca="false">F628/49</f>
        <v>0.653061224489796</v>
      </c>
      <c r="H628" s="25" t="n">
        <f aca="false">49-SUMPRODUCT(--((('Yellow Bosses'!$N$5:$N$53&gt;=1)+('Yellow Bosses'!$O$5:$O$53&gt;=1)+('Yellow Bosses'!$P$5:$P$53&gt;=1)+('Yellow Bosses'!$T$5:$T$53&gt;=1))&gt;0))</f>
        <v>0</v>
      </c>
      <c r="I628" s="25" t="n">
        <f aca="false">SUMPRODUCT(--((('Yellow Bosses'!$N$5:$N$53&gt;0)+('Yellow Bosses'!$O$5:$O$53&gt;0)+('Yellow Bosses'!$P$5:$P$53&gt;0)+('Yellow Bosses'!$T$5:$T$53&gt;0))=0))</f>
        <v>0</v>
      </c>
      <c r="J628" s="25" t="n">
        <f aca="false">SUMPRODUCT(--(((Effectiveness!$K$5:$K$155&gt;=2)+(Effectiveness!$L$5:$L$155&gt;=2)+(Effectiveness!$M$5:$M$155&gt;=2)+(Effectiveness!$Q$5:$Q$155&gt;=2))&gt;0))</f>
        <v>97</v>
      </c>
      <c r="K628" s="26" t="n">
        <f aca="false">J628/151</f>
        <v>0.642384105960265</v>
      </c>
      <c r="L628" s="25" t="n">
        <f aca="false">MIN(INDEX('Move Reality'!$F$5:$F$19,MATCH(B628,'Move Reality'!$A$5:$A$19,0)),INDEX('Move Reality'!$F$5:$F$19,MATCH(C628,'Move Reality'!$A$5:$A$19,0)),INDEX('Move Reality'!$F$5:$F$19,MATCH(D628,'Move Reality'!$A$5:$A$19,0)),INDEX('Move Reality'!$F$5:$F$19,MATCH(E628,'Move Reality'!$A$5:$A$19,0)))</f>
        <v>2</v>
      </c>
      <c r="M628" s="28" t="str">
        <f aca="false">IF(L628&gt;=5,"YES","no - dead move")</f>
        <v>no - dead move</v>
      </c>
    </row>
    <row r="629" customFormat="false" ht="15" hidden="false" customHeight="false" outlineLevel="0" collapsed="false">
      <c r="A629" s="17" t="n">
        <v>625</v>
      </c>
      <c r="B629" s="17" t="s">
        <v>40</v>
      </c>
      <c r="C629" s="17" t="s">
        <v>43</v>
      </c>
      <c r="D629" s="17" t="s">
        <v>44</v>
      </c>
      <c r="E629" s="17" t="s">
        <v>50</v>
      </c>
      <c r="F629" s="25" t="n">
        <f aca="false">SUMPRODUCT(--((('Yellow Bosses'!$H$5:$H$53&gt;=2)+('Yellow Bosses'!$K$5:$K$53&gt;=2)+('Yellow Bosses'!$L$5:$L$53&gt;=2)+('Yellow Bosses'!$R$5:$R$53&gt;=2))&gt;0))</f>
        <v>32</v>
      </c>
      <c r="G629" s="26" t="n">
        <f aca="false">F629/49</f>
        <v>0.653061224489796</v>
      </c>
      <c r="H629" s="25" t="n">
        <f aca="false">49-SUMPRODUCT(--((('Yellow Bosses'!$H$5:$H$53&gt;=1)+('Yellow Bosses'!$K$5:$K$53&gt;=1)+('Yellow Bosses'!$L$5:$L$53&gt;=1)+('Yellow Bosses'!$R$5:$R$53&gt;=1))&gt;0))</f>
        <v>0</v>
      </c>
      <c r="I629" s="25" t="n">
        <f aca="false">SUMPRODUCT(--((('Yellow Bosses'!$H$5:$H$53&gt;0)+('Yellow Bosses'!$K$5:$K$53&gt;0)+('Yellow Bosses'!$L$5:$L$53&gt;0)+('Yellow Bosses'!$R$5:$R$53&gt;0))=0))</f>
        <v>0</v>
      </c>
      <c r="J629" s="25" t="n">
        <f aca="false">SUMPRODUCT(--(((Effectiveness!$E$5:$E$155&gt;=2)+(Effectiveness!$H$5:$H$155&gt;=2)+(Effectiveness!$I$5:$I$155&gt;=2)+(Effectiveness!$O$5:$O$155&gt;=2))&gt;0))</f>
        <v>96</v>
      </c>
      <c r="K629" s="26" t="n">
        <f aca="false">J629/151</f>
        <v>0.635761589403974</v>
      </c>
      <c r="L629" s="25" t="n">
        <f aca="false">MIN(INDEX('Move Reality'!$F$5:$F$19,MATCH(B629,'Move Reality'!$A$5:$A$19,0)),INDEX('Move Reality'!$F$5:$F$19,MATCH(C629,'Move Reality'!$A$5:$A$19,0)),INDEX('Move Reality'!$F$5:$F$19,MATCH(D629,'Move Reality'!$A$5:$A$19,0)),INDEX('Move Reality'!$F$5:$F$19,MATCH(E629,'Move Reality'!$A$5:$A$19,0)))</f>
        <v>4</v>
      </c>
      <c r="M629" s="28" t="str">
        <f aca="false">IF(L629&gt;=5,"YES","no - dead move")</f>
        <v>no - dead move</v>
      </c>
    </row>
    <row r="630" customFormat="false" ht="15" hidden="false" customHeight="false" outlineLevel="0" collapsed="false">
      <c r="A630" s="17" t="n">
        <v>626</v>
      </c>
      <c r="B630" s="17" t="s">
        <v>40</v>
      </c>
      <c r="C630" s="17" t="s">
        <v>46</v>
      </c>
      <c r="D630" s="17" t="s">
        <v>48</v>
      </c>
      <c r="E630" s="17" t="s">
        <v>49</v>
      </c>
      <c r="F630" s="25" t="n">
        <f aca="false">SUMPRODUCT(--((('Yellow Bosses'!$H$5:$H$53&gt;=2)+('Yellow Bosses'!$N$5:$N$53&gt;=2)+('Yellow Bosses'!$P$5:$P$53&gt;=2)+('Yellow Bosses'!$Q$5:$Q$53&gt;=2))&gt;0))</f>
        <v>32</v>
      </c>
      <c r="G630" s="26" t="n">
        <f aca="false">F630/49</f>
        <v>0.653061224489796</v>
      </c>
      <c r="H630" s="25" t="n">
        <f aca="false">49-SUMPRODUCT(--((('Yellow Bosses'!$H$5:$H$53&gt;=1)+('Yellow Bosses'!$N$5:$N$53&gt;=1)+('Yellow Bosses'!$P$5:$P$53&gt;=1)+('Yellow Bosses'!$Q$5:$Q$53&gt;=1))&gt;0))</f>
        <v>0</v>
      </c>
      <c r="I630" s="25" t="n">
        <f aca="false">SUMPRODUCT(--((('Yellow Bosses'!$H$5:$H$53&gt;0)+('Yellow Bosses'!$N$5:$N$53&gt;0)+('Yellow Bosses'!$P$5:$P$53&gt;0)+('Yellow Bosses'!$Q$5:$Q$53&gt;0))=0))</f>
        <v>0</v>
      </c>
      <c r="J630" s="25" t="n">
        <f aca="false">SUMPRODUCT(--(((Effectiveness!$E$5:$E$155&gt;=2)+(Effectiveness!$K$5:$K$155&gt;=2)+(Effectiveness!$M$5:$M$155&gt;=2)+(Effectiveness!$N$5:$N$155&gt;=2))&gt;0))</f>
        <v>96</v>
      </c>
      <c r="K630" s="26" t="n">
        <f aca="false">J630/151</f>
        <v>0.635761589403974</v>
      </c>
      <c r="L630" s="25" t="n">
        <f aca="false">MIN(INDEX('Move Reality'!$F$5:$F$19,MATCH(B630,'Move Reality'!$A$5:$A$19,0)),INDEX('Move Reality'!$F$5:$F$19,MATCH(C630,'Move Reality'!$A$5:$A$19,0)),INDEX('Move Reality'!$F$5:$F$19,MATCH(D630,'Move Reality'!$A$5:$A$19,0)),INDEX('Move Reality'!$F$5:$F$19,MATCH(E630,'Move Reality'!$A$5:$A$19,0)))</f>
        <v>5</v>
      </c>
      <c r="M630" s="28" t="str">
        <f aca="false">IF(L630&gt;=5,"YES","no - dead move")</f>
        <v>YES</v>
      </c>
    </row>
    <row r="631" customFormat="false" ht="15" hidden="false" customHeight="false" outlineLevel="0" collapsed="false">
      <c r="A631" s="17" t="n">
        <v>627</v>
      </c>
      <c r="B631" s="17" t="s">
        <v>42</v>
      </c>
      <c r="C631" s="17" t="s">
        <v>43</v>
      </c>
      <c r="D631" s="17" t="s">
        <v>48</v>
      </c>
      <c r="E631" s="17" t="s">
        <v>54</v>
      </c>
      <c r="F631" s="25" t="n">
        <f aca="false">SUMPRODUCT(--((('Yellow Bosses'!$J$5:$J$53&gt;=2)+('Yellow Bosses'!$K$5:$K$53&gt;=2)+('Yellow Bosses'!$P$5:$P$53&gt;=2)+('Yellow Bosses'!$V$5:$V$53&gt;=2))&gt;0))</f>
        <v>32</v>
      </c>
      <c r="G631" s="26" t="n">
        <f aca="false">F631/49</f>
        <v>0.653061224489796</v>
      </c>
      <c r="H631" s="25" t="n">
        <f aca="false">49-SUMPRODUCT(--((('Yellow Bosses'!$J$5:$J$53&gt;=1)+('Yellow Bosses'!$K$5:$K$53&gt;=1)+('Yellow Bosses'!$P$5:$P$53&gt;=1)+('Yellow Bosses'!$V$5:$V$53&gt;=1))&gt;0))</f>
        <v>0</v>
      </c>
      <c r="I631" s="25" t="n">
        <f aca="false">SUMPRODUCT(--((('Yellow Bosses'!$J$5:$J$53&gt;0)+('Yellow Bosses'!$K$5:$K$53&gt;0)+('Yellow Bosses'!$P$5:$P$53&gt;0)+('Yellow Bosses'!$V$5:$V$53&gt;0))=0))</f>
        <v>0</v>
      </c>
      <c r="J631" s="25" t="n">
        <f aca="false">SUMPRODUCT(--(((Effectiveness!$G$5:$G$155&gt;=2)+(Effectiveness!$H$5:$H$155&gt;=2)+(Effectiveness!$M$5:$M$155&gt;=2)+(Effectiveness!$S$5:$S$155&gt;=2))&gt;0))</f>
        <v>96</v>
      </c>
      <c r="K631" s="26" t="n">
        <f aca="false">J631/151</f>
        <v>0.635761589403974</v>
      </c>
      <c r="L631" s="25" t="n">
        <f aca="false">MIN(INDEX('Move Reality'!$F$5:$F$19,MATCH(B631,'Move Reality'!$A$5:$A$19,0)),INDEX('Move Reality'!$F$5:$F$19,MATCH(C631,'Move Reality'!$A$5:$A$19,0)),INDEX('Move Reality'!$F$5:$F$19,MATCH(D631,'Move Reality'!$A$5:$A$19,0)),INDEX('Move Reality'!$F$5:$F$19,MATCH(E631,'Move Reality'!$A$5:$A$19,0)))</f>
        <v>1</v>
      </c>
      <c r="M631" s="28" t="str">
        <f aca="false">IF(L631&gt;=5,"YES","no - dead move")</f>
        <v>no - dead move</v>
      </c>
    </row>
    <row r="632" customFormat="false" ht="15" hidden="false" customHeight="false" outlineLevel="0" collapsed="false">
      <c r="A632" s="17" t="n">
        <v>628</v>
      </c>
      <c r="B632" s="17" t="s">
        <v>43</v>
      </c>
      <c r="C632" s="17" t="s">
        <v>44</v>
      </c>
      <c r="D632" s="17" t="s">
        <v>48</v>
      </c>
      <c r="E632" s="17" t="s">
        <v>54</v>
      </c>
      <c r="F632" s="25" t="n">
        <f aca="false">SUMPRODUCT(--((('Yellow Bosses'!$K$5:$K$53&gt;=2)+('Yellow Bosses'!$L$5:$L$53&gt;=2)+('Yellow Bosses'!$P$5:$P$53&gt;=2)+('Yellow Bosses'!$V$5:$V$53&gt;=2))&gt;0))</f>
        <v>32</v>
      </c>
      <c r="G632" s="26" t="n">
        <f aca="false">F632/49</f>
        <v>0.653061224489796</v>
      </c>
      <c r="H632" s="25" t="n">
        <f aca="false">49-SUMPRODUCT(--((('Yellow Bosses'!$K$5:$K$53&gt;=1)+('Yellow Bosses'!$L$5:$L$53&gt;=1)+('Yellow Bosses'!$P$5:$P$53&gt;=1)+('Yellow Bosses'!$V$5:$V$53&gt;=1))&gt;0))</f>
        <v>0</v>
      </c>
      <c r="I632" s="25" t="n">
        <f aca="false">SUMPRODUCT(--((('Yellow Bosses'!$K$5:$K$53&gt;0)+('Yellow Bosses'!$L$5:$L$53&gt;0)+('Yellow Bosses'!$P$5:$P$53&gt;0)+('Yellow Bosses'!$V$5:$V$53&gt;0))=0))</f>
        <v>0</v>
      </c>
      <c r="J632" s="25" t="n">
        <f aca="false">SUMPRODUCT(--(((Effectiveness!$H$5:$H$155&gt;=2)+(Effectiveness!$I$5:$I$155&gt;=2)+(Effectiveness!$M$5:$M$155&gt;=2)+(Effectiveness!$S$5:$S$155&gt;=2))&gt;0))</f>
        <v>96</v>
      </c>
      <c r="K632" s="26" t="n">
        <f aca="false">J632/151</f>
        <v>0.635761589403974</v>
      </c>
      <c r="L632" s="25" t="n">
        <f aca="false">MIN(INDEX('Move Reality'!$F$5:$F$19,MATCH(B632,'Move Reality'!$A$5:$A$19,0)),INDEX('Move Reality'!$F$5:$F$19,MATCH(C632,'Move Reality'!$A$5:$A$19,0)),INDEX('Move Reality'!$F$5:$F$19,MATCH(D632,'Move Reality'!$A$5:$A$19,0)),INDEX('Move Reality'!$F$5:$F$19,MATCH(E632,'Move Reality'!$A$5:$A$19,0)))</f>
        <v>1</v>
      </c>
      <c r="M632" s="28" t="str">
        <f aca="false">IF(L632&gt;=5,"YES","no - dead move")</f>
        <v>no - dead move</v>
      </c>
    </row>
    <row r="633" customFormat="false" ht="15" hidden="false" customHeight="false" outlineLevel="0" collapsed="false">
      <c r="A633" s="17" t="n">
        <v>629</v>
      </c>
      <c r="B633" s="17" t="s">
        <v>43</v>
      </c>
      <c r="C633" s="17" t="s">
        <v>44</v>
      </c>
      <c r="D633" s="17" t="s">
        <v>50</v>
      </c>
      <c r="E633" s="17" t="s">
        <v>53</v>
      </c>
      <c r="F633" s="25" t="n">
        <f aca="false">SUMPRODUCT(--((('Yellow Bosses'!$K$5:$K$53&gt;=2)+('Yellow Bosses'!$L$5:$L$53&gt;=2)+('Yellow Bosses'!$R$5:$R$53&gt;=2)+('Yellow Bosses'!$U$5:$U$53&gt;=2))&gt;0))</f>
        <v>32</v>
      </c>
      <c r="G633" s="26" t="n">
        <f aca="false">F633/49</f>
        <v>0.653061224489796</v>
      </c>
      <c r="H633" s="25" t="n">
        <f aca="false">49-SUMPRODUCT(--((('Yellow Bosses'!$K$5:$K$53&gt;=1)+('Yellow Bosses'!$L$5:$L$53&gt;=1)+('Yellow Bosses'!$R$5:$R$53&gt;=1)+('Yellow Bosses'!$U$5:$U$53&gt;=1))&gt;0))</f>
        <v>1</v>
      </c>
      <c r="I633" s="25" t="n">
        <f aca="false">SUMPRODUCT(--((('Yellow Bosses'!$K$5:$K$53&gt;0)+('Yellow Bosses'!$L$5:$L$53&gt;0)+('Yellow Bosses'!$R$5:$R$53&gt;0)+('Yellow Bosses'!$U$5:$U$53&gt;0))=0))</f>
        <v>0</v>
      </c>
      <c r="J633" s="25" t="n">
        <f aca="false">SUMPRODUCT(--(((Effectiveness!$H$5:$H$155&gt;=2)+(Effectiveness!$I$5:$I$155&gt;=2)+(Effectiveness!$O$5:$O$155&gt;=2)+(Effectiveness!$R$5:$R$155&gt;=2))&gt;0))</f>
        <v>96</v>
      </c>
      <c r="K633" s="26" t="n">
        <f aca="false">J633/151</f>
        <v>0.635761589403974</v>
      </c>
      <c r="L633" s="25" t="n">
        <f aca="false">MIN(INDEX('Move Reality'!$F$5:$F$19,MATCH(B633,'Move Reality'!$A$5:$A$19,0)),INDEX('Move Reality'!$F$5:$F$19,MATCH(C633,'Move Reality'!$A$5:$A$19,0)),INDEX('Move Reality'!$F$5:$F$19,MATCH(D633,'Move Reality'!$A$5:$A$19,0)),INDEX('Move Reality'!$F$5:$F$19,MATCH(E633,'Move Reality'!$A$5:$A$19,0)))</f>
        <v>1</v>
      </c>
      <c r="M633" s="28" t="str">
        <f aca="false">IF(L633&gt;=5,"YES","no - dead move")</f>
        <v>no - dead move</v>
      </c>
    </row>
    <row r="634" customFormat="false" ht="15" hidden="false" customHeight="false" outlineLevel="0" collapsed="false">
      <c r="A634" s="17" t="n">
        <v>630</v>
      </c>
      <c r="B634" s="17" t="s">
        <v>46</v>
      </c>
      <c r="C634" s="17" t="s">
        <v>47</v>
      </c>
      <c r="D634" s="17" t="s">
        <v>48</v>
      </c>
      <c r="E634" s="17" t="s">
        <v>49</v>
      </c>
      <c r="F634" s="25" t="n">
        <f aca="false">SUMPRODUCT(--((('Yellow Bosses'!$N$5:$N$53&gt;=2)+('Yellow Bosses'!$O$5:$O$53&gt;=2)+('Yellow Bosses'!$P$5:$P$53&gt;=2)+('Yellow Bosses'!$Q$5:$Q$53&gt;=2))&gt;0))</f>
        <v>32</v>
      </c>
      <c r="G634" s="26" t="n">
        <f aca="false">F634/49</f>
        <v>0.653061224489796</v>
      </c>
      <c r="H634" s="25" t="n">
        <f aca="false">49-SUMPRODUCT(--((('Yellow Bosses'!$N$5:$N$53&gt;=1)+('Yellow Bosses'!$O$5:$O$53&gt;=1)+('Yellow Bosses'!$P$5:$P$53&gt;=1)+('Yellow Bosses'!$Q$5:$Q$53&gt;=1))&gt;0))</f>
        <v>0</v>
      </c>
      <c r="I634" s="25" t="n">
        <f aca="false">SUMPRODUCT(--((('Yellow Bosses'!$N$5:$N$53&gt;0)+('Yellow Bosses'!$O$5:$O$53&gt;0)+('Yellow Bosses'!$P$5:$P$53&gt;0)+('Yellow Bosses'!$Q$5:$Q$53&gt;0))=0))</f>
        <v>0</v>
      </c>
      <c r="J634" s="25" t="n">
        <f aca="false">SUMPRODUCT(--(((Effectiveness!$K$5:$K$155&gt;=2)+(Effectiveness!$L$5:$L$155&gt;=2)+(Effectiveness!$M$5:$M$155&gt;=2)+(Effectiveness!$N$5:$N$155&gt;=2))&gt;0))</f>
        <v>96</v>
      </c>
      <c r="K634" s="26" t="n">
        <f aca="false">J634/151</f>
        <v>0.635761589403974</v>
      </c>
      <c r="L634" s="25" t="n">
        <f aca="false">MIN(INDEX('Move Reality'!$F$5:$F$19,MATCH(B634,'Move Reality'!$A$5:$A$19,0)),INDEX('Move Reality'!$F$5:$F$19,MATCH(C634,'Move Reality'!$A$5:$A$19,0)),INDEX('Move Reality'!$F$5:$F$19,MATCH(D634,'Move Reality'!$A$5:$A$19,0)),INDEX('Move Reality'!$F$5:$F$19,MATCH(E634,'Move Reality'!$A$5:$A$19,0)))</f>
        <v>2</v>
      </c>
      <c r="M634" s="28" t="str">
        <f aca="false">IF(L634&gt;=5,"YES","no - dead move")</f>
        <v>no - dead move</v>
      </c>
    </row>
    <row r="635" customFormat="false" ht="15" hidden="false" customHeight="false" outlineLevel="0" collapsed="false">
      <c r="A635" s="17" t="n">
        <v>631</v>
      </c>
      <c r="B635" s="17" t="s">
        <v>46</v>
      </c>
      <c r="C635" s="17" t="s">
        <v>48</v>
      </c>
      <c r="D635" s="17" t="s">
        <v>49</v>
      </c>
      <c r="E635" s="17" t="s">
        <v>53</v>
      </c>
      <c r="F635" s="25" t="n">
        <f aca="false">SUMPRODUCT(--((('Yellow Bosses'!$N$5:$N$53&gt;=2)+('Yellow Bosses'!$P$5:$P$53&gt;=2)+('Yellow Bosses'!$Q$5:$Q$53&gt;=2)+('Yellow Bosses'!$U$5:$U$53&gt;=2))&gt;0))</f>
        <v>32</v>
      </c>
      <c r="G635" s="26" t="n">
        <f aca="false">F635/49</f>
        <v>0.653061224489796</v>
      </c>
      <c r="H635" s="25" t="n">
        <f aca="false">49-SUMPRODUCT(--((('Yellow Bosses'!$N$5:$N$53&gt;=1)+('Yellow Bosses'!$P$5:$P$53&gt;=1)+('Yellow Bosses'!$Q$5:$Q$53&gt;=1)+('Yellow Bosses'!$U$5:$U$53&gt;=1))&gt;0))</f>
        <v>0</v>
      </c>
      <c r="I635" s="25" t="n">
        <f aca="false">SUMPRODUCT(--((('Yellow Bosses'!$N$5:$N$53&gt;0)+('Yellow Bosses'!$P$5:$P$53&gt;0)+('Yellow Bosses'!$Q$5:$Q$53&gt;0)+('Yellow Bosses'!$U$5:$U$53&gt;0))=0))</f>
        <v>0</v>
      </c>
      <c r="J635" s="25" t="n">
        <f aca="false">SUMPRODUCT(--(((Effectiveness!$K$5:$K$155&gt;=2)+(Effectiveness!$M$5:$M$155&gt;=2)+(Effectiveness!$N$5:$N$155&gt;=2)+(Effectiveness!$R$5:$R$155&gt;=2))&gt;0))</f>
        <v>96</v>
      </c>
      <c r="K635" s="26" t="n">
        <f aca="false">J635/151</f>
        <v>0.635761589403974</v>
      </c>
      <c r="L635" s="25" t="n">
        <f aca="false">MIN(INDEX('Move Reality'!$F$5:$F$19,MATCH(B635,'Move Reality'!$A$5:$A$19,0)),INDEX('Move Reality'!$F$5:$F$19,MATCH(C635,'Move Reality'!$A$5:$A$19,0)),INDEX('Move Reality'!$F$5:$F$19,MATCH(D635,'Move Reality'!$A$5:$A$19,0)),INDEX('Move Reality'!$F$5:$F$19,MATCH(E635,'Move Reality'!$A$5:$A$19,0)))</f>
        <v>1</v>
      </c>
      <c r="M635" s="28" t="str">
        <f aca="false">IF(L635&gt;=5,"YES","no - dead move")</f>
        <v>no - dead move</v>
      </c>
    </row>
    <row r="636" customFormat="false" ht="15" hidden="false" customHeight="false" outlineLevel="0" collapsed="false">
      <c r="A636" s="17" t="n">
        <v>632</v>
      </c>
      <c r="B636" s="17" t="s">
        <v>46</v>
      </c>
      <c r="C636" s="17" t="s">
        <v>48</v>
      </c>
      <c r="D636" s="17" t="s">
        <v>52</v>
      </c>
      <c r="E636" s="17" t="s">
        <v>54</v>
      </c>
      <c r="F636" s="25" t="n">
        <f aca="false">SUMPRODUCT(--((('Yellow Bosses'!$N$5:$N$53&gt;=2)+('Yellow Bosses'!$P$5:$P$53&gt;=2)+('Yellow Bosses'!$T$5:$T$53&gt;=2)+('Yellow Bosses'!$V$5:$V$53&gt;=2))&gt;0))</f>
        <v>32</v>
      </c>
      <c r="G636" s="26" t="n">
        <f aca="false">F636/49</f>
        <v>0.653061224489796</v>
      </c>
      <c r="H636" s="25" t="n">
        <f aca="false">49-SUMPRODUCT(--((('Yellow Bosses'!$N$5:$N$53&gt;=1)+('Yellow Bosses'!$P$5:$P$53&gt;=1)+('Yellow Bosses'!$T$5:$T$53&gt;=1)+('Yellow Bosses'!$V$5:$V$53&gt;=1))&gt;0))</f>
        <v>0</v>
      </c>
      <c r="I636" s="25" t="n">
        <f aca="false">SUMPRODUCT(--((('Yellow Bosses'!$N$5:$N$53&gt;0)+('Yellow Bosses'!$P$5:$P$53&gt;0)+('Yellow Bosses'!$T$5:$T$53&gt;0)+('Yellow Bosses'!$V$5:$V$53&gt;0))=0))</f>
        <v>0</v>
      </c>
      <c r="J636" s="25" t="n">
        <f aca="false">SUMPRODUCT(--(((Effectiveness!$K$5:$K$155&gt;=2)+(Effectiveness!$M$5:$M$155&gt;=2)+(Effectiveness!$Q$5:$Q$155&gt;=2)+(Effectiveness!$S$5:$S$155&gt;=2))&gt;0))</f>
        <v>96</v>
      </c>
      <c r="K636" s="26" t="n">
        <f aca="false">J636/151</f>
        <v>0.635761589403974</v>
      </c>
      <c r="L636" s="25" t="n">
        <f aca="false">MIN(INDEX('Move Reality'!$F$5:$F$19,MATCH(B636,'Move Reality'!$A$5:$A$19,0)),INDEX('Move Reality'!$F$5:$F$19,MATCH(C636,'Move Reality'!$A$5:$A$19,0)),INDEX('Move Reality'!$F$5:$F$19,MATCH(D636,'Move Reality'!$A$5:$A$19,0)),INDEX('Move Reality'!$F$5:$F$19,MATCH(E636,'Move Reality'!$A$5:$A$19,0)))</f>
        <v>1</v>
      </c>
      <c r="M636" s="28" t="str">
        <f aca="false">IF(L636&gt;=5,"YES","no - dead move")</f>
        <v>no - dead move</v>
      </c>
    </row>
    <row r="637" customFormat="false" ht="15" hidden="false" customHeight="false" outlineLevel="0" collapsed="false">
      <c r="A637" s="17" t="n">
        <v>633</v>
      </c>
      <c r="B637" s="17" t="s">
        <v>40</v>
      </c>
      <c r="C637" s="17" t="s">
        <v>41</v>
      </c>
      <c r="D637" s="17" t="s">
        <v>42</v>
      </c>
      <c r="E637" s="17" t="s">
        <v>43</v>
      </c>
      <c r="F637" s="25" t="n">
        <f aca="false">SUMPRODUCT(--((('Yellow Bosses'!$H$5:$H$53&gt;=2)+('Yellow Bosses'!$I$5:$I$53&gt;=2)+('Yellow Bosses'!$J$5:$J$53&gt;=2)+('Yellow Bosses'!$K$5:$K$53&gt;=2))&gt;0))</f>
        <v>32</v>
      </c>
      <c r="G637" s="26" t="n">
        <f aca="false">F637/49</f>
        <v>0.653061224489796</v>
      </c>
      <c r="H637" s="25" t="n">
        <f aca="false">49-SUMPRODUCT(--((('Yellow Bosses'!$H$5:$H$53&gt;=1)+('Yellow Bosses'!$I$5:$I$53&gt;=1)+('Yellow Bosses'!$J$5:$J$53&gt;=1)+('Yellow Bosses'!$K$5:$K$53&gt;=1))&gt;0))</f>
        <v>0</v>
      </c>
      <c r="I637" s="25" t="n">
        <f aca="false">SUMPRODUCT(--((('Yellow Bosses'!$H$5:$H$53&gt;0)+('Yellow Bosses'!$I$5:$I$53&gt;0)+('Yellow Bosses'!$J$5:$J$53&gt;0)+('Yellow Bosses'!$K$5:$K$53&gt;0))=0))</f>
        <v>0</v>
      </c>
      <c r="J637" s="25" t="n">
        <f aca="false">SUMPRODUCT(--(((Effectiveness!$E$5:$E$155&gt;=2)+(Effectiveness!$F$5:$F$155&gt;=2)+(Effectiveness!$G$5:$G$155&gt;=2)+(Effectiveness!$H$5:$H$155&gt;=2))&gt;0))</f>
        <v>95</v>
      </c>
      <c r="K637" s="26" t="n">
        <f aca="false">J637/151</f>
        <v>0.629139072847682</v>
      </c>
      <c r="L637" s="25" t="n">
        <f aca="false">MIN(INDEX('Move Reality'!$F$5:$F$19,MATCH(B637,'Move Reality'!$A$5:$A$19,0)),INDEX('Move Reality'!$F$5:$F$19,MATCH(C637,'Move Reality'!$A$5:$A$19,0)),INDEX('Move Reality'!$F$5:$F$19,MATCH(D637,'Move Reality'!$A$5:$A$19,0)),INDEX('Move Reality'!$F$5:$F$19,MATCH(E637,'Move Reality'!$A$5:$A$19,0)))</f>
        <v>7</v>
      </c>
      <c r="M637" s="28" t="str">
        <f aca="false">IF(L637&gt;=5,"YES","no - dead move")</f>
        <v>YES</v>
      </c>
    </row>
    <row r="638" customFormat="false" ht="15" hidden="false" customHeight="false" outlineLevel="0" collapsed="false">
      <c r="A638" s="17" t="n">
        <v>634</v>
      </c>
      <c r="B638" s="17" t="s">
        <v>41</v>
      </c>
      <c r="C638" s="17" t="s">
        <v>42</v>
      </c>
      <c r="D638" s="17" t="s">
        <v>43</v>
      </c>
      <c r="E638" s="17" t="s">
        <v>44</v>
      </c>
      <c r="F638" s="25" t="n">
        <f aca="false">SUMPRODUCT(--((('Yellow Bosses'!$I$5:$I$53&gt;=2)+('Yellow Bosses'!$J$5:$J$53&gt;=2)+('Yellow Bosses'!$K$5:$K$53&gt;=2)+('Yellow Bosses'!$L$5:$L$53&gt;=2))&gt;0))</f>
        <v>32</v>
      </c>
      <c r="G638" s="26" t="n">
        <f aca="false">F638/49</f>
        <v>0.653061224489796</v>
      </c>
      <c r="H638" s="25" t="n">
        <f aca="false">49-SUMPRODUCT(--((('Yellow Bosses'!$I$5:$I$53&gt;=1)+('Yellow Bosses'!$J$5:$J$53&gt;=1)+('Yellow Bosses'!$K$5:$K$53&gt;=1)+('Yellow Bosses'!$L$5:$L$53&gt;=1))&gt;0))</f>
        <v>2</v>
      </c>
      <c r="I638" s="25" t="n">
        <f aca="false">SUMPRODUCT(--((('Yellow Bosses'!$I$5:$I$53&gt;0)+('Yellow Bosses'!$J$5:$J$53&gt;0)+('Yellow Bosses'!$K$5:$K$53&gt;0)+('Yellow Bosses'!$L$5:$L$53&gt;0))=0))</f>
        <v>0</v>
      </c>
      <c r="J638" s="25" t="n">
        <f aca="false">SUMPRODUCT(--(((Effectiveness!$F$5:$F$155&gt;=2)+(Effectiveness!$G$5:$G$155&gt;=2)+(Effectiveness!$H$5:$H$155&gt;=2)+(Effectiveness!$I$5:$I$155&gt;=2))&gt;0))</f>
        <v>95</v>
      </c>
      <c r="K638" s="26" t="n">
        <f aca="false">J638/151</f>
        <v>0.629139072847682</v>
      </c>
      <c r="L638" s="25" t="n">
        <f aca="false">MIN(INDEX('Move Reality'!$F$5:$F$19,MATCH(B638,'Move Reality'!$A$5:$A$19,0)),INDEX('Move Reality'!$F$5:$F$19,MATCH(C638,'Move Reality'!$A$5:$A$19,0)),INDEX('Move Reality'!$F$5:$F$19,MATCH(D638,'Move Reality'!$A$5:$A$19,0)),INDEX('Move Reality'!$F$5:$F$19,MATCH(E638,'Move Reality'!$A$5:$A$19,0)))</f>
        <v>4</v>
      </c>
      <c r="M638" s="28" t="str">
        <f aca="false">IF(L638&gt;=5,"YES","no - dead move")</f>
        <v>no - dead move</v>
      </c>
    </row>
    <row r="639" customFormat="false" ht="15" hidden="false" customHeight="false" outlineLevel="0" collapsed="false">
      <c r="A639" s="17" t="n">
        <v>635</v>
      </c>
      <c r="B639" s="17" t="s">
        <v>41</v>
      </c>
      <c r="C639" s="17" t="s">
        <v>42</v>
      </c>
      <c r="D639" s="17" t="s">
        <v>43</v>
      </c>
      <c r="E639" s="17" t="s">
        <v>47</v>
      </c>
      <c r="F639" s="25" t="n">
        <f aca="false">SUMPRODUCT(--((('Yellow Bosses'!$I$5:$I$53&gt;=2)+('Yellow Bosses'!$J$5:$J$53&gt;=2)+('Yellow Bosses'!$K$5:$K$53&gt;=2)+('Yellow Bosses'!$O$5:$O$53&gt;=2))&gt;0))</f>
        <v>32</v>
      </c>
      <c r="G639" s="26" t="n">
        <f aca="false">F639/49</f>
        <v>0.653061224489796</v>
      </c>
      <c r="H639" s="25" t="n">
        <f aca="false">49-SUMPRODUCT(--((('Yellow Bosses'!$I$5:$I$53&gt;=1)+('Yellow Bosses'!$J$5:$J$53&gt;=1)+('Yellow Bosses'!$K$5:$K$53&gt;=1)+('Yellow Bosses'!$O$5:$O$53&gt;=1))&gt;0))</f>
        <v>0</v>
      </c>
      <c r="I639" s="25" t="n">
        <f aca="false">SUMPRODUCT(--((('Yellow Bosses'!$I$5:$I$53&gt;0)+('Yellow Bosses'!$J$5:$J$53&gt;0)+('Yellow Bosses'!$K$5:$K$53&gt;0)+('Yellow Bosses'!$O$5:$O$53&gt;0))=0))</f>
        <v>0</v>
      </c>
      <c r="J639" s="25" t="n">
        <f aca="false">SUMPRODUCT(--(((Effectiveness!$F$5:$F$155&gt;=2)+(Effectiveness!$G$5:$G$155&gt;=2)+(Effectiveness!$H$5:$H$155&gt;=2)+(Effectiveness!$L$5:$L$155&gt;=2))&gt;0))</f>
        <v>95</v>
      </c>
      <c r="K639" s="26" t="n">
        <f aca="false">J639/151</f>
        <v>0.629139072847682</v>
      </c>
      <c r="L639" s="25" t="n">
        <f aca="false">MIN(INDEX('Move Reality'!$F$5:$F$19,MATCH(B639,'Move Reality'!$A$5:$A$19,0)),INDEX('Move Reality'!$F$5:$F$19,MATCH(C639,'Move Reality'!$A$5:$A$19,0)),INDEX('Move Reality'!$F$5:$F$19,MATCH(D639,'Move Reality'!$A$5:$A$19,0)),INDEX('Move Reality'!$F$5:$F$19,MATCH(E639,'Move Reality'!$A$5:$A$19,0)))</f>
        <v>2</v>
      </c>
      <c r="M639" s="28" t="str">
        <f aca="false">IF(L639&gt;=5,"YES","no - dead move")</f>
        <v>no - dead move</v>
      </c>
    </row>
    <row r="640" customFormat="false" ht="15" hidden="false" customHeight="false" outlineLevel="0" collapsed="false">
      <c r="A640" s="17" t="n">
        <v>636</v>
      </c>
      <c r="B640" s="17" t="s">
        <v>43</v>
      </c>
      <c r="C640" s="17" t="s">
        <v>51</v>
      </c>
      <c r="D640" s="17" t="s">
        <v>53</v>
      </c>
      <c r="E640" s="17" t="s">
        <v>54</v>
      </c>
      <c r="F640" s="25" t="n">
        <f aca="false">SUMPRODUCT(--((('Yellow Bosses'!$K$5:$K$53&gt;=2)+('Yellow Bosses'!$S$5:$S$53&gt;=2)+('Yellow Bosses'!$U$5:$U$53&gt;=2)+('Yellow Bosses'!$V$5:$V$53&gt;=2))&gt;0))</f>
        <v>32</v>
      </c>
      <c r="G640" s="26" t="n">
        <f aca="false">F640/49</f>
        <v>0.653061224489796</v>
      </c>
      <c r="H640" s="25" t="n">
        <f aca="false">49-SUMPRODUCT(--((('Yellow Bosses'!$K$5:$K$53&gt;=1)+('Yellow Bosses'!$S$5:$S$53&gt;=1)+('Yellow Bosses'!$U$5:$U$53&gt;=1)+('Yellow Bosses'!$V$5:$V$53&gt;=1))&gt;0))</f>
        <v>0</v>
      </c>
      <c r="I640" s="25" t="n">
        <f aca="false">SUMPRODUCT(--((('Yellow Bosses'!$K$5:$K$53&gt;0)+('Yellow Bosses'!$S$5:$S$53&gt;0)+('Yellow Bosses'!$U$5:$U$53&gt;0)+('Yellow Bosses'!$V$5:$V$53&gt;0))=0))</f>
        <v>0</v>
      </c>
      <c r="J640" s="25" t="n">
        <f aca="false">SUMPRODUCT(--(((Effectiveness!$H$5:$H$155&gt;=2)+(Effectiveness!$P$5:$P$155&gt;=2)+(Effectiveness!$R$5:$R$155&gt;=2)+(Effectiveness!$S$5:$S$155&gt;=2))&gt;0))</f>
        <v>94</v>
      </c>
      <c r="K640" s="26" t="n">
        <f aca="false">J640/151</f>
        <v>0.622516556291391</v>
      </c>
      <c r="L640" s="25" t="n">
        <f aca="false">MIN(INDEX('Move Reality'!$F$5:$F$19,MATCH(B640,'Move Reality'!$A$5:$A$19,0)),INDEX('Move Reality'!$F$5:$F$19,MATCH(C640,'Move Reality'!$A$5:$A$19,0)),INDEX('Move Reality'!$F$5:$F$19,MATCH(D640,'Move Reality'!$A$5:$A$19,0)),INDEX('Move Reality'!$F$5:$F$19,MATCH(E640,'Move Reality'!$A$5:$A$19,0)))</f>
        <v>1</v>
      </c>
      <c r="M640" s="28" t="str">
        <f aca="false">IF(L640&gt;=5,"YES","no - dead move")</f>
        <v>no - dead move</v>
      </c>
    </row>
    <row r="641" customFormat="false" ht="15" hidden="false" customHeight="false" outlineLevel="0" collapsed="false">
      <c r="A641" s="17" t="n">
        <v>637</v>
      </c>
      <c r="B641" s="17" t="s">
        <v>46</v>
      </c>
      <c r="C641" s="17" t="s">
        <v>49</v>
      </c>
      <c r="D641" s="17" t="s">
        <v>52</v>
      </c>
      <c r="E641" s="17" t="s">
        <v>53</v>
      </c>
      <c r="F641" s="25" t="n">
        <f aca="false">SUMPRODUCT(--((('Yellow Bosses'!$N$5:$N$53&gt;=2)+('Yellow Bosses'!$Q$5:$Q$53&gt;=2)+('Yellow Bosses'!$T$5:$T$53&gt;=2)+('Yellow Bosses'!$U$5:$U$53&gt;=2))&gt;0))</f>
        <v>32</v>
      </c>
      <c r="G641" s="26" t="n">
        <f aca="false">F641/49</f>
        <v>0.653061224489796</v>
      </c>
      <c r="H641" s="25" t="n">
        <f aca="false">49-SUMPRODUCT(--((('Yellow Bosses'!$N$5:$N$53&gt;=1)+('Yellow Bosses'!$Q$5:$Q$53&gt;=1)+('Yellow Bosses'!$T$5:$T$53&gt;=1)+('Yellow Bosses'!$U$5:$U$53&gt;=1))&gt;0))</f>
        <v>0</v>
      </c>
      <c r="I641" s="25" t="n">
        <f aca="false">SUMPRODUCT(--((('Yellow Bosses'!$N$5:$N$53&gt;0)+('Yellow Bosses'!$Q$5:$Q$53&gt;0)+('Yellow Bosses'!$T$5:$T$53&gt;0)+('Yellow Bosses'!$U$5:$U$53&gt;0))=0))</f>
        <v>0</v>
      </c>
      <c r="J641" s="25" t="n">
        <f aca="false">SUMPRODUCT(--(((Effectiveness!$K$5:$K$155&gt;=2)+(Effectiveness!$N$5:$N$155&gt;=2)+(Effectiveness!$Q$5:$Q$155&gt;=2)+(Effectiveness!$R$5:$R$155&gt;=2))&gt;0))</f>
        <v>92</v>
      </c>
      <c r="K641" s="26" t="n">
        <f aca="false">J641/151</f>
        <v>0.609271523178808</v>
      </c>
      <c r="L641" s="25" t="n">
        <f aca="false">MIN(INDEX('Move Reality'!$F$5:$F$19,MATCH(B641,'Move Reality'!$A$5:$A$19,0)),INDEX('Move Reality'!$F$5:$F$19,MATCH(C641,'Move Reality'!$A$5:$A$19,0)),INDEX('Move Reality'!$F$5:$F$19,MATCH(D641,'Move Reality'!$A$5:$A$19,0)),INDEX('Move Reality'!$F$5:$F$19,MATCH(E641,'Move Reality'!$A$5:$A$19,0)))</f>
        <v>1</v>
      </c>
      <c r="M641" s="28" t="str">
        <f aca="false">IF(L641&gt;=5,"YES","no - dead move")</f>
        <v>no - dead move</v>
      </c>
    </row>
    <row r="642" customFormat="false" ht="15" hidden="false" customHeight="false" outlineLevel="0" collapsed="false">
      <c r="A642" s="17" t="n">
        <v>638</v>
      </c>
      <c r="B642" s="17" t="s">
        <v>40</v>
      </c>
      <c r="C642" s="17" t="s">
        <v>44</v>
      </c>
      <c r="D642" s="17" t="s">
        <v>45</v>
      </c>
      <c r="E642" s="17" t="s">
        <v>49</v>
      </c>
      <c r="F642" s="25" t="n">
        <f aca="false">SUMPRODUCT(--((('Yellow Bosses'!$H$5:$H$53&gt;=2)+('Yellow Bosses'!$L$5:$L$53&gt;=2)+('Yellow Bosses'!$M$5:$M$53&gt;=2)+('Yellow Bosses'!$Q$5:$Q$53&gt;=2))&gt;0))</f>
        <v>32</v>
      </c>
      <c r="G642" s="26" t="n">
        <f aca="false">F642/49</f>
        <v>0.653061224489796</v>
      </c>
      <c r="H642" s="25" t="n">
        <f aca="false">49-SUMPRODUCT(--((('Yellow Bosses'!$H$5:$H$53&gt;=1)+('Yellow Bosses'!$L$5:$L$53&gt;=1)+('Yellow Bosses'!$M$5:$M$53&gt;=1)+('Yellow Bosses'!$Q$5:$Q$53&gt;=1))&gt;0))</f>
        <v>0</v>
      </c>
      <c r="I642" s="25" t="n">
        <f aca="false">SUMPRODUCT(--((('Yellow Bosses'!$H$5:$H$53&gt;0)+('Yellow Bosses'!$L$5:$L$53&gt;0)+('Yellow Bosses'!$M$5:$M$53&gt;0)+('Yellow Bosses'!$Q$5:$Q$53&gt;0))=0))</f>
        <v>0</v>
      </c>
      <c r="J642" s="25" t="n">
        <f aca="false">SUMPRODUCT(--(((Effectiveness!$E$5:$E$155&gt;=2)+(Effectiveness!$I$5:$I$155&gt;=2)+(Effectiveness!$J$5:$J$155&gt;=2)+(Effectiveness!$N$5:$N$155&gt;=2))&gt;0))</f>
        <v>91</v>
      </c>
      <c r="K642" s="26" t="n">
        <f aca="false">J642/151</f>
        <v>0.602649006622517</v>
      </c>
      <c r="L642" s="25" t="n">
        <f aca="false">MIN(INDEX('Move Reality'!$F$5:$F$19,MATCH(B642,'Move Reality'!$A$5:$A$19,0)),INDEX('Move Reality'!$F$5:$F$19,MATCH(C642,'Move Reality'!$A$5:$A$19,0)),INDEX('Move Reality'!$F$5:$F$19,MATCH(D642,'Move Reality'!$A$5:$A$19,0)),INDEX('Move Reality'!$F$5:$F$19,MATCH(E642,'Move Reality'!$A$5:$A$19,0)))</f>
        <v>4</v>
      </c>
      <c r="M642" s="28" t="str">
        <f aca="false">IF(L642&gt;=5,"YES","no - dead move")</f>
        <v>no - dead move</v>
      </c>
    </row>
    <row r="643" customFormat="false" ht="15" hidden="false" customHeight="false" outlineLevel="0" collapsed="false">
      <c r="A643" s="17" t="n">
        <v>639</v>
      </c>
      <c r="B643" s="17" t="s">
        <v>40</v>
      </c>
      <c r="C643" s="17" t="s">
        <v>44</v>
      </c>
      <c r="D643" s="17" t="s">
        <v>47</v>
      </c>
      <c r="E643" s="17" t="s">
        <v>50</v>
      </c>
      <c r="F643" s="25" t="n">
        <f aca="false">SUMPRODUCT(--((('Yellow Bosses'!$H$5:$H$53&gt;=2)+('Yellow Bosses'!$L$5:$L$53&gt;=2)+('Yellow Bosses'!$O$5:$O$53&gt;=2)+('Yellow Bosses'!$R$5:$R$53&gt;=2))&gt;0))</f>
        <v>32</v>
      </c>
      <c r="G643" s="26" t="n">
        <f aca="false">F643/49</f>
        <v>0.653061224489796</v>
      </c>
      <c r="H643" s="25" t="n">
        <f aca="false">49-SUMPRODUCT(--((('Yellow Bosses'!$H$5:$H$53&gt;=1)+('Yellow Bosses'!$L$5:$L$53&gt;=1)+('Yellow Bosses'!$O$5:$O$53&gt;=1)+('Yellow Bosses'!$R$5:$R$53&gt;=1))&gt;0))</f>
        <v>0</v>
      </c>
      <c r="I643" s="25" t="n">
        <f aca="false">SUMPRODUCT(--((('Yellow Bosses'!$H$5:$H$53&gt;0)+('Yellow Bosses'!$L$5:$L$53&gt;0)+('Yellow Bosses'!$O$5:$O$53&gt;0)+('Yellow Bosses'!$R$5:$R$53&gt;0))=0))</f>
        <v>0</v>
      </c>
      <c r="J643" s="25" t="n">
        <f aca="false">SUMPRODUCT(--(((Effectiveness!$E$5:$E$155&gt;=2)+(Effectiveness!$I$5:$I$155&gt;=2)+(Effectiveness!$L$5:$L$155&gt;=2)+(Effectiveness!$O$5:$O$155&gt;=2))&gt;0))</f>
        <v>91</v>
      </c>
      <c r="K643" s="26" t="n">
        <f aca="false">J643/151</f>
        <v>0.602649006622517</v>
      </c>
      <c r="L643" s="25" t="n">
        <f aca="false">MIN(INDEX('Move Reality'!$F$5:$F$19,MATCH(B643,'Move Reality'!$A$5:$A$19,0)),INDEX('Move Reality'!$F$5:$F$19,MATCH(C643,'Move Reality'!$A$5:$A$19,0)),INDEX('Move Reality'!$F$5:$F$19,MATCH(D643,'Move Reality'!$A$5:$A$19,0)),INDEX('Move Reality'!$F$5:$F$19,MATCH(E643,'Move Reality'!$A$5:$A$19,0)))</f>
        <v>2</v>
      </c>
      <c r="M643" s="28" t="str">
        <f aca="false">IF(L643&gt;=5,"YES","no - dead move")</f>
        <v>no - dead move</v>
      </c>
    </row>
    <row r="644" customFormat="false" ht="15" hidden="false" customHeight="false" outlineLevel="0" collapsed="false">
      <c r="A644" s="17" t="n">
        <v>640</v>
      </c>
      <c r="B644" s="17" t="s">
        <v>40</v>
      </c>
      <c r="C644" s="17" t="s">
        <v>44</v>
      </c>
      <c r="D644" s="17" t="s">
        <v>49</v>
      </c>
      <c r="E644" s="17" t="s">
        <v>50</v>
      </c>
      <c r="F644" s="25" t="n">
        <f aca="false">SUMPRODUCT(--((('Yellow Bosses'!$H$5:$H$53&gt;=2)+('Yellow Bosses'!$L$5:$L$53&gt;=2)+('Yellow Bosses'!$Q$5:$Q$53&gt;=2)+('Yellow Bosses'!$R$5:$R$53&gt;=2))&gt;0))</f>
        <v>32</v>
      </c>
      <c r="G644" s="26" t="n">
        <f aca="false">F644/49</f>
        <v>0.653061224489796</v>
      </c>
      <c r="H644" s="25" t="n">
        <f aca="false">49-SUMPRODUCT(--((('Yellow Bosses'!$H$5:$H$53&gt;=1)+('Yellow Bosses'!$L$5:$L$53&gt;=1)+('Yellow Bosses'!$Q$5:$Q$53&gt;=1)+('Yellow Bosses'!$R$5:$R$53&gt;=1))&gt;0))</f>
        <v>0</v>
      </c>
      <c r="I644" s="25" t="n">
        <f aca="false">SUMPRODUCT(--((('Yellow Bosses'!$H$5:$H$53&gt;0)+('Yellow Bosses'!$L$5:$L$53&gt;0)+('Yellow Bosses'!$Q$5:$Q$53&gt;0)+('Yellow Bosses'!$R$5:$R$53&gt;0))=0))</f>
        <v>0</v>
      </c>
      <c r="J644" s="25" t="n">
        <f aca="false">SUMPRODUCT(--(((Effectiveness!$E$5:$E$155&gt;=2)+(Effectiveness!$I$5:$I$155&gt;=2)+(Effectiveness!$N$5:$N$155&gt;=2)+(Effectiveness!$O$5:$O$155&gt;=2))&gt;0))</f>
        <v>91</v>
      </c>
      <c r="K644" s="26" t="n">
        <f aca="false">J644/151</f>
        <v>0.602649006622517</v>
      </c>
      <c r="L644" s="25" t="n">
        <f aca="false">MIN(INDEX('Move Reality'!$F$5:$F$19,MATCH(B644,'Move Reality'!$A$5:$A$19,0)),INDEX('Move Reality'!$F$5:$F$19,MATCH(C644,'Move Reality'!$A$5:$A$19,0)),INDEX('Move Reality'!$F$5:$F$19,MATCH(D644,'Move Reality'!$A$5:$A$19,0)),INDEX('Move Reality'!$F$5:$F$19,MATCH(E644,'Move Reality'!$A$5:$A$19,0)))</f>
        <v>4</v>
      </c>
      <c r="M644" s="28" t="str">
        <f aca="false">IF(L644&gt;=5,"YES","no - dead move")</f>
        <v>no - dead move</v>
      </c>
    </row>
    <row r="645" customFormat="false" ht="15" hidden="false" customHeight="false" outlineLevel="0" collapsed="false">
      <c r="A645" s="17" t="n">
        <v>641</v>
      </c>
      <c r="B645" s="17" t="s">
        <v>40</v>
      </c>
      <c r="C645" s="17" t="s">
        <v>45</v>
      </c>
      <c r="D645" s="17" t="s">
        <v>46</v>
      </c>
      <c r="E645" s="17" t="s">
        <v>52</v>
      </c>
      <c r="F645" s="25" t="n">
        <f aca="false">SUMPRODUCT(--((('Yellow Bosses'!$H$5:$H$53&gt;=2)+('Yellow Bosses'!$M$5:$M$53&gt;=2)+('Yellow Bosses'!$N$5:$N$53&gt;=2)+('Yellow Bosses'!$T$5:$T$53&gt;=2))&gt;0))</f>
        <v>32</v>
      </c>
      <c r="G645" s="26" t="n">
        <f aca="false">F645/49</f>
        <v>0.653061224489796</v>
      </c>
      <c r="H645" s="25" t="n">
        <f aca="false">49-SUMPRODUCT(--((('Yellow Bosses'!$H$5:$H$53&gt;=1)+('Yellow Bosses'!$M$5:$M$53&gt;=1)+('Yellow Bosses'!$N$5:$N$53&gt;=1)+('Yellow Bosses'!$T$5:$T$53&gt;=1))&gt;0))</f>
        <v>0</v>
      </c>
      <c r="I645" s="25" t="n">
        <f aca="false">SUMPRODUCT(--((('Yellow Bosses'!$H$5:$H$53&gt;0)+('Yellow Bosses'!$M$5:$M$53&gt;0)+('Yellow Bosses'!$N$5:$N$53&gt;0)+('Yellow Bosses'!$T$5:$T$53&gt;0))=0))</f>
        <v>0</v>
      </c>
      <c r="J645" s="25" t="n">
        <f aca="false">SUMPRODUCT(--(((Effectiveness!$E$5:$E$155&gt;=2)+(Effectiveness!$J$5:$J$155&gt;=2)+(Effectiveness!$K$5:$K$155&gt;=2)+(Effectiveness!$Q$5:$Q$155&gt;=2))&gt;0))</f>
        <v>91</v>
      </c>
      <c r="K645" s="26" t="n">
        <f aca="false">J645/151</f>
        <v>0.602649006622517</v>
      </c>
      <c r="L645" s="25" t="n">
        <f aca="false">MIN(INDEX('Move Reality'!$F$5:$F$19,MATCH(B645,'Move Reality'!$A$5:$A$19,0)),INDEX('Move Reality'!$F$5:$F$19,MATCH(C645,'Move Reality'!$A$5:$A$19,0)),INDEX('Move Reality'!$F$5:$F$19,MATCH(D645,'Move Reality'!$A$5:$A$19,0)),INDEX('Move Reality'!$F$5:$F$19,MATCH(E645,'Move Reality'!$A$5:$A$19,0)))</f>
        <v>5</v>
      </c>
      <c r="M645" s="28" t="str">
        <f aca="false">IF(L645&gt;=5,"YES","no - dead move")</f>
        <v>YES</v>
      </c>
    </row>
    <row r="646" customFormat="false" ht="15" hidden="false" customHeight="false" outlineLevel="0" collapsed="false">
      <c r="A646" s="17" t="n">
        <v>642</v>
      </c>
      <c r="B646" s="17" t="s">
        <v>41</v>
      </c>
      <c r="C646" s="17" t="s">
        <v>45</v>
      </c>
      <c r="D646" s="17" t="s">
        <v>46</v>
      </c>
      <c r="E646" s="17" t="s">
        <v>52</v>
      </c>
      <c r="F646" s="25" t="n">
        <f aca="false">SUMPRODUCT(--((('Yellow Bosses'!$I$5:$I$53&gt;=2)+('Yellow Bosses'!$M$5:$M$53&gt;=2)+('Yellow Bosses'!$N$5:$N$53&gt;=2)+('Yellow Bosses'!$T$5:$T$53&gt;=2))&gt;0))</f>
        <v>32</v>
      </c>
      <c r="G646" s="26" t="n">
        <f aca="false">F646/49</f>
        <v>0.653061224489796</v>
      </c>
      <c r="H646" s="25" t="n">
        <f aca="false">49-SUMPRODUCT(--((('Yellow Bosses'!$I$5:$I$53&gt;=1)+('Yellow Bosses'!$M$5:$M$53&gt;=1)+('Yellow Bosses'!$N$5:$N$53&gt;=1)+('Yellow Bosses'!$T$5:$T$53&gt;=1))&gt;0))</f>
        <v>0</v>
      </c>
      <c r="I646" s="25" t="n">
        <f aca="false">SUMPRODUCT(--((('Yellow Bosses'!$I$5:$I$53&gt;0)+('Yellow Bosses'!$M$5:$M$53&gt;0)+('Yellow Bosses'!$N$5:$N$53&gt;0)+('Yellow Bosses'!$T$5:$T$53&gt;0))=0))</f>
        <v>0</v>
      </c>
      <c r="J646" s="25" t="n">
        <f aca="false">SUMPRODUCT(--(((Effectiveness!$F$5:$F$155&gt;=2)+(Effectiveness!$J$5:$J$155&gt;=2)+(Effectiveness!$K$5:$K$155&gt;=2)+(Effectiveness!$Q$5:$Q$155&gt;=2))&gt;0))</f>
        <v>91</v>
      </c>
      <c r="K646" s="26" t="n">
        <f aca="false">J646/151</f>
        <v>0.602649006622517</v>
      </c>
      <c r="L646" s="25" t="n">
        <f aca="false">MIN(INDEX('Move Reality'!$F$5:$F$19,MATCH(B646,'Move Reality'!$A$5:$A$19,0)),INDEX('Move Reality'!$F$5:$F$19,MATCH(C646,'Move Reality'!$A$5:$A$19,0)),INDEX('Move Reality'!$F$5:$F$19,MATCH(D646,'Move Reality'!$A$5:$A$19,0)),INDEX('Move Reality'!$F$5:$F$19,MATCH(E646,'Move Reality'!$A$5:$A$19,0)))</f>
        <v>5</v>
      </c>
      <c r="M646" s="28" t="str">
        <f aca="false">IF(L646&gt;=5,"YES","no - dead move")</f>
        <v>YES</v>
      </c>
    </row>
    <row r="647" customFormat="false" ht="15" hidden="false" customHeight="false" outlineLevel="0" collapsed="false">
      <c r="A647" s="17" t="n">
        <v>643</v>
      </c>
      <c r="B647" s="17" t="s">
        <v>42</v>
      </c>
      <c r="C647" s="17" t="s">
        <v>45</v>
      </c>
      <c r="D647" s="17" t="s">
        <v>46</v>
      </c>
      <c r="E647" s="17" t="s">
        <v>52</v>
      </c>
      <c r="F647" s="25" t="n">
        <f aca="false">SUMPRODUCT(--((('Yellow Bosses'!$J$5:$J$53&gt;=2)+('Yellow Bosses'!$M$5:$M$53&gt;=2)+('Yellow Bosses'!$N$5:$N$53&gt;=2)+('Yellow Bosses'!$T$5:$T$53&gt;=2))&gt;0))</f>
        <v>32</v>
      </c>
      <c r="G647" s="26" t="n">
        <f aca="false">F647/49</f>
        <v>0.653061224489796</v>
      </c>
      <c r="H647" s="25" t="n">
        <f aca="false">49-SUMPRODUCT(--((('Yellow Bosses'!$J$5:$J$53&gt;=1)+('Yellow Bosses'!$M$5:$M$53&gt;=1)+('Yellow Bosses'!$N$5:$N$53&gt;=1)+('Yellow Bosses'!$T$5:$T$53&gt;=1))&gt;0))</f>
        <v>0</v>
      </c>
      <c r="I647" s="25" t="n">
        <f aca="false">SUMPRODUCT(--((('Yellow Bosses'!$J$5:$J$53&gt;0)+('Yellow Bosses'!$M$5:$M$53&gt;0)+('Yellow Bosses'!$N$5:$N$53&gt;0)+('Yellow Bosses'!$T$5:$T$53&gt;0))=0))</f>
        <v>0</v>
      </c>
      <c r="J647" s="25" t="n">
        <f aca="false">SUMPRODUCT(--(((Effectiveness!$G$5:$G$155&gt;=2)+(Effectiveness!$J$5:$J$155&gt;=2)+(Effectiveness!$K$5:$K$155&gt;=2)+(Effectiveness!$Q$5:$Q$155&gt;=2))&gt;0))</f>
        <v>91</v>
      </c>
      <c r="K647" s="26" t="n">
        <f aca="false">J647/151</f>
        <v>0.602649006622517</v>
      </c>
      <c r="L647" s="25" t="n">
        <f aca="false">MIN(INDEX('Move Reality'!$F$5:$F$19,MATCH(B647,'Move Reality'!$A$5:$A$19,0)),INDEX('Move Reality'!$F$5:$F$19,MATCH(C647,'Move Reality'!$A$5:$A$19,0)),INDEX('Move Reality'!$F$5:$F$19,MATCH(D647,'Move Reality'!$A$5:$A$19,0)),INDEX('Move Reality'!$F$5:$F$19,MATCH(E647,'Move Reality'!$A$5:$A$19,0)))</f>
        <v>5</v>
      </c>
      <c r="M647" s="28" t="str">
        <f aca="false">IF(L647&gt;=5,"YES","no - dead move")</f>
        <v>YES</v>
      </c>
    </row>
    <row r="648" customFormat="false" ht="15" hidden="false" customHeight="false" outlineLevel="0" collapsed="false">
      <c r="A648" s="17" t="n">
        <v>644</v>
      </c>
      <c r="B648" s="17" t="s">
        <v>44</v>
      </c>
      <c r="C648" s="17" t="s">
        <v>45</v>
      </c>
      <c r="D648" s="17" t="s">
        <v>47</v>
      </c>
      <c r="E648" s="17" t="s">
        <v>49</v>
      </c>
      <c r="F648" s="25" t="n">
        <f aca="false">SUMPRODUCT(--((('Yellow Bosses'!$L$5:$L$53&gt;=2)+('Yellow Bosses'!$M$5:$M$53&gt;=2)+('Yellow Bosses'!$O$5:$O$53&gt;=2)+('Yellow Bosses'!$Q$5:$Q$53&gt;=2))&gt;0))</f>
        <v>32</v>
      </c>
      <c r="G648" s="26" t="n">
        <f aca="false">F648/49</f>
        <v>0.653061224489796</v>
      </c>
      <c r="H648" s="25" t="n">
        <f aca="false">49-SUMPRODUCT(--((('Yellow Bosses'!$L$5:$L$53&gt;=1)+('Yellow Bosses'!$M$5:$M$53&gt;=1)+('Yellow Bosses'!$O$5:$O$53&gt;=1)+('Yellow Bosses'!$Q$5:$Q$53&gt;=1))&gt;0))</f>
        <v>0</v>
      </c>
      <c r="I648" s="25" t="n">
        <f aca="false">SUMPRODUCT(--((('Yellow Bosses'!$L$5:$L$53&gt;0)+('Yellow Bosses'!$M$5:$M$53&gt;0)+('Yellow Bosses'!$O$5:$O$53&gt;0)+('Yellow Bosses'!$Q$5:$Q$53&gt;0))=0))</f>
        <v>0</v>
      </c>
      <c r="J648" s="25" t="n">
        <f aca="false">SUMPRODUCT(--(((Effectiveness!$I$5:$I$155&gt;=2)+(Effectiveness!$J$5:$J$155&gt;=2)+(Effectiveness!$L$5:$L$155&gt;=2)+(Effectiveness!$N$5:$N$155&gt;=2))&gt;0))</f>
        <v>91</v>
      </c>
      <c r="K648" s="26" t="n">
        <f aca="false">J648/151</f>
        <v>0.602649006622517</v>
      </c>
      <c r="L648" s="25" t="n">
        <f aca="false">MIN(INDEX('Move Reality'!$F$5:$F$19,MATCH(B648,'Move Reality'!$A$5:$A$19,0)),INDEX('Move Reality'!$F$5:$F$19,MATCH(C648,'Move Reality'!$A$5:$A$19,0)),INDEX('Move Reality'!$F$5:$F$19,MATCH(D648,'Move Reality'!$A$5:$A$19,0)),INDEX('Move Reality'!$F$5:$F$19,MATCH(E648,'Move Reality'!$A$5:$A$19,0)))</f>
        <v>2</v>
      </c>
      <c r="M648" s="28" t="str">
        <f aca="false">IF(L648&gt;=5,"YES","no - dead move")</f>
        <v>no - dead move</v>
      </c>
    </row>
    <row r="649" customFormat="false" ht="15" hidden="false" customHeight="false" outlineLevel="0" collapsed="false">
      <c r="A649" s="17" t="n">
        <v>645</v>
      </c>
      <c r="B649" s="17" t="s">
        <v>44</v>
      </c>
      <c r="C649" s="17" t="s">
        <v>45</v>
      </c>
      <c r="D649" s="17" t="s">
        <v>49</v>
      </c>
      <c r="E649" s="17" t="s">
        <v>54</v>
      </c>
      <c r="F649" s="25" t="n">
        <f aca="false">SUMPRODUCT(--((('Yellow Bosses'!$L$5:$L$53&gt;=2)+('Yellow Bosses'!$M$5:$M$53&gt;=2)+('Yellow Bosses'!$Q$5:$Q$53&gt;=2)+('Yellow Bosses'!$V$5:$V$53&gt;=2))&gt;0))</f>
        <v>32</v>
      </c>
      <c r="G649" s="26" t="n">
        <f aca="false">F649/49</f>
        <v>0.653061224489796</v>
      </c>
      <c r="H649" s="25" t="n">
        <f aca="false">49-SUMPRODUCT(--((('Yellow Bosses'!$L$5:$L$53&gt;=1)+('Yellow Bosses'!$M$5:$M$53&gt;=1)+('Yellow Bosses'!$Q$5:$Q$53&gt;=1)+('Yellow Bosses'!$V$5:$V$53&gt;=1))&gt;0))</f>
        <v>0</v>
      </c>
      <c r="I649" s="25" t="n">
        <f aca="false">SUMPRODUCT(--((('Yellow Bosses'!$L$5:$L$53&gt;0)+('Yellow Bosses'!$M$5:$M$53&gt;0)+('Yellow Bosses'!$Q$5:$Q$53&gt;0)+('Yellow Bosses'!$V$5:$V$53&gt;0))=0))</f>
        <v>0</v>
      </c>
      <c r="J649" s="25" t="n">
        <f aca="false">SUMPRODUCT(--(((Effectiveness!$I$5:$I$155&gt;=2)+(Effectiveness!$J$5:$J$155&gt;=2)+(Effectiveness!$N$5:$N$155&gt;=2)+(Effectiveness!$S$5:$S$155&gt;=2))&gt;0))</f>
        <v>91</v>
      </c>
      <c r="K649" s="26" t="n">
        <f aca="false">J649/151</f>
        <v>0.602649006622517</v>
      </c>
      <c r="L649" s="25" t="n">
        <f aca="false">MIN(INDEX('Move Reality'!$F$5:$F$19,MATCH(B649,'Move Reality'!$A$5:$A$19,0)),INDEX('Move Reality'!$F$5:$F$19,MATCH(C649,'Move Reality'!$A$5:$A$19,0)),INDEX('Move Reality'!$F$5:$F$19,MATCH(D649,'Move Reality'!$A$5:$A$19,0)),INDEX('Move Reality'!$F$5:$F$19,MATCH(E649,'Move Reality'!$A$5:$A$19,0)))</f>
        <v>1</v>
      </c>
      <c r="M649" s="28" t="str">
        <f aca="false">IF(L649&gt;=5,"YES","no - dead move")</f>
        <v>no - dead move</v>
      </c>
    </row>
    <row r="650" customFormat="false" ht="15" hidden="false" customHeight="false" outlineLevel="0" collapsed="false">
      <c r="A650" s="17" t="n">
        <v>646</v>
      </c>
      <c r="B650" s="17" t="s">
        <v>44</v>
      </c>
      <c r="C650" s="17" t="s">
        <v>47</v>
      </c>
      <c r="D650" s="17" t="s">
        <v>49</v>
      </c>
      <c r="E650" s="17" t="s">
        <v>50</v>
      </c>
      <c r="F650" s="25" t="n">
        <f aca="false">SUMPRODUCT(--((('Yellow Bosses'!$L$5:$L$53&gt;=2)+('Yellow Bosses'!$O$5:$O$53&gt;=2)+('Yellow Bosses'!$Q$5:$Q$53&gt;=2)+('Yellow Bosses'!$R$5:$R$53&gt;=2))&gt;0))</f>
        <v>32</v>
      </c>
      <c r="G650" s="26" t="n">
        <f aca="false">F650/49</f>
        <v>0.653061224489796</v>
      </c>
      <c r="H650" s="25" t="n">
        <f aca="false">49-SUMPRODUCT(--((('Yellow Bosses'!$L$5:$L$53&gt;=1)+('Yellow Bosses'!$O$5:$O$53&gt;=1)+('Yellow Bosses'!$Q$5:$Q$53&gt;=1)+('Yellow Bosses'!$R$5:$R$53&gt;=1))&gt;0))</f>
        <v>0</v>
      </c>
      <c r="I650" s="25" t="n">
        <f aca="false">SUMPRODUCT(--((('Yellow Bosses'!$L$5:$L$53&gt;0)+('Yellow Bosses'!$O$5:$O$53&gt;0)+('Yellow Bosses'!$Q$5:$Q$53&gt;0)+('Yellow Bosses'!$R$5:$R$53&gt;0))=0))</f>
        <v>0</v>
      </c>
      <c r="J650" s="25" t="n">
        <f aca="false">SUMPRODUCT(--(((Effectiveness!$I$5:$I$155&gt;=2)+(Effectiveness!$L$5:$L$155&gt;=2)+(Effectiveness!$N$5:$N$155&gt;=2)+(Effectiveness!$O$5:$O$155&gt;=2))&gt;0))</f>
        <v>91</v>
      </c>
      <c r="K650" s="26" t="n">
        <f aca="false">J650/151</f>
        <v>0.602649006622517</v>
      </c>
      <c r="L650" s="25" t="n">
        <f aca="false">MIN(INDEX('Move Reality'!$F$5:$F$19,MATCH(B650,'Move Reality'!$A$5:$A$19,0)),INDEX('Move Reality'!$F$5:$F$19,MATCH(C650,'Move Reality'!$A$5:$A$19,0)),INDEX('Move Reality'!$F$5:$F$19,MATCH(D650,'Move Reality'!$A$5:$A$19,0)),INDEX('Move Reality'!$F$5:$F$19,MATCH(E650,'Move Reality'!$A$5:$A$19,0)))</f>
        <v>2</v>
      </c>
      <c r="M650" s="28" t="str">
        <f aca="false">IF(L650&gt;=5,"YES","no - dead move")</f>
        <v>no - dead move</v>
      </c>
    </row>
    <row r="651" customFormat="false" ht="15" hidden="false" customHeight="false" outlineLevel="0" collapsed="false">
      <c r="A651" s="17" t="n">
        <v>647</v>
      </c>
      <c r="B651" s="17" t="s">
        <v>44</v>
      </c>
      <c r="C651" s="17" t="s">
        <v>47</v>
      </c>
      <c r="D651" s="17" t="s">
        <v>50</v>
      </c>
      <c r="E651" s="17" t="s">
        <v>53</v>
      </c>
      <c r="F651" s="25" t="n">
        <f aca="false">SUMPRODUCT(--((('Yellow Bosses'!$L$5:$L$53&gt;=2)+('Yellow Bosses'!$O$5:$O$53&gt;=2)+('Yellow Bosses'!$R$5:$R$53&gt;=2)+('Yellow Bosses'!$U$5:$U$53&gt;=2))&gt;0))</f>
        <v>32</v>
      </c>
      <c r="G651" s="26" t="n">
        <f aca="false">F651/49</f>
        <v>0.653061224489796</v>
      </c>
      <c r="H651" s="25" t="n">
        <f aca="false">49-SUMPRODUCT(--((('Yellow Bosses'!$L$5:$L$53&gt;=1)+('Yellow Bosses'!$O$5:$O$53&gt;=1)+('Yellow Bosses'!$R$5:$R$53&gt;=1)+('Yellow Bosses'!$U$5:$U$53&gt;=1))&gt;0))</f>
        <v>0</v>
      </c>
      <c r="I651" s="25" t="n">
        <f aca="false">SUMPRODUCT(--((('Yellow Bosses'!$L$5:$L$53&gt;0)+('Yellow Bosses'!$O$5:$O$53&gt;0)+('Yellow Bosses'!$R$5:$R$53&gt;0)+('Yellow Bosses'!$U$5:$U$53&gt;0))=0))</f>
        <v>0</v>
      </c>
      <c r="J651" s="25" t="n">
        <f aca="false">SUMPRODUCT(--(((Effectiveness!$I$5:$I$155&gt;=2)+(Effectiveness!$L$5:$L$155&gt;=2)+(Effectiveness!$O$5:$O$155&gt;=2)+(Effectiveness!$R$5:$R$155&gt;=2))&gt;0))</f>
        <v>91</v>
      </c>
      <c r="K651" s="26" t="n">
        <f aca="false">J651/151</f>
        <v>0.602649006622517</v>
      </c>
      <c r="L651" s="25" t="n">
        <f aca="false">MIN(INDEX('Move Reality'!$F$5:$F$19,MATCH(B651,'Move Reality'!$A$5:$A$19,0)),INDEX('Move Reality'!$F$5:$F$19,MATCH(C651,'Move Reality'!$A$5:$A$19,0)),INDEX('Move Reality'!$F$5:$F$19,MATCH(D651,'Move Reality'!$A$5:$A$19,0)),INDEX('Move Reality'!$F$5:$F$19,MATCH(E651,'Move Reality'!$A$5:$A$19,0)))</f>
        <v>1</v>
      </c>
      <c r="M651" s="28" t="str">
        <f aca="false">IF(L651&gt;=5,"YES","no - dead move")</f>
        <v>no - dead move</v>
      </c>
    </row>
    <row r="652" customFormat="false" ht="15" hidden="false" customHeight="false" outlineLevel="0" collapsed="false">
      <c r="A652" s="17" t="n">
        <v>648</v>
      </c>
      <c r="B652" s="17" t="s">
        <v>44</v>
      </c>
      <c r="C652" s="17" t="s">
        <v>49</v>
      </c>
      <c r="D652" s="17" t="s">
        <v>50</v>
      </c>
      <c r="E652" s="17" t="s">
        <v>53</v>
      </c>
      <c r="F652" s="25" t="n">
        <f aca="false">SUMPRODUCT(--((('Yellow Bosses'!$L$5:$L$53&gt;=2)+('Yellow Bosses'!$Q$5:$Q$53&gt;=2)+('Yellow Bosses'!$R$5:$R$53&gt;=2)+('Yellow Bosses'!$U$5:$U$53&gt;=2))&gt;0))</f>
        <v>32</v>
      </c>
      <c r="G652" s="26" t="n">
        <f aca="false">F652/49</f>
        <v>0.653061224489796</v>
      </c>
      <c r="H652" s="25" t="n">
        <f aca="false">49-SUMPRODUCT(--((('Yellow Bosses'!$L$5:$L$53&gt;=1)+('Yellow Bosses'!$Q$5:$Q$53&gt;=1)+('Yellow Bosses'!$R$5:$R$53&gt;=1)+('Yellow Bosses'!$U$5:$U$53&gt;=1))&gt;0))</f>
        <v>0</v>
      </c>
      <c r="I652" s="25" t="n">
        <f aca="false">SUMPRODUCT(--((('Yellow Bosses'!$L$5:$L$53&gt;0)+('Yellow Bosses'!$Q$5:$Q$53&gt;0)+('Yellow Bosses'!$R$5:$R$53&gt;0)+('Yellow Bosses'!$U$5:$U$53&gt;0))=0))</f>
        <v>0</v>
      </c>
      <c r="J652" s="25" t="n">
        <f aca="false">SUMPRODUCT(--(((Effectiveness!$I$5:$I$155&gt;=2)+(Effectiveness!$N$5:$N$155&gt;=2)+(Effectiveness!$O$5:$O$155&gt;=2)+(Effectiveness!$R$5:$R$155&gt;=2))&gt;0))</f>
        <v>91</v>
      </c>
      <c r="K652" s="26" t="n">
        <f aca="false">J652/151</f>
        <v>0.602649006622517</v>
      </c>
      <c r="L652" s="25" t="n">
        <f aca="false">MIN(INDEX('Move Reality'!$F$5:$F$19,MATCH(B652,'Move Reality'!$A$5:$A$19,0)),INDEX('Move Reality'!$F$5:$F$19,MATCH(C652,'Move Reality'!$A$5:$A$19,0)),INDEX('Move Reality'!$F$5:$F$19,MATCH(D652,'Move Reality'!$A$5:$A$19,0)),INDEX('Move Reality'!$F$5:$F$19,MATCH(E652,'Move Reality'!$A$5:$A$19,0)))</f>
        <v>1</v>
      </c>
      <c r="M652" s="28" t="str">
        <f aca="false">IF(L652&gt;=5,"YES","no - dead move")</f>
        <v>no - dead move</v>
      </c>
    </row>
    <row r="653" customFormat="false" ht="15" hidden="false" customHeight="false" outlineLevel="0" collapsed="false">
      <c r="A653" s="17" t="n">
        <v>649</v>
      </c>
      <c r="B653" s="17" t="s">
        <v>45</v>
      </c>
      <c r="C653" s="17" t="s">
        <v>46</v>
      </c>
      <c r="D653" s="17" t="s">
        <v>47</v>
      </c>
      <c r="E653" s="17" t="s">
        <v>52</v>
      </c>
      <c r="F653" s="25" t="n">
        <f aca="false">SUMPRODUCT(--((('Yellow Bosses'!$M$5:$M$53&gt;=2)+('Yellow Bosses'!$N$5:$N$53&gt;=2)+('Yellow Bosses'!$O$5:$O$53&gt;=2)+('Yellow Bosses'!$T$5:$T$53&gt;=2))&gt;0))</f>
        <v>32</v>
      </c>
      <c r="G653" s="26" t="n">
        <f aca="false">F653/49</f>
        <v>0.653061224489796</v>
      </c>
      <c r="H653" s="25" t="n">
        <f aca="false">49-SUMPRODUCT(--((('Yellow Bosses'!$M$5:$M$53&gt;=1)+('Yellow Bosses'!$N$5:$N$53&gt;=1)+('Yellow Bosses'!$O$5:$O$53&gt;=1)+('Yellow Bosses'!$T$5:$T$53&gt;=1))&gt;0))</f>
        <v>0</v>
      </c>
      <c r="I653" s="25" t="n">
        <f aca="false">SUMPRODUCT(--((('Yellow Bosses'!$M$5:$M$53&gt;0)+('Yellow Bosses'!$N$5:$N$53&gt;0)+('Yellow Bosses'!$O$5:$O$53&gt;0)+('Yellow Bosses'!$T$5:$T$53&gt;0))=0))</f>
        <v>0</v>
      </c>
      <c r="J653" s="25" t="n">
        <f aca="false">SUMPRODUCT(--(((Effectiveness!$J$5:$J$155&gt;=2)+(Effectiveness!$K$5:$K$155&gt;=2)+(Effectiveness!$L$5:$L$155&gt;=2)+(Effectiveness!$Q$5:$Q$155&gt;=2))&gt;0))</f>
        <v>91</v>
      </c>
      <c r="K653" s="26" t="n">
        <f aca="false">J653/151</f>
        <v>0.602649006622517</v>
      </c>
      <c r="L653" s="25" t="n">
        <f aca="false">MIN(INDEX('Move Reality'!$F$5:$F$19,MATCH(B653,'Move Reality'!$A$5:$A$19,0)),INDEX('Move Reality'!$F$5:$F$19,MATCH(C653,'Move Reality'!$A$5:$A$19,0)),INDEX('Move Reality'!$F$5:$F$19,MATCH(D653,'Move Reality'!$A$5:$A$19,0)),INDEX('Move Reality'!$F$5:$F$19,MATCH(E653,'Move Reality'!$A$5:$A$19,0)))</f>
        <v>2</v>
      </c>
      <c r="M653" s="28" t="str">
        <f aca="false">IF(L653&gt;=5,"YES","no - dead move")</f>
        <v>no - dead move</v>
      </c>
    </row>
    <row r="654" customFormat="false" ht="15" hidden="false" customHeight="false" outlineLevel="0" collapsed="false">
      <c r="A654" s="17" t="n">
        <v>650</v>
      </c>
      <c r="B654" s="17" t="s">
        <v>45</v>
      </c>
      <c r="C654" s="17" t="s">
        <v>46</v>
      </c>
      <c r="D654" s="17" t="s">
        <v>52</v>
      </c>
      <c r="E654" s="17" t="s">
        <v>54</v>
      </c>
      <c r="F654" s="25" t="n">
        <f aca="false">SUMPRODUCT(--((('Yellow Bosses'!$M$5:$M$53&gt;=2)+('Yellow Bosses'!$N$5:$N$53&gt;=2)+('Yellow Bosses'!$T$5:$T$53&gt;=2)+('Yellow Bosses'!$V$5:$V$53&gt;=2))&gt;0))</f>
        <v>32</v>
      </c>
      <c r="G654" s="26" t="n">
        <f aca="false">F654/49</f>
        <v>0.653061224489796</v>
      </c>
      <c r="H654" s="25" t="n">
        <f aca="false">49-SUMPRODUCT(--((('Yellow Bosses'!$M$5:$M$53&gt;=1)+('Yellow Bosses'!$N$5:$N$53&gt;=1)+('Yellow Bosses'!$T$5:$T$53&gt;=1)+('Yellow Bosses'!$V$5:$V$53&gt;=1))&gt;0))</f>
        <v>0</v>
      </c>
      <c r="I654" s="25" t="n">
        <f aca="false">SUMPRODUCT(--((('Yellow Bosses'!$M$5:$M$53&gt;0)+('Yellow Bosses'!$N$5:$N$53&gt;0)+('Yellow Bosses'!$T$5:$T$53&gt;0)+('Yellow Bosses'!$V$5:$V$53&gt;0))=0))</f>
        <v>0</v>
      </c>
      <c r="J654" s="25" t="n">
        <f aca="false">SUMPRODUCT(--(((Effectiveness!$J$5:$J$155&gt;=2)+(Effectiveness!$K$5:$K$155&gt;=2)+(Effectiveness!$Q$5:$Q$155&gt;=2)+(Effectiveness!$S$5:$S$155&gt;=2))&gt;0))</f>
        <v>91</v>
      </c>
      <c r="K654" s="26" t="n">
        <f aca="false">J654/151</f>
        <v>0.602649006622517</v>
      </c>
      <c r="L654" s="25" t="n">
        <f aca="false">MIN(INDEX('Move Reality'!$F$5:$F$19,MATCH(B654,'Move Reality'!$A$5:$A$19,0)),INDEX('Move Reality'!$F$5:$F$19,MATCH(C654,'Move Reality'!$A$5:$A$19,0)),INDEX('Move Reality'!$F$5:$F$19,MATCH(D654,'Move Reality'!$A$5:$A$19,0)),INDEX('Move Reality'!$F$5:$F$19,MATCH(E654,'Move Reality'!$A$5:$A$19,0)))</f>
        <v>1</v>
      </c>
      <c r="M654" s="28" t="str">
        <f aca="false">IF(L654&gt;=5,"YES","no - dead move")</f>
        <v>no - dead move</v>
      </c>
    </row>
    <row r="655" customFormat="false" ht="15" hidden="false" customHeight="false" outlineLevel="0" collapsed="false">
      <c r="A655" s="17" t="n">
        <v>651</v>
      </c>
      <c r="B655" s="17" t="s">
        <v>40</v>
      </c>
      <c r="C655" s="17" t="s">
        <v>42</v>
      </c>
      <c r="D655" s="17" t="s">
        <v>46</v>
      </c>
      <c r="E655" s="17" t="s">
        <v>50</v>
      </c>
      <c r="F655" s="25" t="n">
        <f aca="false">SUMPRODUCT(--((('Yellow Bosses'!$H$5:$H$53&gt;=2)+('Yellow Bosses'!$J$5:$J$53&gt;=2)+('Yellow Bosses'!$N$5:$N$53&gt;=2)+('Yellow Bosses'!$R$5:$R$53&gt;=2))&gt;0))</f>
        <v>32</v>
      </c>
      <c r="G655" s="26" t="n">
        <f aca="false">F655/49</f>
        <v>0.653061224489796</v>
      </c>
      <c r="H655" s="25" t="n">
        <f aca="false">49-SUMPRODUCT(--((('Yellow Bosses'!$H$5:$H$53&gt;=1)+('Yellow Bosses'!$J$5:$J$53&gt;=1)+('Yellow Bosses'!$N$5:$N$53&gt;=1)+('Yellow Bosses'!$R$5:$R$53&gt;=1))&gt;0))</f>
        <v>0</v>
      </c>
      <c r="I655" s="25" t="n">
        <f aca="false">SUMPRODUCT(--((('Yellow Bosses'!$H$5:$H$53&gt;0)+('Yellow Bosses'!$J$5:$J$53&gt;0)+('Yellow Bosses'!$N$5:$N$53&gt;0)+('Yellow Bosses'!$R$5:$R$53&gt;0))=0))</f>
        <v>0</v>
      </c>
      <c r="J655" s="25" t="n">
        <f aca="false">SUMPRODUCT(--(((Effectiveness!$E$5:$E$155&gt;=2)+(Effectiveness!$G$5:$G$155&gt;=2)+(Effectiveness!$K$5:$K$155&gt;=2)+(Effectiveness!$O$5:$O$155&gt;=2))&gt;0))</f>
        <v>89</v>
      </c>
      <c r="K655" s="26" t="n">
        <f aca="false">J655/151</f>
        <v>0.589403973509934</v>
      </c>
      <c r="L655" s="25" t="n">
        <f aca="false">MIN(INDEX('Move Reality'!$F$5:$F$19,MATCH(B655,'Move Reality'!$A$5:$A$19,0)),INDEX('Move Reality'!$F$5:$F$19,MATCH(C655,'Move Reality'!$A$5:$A$19,0)),INDEX('Move Reality'!$F$5:$F$19,MATCH(D655,'Move Reality'!$A$5:$A$19,0)),INDEX('Move Reality'!$F$5:$F$19,MATCH(E655,'Move Reality'!$A$5:$A$19,0)))</f>
        <v>5</v>
      </c>
      <c r="M655" s="28" t="str">
        <f aca="false">IF(L655&gt;=5,"YES","no - dead move")</f>
        <v>YES</v>
      </c>
    </row>
    <row r="656" customFormat="false" ht="15" hidden="false" customHeight="false" outlineLevel="0" collapsed="false">
      <c r="A656" s="17" t="n">
        <v>652</v>
      </c>
      <c r="B656" s="17" t="s">
        <v>42</v>
      </c>
      <c r="C656" s="17" t="s">
        <v>44</v>
      </c>
      <c r="D656" s="17" t="s">
        <v>45</v>
      </c>
      <c r="E656" s="17" t="s">
        <v>53</v>
      </c>
      <c r="F656" s="25" t="n">
        <f aca="false">SUMPRODUCT(--((('Yellow Bosses'!$J$5:$J$53&gt;=2)+('Yellow Bosses'!$L$5:$L$53&gt;=2)+('Yellow Bosses'!$M$5:$M$53&gt;=2)+('Yellow Bosses'!$U$5:$U$53&gt;=2))&gt;0))</f>
        <v>32</v>
      </c>
      <c r="G656" s="26" t="n">
        <f aca="false">F656/49</f>
        <v>0.653061224489796</v>
      </c>
      <c r="H656" s="25" t="n">
        <f aca="false">49-SUMPRODUCT(--((('Yellow Bosses'!$J$5:$J$53&gt;=1)+('Yellow Bosses'!$L$5:$L$53&gt;=1)+('Yellow Bosses'!$M$5:$M$53&gt;=1)+('Yellow Bosses'!$U$5:$U$53&gt;=1))&gt;0))</f>
        <v>0</v>
      </c>
      <c r="I656" s="25" t="n">
        <f aca="false">SUMPRODUCT(--((('Yellow Bosses'!$J$5:$J$53&gt;0)+('Yellow Bosses'!$L$5:$L$53&gt;0)+('Yellow Bosses'!$M$5:$M$53&gt;0)+('Yellow Bosses'!$U$5:$U$53&gt;0))=0))</f>
        <v>0</v>
      </c>
      <c r="J656" s="25" t="n">
        <f aca="false">SUMPRODUCT(--(((Effectiveness!$G$5:$G$155&gt;=2)+(Effectiveness!$I$5:$I$155&gt;=2)+(Effectiveness!$J$5:$J$155&gt;=2)+(Effectiveness!$R$5:$R$155&gt;=2))&gt;0))</f>
        <v>89</v>
      </c>
      <c r="K656" s="26" t="n">
        <f aca="false">J656/151</f>
        <v>0.589403973509934</v>
      </c>
      <c r="L656" s="25" t="n">
        <f aca="false">MIN(INDEX('Move Reality'!$F$5:$F$19,MATCH(B656,'Move Reality'!$A$5:$A$19,0)),INDEX('Move Reality'!$F$5:$F$19,MATCH(C656,'Move Reality'!$A$5:$A$19,0)),INDEX('Move Reality'!$F$5:$F$19,MATCH(D656,'Move Reality'!$A$5:$A$19,0)),INDEX('Move Reality'!$F$5:$F$19,MATCH(E656,'Move Reality'!$A$5:$A$19,0)))</f>
        <v>1</v>
      </c>
      <c r="M656" s="28" t="str">
        <f aca="false">IF(L656&gt;=5,"YES","no - dead move")</f>
        <v>no - dead move</v>
      </c>
    </row>
    <row r="657" customFormat="false" ht="15" hidden="false" customHeight="false" outlineLevel="0" collapsed="false">
      <c r="A657" s="17" t="n">
        <v>653</v>
      </c>
      <c r="B657" s="17" t="s">
        <v>42</v>
      </c>
      <c r="C657" s="17" t="s">
        <v>46</v>
      </c>
      <c r="D657" s="17" t="s">
        <v>50</v>
      </c>
      <c r="E657" s="17" t="s">
        <v>53</v>
      </c>
      <c r="F657" s="25" t="n">
        <f aca="false">SUMPRODUCT(--((('Yellow Bosses'!$J$5:$J$53&gt;=2)+('Yellow Bosses'!$N$5:$N$53&gt;=2)+('Yellow Bosses'!$R$5:$R$53&gt;=2)+('Yellow Bosses'!$U$5:$U$53&gt;=2))&gt;0))</f>
        <v>32</v>
      </c>
      <c r="G657" s="26" t="n">
        <f aca="false">F657/49</f>
        <v>0.653061224489796</v>
      </c>
      <c r="H657" s="25" t="n">
        <f aca="false">49-SUMPRODUCT(--((('Yellow Bosses'!$J$5:$J$53&gt;=1)+('Yellow Bosses'!$N$5:$N$53&gt;=1)+('Yellow Bosses'!$R$5:$R$53&gt;=1)+('Yellow Bosses'!$U$5:$U$53&gt;=1))&gt;0))</f>
        <v>3</v>
      </c>
      <c r="I657" s="25" t="n">
        <f aca="false">SUMPRODUCT(--((('Yellow Bosses'!$J$5:$J$53&gt;0)+('Yellow Bosses'!$N$5:$N$53&gt;0)+('Yellow Bosses'!$R$5:$R$53&gt;0)+('Yellow Bosses'!$U$5:$U$53&gt;0))=0))</f>
        <v>0</v>
      </c>
      <c r="J657" s="25" t="n">
        <f aca="false">SUMPRODUCT(--(((Effectiveness!$G$5:$G$155&gt;=2)+(Effectiveness!$K$5:$K$155&gt;=2)+(Effectiveness!$O$5:$O$155&gt;=2)+(Effectiveness!$R$5:$R$155&gt;=2))&gt;0))</f>
        <v>89</v>
      </c>
      <c r="K657" s="26" t="n">
        <f aca="false">J657/151</f>
        <v>0.589403973509934</v>
      </c>
      <c r="L657" s="25" t="n">
        <f aca="false">MIN(INDEX('Move Reality'!$F$5:$F$19,MATCH(B657,'Move Reality'!$A$5:$A$19,0)),INDEX('Move Reality'!$F$5:$F$19,MATCH(C657,'Move Reality'!$A$5:$A$19,0)),INDEX('Move Reality'!$F$5:$F$19,MATCH(D657,'Move Reality'!$A$5:$A$19,0)),INDEX('Move Reality'!$F$5:$F$19,MATCH(E657,'Move Reality'!$A$5:$A$19,0)))</f>
        <v>1</v>
      </c>
      <c r="M657" s="28" t="str">
        <f aca="false">IF(L657&gt;=5,"YES","no - dead move")</f>
        <v>no - dead move</v>
      </c>
    </row>
    <row r="658" customFormat="false" ht="15" hidden="false" customHeight="false" outlineLevel="0" collapsed="false">
      <c r="A658" s="17" t="n">
        <v>654</v>
      </c>
      <c r="B658" s="17" t="s">
        <v>45</v>
      </c>
      <c r="C658" s="17" t="s">
        <v>46</v>
      </c>
      <c r="D658" s="17" t="s">
        <v>49</v>
      </c>
      <c r="E658" s="17" t="s">
        <v>53</v>
      </c>
      <c r="F658" s="25" t="n">
        <f aca="false">SUMPRODUCT(--((('Yellow Bosses'!$M$5:$M$53&gt;=2)+('Yellow Bosses'!$N$5:$N$53&gt;=2)+('Yellow Bosses'!$Q$5:$Q$53&gt;=2)+('Yellow Bosses'!$U$5:$U$53&gt;=2))&gt;0))</f>
        <v>32</v>
      </c>
      <c r="G658" s="26" t="n">
        <f aca="false">F658/49</f>
        <v>0.653061224489796</v>
      </c>
      <c r="H658" s="25" t="n">
        <f aca="false">49-SUMPRODUCT(--((('Yellow Bosses'!$M$5:$M$53&gt;=1)+('Yellow Bosses'!$N$5:$N$53&gt;=1)+('Yellow Bosses'!$Q$5:$Q$53&gt;=1)+('Yellow Bosses'!$U$5:$U$53&gt;=1))&gt;0))</f>
        <v>0</v>
      </c>
      <c r="I658" s="25" t="n">
        <f aca="false">SUMPRODUCT(--((('Yellow Bosses'!$M$5:$M$53&gt;0)+('Yellow Bosses'!$N$5:$N$53&gt;0)+('Yellow Bosses'!$Q$5:$Q$53&gt;0)+('Yellow Bosses'!$U$5:$U$53&gt;0))=0))</f>
        <v>0</v>
      </c>
      <c r="J658" s="25" t="n">
        <f aca="false">SUMPRODUCT(--(((Effectiveness!$J$5:$J$155&gt;=2)+(Effectiveness!$K$5:$K$155&gt;=2)+(Effectiveness!$N$5:$N$155&gt;=2)+(Effectiveness!$R$5:$R$155&gt;=2))&gt;0))</f>
        <v>89</v>
      </c>
      <c r="K658" s="26" t="n">
        <f aca="false">J658/151</f>
        <v>0.589403973509934</v>
      </c>
      <c r="L658" s="25" t="n">
        <f aca="false">MIN(INDEX('Move Reality'!$F$5:$F$19,MATCH(B658,'Move Reality'!$A$5:$A$19,0)),INDEX('Move Reality'!$F$5:$F$19,MATCH(C658,'Move Reality'!$A$5:$A$19,0)),INDEX('Move Reality'!$F$5:$F$19,MATCH(D658,'Move Reality'!$A$5:$A$19,0)),INDEX('Move Reality'!$F$5:$F$19,MATCH(E658,'Move Reality'!$A$5:$A$19,0)))</f>
        <v>1</v>
      </c>
      <c r="M658" s="28" t="str">
        <f aca="false">IF(L658&gt;=5,"YES","no - dead move")</f>
        <v>no - dead move</v>
      </c>
    </row>
    <row r="659" customFormat="false" ht="15" hidden="false" customHeight="false" outlineLevel="0" collapsed="false">
      <c r="A659" s="17" t="n">
        <v>655</v>
      </c>
      <c r="B659" s="17" t="s">
        <v>40</v>
      </c>
      <c r="C659" s="17" t="s">
        <v>49</v>
      </c>
      <c r="D659" s="17" t="s">
        <v>51</v>
      </c>
      <c r="E659" s="17" t="s">
        <v>52</v>
      </c>
      <c r="F659" s="25" t="n">
        <f aca="false">SUMPRODUCT(--((('Yellow Bosses'!$H$5:$H$53&gt;=2)+('Yellow Bosses'!$Q$5:$Q$53&gt;=2)+('Yellow Bosses'!$S$5:$S$53&gt;=2)+('Yellow Bosses'!$T$5:$T$53&gt;=2))&gt;0))</f>
        <v>32</v>
      </c>
      <c r="G659" s="26" t="n">
        <f aca="false">F659/49</f>
        <v>0.653061224489796</v>
      </c>
      <c r="H659" s="25" t="n">
        <f aca="false">49-SUMPRODUCT(--((('Yellow Bosses'!$H$5:$H$53&gt;=1)+('Yellow Bosses'!$Q$5:$Q$53&gt;=1)+('Yellow Bosses'!$S$5:$S$53&gt;=1)+('Yellow Bosses'!$T$5:$T$53&gt;=1))&gt;0))</f>
        <v>0</v>
      </c>
      <c r="I659" s="25" t="n">
        <f aca="false">SUMPRODUCT(--((('Yellow Bosses'!$H$5:$H$53&gt;0)+('Yellow Bosses'!$Q$5:$Q$53&gt;0)+('Yellow Bosses'!$S$5:$S$53&gt;0)+('Yellow Bosses'!$T$5:$T$53&gt;0))=0))</f>
        <v>0</v>
      </c>
      <c r="J659" s="25" t="n">
        <f aca="false">SUMPRODUCT(--(((Effectiveness!$E$5:$E$155&gt;=2)+(Effectiveness!$N$5:$N$155&gt;=2)+(Effectiveness!$P$5:$P$155&gt;=2)+(Effectiveness!$Q$5:$Q$155&gt;=2))&gt;0))</f>
        <v>88</v>
      </c>
      <c r="K659" s="26" t="n">
        <f aca="false">J659/151</f>
        <v>0.582781456953642</v>
      </c>
      <c r="L659" s="25" t="n">
        <f aca="false">MIN(INDEX('Move Reality'!$F$5:$F$19,MATCH(B659,'Move Reality'!$A$5:$A$19,0)),INDEX('Move Reality'!$F$5:$F$19,MATCH(C659,'Move Reality'!$A$5:$A$19,0)),INDEX('Move Reality'!$F$5:$F$19,MATCH(D659,'Move Reality'!$A$5:$A$19,0)),INDEX('Move Reality'!$F$5:$F$19,MATCH(E659,'Move Reality'!$A$5:$A$19,0)))</f>
        <v>1</v>
      </c>
      <c r="M659" s="28" t="str">
        <f aca="false">IF(L659&gt;=5,"YES","no - dead move")</f>
        <v>no - dead move</v>
      </c>
    </row>
    <row r="660" customFormat="false" ht="15" hidden="false" customHeight="false" outlineLevel="0" collapsed="false">
      <c r="A660" s="17" t="n">
        <v>656</v>
      </c>
      <c r="B660" s="17" t="s">
        <v>41</v>
      </c>
      <c r="C660" s="17" t="s">
        <v>42</v>
      </c>
      <c r="D660" s="17" t="s">
        <v>48</v>
      </c>
      <c r="E660" s="17" t="s">
        <v>49</v>
      </c>
      <c r="F660" s="25" t="n">
        <f aca="false">SUMPRODUCT(--((('Yellow Bosses'!$I$5:$I$53&gt;=2)+('Yellow Bosses'!$J$5:$J$53&gt;=2)+('Yellow Bosses'!$P$5:$P$53&gt;=2)+('Yellow Bosses'!$Q$5:$Q$53&gt;=2))&gt;0))</f>
        <v>32</v>
      </c>
      <c r="G660" s="26" t="n">
        <f aca="false">F660/49</f>
        <v>0.653061224489796</v>
      </c>
      <c r="H660" s="25" t="n">
        <f aca="false">49-SUMPRODUCT(--((('Yellow Bosses'!$I$5:$I$53&gt;=1)+('Yellow Bosses'!$J$5:$J$53&gt;=1)+('Yellow Bosses'!$P$5:$P$53&gt;=1)+('Yellow Bosses'!$Q$5:$Q$53&gt;=1))&gt;0))</f>
        <v>0</v>
      </c>
      <c r="I660" s="25" t="n">
        <f aca="false">SUMPRODUCT(--((('Yellow Bosses'!$I$5:$I$53&gt;0)+('Yellow Bosses'!$J$5:$J$53&gt;0)+('Yellow Bosses'!$P$5:$P$53&gt;0)+('Yellow Bosses'!$Q$5:$Q$53&gt;0))=0))</f>
        <v>0</v>
      </c>
      <c r="J660" s="25" t="n">
        <f aca="false">SUMPRODUCT(--(((Effectiveness!$F$5:$F$155&gt;=2)+(Effectiveness!$G$5:$G$155&gt;=2)+(Effectiveness!$M$5:$M$155&gt;=2)+(Effectiveness!$N$5:$N$155&gt;=2))&gt;0))</f>
        <v>88</v>
      </c>
      <c r="K660" s="26" t="n">
        <f aca="false">J660/151</f>
        <v>0.582781456953642</v>
      </c>
      <c r="L660" s="25" t="n">
        <f aca="false">MIN(INDEX('Move Reality'!$F$5:$F$19,MATCH(B660,'Move Reality'!$A$5:$A$19,0)),INDEX('Move Reality'!$F$5:$F$19,MATCH(C660,'Move Reality'!$A$5:$A$19,0)),INDEX('Move Reality'!$F$5:$F$19,MATCH(D660,'Move Reality'!$A$5:$A$19,0)),INDEX('Move Reality'!$F$5:$F$19,MATCH(E660,'Move Reality'!$A$5:$A$19,0)))</f>
        <v>5</v>
      </c>
      <c r="M660" s="28" t="str">
        <f aca="false">IF(L660&gt;=5,"YES","no - dead move")</f>
        <v>YES</v>
      </c>
    </row>
    <row r="661" customFormat="false" ht="15" hidden="false" customHeight="false" outlineLevel="0" collapsed="false">
      <c r="A661" s="17" t="n">
        <v>657</v>
      </c>
      <c r="B661" s="17" t="s">
        <v>41</v>
      </c>
      <c r="C661" s="17" t="s">
        <v>49</v>
      </c>
      <c r="D661" s="17" t="s">
        <v>51</v>
      </c>
      <c r="E661" s="17" t="s">
        <v>52</v>
      </c>
      <c r="F661" s="25" t="n">
        <f aca="false">SUMPRODUCT(--((('Yellow Bosses'!$I$5:$I$53&gt;=2)+('Yellow Bosses'!$Q$5:$Q$53&gt;=2)+('Yellow Bosses'!$S$5:$S$53&gt;=2)+('Yellow Bosses'!$T$5:$T$53&gt;=2))&gt;0))</f>
        <v>32</v>
      </c>
      <c r="G661" s="26" t="n">
        <f aca="false">F661/49</f>
        <v>0.653061224489796</v>
      </c>
      <c r="H661" s="25" t="n">
        <f aca="false">49-SUMPRODUCT(--((('Yellow Bosses'!$I$5:$I$53&gt;=1)+('Yellow Bosses'!$Q$5:$Q$53&gt;=1)+('Yellow Bosses'!$S$5:$S$53&gt;=1)+('Yellow Bosses'!$T$5:$T$53&gt;=1))&gt;0))</f>
        <v>0</v>
      </c>
      <c r="I661" s="25" t="n">
        <f aca="false">SUMPRODUCT(--((('Yellow Bosses'!$I$5:$I$53&gt;0)+('Yellow Bosses'!$Q$5:$Q$53&gt;0)+('Yellow Bosses'!$S$5:$S$53&gt;0)+('Yellow Bosses'!$T$5:$T$53&gt;0))=0))</f>
        <v>0</v>
      </c>
      <c r="J661" s="25" t="n">
        <f aca="false">SUMPRODUCT(--(((Effectiveness!$F$5:$F$155&gt;=2)+(Effectiveness!$N$5:$N$155&gt;=2)+(Effectiveness!$P$5:$P$155&gt;=2)+(Effectiveness!$Q$5:$Q$155&gt;=2))&gt;0))</f>
        <v>88</v>
      </c>
      <c r="K661" s="26" t="n">
        <f aca="false">J661/151</f>
        <v>0.582781456953642</v>
      </c>
      <c r="L661" s="25" t="n">
        <f aca="false">MIN(INDEX('Move Reality'!$F$5:$F$19,MATCH(B661,'Move Reality'!$A$5:$A$19,0)),INDEX('Move Reality'!$F$5:$F$19,MATCH(C661,'Move Reality'!$A$5:$A$19,0)),INDEX('Move Reality'!$F$5:$F$19,MATCH(D661,'Move Reality'!$A$5:$A$19,0)),INDEX('Move Reality'!$F$5:$F$19,MATCH(E661,'Move Reality'!$A$5:$A$19,0)))</f>
        <v>1</v>
      </c>
      <c r="M661" s="28" t="str">
        <f aca="false">IF(L661&gt;=5,"YES","no - dead move")</f>
        <v>no - dead move</v>
      </c>
    </row>
    <row r="662" customFormat="false" ht="15" hidden="false" customHeight="false" outlineLevel="0" collapsed="false">
      <c r="A662" s="17" t="n">
        <v>658</v>
      </c>
      <c r="B662" s="17" t="s">
        <v>42</v>
      </c>
      <c r="C662" s="17" t="s">
        <v>43</v>
      </c>
      <c r="D662" s="17" t="s">
        <v>52</v>
      </c>
      <c r="E662" s="17" t="s">
        <v>53</v>
      </c>
      <c r="F662" s="25" t="n">
        <f aca="false">SUMPRODUCT(--((('Yellow Bosses'!$J$5:$J$53&gt;=2)+('Yellow Bosses'!$K$5:$K$53&gt;=2)+('Yellow Bosses'!$T$5:$T$53&gt;=2)+('Yellow Bosses'!$U$5:$U$53&gt;=2))&gt;0))</f>
        <v>32</v>
      </c>
      <c r="G662" s="26" t="n">
        <f aca="false">F662/49</f>
        <v>0.653061224489796</v>
      </c>
      <c r="H662" s="25" t="n">
        <f aca="false">49-SUMPRODUCT(--((('Yellow Bosses'!$J$5:$J$53&gt;=1)+('Yellow Bosses'!$K$5:$K$53&gt;=1)+('Yellow Bosses'!$T$5:$T$53&gt;=1)+('Yellow Bosses'!$U$5:$U$53&gt;=1))&gt;0))</f>
        <v>0</v>
      </c>
      <c r="I662" s="25" t="n">
        <f aca="false">SUMPRODUCT(--((('Yellow Bosses'!$J$5:$J$53&gt;0)+('Yellow Bosses'!$K$5:$K$53&gt;0)+('Yellow Bosses'!$T$5:$T$53&gt;0)+('Yellow Bosses'!$U$5:$U$53&gt;0))=0))</f>
        <v>0</v>
      </c>
      <c r="J662" s="25" t="n">
        <f aca="false">SUMPRODUCT(--(((Effectiveness!$G$5:$G$155&gt;=2)+(Effectiveness!$H$5:$H$155&gt;=2)+(Effectiveness!$Q$5:$Q$155&gt;=2)+(Effectiveness!$R$5:$R$155&gt;=2))&gt;0))</f>
        <v>88</v>
      </c>
      <c r="K662" s="26" t="n">
        <f aca="false">J662/151</f>
        <v>0.582781456953642</v>
      </c>
      <c r="L662" s="25" t="n">
        <f aca="false">MIN(INDEX('Move Reality'!$F$5:$F$19,MATCH(B662,'Move Reality'!$A$5:$A$19,0)),INDEX('Move Reality'!$F$5:$F$19,MATCH(C662,'Move Reality'!$A$5:$A$19,0)),INDEX('Move Reality'!$F$5:$F$19,MATCH(D662,'Move Reality'!$A$5:$A$19,0)),INDEX('Move Reality'!$F$5:$F$19,MATCH(E662,'Move Reality'!$A$5:$A$19,0)))</f>
        <v>1</v>
      </c>
      <c r="M662" s="28" t="str">
        <f aca="false">IF(L662&gt;=5,"YES","no - dead move")</f>
        <v>no - dead move</v>
      </c>
    </row>
    <row r="663" customFormat="false" ht="15" hidden="false" customHeight="false" outlineLevel="0" collapsed="false">
      <c r="A663" s="17" t="n">
        <v>659</v>
      </c>
      <c r="B663" s="17" t="s">
        <v>42</v>
      </c>
      <c r="C663" s="17" t="s">
        <v>47</v>
      </c>
      <c r="D663" s="17" t="s">
        <v>48</v>
      </c>
      <c r="E663" s="17" t="s">
        <v>50</v>
      </c>
      <c r="F663" s="25" t="n">
        <f aca="false">SUMPRODUCT(--((('Yellow Bosses'!$J$5:$J$53&gt;=2)+('Yellow Bosses'!$O$5:$O$53&gt;=2)+('Yellow Bosses'!$P$5:$P$53&gt;=2)+('Yellow Bosses'!$R$5:$R$53&gt;=2))&gt;0))</f>
        <v>32</v>
      </c>
      <c r="G663" s="26" t="n">
        <f aca="false">F663/49</f>
        <v>0.653061224489796</v>
      </c>
      <c r="H663" s="25" t="n">
        <f aca="false">49-SUMPRODUCT(--((('Yellow Bosses'!$J$5:$J$53&gt;=1)+('Yellow Bosses'!$O$5:$O$53&gt;=1)+('Yellow Bosses'!$P$5:$P$53&gt;=1)+('Yellow Bosses'!$R$5:$R$53&gt;=1))&gt;0))</f>
        <v>0</v>
      </c>
      <c r="I663" s="25" t="n">
        <f aca="false">SUMPRODUCT(--((('Yellow Bosses'!$J$5:$J$53&gt;0)+('Yellow Bosses'!$O$5:$O$53&gt;0)+('Yellow Bosses'!$P$5:$P$53&gt;0)+('Yellow Bosses'!$R$5:$R$53&gt;0))=0))</f>
        <v>0</v>
      </c>
      <c r="J663" s="25" t="n">
        <f aca="false">SUMPRODUCT(--(((Effectiveness!$G$5:$G$155&gt;=2)+(Effectiveness!$L$5:$L$155&gt;=2)+(Effectiveness!$M$5:$M$155&gt;=2)+(Effectiveness!$O$5:$O$155&gt;=2))&gt;0))</f>
        <v>88</v>
      </c>
      <c r="K663" s="26" t="n">
        <f aca="false">J663/151</f>
        <v>0.582781456953642</v>
      </c>
      <c r="L663" s="25" t="n">
        <f aca="false">MIN(INDEX('Move Reality'!$F$5:$F$19,MATCH(B663,'Move Reality'!$A$5:$A$19,0)),INDEX('Move Reality'!$F$5:$F$19,MATCH(C663,'Move Reality'!$A$5:$A$19,0)),INDEX('Move Reality'!$F$5:$F$19,MATCH(D663,'Move Reality'!$A$5:$A$19,0)),INDEX('Move Reality'!$F$5:$F$19,MATCH(E663,'Move Reality'!$A$5:$A$19,0)))</f>
        <v>2</v>
      </c>
      <c r="M663" s="28" t="str">
        <f aca="false">IF(L663&gt;=5,"YES","no - dead move")</f>
        <v>no - dead move</v>
      </c>
    </row>
    <row r="664" customFormat="false" ht="15" hidden="false" customHeight="false" outlineLevel="0" collapsed="false">
      <c r="A664" s="17" t="n">
        <v>660</v>
      </c>
      <c r="B664" s="17" t="s">
        <v>42</v>
      </c>
      <c r="C664" s="17" t="s">
        <v>48</v>
      </c>
      <c r="D664" s="17" t="s">
        <v>49</v>
      </c>
      <c r="E664" s="17" t="s">
        <v>50</v>
      </c>
      <c r="F664" s="25" t="n">
        <f aca="false">SUMPRODUCT(--((('Yellow Bosses'!$J$5:$J$53&gt;=2)+('Yellow Bosses'!$P$5:$P$53&gt;=2)+('Yellow Bosses'!$Q$5:$Q$53&gt;=2)+('Yellow Bosses'!$R$5:$R$53&gt;=2))&gt;0))</f>
        <v>32</v>
      </c>
      <c r="G664" s="26" t="n">
        <f aca="false">F664/49</f>
        <v>0.653061224489796</v>
      </c>
      <c r="H664" s="25" t="n">
        <f aca="false">49-SUMPRODUCT(--((('Yellow Bosses'!$J$5:$J$53&gt;=1)+('Yellow Bosses'!$P$5:$P$53&gt;=1)+('Yellow Bosses'!$Q$5:$Q$53&gt;=1)+('Yellow Bosses'!$R$5:$R$53&gt;=1))&gt;0))</f>
        <v>0</v>
      </c>
      <c r="I664" s="25" t="n">
        <f aca="false">SUMPRODUCT(--((('Yellow Bosses'!$J$5:$J$53&gt;0)+('Yellow Bosses'!$P$5:$P$53&gt;0)+('Yellow Bosses'!$Q$5:$Q$53&gt;0)+('Yellow Bosses'!$R$5:$R$53&gt;0))=0))</f>
        <v>0</v>
      </c>
      <c r="J664" s="25" t="n">
        <f aca="false">SUMPRODUCT(--(((Effectiveness!$G$5:$G$155&gt;=2)+(Effectiveness!$M$5:$M$155&gt;=2)+(Effectiveness!$N$5:$N$155&gt;=2)+(Effectiveness!$O$5:$O$155&gt;=2))&gt;0))</f>
        <v>88</v>
      </c>
      <c r="K664" s="26" t="n">
        <f aca="false">J664/151</f>
        <v>0.582781456953642</v>
      </c>
      <c r="L664" s="25" t="n">
        <f aca="false">MIN(INDEX('Move Reality'!$F$5:$F$19,MATCH(B664,'Move Reality'!$A$5:$A$19,0)),INDEX('Move Reality'!$F$5:$F$19,MATCH(C664,'Move Reality'!$A$5:$A$19,0)),INDEX('Move Reality'!$F$5:$F$19,MATCH(D664,'Move Reality'!$A$5:$A$19,0)),INDEX('Move Reality'!$F$5:$F$19,MATCH(E664,'Move Reality'!$A$5:$A$19,0)))</f>
        <v>5</v>
      </c>
      <c r="M664" s="28" t="str">
        <f aca="false">IF(L664&gt;=5,"YES","no - dead move")</f>
        <v>YES</v>
      </c>
    </row>
    <row r="665" customFormat="false" ht="15" hidden="false" customHeight="false" outlineLevel="0" collapsed="false">
      <c r="A665" s="17" t="n">
        <v>661</v>
      </c>
      <c r="B665" s="17" t="s">
        <v>47</v>
      </c>
      <c r="C665" s="17" t="s">
        <v>49</v>
      </c>
      <c r="D665" s="17" t="s">
        <v>51</v>
      </c>
      <c r="E665" s="17" t="s">
        <v>52</v>
      </c>
      <c r="F665" s="25" t="n">
        <f aca="false">SUMPRODUCT(--((('Yellow Bosses'!$O$5:$O$53&gt;=2)+('Yellow Bosses'!$Q$5:$Q$53&gt;=2)+('Yellow Bosses'!$S$5:$S$53&gt;=2)+('Yellow Bosses'!$T$5:$T$53&gt;=2))&gt;0))</f>
        <v>32</v>
      </c>
      <c r="G665" s="26" t="n">
        <f aca="false">F665/49</f>
        <v>0.653061224489796</v>
      </c>
      <c r="H665" s="25" t="n">
        <f aca="false">49-SUMPRODUCT(--((('Yellow Bosses'!$O$5:$O$53&gt;=1)+('Yellow Bosses'!$Q$5:$Q$53&gt;=1)+('Yellow Bosses'!$S$5:$S$53&gt;=1)+('Yellow Bosses'!$T$5:$T$53&gt;=1))&gt;0))</f>
        <v>0</v>
      </c>
      <c r="I665" s="25" t="n">
        <f aca="false">SUMPRODUCT(--((('Yellow Bosses'!$O$5:$O$53&gt;0)+('Yellow Bosses'!$Q$5:$Q$53&gt;0)+('Yellow Bosses'!$S$5:$S$53&gt;0)+('Yellow Bosses'!$T$5:$T$53&gt;0))=0))</f>
        <v>0</v>
      </c>
      <c r="J665" s="25" t="n">
        <f aca="false">SUMPRODUCT(--(((Effectiveness!$L$5:$L$155&gt;=2)+(Effectiveness!$N$5:$N$155&gt;=2)+(Effectiveness!$P$5:$P$155&gt;=2)+(Effectiveness!$Q$5:$Q$155&gt;=2))&gt;0))</f>
        <v>88</v>
      </c>
      <c r="K665" s="26" t="n">
        <f aca="false">J665/151</f>
        <v>0.582781456953642</v>
      </c>
      <c r="L665" s="25" t="n">
        <f aca="false">MIN(INDEX('Move Reality'!$F$5:$F$19,MATCH(B665,'Move Reality'!$A$5:$A$19,0)),INDEX('Move Reality'!$F$5:$F$19,MATCH(C665,'Move Reality'!$A$5:$A$19,0)),INDEX('Move Reality'!$F$5:$F$19,MATCH(D665,'Move Reality'!$A$5:$A$19,0)),INDEX('Move Reality'!$F$5:$F$19,MATCH(E665,'Move Reality'!$A$5:$A$19,0)))</f>
        <v>1</v>
      </c>
      <c r="M665" s="28" t="str">
        <f aca="false">IF(L665&gt;=5,"YES","no - dead move")</f>
        <v>no - dead move</v>
      </c>
    </row>
    <row r="666" customFormat="false" ht="15" hidden="false" customHeight="false" outlineLevel="0" collapsed="false">
      <c r="A666" s="17" t="n">
        <v>662</v>
      </c>
      <c r="B666" s="17" t="s">
        <v>40</v>
      </c>
      <c r="C666" s="17" t="s">
        <v>42</v>
      </c>
      <c r="D666" s="17" t="s">
        <v>44</v>
      </c>
      <c r="E666" s="17" t="s">
        <v>49</v>
      </c>
      <c r="F666" s="25" t="n">
        <f aca="false">SUMPRODUCT(--((('Yellow Bosses'!$H$5:$H$53&gt;=2)+('Yellow Bosses'!$J$5:$J$53&gt;=2)+('Yellow Bosses'!$L$5:$L$53&gt;=2)+('Yellow Bosses'!$Q$5:$Q$53&gt;=2))&gt;0))</f>
        <v>32</v>
      </c>
      <c r="G666" s="26" t="n">
        <f aca="false">F666/49</f>
        <v>0.653061224489796</v>
      </c>
      <c r="H666" s="25" t="n">
        <f aca="false">49-SUMPRODUCT(--((('Yellow Bosses'!$H$5:$H$53&gt;=1)+('Yellow Bosses'!$J$5:$J$53&gt;=1)+('Yellow Bosses'!$L$5:$L$53&gt;=1)+('Yellow Bosses'!$Q$5:$Q$53&gt;=1))&gt;0))</f>
        <v>0</v>
      </c>
      <c r="I666" s="25" t="n">
        <f aca="false">SUMPRODUCT(--((('Yellow Bosses'!$H$5:$H$53&gt;0)+('Yellow Bosses'!$J$5:$J$53&gt;0)+('Yellow Bosses'!$L$5:$L$53&gt;0)+('Yellow Bosses'!$Q$5:$Q$53&gt;0))=0))</f>
        <v>0</v>
      </c>
      <c r="J666" s="25" t="n">
        <f aca="false">SUMPRODUCT(--(((Effectiveness!$E$5:$E$155&gt;=2)+(Effectiveness!$G$5:$G$155&gt;=2)+(Effectiveness!$I$5:$I$155&gt;=2)+(Effectiveness!$N$5:$N$155&gt;=2))&gt;0))</f>
        <v>87</v>
      </c>
      <c r="K666" s="26" t="n">
        <f aca="false">J666/151</f>
        <v>0.576158940397351</v>
      </c>
      <c r="L666" s="25" t="n">
        <f aca="false">MIN(INDEX('Move Reality'!$F$5:$F$19,MATCH(B666,'Move Reality'!$A$5:$A$19,0)),INDEX('Move Reality'!$F$5:$F$19,MATCH(C666,'Move Reality'!$A$5:$A$19,0)),INDEX('Move Reality'!$F$5:$F$19,MATCH(D666,'Move Reality'!$A$5:$A$19,0)),INDEX('Move Reality'!$F$5:$F$19,MATCH(E666,'Move Reality'!$A$5:$A$19,0)))</f>
        <v>4</v>
      </c>
      <c r="M666" s="28" t="str">
        <f aca="false">IF(L666&gt;=5,"YES","no - dead move")</f>
        <v>no - dead move</v>
      </c>
    </row>
    <row r="667" customFormat="false" ht="15" hidden="false" customHeight="false" outlineLevel="0" collapsed="false">
      <c r="A667" s="17" t="n">
        <v>663</v>
      </c>
      <c r="B667" s="17" t="s">
        <v>42</v>
      </c>
      <c r="C667" s="17" t="s">
        <v>44</v>
      </c>
      <c r="D667" s="17" t="s">
        <v>47</v>
      </c>
      <c r="E667" s="17" t="s">
        <v>49</v>
      </c>
      <c r="F667" s="25" t="n">
        <f aca="false">SUMPRODUCT(--((('Yellow Bosses'!$J$5:$J$53&gt;=2)+('Yellow Bosses'!$L$5:$L$53&gt;=2)+('Yellow Bosses'!$O$5:$O$53&gt;=2)+('Yellow Bosses'!$Q$5:$Q$53&gt;=2))&gt;0))</f>
        <v>32</v>
      </c>
      <c r="G667" s="26" t="n">
        <f aca="false">F667/49</f>
        <v>0.653061224489796</v>
      </c>
      <c r="H667" s="25" t="n">
        <f aca="false">49-SUMPRODUCT(--((('Yellow Bosses'!$J$5:$J$53&gt;=1)+('Yellow Bosses'!$L$5:$L$53&gt;=1)+('Yellow Bosses'!$O$5:$O$53&gt;=1)+('Yellow Bosses'!$Q$5:$Q$53&gt;=1))&gt;0))</f>
        <v>0</v>
      </c>
      <c r="I667" s="25" t="n">
        <f aca="false">SUMPRODUCT(--((('Yellow Bosses'!$J$5:$J$53&gt;0)+('Yellow Bosses'!$L$5:$L$53&gt;0)+('Yellow Bosses'!$O$5:$O$53&gt;0)+('Yellow Bosses'!$Q$5:$Q$53&gt;0))=0))</f>
        <v>0</v>
      </c>
      <c r="J667" s="25" t="n">
        <f aca="false">SUMPRODUCT(--(((Effectiveness!$G$5:$G$155&gt;=2)+(Effectiveness!$I$5:$I$155&gt;=2)+(Effectiveness!$L$5:$L$155&gt;=2)+(Effectiveness!$N$5:$N$155&gt;=2))&gt;0))</f>
        <v>87</v>
      </c>
      <c r="K667" s="26" t="n">
        <f aca="false">J667/151</f>
        <v>0.576158940397351</v>
      </c>
      <c r="L667" s="25" t="n">
        <f aca="false">MIN(INDEX('Move Reality'!$F$5:$F$19,MATCH(B667,'Move Reality'!$A$5:$A$19,0)),INDEX('Move Reality'!$F$5:$F$19,MATCH(C667,'Move Reality'!$A$5:$A$19,0)),INDEX('Move Reality'!$F$5:$F$19,MATCH(D667,'Move Reality'!$A$5:$A$19,0)),INDEX('Move Reality'!$F$5:$F$19,MATCH(E667,'Move Reality'!$A$5:$A$19,0)))</f>
        <v>2</v>
      </c>
      <c r="M667" s="28" t="str">
        <f aca="false">IF(L667&gt;=5,"YES","no - dead move")</f>
        <v>no - dead move</v>
      </c>
    </row>
    <row r="668" customFormat="false" ht="15" hidden="false" customHeight="false" outlineLevel="0" collapsed="false">
      <c r="A668" s="17" t="n">
        <v>664</v>
      </c>
      <c r="B668" s="17" t="s">
        <v>44</v>
      </c>
      <c r="C668" s="17" t="s">
        <v>47</v>
      </c>
      <c r="D668" s="17" t="s">
        <v>52</v>
      </c>
      <c r="E668" s="17" t="s">
        <v>53</v>
      </c>
      <c r="F668" s="25" t="n">
        <f aca="false">SUMPRODUCT(--((('Yellow Bosses'!$L$5:$L$53&gt;=2)+('Yellow Bosses'!$O$5:$O$53&gt;=2)+('Yellow Bosses'!$T$5:$T$53&gt;=2)+('Yellow Bosses'!$U$5:$U$53&gt;=2))&gt;0))</f>
        <v>32</v>
      </c>
      <c r="G668" s="26" t="n">
        <f aca="false">F668/49</f>
        <v>0.653061224489796</v>
      </c>
      <c r="H668" s="25" t="n">
        <f aca="false">49-SUMPRODUCT(--((('Yellow Bosses'!$L$5:$L$53&gt;=1)+('Yellow Bosses'!$O$5:$O$53&gt;=1)+('Yellow Bosses'!$T$5:$T$53&gt;=1)+('Yellow Bosses'!$U$5:$U$53&gt;=1))&gt;0))</f>
        <v>0</v>
      </c>
      <c r="I668" s="25" t="n">
        <f aca="false">SUMPRODUCT(--((('Yellow Bosses'!$L$5:$L$53&gt;0)+('Yellow Bosses'!$O$5:$O$53&gt;0)+('Yellow Bosses'!$T$5:$T$53&gt;0)+('Yellow Bosses'!$U$5:$U$53&gt;0))=0))</f>
        <v>0</v>
      </c>
      <c r="J668" s="25" t="n">
        <f aca="false">SUMPRODUCT(--(((Effectiveness!$I$5:$I$155&gt;=2)+(Effectiveness!$L$5:$L$155&gt;=2)+(Effectiveness!$Q$5:$Q$155&gt;=2)+(Effectiveness!$R$5:$R$155&gt;=2))&gt;0))</f>
        <v>87</v>
      </c>
      <c r="K668" s="26" t="n">
        <f aca="false">J668/151</f>
        <v>0.576158940397351</v>
      </c>
      <c r="L668" s="25" t="n">
        <f aca="false">MIN(INDEX('Move Reality'!$F$5:$F$19,MATCH(B668,'Move Reality'!$A$5:$A$19,0)),INDEX('Move Reality'!$F$5:$F$19,MATCH(C668,'Move Reality'!$A$5:$A$19,0)),INDEX('Move Reality'!$F$5:$F$19,MATCH(D668,'Move Reality'!$A$5:$A$19,0)),INDEX('Move Reality'!$F$5:$F$19,MATCH(E668,'Move Reality'!$A$5:$A$19,0)))</f>
        <v>1</v>
      </c>
      <c r="M668" s="28" t="str">
        <f aca="false">IF(L668&gt;=5,"YES","no - dead move")</f>
        <v>no - dead move</v>
      </c>
    </row>
    <row r="669" customFormat="false" ht="15" hidden="false" customHeight="false" outlineLevel="0" collapsed="false">
      <c r="A669" s="17" t="n">
        <v>665</v>
      </c>
      <c r="B669" s="17" t="s">
        <v>42</v>
      </c>
      <c r="C669" s="17" t="s">
        <v>44</v>
      </c>
      <c r="D669" s="17" t="s">
        <v>52</v>
      </c>
      <c r="E669" s="17" t="s">
        <v>53</v>
      </c>
      <c r="F669" s="25" t="n">
        <f aca="false">SUMPRODUCT(--((('Yellow Bosses'!$J$5:$J$53&gt;=2)+('Yellow Bosses'!$L$5:$L$53&gt;=2)+('Yellow Bosses'!$T$5:$T$53&gt;=2)+('Yellow Bosses'!$U$5:$U$53&gt;=2))&gt;0))</f>
        <v>32</v>
      </c>
      <c r="G669" s="26" t="n">
        <f aca="false">F669/49</f>
        <v>0.653061224489796</v>
      </c>
      <c r="H669" s="25" t="n">
        <f aca="false">49-SUMPRODUCT(--((('Yellow Bosses'!$J$5:$J$53&gt;=1)+('Yellow Bosses'!$L$5:$L$53&gt;=1)+('Yellow Bosses'!$T$5:$T$53&gt;=1)+('Yellow Bosses'!$U$5:$U$53&gt;=1))&gt;0))</f>
        <v>0</v>
      </c>
      <c r="I669" s="25" t="n">
        <f aca="false">SUMPRODUCT(--((('Yellow Bosses'!$J$5:$J$53&gt;0)+('Yellow Bosses'!$L$5:$L$53&gt;0)+('Yellow Bosses'!$T$5:$T$53&gt;0)+('Yellow Bosses'!$U$5:$U$53&gt;0))=0))</f>
        <v>0</v>
      </c>
      <c r="J669" s="25" t="n">
        <f aca="false">SUMPRODUCT(--(((Effectiveness!$G$5:$G$155&gt;=2)+(Effectiveness!$I$5:$I$155&gt;=2)+(Effectiveness!$Q$5:$Q$155&gt;=2)+(Effectiveness!$R$5:$R$155&gt;=2))&gt;0))</f>
        <v>86</v>
      </c>
      <c r="K669" s="26" t="n">
        <f aca="false">J669/151</f>
        <v>0.56953642384106</v>
      </c>
      <c r="L669" s="25" t="n">
        <f aca="false">MIN(INDEX('Move Reality'!$F$5:$F$19,MATCH(B669,'Move Reality'!$A$5:$A$19,0)),INDEX('Move Reality'!$F$5:$F$19,MATCH(C669,'Move Reality'!$A$5:$A$19,0)),INDEX('Move Reality'!$F$5:$F$19,MATCH(D669,'Move Reality'!$A$5:$A$19,0)),INDEX('Move Reality'!$F$5:$F$19,MATCH(E669,'Move Reality'!$A$5:$A$19,0)))</f>
        <v>1</v>
      </c>
      <c r="M669" s="28" t="str">
        <f aca="false">IF(L669&gt;=5,"YES","no - dead move")</f>
        <v>no - dead move</v>
      </c>
    </row>
    <row r="670" customFormat="false" ht="15" hidden="false" customHeight="false" outlineLevel="0" collapsed="false">
      <c r="A670" s="17" t="n">
        <v>666</v>
      </c>
      <c r="B670" s="17" t="s">
        <v>44</v>
      </c>
      <c r="C670" s="17" t="s">
        <v>52</v>
      </c>
      <c r="D670" s="17" t="s">
        <v>53</v>
      </c>
      <c r="E670" s="17" t="s">
        <v>54</v>
      </c>
      <c r="F670" s="25" t="n">
        <f aca="false">SUMPRODUCT(--((('Yellow Bosses'!$L$5:$L$53&gt;=2)+('Yellow Bosses'!$T$5:$T$53&gt;=2)+('Yellow Bosses'!$U$5:$U$53&gt;=2)+('Yellow Bosses'!$V$5:$V$53&gt;=2))&gt;0))</f>
        <v>32</v>
      </c>
      <c r="G670" s="26" t="n">
        <f aca="false">F670/49</f>
        <v>0.653061224489796</v>
      </c>
      <c r="H670" s="25" t="n">
        <f aca="false">49-SUMPRODUCT(--((('Yellow Bosses'!$L$5:$L$53&gt;=1)+('Yellow Bosses'!$T$5:$T$53&gt;=1)+('Yellow Bosses'!$U$5:$U$53&gt;=1)+('Yellow Bosses'!$V$5:$V$53&gt;=1))&gt;0))</f>
        <v>0</v>
      </c>
      <c r="I670" s="25" t="n">
        <f aca="false">SUMPRODUCT(--((('Yellow Bosses'!$L$5:$L$53&gt;0)+('Yellow Bosses'!$T$5:$T$53&gt;0)+('Yellow Bosses'!$U$5:$U$53&gt;0)+('Yellow Bosses'!$V$5:$V$53&gt;0))=0))</f>
        <v>0</v>
      </c>
      <c r="J670" s="25" t="n">
        <f aca="false">SUMPRODUCT(--(((Effectiveness!$I$5:$I$155&gt;=2)+(Effectiveness!$Q$5:$Q$155&gt;=2)+(Effectiveness!$R$5:$R$155&gt;=2)+(Effectiveness!$S$5:$S$155&gt;=2))&gt;0))</f>
        <v>86</v>
      </c>
      <c r="K670" s="26" t="n">
        <f aca="false">J670/151</f>
        <v>0.56953642384106</v>
      </c>
      <c r="L670" s="25" t="n">
        <f aca="false">MIN(INDEX('Move Reality'!$F$5:$F$19,MATCH(B670,'Move Reality'!$A$5:$A$19,0)),INDEX('Move Reality'!$F$5:$F$19,MATCH(C670,'Move Reality'!$A$5:$A$19,0)),INDEX('Move Reality'!$F$5:$F$19,MATCH(D670,'Move Reality'!$A$5:$A$19,0)),INDEX('Move Reality'!$F$5:$F$19,MATCH(E670,'Move Reality'!$A$5:$A$19,0)))</f>
        <v>1</v>
      </c>
      <c r="M670" s="28" t="str">
        <f aca="false">IF(L670&gt;=5,"YES","no - dead move")</f>
        <v>no - dead move</v>
      </c>
    </row>
    <row r="671" customFormat="false" ht="15" hidden="false" customHeight="false" outlineLevel="0" collapsed="false">
      <c r="A671" s="17" t="n">
        <v>667</v>
      </c>
      <c r="B671" s="17" t="s">
        <v>42</v>
      </c>
      <c r="C671" s="17" t="s">
        <v>46</v>
      </c>
      <c r="D671" s="17" t="s">
        <v>49</v>
      </c>
      <c r="E671" s="17" t="s">
        <v>53</v>
      </c>
      <c r="F671" s="25" t="n">
        <f aca="false">SUMPRODUCT(--((('Yellow Bosses'!$J$5:$J$53&gt;=2)+('Yellow Bosses'!$N$5:$N$53&gt;=2)+('Yellow Bosses'!$Q$5:$Q$53&gt;=2)+('Yellow Bosses'!$U$5:$U$53&gt;=2))&gt;0))</f>
        <v>32</v>
      </c>
      <c r="G671" s="26" t="n">
        <f aca="false">F671/49</f>
        <v>0.653061224489796</v>
      </c>
      <c r="H671" s="25" t="n">
        <f aca="false">49-SUMPRODUCT(--((('Yellow Bosses'!$J$5:$J$53&gt;=1)+('Yellow Bosses'!$N$5:$N$53&gt;=1)+('Yellow Bosses'!$Q$5:$Q$53&gt;=1)+('Yellow Bosses'!$U$5:$U$53&gt;=1))&gt;0))</f>
        <v>0</v>
      </c>
      <c r="I671" s="25" t="n">
        <f aca="false">SUMPRODUCT(--((('Yellow Bosses'!$J$5:$J$53&gt;0)+('Yellow Bosses'!$N$5:$N$53&gt;0)+('Yellow Bosses'!$Q$5:$Q$53&gt;0)+('Yellow Bosses'!$U$5:$U$53&gt;0))=0))</f>
        <v>0</v>
      </c>
      <c r="J671" s="25" t="n">
        <f aca="false">SUMPRODUCT(--(((Effectiveness!$G$5:$G$155&gt;=2)+(Effectiveness!$K$5:$K$155&gt;=2)+(Effectiveness!$N$5:$N$155&gt;=2)+(Effectiveness!$R$5:$R$155&gt;=2))&gt;0))</f>
        <v>85</v>
      </c>
      <c r="K671" s="26" t="n">
        <f aca="false">J671/151</f>
        <v>0.562913907284768</v>
      </c>
      <c r="L671" s="25" t="n">
        <f aca="false">MIN(INDEX('Move Reality'!$F$5:$F$19,MATCH(B671,'Move Reality'!$A$5:$A$19,0)),INDEX('Move Reality'!$F$5:$F$19,MATCH(C671,'Move Reality'!$A$5:$A$19,0)),INDEX('Move Reality'!$F$5:$F$19,MATCH(D671,'Move Reality'!$A$5:$A$19,0)),INDEX('Move Reality'!$F$5:$F$19,MATCH(E671,'Move Reality'!$A$5:$A$19,0)))</f>
        <v>1</v>
      </c>
      <c r="M671" s="28" t="str">
        <f aca="false">IF(L671&gt;=5,"YES","no - dead move")</f>
        <v>no - dead move</v>
      </c>
    </row>
    <row r="672" customFormat="false" ht="15" hidden="false" customHeight="false" outlineLevel="0" collapsed="false">
      <c r="A672" s="17" t="n">
        <v>668</v>
      </c>
      <c r="B672" s="17" t="s">
        <v>42</v>
      </c>
      <c r="C672" s="17" t="s">
        <v>46</v>
      </c>
      <c r="D672" s="17" t="s">
        <v>49</v>
      </c>
      <c r="E672" s="17" t="s">
        <v>54</v>
      </c>
      <c r="F672" s="25" t="n">
        <f aca="false">SUMPRODUCT(--((('Yellow Bosses'!$J$5:$J$53&gt;=2)+('Yellow Bosses'!$N$5:$N$53&gt;=2)+('Yellow Bosses'!$Q$5:$Q$53&gt;=2)+('Yellow Bosses'!$V$5:$V$53&gt;=2))&gt;0))</f>
        <v>32</v>
      </c>
      <c r="G672" s="26" t="n">
        <f aca="false">F672/49</f>
        <v>0.653061224489796</v>
      </c>
      <c r="H672" s="25" t="n">
        <f aca="false">49-SUMPRODUCT(--((('Yellow Bosses'!$J$5:$J$53&gt;=1)+('Yellow Bosses'!$N$5:$N$53&gt;=1)+('Yellow Bosses'!$Q$5:$Q$53&gt;=1)+('Yellow Bosses'!$V$5:$V$53&gt;=1))&gt;0))</f>
        <v>0</v>
      </c>
      <c r="I672" s="25" t="n">
        <f aca="false">SUMPRODUCT(--((('Yellow Bosses'!$J$5:$J$53&gt;0)+('Yellow Bosses'!$N$5:$N$53&gt;0)+('Yellow Bosses'!$Q$5:$Q$53&gt;0)+('Yellow Bosses'!$V$5:$V$53&gt;0))=0))</f>
        <v>0</v>
      </c>
      <c r="J672" s="25" t="n">
        <f aca="false">SUMPRODUCT(--(((Effectiveness!$G$5:$G$155&gt;=2)+(Effectiveness!$K$5:$K$155&gt;=2)+(Effectiveness!$N$5:$N$155&gt;=2)+(Effectiveness!$S$5:$S$155&gt;=2))&gt;0))</f>
        <v>85</v>
      </c>
      <c r="K672" s="26" t="n">
        <f aca="false">J672/151</f>
        <v>0.562913907284768</v>
      </c>
      <c r="L672" s="25" t="n">
        <f aca="false">MIN(INDEX('Move Reality'!$F$5:$F$19,MATCH(B672,'Move Reality'!$A$5:$A$19,0)),INDEX('Move Reality'!$F$5:$F$19,MATCH(C672,'Move Reality'!$A$5:$A$19,0)),INDEX('Move Reality'!$F$5:$F$19,MATCH(D672,'Move Reality'!$A$5:$A$19,0)),INDEX('Move Reality'!$F$5:$F$19,MATCH(E672,'Move Reality'!$A$5:$A$19,0)))</f>
        <v>1</v>
      </c>
      <c r="M672" s="28" t="str">
        <f aca="false">IF(L672&gt;=5,"YES","no - dead move")</f>
        <v>no - dead move</v>
      </c>
    </row>
    <row r="673" customFormat="false" ht="15" hidden="false" customHeight="false" outlineLevel="0" collapsed="false">
      <c r="A673" s="17" t="n">
        <v>669</v>
      </c>
      <c r="B673" s="17" t="s">
        <v>40</v>
      </c>
      <c r="C673" s="17" t="s">
        <v>51</v>
      </c>
      <c r="D673" s="17" t="s">
        <v>52</v>
      </c>
      <c r="E673" s="17" t="s">
        <v>53</v>
      </c>
      <c r="F673" s="25" t="n">
        <f aca="false">SUMPRODUCT(--((('Yellow Bosses'!$H$5:$H$53&gt;=2)+('Yellow Bosses'!$S$5:$S$53&gt;=2)+('Yellow Bosses'!$T$5:$T$53&gt;=2)+('Yellow Bosses'!$U$5:$U$53&gt;=2))&gt;0))</f>
        <v>32</v>
      </c>
      <c r="G673" s="26" t="n">
        <f aca="false">F673/49</f>
        <v>0.653061224489796</v>
      </c>
      <c r="H673" s="25" t="n">
        <f aca="false">49-SUMPRODUCT(--((('Yellow Bosses'!$H$5:$H$53&gt;=1)+('Yellow Bosses'!$S$5:$S$53&gt;=1)+('Yellow Bosses'!$T$5:$T$53&gt;=1)+('Yellow Bosses'!$U$5:$U$53&gt;=1))&gt;0))</f>
        <v>0</v>
      </c>
      <c r="I673" s="25" t="n">
        <f aca="false">SUMPRODUCT(--((('Yellow Bosses'!$H$5:$H$53&gt;0)+('Yellow Bosses'!$S$5:$S$53&gt;0)+('Yellow Bosses'!$T$5:$T$53&gt;0)+('Yellow Bosses'!$U$5:$U$53&gt;0))=0))</f>
        <v>0</v>
      </c>
      <c r="J673" s="25" t="n">
        <f aca="false">SUMPRODUCT(--(((Effectiveness!$E$5:$E$155&gt;=2)+(Effectiveness!$P$5:$P$155&gt;=2)+(Effectiveness!$Q$5:$Q$155&gt;=2)+(Effectiveness!$R$5:$R$155&gt;=2))&gt;0))</f>
        <v>83</v>
      </c>
      <c r="K673" s="26" t="n">
        <f aca="false">J673/151</f>
        <v>0.549668874172186</v>
      </c>
      <c r="L673" s="25" t="n">
        <f aca="false">MIN(INDEX('Move Reality'!$F$5:$F$19,MATCH(B673,'Move Reality'!$A$5:$A$19,0)),INDEX('Move Reality'!$F$5:$F$19,MATCH(C673,'Move Reality'!$A$5:$A$19,0)),INDEX('Move Reality'!$F$5:$F$19,MATCH(D673,'Move Reality'!$A$5:$A$19,0)),INDEX('Move Reality'!$F$5:$F$19,MATCH(E673,'Move Reality'!$A$5:$A$19,0)))</f>
        <v>1</v>
      </c>
      <c r="M673" s="28" t="str">
        <f aca="false">IF(L673&gt;=5,"YES","no - dead move")</f>
        <v>no - dead move</v>
      </c>
    </row>
    <row r="674" customFormat="false" ht="15" hidden="false" customHeight="false" outlineLevel="0" collapsed="false">
      <c r="A674" s="17" t="n">
        <v>670</v>
      </c>
      <c r="B674" s="17" t="s">
        <v>41</v>
      </c>
      <c r="C674" s="17" t="s">
        <v>42</v>
      </c>
      <c r="D674" s="17" t="s">
        <v>48</v>
      </c>
      <c r="E674" s="17" t="s">
        <v>54</v>
      </c>
      <c r="F674" s="25" t="n">
        <f aca="false">SUMPRODUCT(--((('Yellow Bosses'!$I$5:$I$53&gt;=2)+('Yellow Bosses'!$J$5:$J$53&gt;=2)+('Yellow Bosses'!$P$5:$P$53&gt;=2)+('Yellow Bosses'!$V$5:$V$53&gt;=2))&gt;0))</f>
        <v>32</v>
      </c>
      <c r="G674" s="26" t="n">
        <f aca="false">F674/49</f>
        <v>0.653061224489796</v>
      </c>
      <c r="H674" s="25" t="n">
        <f aca="false">49-SUMPRODUCT(--((('Yellow Bosses'!$I$5:$I$53&gt;=1)+('Yellow Bosses'!$J$5:$J$53&gt;=1)+('Yellow Bosses'!$P$5:$P$53&gt;=1)+('Yellow Bosses'!$V$5:$V$53&gt;=1))&gt;0))</f>
        <v>0</v>
      </c>
      <c r="I674" s="25" t="n">
        <f aca="false">SUMPRODUCT(--((('Yellow Bosses'!$I$5:$I$53&gt;0)+('Yellow Bosses'!$J$5:$J$53&gt;0)+('Yellow Bosses'!$P$5:$P$53&gt;0)+('Yellow Bosses'!$V$5:$V$53&gt;0))=0))</f>
        <v>0</v>
      </c>
      <c r="J674" s="25" t="n">
        <f aca="false">SUMPRODUCT(--(((Effectiveness!$F$5:$F$155&gt;=2)+(Effectiveness!$G$5:$G$155&gt;=2)+(Effectiveness!$M$5:$M$155&gt;=2)+(Effectiveness!$S$5:$S$155&gt;=2))&gt;0))</f>
        <v>83</v>
      </c>
      <c r="K674" s="26" t="n">
        <f aca="false">J674/151</f>
        <v>0.549668874172186</v>
      </c>
      <c r="L674" s="25" t="n">
        <f aca="false">MIN(INDEX('Move Reality'!$F$5:$F$19,MATCH(B674,'Move Reality'!$A$5:$A$19,0)),INDEX('Move Reality'!$F$5:$F$19,MATCH(C674,'Move Reality'!$A$5:$A$19,0)),INDEX('Move Reality'!$F$5:$F$19,MATCH(D674,'Move Reality'!$A$5:$A$19,0)),INDEX('Move Reality'!$F$5:$F$19,MATCH(E674,'Move Reality'!$A$5:$A$19,0)))</f>
        <v>1</v>
      </c>
      <c r="M674" s="28" t="str">
        <f aca="false">IF(L674&gt;=5,"YES","no - dead move")</f>
        <v>no - dead move</v>
      </c>
    </row>
    <row r="675" customFormat="false" ht="15" hidden="false" customHeight="false" outlineLevel="0" collapsed="false">
      <c r="A675" s="17" t="n">
        <v>671</v>
      </c>
      <c r="B675" s="17" t="s">
        <v>41</v>
      </c>
      <c r="C675" s="17" t="s">
        <v>51</v>
      </c>
      <c r="D675" s="17" t="s">
        <v>52</v>
      </c>
      <c r="E675" s="17" t="s">
        <v>53</v>
      </c>
      <c r="F675" s="25" t="n">
        <f aca="false">SUMPRODUCT(--((('Yellow Bosses'!$I$5:$I$53&gt;=2)+('Yellow Bosses'!$S$5:$S$53&gt;=2)+('Yellow Bosses'!$T$5:$T$53&gt;=2)+('Yellow Bosses'!$U$5:$U$53&gt;=2))&gt;0))</f>
        <v>32</v>
      </c>
      <c r="G675" s="26" t="n">
        <f aca="false">F675/49</f>
        <v>0.653061224489796</v>
      </c>
      <c r="H675" s="25" t="n">
        <f aca="false">49-SUMPRODUCT(--((('Yellow Bosses'!$I$5:$I$53&gt;=1)+('Yellow Bosses'!$S$5:$S$53&gt;=1)+('Yellow Bosses'!$T$5:$T$53&gt;=1)+('Yellow Bosses'!$U$5:$U$53&gt;=1))&gt;0))</f>
        <v>0</v>
      </c>
      <c r="I675" s="25" t="n">
        <f aca="false">SUMPRODUCT(--((('Yellow Bosses'!$I$5:$I$53&gt;0)+('Yellow Bosses'!$S$5:$S$53&gt;0)+('Yellow Bosses'!$T$5:$T$53&gt;0)+('Yellow Bosses'!$U$5:$U$53&gt;0))=0))</f>
        <v>0</v>
      </c>
      <c r="J675" s="25" t="n">
        <f aca="false">SUMPRODUCT(--(((Effectiveness!$F$5:$F$155&gt;=2)+(Effectiveness!$P$5:$P$155&gt;=2)+(Effectiveness!$Q$5:$Q$155&gt;=2)+(Effectiveness!$R$5:$R$155&gt;=2))&gt;0))</f>
        <v>83</v>
      </c>
      <c r="K675" s="26" t="n">
        <f aca="false">J675/151</f>
        <v>0.549668874172186</v>
      </c>
      <c r="L675" s="25" t="n">
        <f aca="false">MIN(INDEX('Move Reality'!$F$5:$F$19,MATCH(B675,'Move Reality'!$A$5:$A$19,0)),INDEX('Move Reality'!$F$5:$F$19,MATCH(C675,'Move Reality'!$A$5:$A$19,0)),INDEX('Move Reality'!$F$5:$F$19,MATCH(D675,'Move Reality'!$A$5:$A$19,0)),INDEX('Move Reality'!$F$5:$F$19,MATCH(E675,'Move Reality'!$A$5:$A$19,0)))</f>
        <v>1</v>
      </c>
      <c r="M675" s="28" t="str">
        <f aca="false">IF(L675&gt;=5,"YES","no - dead move")</f>
        <v>no - dead move</v>
      </c>
    </row>
    <row r="676" customFormat="false" ht="15" hidden="false" customHeight="false" outlineLevel="0" collapsed="false">
      <c r="A676" s="17" t="n">
        <v>672</v>
      </c>
      <c r="B676" s="17" t="s">
        <v>47</v>
      </c>
      <c r="C676" s="17" t="s">
        <v>51</v>
      </c>
      <c r="D676" s="17" t="s">
        <v>52</v>
      </c>
      <c r="E676" s="17" t="s">
        <v>53</v>
      </c>
      <c r="F676" s="25" t="n">
        <f aca="false">SUMPRODUCT(--((('Yellow Bosses'!$O$5:$O$53&gt;=2)+('Yellow Bosses'!$S$5:$S$53&gt;=2)+('Yellow Bosses'!$T$5:$T$53&gt;=2)+('Yellow Bosses'!$U$5:$U$53&gt;=2))&gt;0))</f>
        <v>32</v>
      </c>
      <c r="G676" s="26" t="n">
        <f aca="false">F676/49</f>
        <v>0.653061224489796</v>
      </c>
      <c r="H676" s="25" t="n">
        <f aca="false">49-SUMPRODUCT(--((('Yellow Bosses'!$O$5:$O$53&gt;=1)+('Yellow Bosses'!$S$5:$S$53&gt;=1)+('Yellow Bosses'!$T$5:$T$53&gt;=1)+('Yellow Bosses'!$U$5:$U$53&gt;=1))&gt;0))</f>
        <v>0</v>
      </c>
      <c r="I676" s="25" t="n">
        <f aca="false">SUMPRODUCT(--((('Yellow Bosses'!$O$5:$O$53&gt;0)+('Yellow Bosses'!$S$5:$S$53&gt;0)+('Yellow Bosses'!$T$5:$T$53&gt;0)+('Yellow Bosses'!$U$5:$U$53&gt;0))=0))</f>
        <v>0</v>
      </c>
      <c r="J676" s="25" t="n">
        <f aca="false">SUMPRODUCT(--(((Effectiveness!$L$5:$L$155&gt;=2)+(Effectiveness!$P$5:$P$155&gt;=2)+(Effectiveness!$Q$5:$Q$155&gt;=2)+(Effectiveness!$R$5:$R$155&gt;=2))&gt;0))</f>
        <v>83</v>
      </c>
      <c r="K676" s="26" t="n">
        <f aca="false">J676/151</f>
        <v>0.549668874172186</v>
      </c>
      <c r="L676" s="25" t="n">
        <f aca="false">MIN(INDEX('Move Reality'!$F$5:$F$19,MATCH(B676,'Move Reality'!$A$5:$A$19,0)),INDEX('Move Reality'!$F$5:$F$19,MATCH(C676,'Move Reality'!$A$5:$A$19,0)),INDEX('Move Reality'!$F$5:$F$19,MATCH(D676,'Move Reality'!$A$5:$A$19,0)),INDEX('Move Reality'!$F$5:$F$19,MATCH(E676,'Move Reality'!$A$5:$A$19,0)))</f>
        <v>1</v>
      </c>
      <c r="M676" s="28" t="str">
        <f aca="false">IF(L676&gt;=5,"YES","no - dead move")</f>
        <v>no - dead move</v>
      </c>
    </row>
    <row r="677" customFormat="false" ht="15" hidden="false" customHeight="false" outlineLevel="0" collapsed="false">
      <c r="A677" s="17" t="n">
        <v>673</v>
      </c>
      <c r="B677" s="17" t="s">
        <v>40</v>
      </c>
      <c r="C677" s="17" t="s">
        <v>41</v>
      </c>
      <c r="D677" s="17" t="s">
        <v>48</v>
      </c>
      <c r="E677" s="17" t="s">
        <v>51</v>
      </c>
      <c r="F677" s="25" t="n">
        <f aca="false">SUMPRODUCT(--((('Yellow Bosses'!$H$5:$H$53&gt;=2)+('Yellow Bosses'!$I$5:$I$53&gt;=2)+('Yellow Bosses'!$P$5:$P$53&gt;=2)+('Yellow Bosses'!$S$5:$S$53&gt;=2))&gt;0))</f>
        <v>32</v>
      </c>
      <c r="G677" s="26" t="n">
        <f aca="false">F677/49</f>
        <v>0.653061224489796</v>
      </c>
      <c r="H677" s="25" t="n">
        <f aca="false">49-SUMPRODUCT(--((('Yellow Bosses'!$H$5:$H$53&gt;=1)+('Yellow Bosses'!$I$5:$I$53&gt;=1)+('Yellow Bosses'!$P$5:$P$53&gt;=1)+('Yellow Bosses'!$S$5:$S$53&gt;=1))&gt;0))</f>
        <v>1</v>
      </c>
      <c r="I677" s="25" t="n">
        <f aca="false">SUMPRODUCT(--((('Yellow Bosses'!$H$5:$H$53&gt;0)+('Yellow Bosses'!$I$5:$I$53&gt;0)+('Yellow Bosses'!$P$5:$P$53&gt;0)+('Yellow Bosses'!$S$5:$S$53&gt;0))=0))</f>
        <v>0</v>
      </c>
      <c r="J677" s="25" t="n">
        <f aca="false">SUMPRODUCT(--(((Effectiveness!$E$5:$E$155&gt;=2)+(Effectiveness!$F$5:$F$155&gt;=2)+(Effectiveness!$M$5:$M$155&gt;=2)+(Effectiveness!$P$5:$P$155&gt;=2))&gt;0))</f>
        <v>82</v>
      </c>
      <c r="K677" s="26" t="n">
        <f aca="false">J677/151</f>
        <v>0.543046357615894</v>
      </c>
      <c r="L677" s="25" t="n">
        <f aca="false">MIN(INDEX('Move Reality'!$F$5:$F$19,MATCH(B677,'Move Reality'!$A$5:$A$19,0)),INDEX('Move Reality'!$F$5:$F$19,MATCH(C677,'Move Reality'!$A$5:$A$19,0)),INDEX('Move Reality'!$F$5:$F$19,MATCH(D677,'Move Reality'!$A$5:$A$19,0)),INDEX('Move Reality'!$F$5:$F$19,MATCH(E677,'Move Reality'!$A$5:$A$19,0)))</f>
        <v>1</v>
      </c>
      <c r="M677" s="28" t="str">
        <f aca="false">IF(L677&gt;=5,"YES","no - dead move")</f>
        <v>no - dead move</v>
      </c>
    </row>
    <row r="678" customFormat="false" ht="15" hidden="false" customHeight="false" outlineLevel="0" collapsed="false">
      <c r="A678" s="17" t="n">
        <v>674</v>
      </c>
      <c r="B678" s="17" t="s">
        <v>41</v>
      </c>
      <c r="C678" s="17" t="s">
        <v>47</v>
      </c>
      <c r="D678" s="17" t="s">
        <v>48</v>
      </c>
      <c r="E678" s="17" t="s">
        <v>51</v>
      </c>
      <c r="F678" s="25" t="n">
        <f aca="false">SUMPRODUCT(--((('Yellow Bosses'!$I$5:$I$53&gt;=2)+('Yellow Bosses'!$O$5:$O$53&gt;=2)+('Yellow Bosses'!$P$5:$P$53&gt;=2)+('Yellow Bosses'!$S$5:$S$53&gt;=2))&gt;0))</f>
        <v>32</v>
      </c>
      <c r="G678" s="26" t="n">
        <f aca="false">F678/49</f>
        <v>0.653061224489796</v>
      </c>
      <c r="H678" s="25" t="n">
        <f aca="false">49-SUMPRODUCT(--((('Yellow Bosses'!$I$5:$I$53&gt;=1)+('Yellow Bosses'!$O$5:$O$53&gt;=1)+('Yellow Bosses'!$P$5:$P$53&gt;=1)+('Yellow Bosses'!$S$5:$S$53&gt;=1))&gt;0))</f>
        <v>1</v>
      </c>
      <c r="I678" s="25" t="n">
        <f aca="false">SUMPRODUCT(--((('Yellow Bosses'!$I$5:$I$53&gt;0)+('Yellow Bosses'!$O$5:$O$53&gt;0)+('Yellow Bosses'!$P$5:$P$53&gt;0)+('Yellow Bosses'!$S$5:$S$53&gt;0))=0))</f>
        <v>0</v>
      </c>
      <c r="J678" s="25" t="n">
        <f aca="false">SUMPRODUCT(--(((Effectiveness!$F$5:$F$155&gt;=2)+(Effectiveness!$L$5:$L$155&gt;=2)+(Effectiveness!$M$5:$M$155&gt;=2)+(Effectiveness!$P$5:$P$155&gt;=2))&gt;0))</f>
        <v>82</v>
      </c>
      <c r="K678" s="26" t="n">
        <f aca="false">J678/151</f>
        <v>0.543046357615894</v>
      </c>
      <c r="L678" s="25" t="n">
        <f aca="false">MIN(INDEX('Move Reality'!$F$5:$F$19,MATCH(B678,'Move Reality'!$A$5:$A$19,0)),INDEX('Move Reality'!$F$5:$F$19,MATCH(C678,'Move Reality'!$A$5:$A$19,0)),INDEX('Move Reality'!$F$5:$F$19,MATCH(D678,'Move Reality'!$A$5:$A$19,0)),INDEX('Move Reality'!$F$5:$F$19,MATCH(E678,'Move Reality'!$A$5:$A$19,0)))</f>
        <v>1</v>
      </c>
      <c r="M678" s="28" t="str">
        <f aca="false">IF(L678&gt;=5,"YES","no - dead move")</f>
        <v>no - dead move</v>
      </c>
    </row>
    <row r="679" customFormat="false" ht="15" hidden="false" customHeight="false" outlineLevel="0" collapsed="false">
      <c r="A679" s="17" t="n">
        <v>675</v>
      </c>
      <c r="B679" s="17" t="s">
        <v>41</v>
      </c>
      <c r="C679" s="17" t="s">
        <v>48</v>
      </c>
      <c r="D679" s="17" t="s">
        <v>49</v>
      </c>
      <c r="E679" s="17" t="s">
        <v>54</v>
      </c>
      <c r="F679" s="25" t="n">
        <f aca="false">SUMPRODUCT(--((('Yellow Bosses'!$I$5:$I$53&gt;=2)+('Yellow Bosses'!$P$5:$P$53&gt;=2)+('Yellow Bosses'!$Q$5:$Q$53&gt;=2)+('Yellow Bosses'!$V$5:$V$53&gt;=2))&gt;0))</f>
        <v>32</v>
      </c>
      <c r="G679" s="26" t="n">
        <f aca="false">F679/49</f>
        <v>0.653061224489796</v>
      </c>
      <c r="H679" s="25" t="n">
        <f aca="false">49-SUMPRODUCT(--((('Yellow Bosses'!$I$5:$I$53&gt;=1)+('Yellow Bosses'!$P$5:$P$53&gt;=1)+('Yellow Bosses'!$Q$5:$Q$53&gt;=1)+('Yellow Bosses'!$V$5:$V$53&gt;=1))&gt;0))</f>
        <v>0</v>
      </c>
      <c r="I679" s="25" t="n">
        <f aca="false">SUMPRODUCT(--((('Yellow Bosses'!$I$5:$I$53&gt;0)+('Yellow Bosses'!$P$5:$P$53&gt;0)+('Yellow Bosses'!$Q$5:$Q$53&gt;0)+('Yellow Bosses'!$V$5:$V$53&gt;0))=0))</f>
        <v>0</v>
      </c>
      <c r="J679" s="25" t="n">
        <f aca="false">SUMPRODUCT(--(((Effectiveness!$F$5:$F$155&gt;=2)+(Effectiveness!$M$5:$M$155&gt;=2)+(Effectiveness!$N$5:$N$155&gt;=2)+(Effectiveness!$S$5:$S$155&gt;=2))&gt;0))</f>
        <v>82</v>
      </c>
      <c r="K679" s="26" t="n">
        <f aca="false">J679/151</f>
        <v>0.543046357615894</v>
      </c>
      <c r="L679" s="25" t="n">
        <f aca="false">MIN(INDEX('Move Reality'!$F$5:$F$19,MATCH(B679,'Move Reality'!$A$5:$A$19,0)),INDEX('Move Reality'!$F$5:$F$19,MATCH(C679,'Move Reality'!$A$5:$A$19,0)),INDEX('Move Reality'!$F$5:$F$19,MATCH(D679,'Move Reality'!$A$5:$A$19,0)),INDEX('Move Reality'!$F$5:$F$19,MATCH(E679,'Move Reality'!$A$5:$A$19,0)))</f>
        <v>1</v>
      </c>
      <c r="M679" s="28" t="str">
        <f aca="false">IF(L679&gt;=5,"YES","no - dead move")</f>
        <v>no - dead move</v>
      </c>
    </row>
    <row r="680" customFormat="false" ht="15" hidden="false" customHeight="false" outlineLevel="0" collapsed="false">
      <c r="A680" s="17" t="n">
        <v>676</v>
      </c>
      <c r="B680" s="17" t="s">
        <v>41</v>
      </c>
      <c r="C680" s="17" t="s">
        <v>48</v>
      </c>
      <c r="D680" s="17" t="s">
        <v>51</v>
      </c>
      <c r="E680" s="17" t="s">
        <v>53</v>
      </c>
      <c r="F680" s="25" t="n">
        <f aca="false">SUMPRODUCT(--((('Yellow Bosses'!$I$5:$I$53&gt;=2)+('Yellow Bosses'!$P$5:$P$53&gt;=2)+('Yellow Bosses'!$S$5:$S$53&gt;=2)+('Yellow Bosses'!$U$5:$U$53&gt;=2))&gt;0))</f>
        <v>32</v>
      </c>
      <c r="G680" s="26" t="n">
        <f aca="false">F680/49</f>
        <v>0.653061224489796</v>
      </c>
      <c r="H680" s="25" t="n">
        <f aca="false">49-SUMPRODUCT(--((('Yellow Bosses'!$I$5:$I$53&gt;=1)+('Yellow Bosses'!$P$5:$P$53&gt;=1)+('Yellow Bosses'!$S$5:$S$53&gt;=1)+('Yellow Bosses'!$U$5:$U$53&gt;=1))&gt;0))</f>
        <v>0</v>
      </c>
      <c r="I680" s="25" t="n">
        <f aca="false">SUMPRODUCT(--((('Yellow Bosses'!$I$5:$I$53&gt;0)+('Yellow Bosses'!$P$5:$P$53&gt;0)+('Yellow Bosses'!$S$5:$S$53&gt;0)+('Yellow Bosses'!$U$5:$U$53&gt;0))=0))</f>
        <v>0</v>
      </c>
      <c r="J680" s="25" t="n">
        <f aca="false">SUMPRODUCT(--(((Effectiveness!$F$5:$F$155&gt;=2)+(Effectiveness!$M$5:$M$155&gt;=2)+(Effectiveness!$P$5:$P$155&gt;=2)+(Effectiveness!$R$5:$R$155&gt;=2))&gt;0))</f>
        <v>82</v>
      </c>
      <c r="K680" s="26" t="n">
        <f aca="false">J680/151</f>
        <v>0.543046357615894</v>
      </c>
      <c r="L680" s="25" t="n">
        <f aca="false">MIN(INDEX('Move Reality'!$F$5:$F$19,MATCH(B680,'Move Reality'!$A$5:$A$19,0)),INDEX('Move Reality'!$F$5:$F$19,MATCH(C680,'Move Reality'!$A$5:$A$19,0)),INDEX('Move Reality'!$F$5:$F$19,MATCH(D680,'Move Reality'!$A$5:$A$19,0)),INDEX('Move Reality'!$F$5:$F$19,MATCH(E680,'Move Reality'!$A$5:$A$19,0)))</f>
        <v>1</v>
      </c>
      <c r="M680" s="28" t="str">
        <f aca="false">IF(L680&gt;=5,"YES","no - dead move")</f>
        <v>no - dead move</v>
      </c>
    </row>
    <row r="681" customFormat="false" ht="15" hidden="false" customHeight="false" outlineLevel="0" collapsed="false">
      <c r="A681" s="17" t="n">
        <v>677</v>
      </c>
      <c r="B681" s="17" t="s">
        <v>47</v>
      </c>
      <c r="C681" s="17" t="s">
        <v>48</v>
      </c>
      <c r="D681" s="17" t="s">
        <v>50</v>
      </c>
      <c r="E681" s="17" t="s">
        <v>54</v>
      </c>
      <c r="F681" s="25" t="n">
        <f aca="false">SUMPRODUCT(--((('Yellow Bosses'!$O$5:$O$53&gt;=2)+('Yellow Bosses'!$P$5:$P$53&gt;=2)+('Yellow Bosses'!$R$5:$R$53&gt;=2)+('Yellow Bosses'!$V$5:$V$53&gt;=2))&gt;0))</f>
        <v>32</v>
      </c>
      <c r="G681" s="26" t="n">
        <f aca="false">F681/49</f>
        <v>0.653061224489796</v>
      </c>
      <c r="H681" s="25" t="n">
        <f aca="false">49-SUMPRODUCT(--((('Yellow Bosses'!$O$5:$O$53&gt;=1)+('Yellow Bosses'!$P$5:$P$53&gt;=1)+('Yellow Bosses'!$R$5:$R$53&gt;=1)+('Yellow Bosses'!$V$5:$V$53&gt;=1))&gt;0))</f>
        <v>0</v>
      </c>
      <c r="I681" s="25" t="n">
        <f aca="false">SUMPRODUCT(--((('Yellow Bosses'!$O$5:$O$53&gt;0)+('Yellow Bosses'!$P$5:$P$53&gt;0)+('Yellow Bosses'!$R$5:$R$53&gt;0)+('Yellow Bosses'!$V$5:$V$53&gt;0))=0))</f>
        <v>0</v>
      </c>
      <c r="J681" s="25" t="n">
        <f aca="false">SUMPRODUCT(--(((Effectiveness!$L$5:$L$155&gt;=2)+(Effectiveness!$M$5:$M$155&gt;=2)+(Effectiveness!$O$5:$O$155&gt;=2)+(Effectiveness!$S$5:$S$155&gt;=2))&gt;0))</f>
        <v>82</v>
      </c>
      <c r="K681" s="26" t="n">
        <f aca="false">J681/151</f>
        <v>0.543046357615894</v>
      </c>
      <c r="L681" s="25" t="n">
        <f aca="false">MIN(INDEX('Move Reality'!$F$5:$F$19,MATCH(B681,'Move Reality'!$A$5:$A$19,0)),INDEX('Move Reality'!$F$5:$F$19,MATCH(C681,'Move Reality'!$A$5:$A$19,0)),INDEX('Move Reality'!$F$5:$F$19,MATCH(D681,'Move Reality'!$A$5:$A$19,0)),INDEX('Move Reality'!$F$5:$F$19,MATCH(E681,'Move Reality'!$A$5:$A$19,0)))</f>
        <v>1</v>
      </c>
      <c r="M681" s="28" t="str">
        <f aca="false">IF(L681&gt;=5,"YES","no - dead move")</f>
        <v>no - dead move</v>
      </c>
    </row>
    <row r="682" customFormat="false" ht="15" hidden="false" customHeight="false" outlineLevel="0" collapsed="false">
      <c r="A682" s="17" t="n">
        <v>678</v>
      </c>
      <c r="B682" s="17" t="s">
        <v>48</v>
      </c>
      <c r="C682" s="17" t="s">
        <v>49</v>
      </c>
      <c r="D682" s="17" t="s">
        <v>50</v>
      </c>
      <c r="E682" s="17" t="s">
        <v>54</v>
      </c>
      <c r="F682" s="25" t="n">
        <f aca="false">SUMPRODUCT(--((('Yellow Bosses'!$P$5:$P$53&gt;=2)+('Yellow Bosses'!$Q$5:$Q$53&gt;=2)+('Yellow Bosses'!$R$5:$R$53&gt;=2)+('Yellow Bosses'!$V$5:$V$53&gt;=2))&gt;0))</f>
        <v>32</v>
      </c>
      <c r="G682" s="26" t="n">
        <f aca="false">F682/49</f>
        <v>0.653061224489796</v>
      </c>
      <c r="H682" s="25" t="n">
        <f aca="false">49-SUMPRODUCT(--((('Yellow Bosses'!$P$5:$P$53&gt;=1)+('Yellow Bosses'!$Q$5:$Q$53&gt;=1)+('Yellow Bosses'!$R$5:$R$53&gt;=1)+('Yellow Bosses'!$V$5:$V$53&gt;=1))&gt;0))</f>
        <v>0</v>
      </c>
      <c r="I682" s="25" t="n">
        <f aca="false">SUMPRODUCT(--((('Yellow Bosses'!$P$5:$P$53&gt;0)+('Yellow Bosses'!$Q$5:$Q$53&gt;0)+('Yellow Bosses'!$R$5:$R$53&gt;0)+('Yellow Bosses'!$V$5:$V$53&gt;0))=0))</f>
        <v>0</v>
      </c>
      <c r="J682" s="25" t="n">
        <f aca="false">SUMPRODUCT(--(((Effectiveness!$M$5:$M$155&gt;=2)+(Effectiveness!$N$5:$N$155&gt;=2)+(Effectiveness!$O$5:$O$155&gt;=2)+(Effectiveness!$S$5:$S$155&gt;=2))&gt;0))</f>
        <v>82</v>
      </c>
      <c r="K682" s="26" t="n">
        <f aca="false">J682/151</f>
        <v>0.543046357615894</v>
      </c>
      <c r="L682" s="25" t="n">
        <f aca="false">MIN(INDEX('Move Reality'!$F$5:$F$19,MATCH(B682,'Move Reality'!$A$5:$A$19,0)),INDEX('Move Reality'!$F$5:$F$19,MATCH(C682,'Move Reality'!$A$5:$A$19,0)),INDEX('Move Reality'!$F$5:$F$19,MATCH(D682,'Move Reality'!$A$5:$A$19,0)),INDEX('Move Reality'!$F$5:$F$19,MATCH(E682,'Move Reality'!$A$5:$A$19,0)))</f>
        <v>1</v>
      </c>
      <c r="M682" s="28" t="str">
        <f aca="false">IF(L682&gt;=5,"YES","no - dead move")</f>
        <v>no - dead move</v>
      </c>
    </row>
    <row r="683" customFormat="false" ht="15" hidden="false" customHeight="false" outlineLevel="0" collapsed="false">
      <c r="A683" s="17" t="n">
        <v>679</v>
      </c>
      <c r="B683" s="17" t="s">
        <v>40</v>
      </c>
      <c r="C683" s="17" t="s">
        <v>47</v>
      </c>
      <c r="D683" s="17" t="s">
        <v>48</v>
      </c>
      <c r="E683" s="17" t="s">
        <v>51</v>
      </c>
      <c r="F683" s="25" t="n">
        <f aca="false">SUMPRODUCT(--((('Yellow Bosses'!$H$5:$H$53&gt;=2)+('Yellow Bosses'!$O$5:$O$53&gt;=2)+('Yellow Bosses'!$P$5:$P$53&gt;=2)+('Yellow Bosses'!$S$5:$S$53&gt;=2))&gt;0))</f>
        <v>32</v>
      </c>
      <c r="G683" s="26" t="n">
        <f aca="false">F683/49</f>
        <v>0.653061224489796</v>
      </c>
      <c r="H683" s="25" t="n">
        <f aca="false">49-SUMPRODUCT(--((('Yellow Bosses'!$H$5:$H$53&gt;=1)+('Yellow Bosses'!$O$5:$O$53&gt;=1)+('Yellow Bosses'!$P$5:$P$53&gt;=1)+('Yellow Bosses'!$S$5:$S$53&gt;=1))&gt;0))</f>
        <v>1</v>
      </c>
      <c r="I683" s="25" t="n">
        <f aca="false">SUMPRODUCT(--((('Yellow Bosses'!$H$5:$H$53&gt;0)+('Yellow Bosses'!$O$5:$O$53&gt;0)+('Yellow Bosses'!$P$5:$P$53&gt;0)+('Yellow Bosses'!$S$5:$S$53&gt;0))=0))</f>
        <v>0</v>
      </c>
      <c r="J683" s="25" t="n">
        <f aca="false">SUMPRODUCT(--(((Effectiveness!$E$5:$E$155&gt;=2)+(Effectiveness!$L$5:$L$155&gt;=2)+(Effectiveness!$M$5:$M$155&gt;=2)+(Effectiveness!$P$5:$P$155&gt;=2))&gt;0))</f>
        <v>81</v>
      </c>
      <c r="K683" s="26" t="n">
        <f aca="false">J683/151</f>
        <v>0.536423841059603</v>
      </c>
      <c r="L683" s="25" t="n">
        <f aca="false">MIN(INDEX('Move Reality'!$F$5:$F$19,MATCH(B683,'Move Reality'!$A$5:$A$19,0)),INDEX('Move Reality'!$F$5:$F$19,MATCH(C683,'Move Reality'!$A$5:$A$19,0)),INDEX('Move Reality'!$F$5:$F$19,MATCH(D683,'Move Reality'!$A$5:$A$19,0)),INDEX('Move Reality'!$F$5:$F$19,MATCH(E683,'Move Reality'!$A$5:$A$19,0)))</f>
        <v>1</v>
      </c>
      <c r="M683" s="28" t="str">
        <f aca="false">IF(L683&gt;=5,"YES","no - dead move")</f>
        <v>no - dead move</v>
      </c>
    </row>
    <row r="684" customFormat="false" ht="15" hidden="false" customHeight="false" outlineLevel="0" collapsed="false">
      <c r="A684" s="17" t="n">
        <v>680</v>
      </c>
      <c r="B684" s="17" t="s">
        <v>47</v>
      </c>
      <c r="C684" s="17" t="s">
        <v>48</v>
      </c>
      <c r="D684" s="17" t="s">
        <v>51</v>
      </c>
      <c r="E684" s="17" t="s">
        <v>53</v>
      </c>
      <c r="F684" s="25" t="n">
        <f aca="false">SUMPRODUCT(--((('Yellow Bosses'!$O$5:$O$53&gt;=2)+('Yellow Bosses'!$P$5:$P$53&gt;=2)+('Yellow Bosses'!$S$5:$S$53&gt;=2)+('Yellow Bosses'!$U$5:$U$53&gt;=2))&gt;0))</f>
        <v>32</v>
      </c>
      <c r="G684" s="26" t="n">
        <f aca="false">F684/49</f>
        <v>0.653061224489796</v>
      </c>
      <c r="H684" s="25" t="n">
        <f aca="false">49-SUMPRODUCT(--((('Yellow Bosses'!$O$5:$O$53&gt;=1)+('Yellow Bosses'!$P$5:$P$53&gt;=1)+('Yellow Bosses'!$S$5:$S$53&gt;=1)+('Yellow Bosses'!$U$5:$U$53&gt;=1))&gt;0))</f>
        <v>0</v>
      </c>
      <c r="I684" s="25" t="n">
        <f aca="false">SUMPRODUCT(--((('Yellow Bosses'!$O$5:$O$53&gt;0)+('Yellow Bosses'!$P$5:$P$53&gt;0)+('Yellow Bosses'!$S$5:$S$53&gt;0)+('Yellow Bosses'!$U$5:$U$53&gt;0))=0))</f>
        <v>0</v>
      </c>
      <c r="J684" s="25" t="n">
        <f aca="false">SUMPRODUCT(--(((Effectiveness!$L$5:$L$155&gt;=2)+(Effectiveness!$M$5:$M$155&gt;=2)+(Effectiveness!$P$5:$P$155&gt;=2)+(Effectiveness!$R$5:$R$155&gt;=2))&gt;0))</f>
        <v>81</v>
      </c>
      <c r="K684" s="26" t="n">
        <f aca="false">J684/151</f>
        <v>0.536423841059603</v>
      </c>
      <c r="L684" s="25" t="n">
        <f aca="false">MIN(INDEX('Move Reality'!$F$5:$F$19,MATCH(B684,'Move Reality'!$A$5:$A$19,0)),INDEX('Move Reality'!$F$5:$F$19,MATCH(C684,'Move Reality'!$A$5:$A$19,0)),INDEX('Move Reality'!$F$5:$F$19,MATCH(D684,'Move Reality'!$A$5:$A$19,0)),INDEX('Move Reality'!$F$5:$F$19,MATCH(E684,'Move Reality'!$A$5:$A$19,0)))</f>
        <v>1</v>
      </c>
      <c r="M684" s="28" t="str">
        <f aca="false">IF(L684&gt;=5,"YES","no - dead move")</f>
        <v>no - dead move</v>
      </c>
    </row>
    <row r="685" customFormat="false" ht="15" hidden="false" customHeight="false" outlineLevel="0" collapsed="false">
      <c r="A685" s="17" t="n">
        <v>681</v>
      </c>
      <c r="B685" s="17" t="s">
        <v>40</v>
      </c>
      <c r="C685" s="17" t="s">
        <v>42</v>
      </c>
      <c r="D685" s="17" t="s">
        <v>49</v>
      </c>
      <c r="E685" s="17" t="s">
        <v>52</v>
      </c>
      <c r="F685" s="25" t="n">
        <f aca="false">SUMPRODUCT(--((('Yellow Bosses'!$H$5:$H$53&gt;=2)+('Yellow Bosses'!$J$5:$J$53&gt;=2)+('Yellow Bosses'!$Q$5:$Q$53&gt;=2)+('Yellow Bosses'!$T$5:$T$53&gt;=2))&gt;0))</f>
        <v>32</v>
      </c>
      <c r="G685" s="26" t="n">
        <f aca="false">F685/49</f>
        <v>0.653061224489796</v>
      </c>
      <c r="H685" s="25" t="n">
        <f aca="false">49-SUMPRODUCT(--((('Yellow Bosses'!$H$5:$H$53&gt;=1)+('Yellow Bosses'!$J$5:$J$53&gt;=1)+('Yellow Bosses'!$Q$5:$Q$53&gt;=1)+('Yellow Bosses'!$T$5:$T$53&gt;=1))&gt;0))</f>
        <v>0</v>
      </c>
      <c r="I685" s="25" t="n">
        <f aca="false">SUMPRODUCT(--((('Yellow Bosses'!$H$5:$H$53&gt;0)+('Yellow Bosses'!$J$5:$J$53&gt;0)+('Yellow Bosses'!$Q$5:$Q$53&gt;0)+('Yellow Bosses'!$T$5:$T$53&gt;0))=0))</f>
        <v>0</v>
      </c>
      <c r="J685" s="25" t="n">
        <f aca="false">SUMPRODUCT(--(((Effectiveness!$E$5:$E$155&gt;=2)+(Effectiveness!$G$5:$G$155&gt;=2)+(Effectiveness!$N$5:$N$155&gt;=2)+(Effectiveness!$Q$5:$Q$155&gt;=2))&gt;0))</f>
        <v>77</v>
      </c>
      <c r="K685" s="26" t="n">
        <f aca="false">J685/151</f>
        <v>0.509933774834437</v>
      </c>
      <c r="L685" s="25" t="n">
        <f aca="false">MIN(INDEX('Move Reality'!$F$5:$F$19,MATCH(B685,'Move Reality'!$A$5:$A$19,0)),INDEX('Move Reality'!$F$5:$F$19,MATCH(C685,'Move Reality'!$A$5:$A$19,0)),INDEX('Move Reality'!$F$5:$F$19,MATCH(D685,'Move Reality'!$A$5:$A$19,0)),INDEX('Move Reality'!$F$5:$F$19,MATCH(E685,'Move Reality'!$A$5:$A$19,0)))</f>
        <v>5</v>
      </c>
      <c r="M685" s="28" t="str">
        <f aca="false">IF(L685&gt;=5,"YES","no - dead move")</f>
        <v>YES</v>
      </c>
    </row>
    <row r="686" customFormat="false" ht="15" hidden="false" customHeight="false" outlineLevel="0" collapsed="false">
      <c r="A686" s="17" t="n">
        <v>682</v>
      </c>
      <c r="B686" s="17" t="s">
        <v>41</v>
      </c>
      <c r="C686" s="17" t="s">
        <v>42</v>
      </c>
      <c r="D686" s="17" t="s">
        <v>49</v>
      </c>
      <c r="E686" s="17" t="s">
        <v>52</v>
      </c>
      <c r="F686" s="25" t="n">
        <f aca="false">SUMPRODUCT(--((('Yellow Bosses'!$I$5:$I$53&gt;=2)+('Yellow Bosses'!$J$5:$J$53&gt;=2)+('Yellow Bosses'!$Q$5:$Q$53&gt;=2)+('Yellow Bosses'!$T$5:$T$53&gt;=2))&gt;0))</f>
        <v>32</v>
      </c>
      <c r="G686" s="26" t="n">
        <f aca="false">F686/49</f>
        <v>0.653061224489796</v>
      </c>
      <c r="H686" s="25" t="n">
        <f aca="false">49-SUMPRODUCT(--((('Yellow Bosses'!$I$5:$I$53&gt;=1)+('Yellow Bosses'!$J$5:$J$53&gt;=1)+('Yellow Bosses'!$Q$5:$Q$53&gt;=1)+('Yellow Bosses'!$T$5:$T$53&gt;=1))&gt;0))</f>
        <v>0</v>
      </c>
      <c r="I686" s="25" t="n">
        <f aca="false">SUMPRODUCT(--((('Yellow Bosses'!$I$5:$I$53&gt;0)+('Yellow Bosses'!$J$5:$J$53&gt;0)+('Yellow Bosses'!$Q$5:$Q$53&gt;0)+('Yellow Bosses'!$T$5:$T$53&gt;0))=0))</f>
        <v>0</v>
      </c>
      <c r="J686" s="25" t="n">
        <f aca="false">SUMPRODUCT(--(((Effectiveness!$F$5:$F$155&gt;=2)+(Effectiveness!$G$5:$G$155&gt;=2)+(Effectiveness!$N$5:$N$155&gt;=2)+(Effectiveness!$Q$5:$Q$155&gt;=2))&gt;0))</f>
        <v>77</v>
      </c>
      <c r="K686" s="26" t="n">
        <f aca="false">J686/151</f>
        <v>0.509933774834437</v>
      </c>
      <c r="L686" s="25" t="n">
        <f aca="false">MIN(INDEX('Move Reality'!$F$5:$F$19,MATCH(B686,'Move Reality'!$A$5:$A$19,0)),INDEX('Move Reality'!$F$5:$F$19,MATCH(C686,'Move Reality'!$A$5:$A$19,0)),INDEX('Move Reality'!$F$5:$F$19,MATCH(D686,'Move Reality'!$A$5:$A$19,0)),INDEX('Move Reality'!$F$5:$F$19,MATCH(E686,'Move Reality'!$A$5:$A$19,0)))</f>
        <v>5</v>
      </c>
      <c r="M686" s="28" t="str">
        <f aca="false">IF(L686&gt;=5,"YES","no - dead move")</f>
        <v>YES</v>
      </c>
    </row>
    <row r="687" customFormat="false" ht="15" hidden="false" customHeight="false" outlineLevel="0" collapsed="false">
      <c r="A687" s="17" t="n">
        <v>683</v>
      </c>
      <c r="B687" s="17" t="s">
        <v>42</v>
      </c>
      <c r="C687" s="17" t="s">
        <v>47</v>
      </c>
      <c r="D687" s="17" t="s">
        <v>49</v>
      </c>
      <c r="E687" s="17" t="s">
        <v>52</v>
      </c>
      <c r="F687" s="25" t="n">
        <f aca="false">SUMPRODUCT(--((('Yellow Bosses'!$J$5:$J$53&gt;=2)+('Yellow Bosses'!$O$5:$O$53&gt;=2)+('Yellow Bosses'!$Q$5:$Q$53&gt;=2)+('Yellow Bosses'!$T$5:$T$53&gt;=2))&gt;0))</f>
        <v>32</v>
      </c>
      <c r="G687" s="26" t="n">
        <f aca="false">F687/49</f>
        <v>0.653061224489796</v>
      </c>
      <c r="H687" s="25" t="n">
        <f aca="false">49-SUMPRODUCT(--((('Yellow Bosses'!$J$5:$J$53&gt;=1)+('Yellow Bosses'!$O$5:$O$53&gt;=1)+('Yellow Bosses'!$Q$5:$Q$53&gt;=1)+('Yellow Bosses'!$T$5:$T$53&gt;=1))&gt;0))</f>
        <v>0</v>
      </c>
      <c r="I687" s="25" t="n">
        <f aca="false">SUMPRODUCT(--((('Yellow Bosses'!$J$5:$J$53&gt;0)+('Yellow Bosses'!$O$5:$O$53&gt;0)+('Yellow Bosses'!$Q$5:$Q$53&gt;0)+('Yellow Bosses'!$T$5:$T$53&gt;0))=0))</f>
        <v>0</v>
      </c>
      <c r="J687" s="25" t="n">
        <f aca="false">SUMPRODUCT(--(((Effectiveness!$G$5:$G$155&gt;=2)+(Effectiveness!$L$5:$L$155&gt;=2)+(Effectiveness!$N$5:$N$155&gt;=2)+(Effectiveness!$Q$5:$Q$155&gt;=2))&gt;0))</f>
        <v>77</v>
      </c>
      <c r="K687" s="26" t="n">
        <f aca="false">J687/151</f>
        <v>0.509933774834437</v>
      </c>
      <c r="L687" s="25" t="n">
        <f aca="false">MIN(INDEX('Move Reality'!$F$5:$F$19,MATCH(B687,'Move Reality'!$A$5:$A$19,0)),INDEX('Move Reality'!$F$5:$F$19,MATCH(C687,'Move Reality'!$A$5:$A$19,0)),INDEX('Move Reality'!$F$5:$F$19,MATCH(D687,'Move Reality'!$A$5:$A$19,0)),INDEX('Move Reality'!$F$5:$F$19,MATCH(E687,'Move Reality'!$A$5:$A$19,0)))</f>
        <v>2</v>
      </c>
      <c r="M687" s="28" t="str">
        <f aca="false">IF(L687&gt;=5,"YES","no - dead move")</f>
        <v>no - dead move</v>
      </c>
    </row>
    <row r="688" customFormat="false" ht="15" hidden="false" customHeight="false" outlineLevel="0" collapsed="false">
      <c r="A688" s="17" t="n">
        <v>684</v>
      </c>
      <c r="B688" s="17" t="s">
        <v>40</v>
      </c>
      <c r="C688" s="17" t="s">
        <v>48</v>
      </c>
      <c r="D688" s="17" t="s">
        <v>51</v>
      </c>
      <c r="E688" s="17" t="s">
        <v>53</v>
      </c>
      <c r="F688" s="25" t="n">
        <f aca="false">SUMPRODUCT(--((('Yellow Bosses'!$H$5:$H$53&gt;=2)+('Yellow Bosses'!$P$5:$P$53&gt;=2)+('Yellow Bosses'!$S$5:$S$53&gt;=2)+('Yellow Bosses'!$U$5:$U$53&gt;=2))&gt;0))</f>
        <v>32</v>
      </c>
      <c r="G688" s="26" t="n">
        <f aca="false">F688/49</f>
        <v>0.653061224489796</v>
      </c>
      <c r="H688" s="25" t="n">
        <f aca="false">49-SUMPRODUCT(--((('Yellow Bosses'!$H$5:$H$53&gt;=1)+('Yellow Bosses'!$P$5:$P$53&gt;=1)+('Yellow Bosses'!$S$5:$S$53&gt;=1)+('Yellow Bosses'!$U$5:$U$53&gt;=1))&gt;0))</f>
        <v>0</v>
      </c>
      <c r="I688" s="25" t="n">
        <f aca="false">SUMPRODUCT(--((('Yellow Bosses'!$H$5:$H$53&gt;0)+('Yellow Bosses'!$P$5:$P$53&gt;0)+('Yellow Bosses'!$S$5:$S$53&gt;0)+('Yellow Bosses'!$U$5:$U$53&gt;0))=0))</f>
        <v>0</v>
      </c>
      <c r="J688" s="25" t="n">
        <f aca="false">SUMPRODUCT(--(((Effectiveness!$E$5:$E$155&gt;=2)+(Effectiveness!$M$5:$M$155&gt;=2)+(Effectiveness!$P$5:$P$155&gt;=2)+(Effectiveness!$R$5:$R$155&gt;=2))&gt;0))</f>
        <v>76</v>
      </c>
      <c r="K688" s="26" t="n">
        <f aca="false">J688/151</f>
        <v>0.503311258278146</v>
      </c>
      <c r="L688" s="25" t="n">
        <f aca="false">MIN(INDEX('Move Reality'!$F$5:$F$19,MATCH(B688,'Move Reality'!$A$5:$A$19,0)),INDEX('Move Reality'!$F$5:$F$19,MATCH(C688,'Move Reality'!$A$5:$A$19,0)),INDEX('Move Reality'!$F$5:$F$19,MATCH(D688,'Move Reality'!$A$5:$A$19,0)),INDEX('Move Reality'!$F$5:$F$19,MATCH(E688,'Move Reality'!$A$5:$A$19,0)))</f>
        <v>1</v>
      </c>
      <c r="M688" s="28" t="str">
        <f aca="false">IF(L688&gt;=5,"YES","no - dead move")</f>
        <v>no - dead move</v>
      </c>
    </row>
    <row r="689" customFormat="false" ht="15" hidden="false" customHeight="false" outlineLevel="0" collapsed="false">
      <c r="A689" s="17" t="n">
        <v>685</v>
      </c>
      <c r="B689" s="17" t="s">
        <v>42</v>
      </c>
      <c r="C689" s="17" t="s">
        <v>45</v>
      </c>
      <c r="D689" s="17" t="s">
        <v>49</v>
      </c>
      <c r="E689" s="17" t="s">
        <v>53</v>
      </c>
      <c r="F689" s="25" t="n">
        <f aca="false">SUMPRODUCT(--((('Yellow Bosses'!$J$5:$J$53&gt;=2)+('Yellow Bosses'!$M$5:$M$53&gt;=2)+('Yellow Bosses'!$Q$5:$Q$53&gt;=2)+('Yellow Bosses'!$U$5:$U$53&gt;=2))&gt;0))</f>
        <v>32</v>
      </c>
      <c r="G689" s="26" t="n">
        <f aca="false">F689/49</f>
        <v>0.653061224489796</v>
      </c>
      <c r="H689" s="25" t="n">
        <f aca="false">49-SUMPRODUCT(--((('Yellow Bosses'!$J$5:$J$53&gt;=1)+('Yellow Bosses'!$M$5:$M$53&gt;=1)+('Yellow Bosses'!$Q$5:$Q$53&gt;=1)+('Yellow Bosses'!$U$5:$U$53&gt;=1))&gt;0))</f>
        <v>0</v>
      </c>
      <c r="I689" s="25" t="n">
        <f aca="false">SUMPRODUCT(--((('Yellow Bosses'!$J$5:$J$53&gt;0)+('Yellow Bosses'!$M$5:$M$53&gt;0)+('Yellow Bosses'!$Q$5:$Q$53&gt;0)+('Yellow Bosses'!$U$5:$U$53&gt;0))=0))</f>
        <v>0</v>
      </c>
      <c r="J689" s="25" t="n">
        <f aca="false">SUMPRODUCT(--(((Effectiveness!$G$5:$G$155&gt;=2)+(Effectiveness!$J$5:$J$155&gt;=2)+(Effectiveness!$N$5:$N$155&gt;=2)+(Effectiveness!$R$5:$R$155&gt;=2))&gt;0))</f>
        <v>76</v>
      </c>
      <c r="K689" s="26" t="n">
        <f aca="false">J689/151</f>
        <v>0.503311258278146</v>
      </c>
      <c r="L689" s="25" t="n">
        <f aca="false">MIN(INDEX('Move Reality'!$F$5:$F$19,MATCH(B689,'Move Reality'!$A$5:$A$19,0)),INDEX('Move Reality'!$F$5:$F$19,MATCH(C689,'Move Reality'!$A$5:$A$19,0)),INDEX('Move Reality'!$F$5:$F$19,MATCH(D689,'Move Reality'!$A$5:$A$19,0)),INDEX('Move Reality'!$F$5:$F$19,MATCH(E689,'Move Reality'!$A$5:$A$19,0)))</f>
        <v>1</v>
      </c>
      <c r="M689" s="28" t="str">
        <f aca="false">IF(L689&gt;=5,"YES","no - dead move")</f>
        <v>no - dead move</v>
      </c>
    </row>
    <row r="690" customFormat="false" ht="15" hidden="false" customHeight="false" outlineLevel="0" collapsed="false">
      <c r="A690" s="17" t="n">
        <v>686</v>
      </c>
      <c r="B690" s="17" t="s">
        <v>41</v>
      </c>
      <c r="C690" s="17" t="s">
        <v>42</v>
      </c>
      <c r="D690" s="17" t="s">
        <v>52</v>
      </c>
      <c r="E690" s="17" t="s">
        <v>53</v>
      </c>
      <c r="F690" s="25" t="n">
        <f aca="false">SUMPRODUCT(--((('Yellow Bosses'!$I$5:$I$53&gt;=2)+('Yellow Bosses'!$J$5:$J$53&gt;=2)+('Yellow Bosses'!$T$5:$T$53&gt;=2)+('Yellow Bosses'!$U$5:$U$53&gt;=2))&gt;0))</f>
        <v>32</v>
      </c>
      <c r="G690" s="26" t="n">
        <f aca="false">F690/49</f>
        <v>0.653061224489796</v>
      </c>
      <c r="H690" s="25" t="n">
        <f aca="false">49-SUMPRODUCT(--((('Yellow Bosses'!$I$5:$I$53&gt;=1)+('Yellow Bosses'!$J$5:$J$53&gt;=1)+('Yellow Bosses'!$T$5:$T$53&gt;=1)+('Yellow Bosses'!$U$5:$U$53&gt;=1))&gt;0))</f>
        <v>0</v>
      </c>
      <c r="I690" s="25" t="n">
        <f aca="false">SUMPRODUCT(--((('Yellow Bosses'!$I$5:$I$53&gt;0)+('Yellow Bosses'!$J$5:$J$53&gt;0)+('Yellow Bosses'!$T$5:$T$53&gt;0)+('Yellow Bosses'!$U$5:$U$53&gt;0))=0))</f>
        <v>0</v>
      </c>
      <c r="J690" s="25" t="n">
        <f aca="false">SUMPRODUCT(--(((Effectiveness!$F$5:$F$155&gt;=2)+(Effectiveness!$G$5:$G$155&gt;=2)+(Effectiveness!$Q$5:$Q$155&gt;=2)+(Effectiveness!$R$5:$R$155&gt;=2))&gt;0))</f>
        <v>72</v>
      </c>
      <c r="K690" s="26" t="n">
        <f aca="false">J690/151</f>
        <v>0.47682119205298</v>
      </c>
      <c r="L690" s="25" t="n">
        <f aca="false">MIN(INDEX('Move Reality'!$F$5:$F$19,MATCH(B690,'Move Reality'!$A$5:$A$19,0)),INDEX('Move Reality'!$F$5:$F$19,MATCH(C690,'Move Reality'!$A$5:$A$19,0)),INDEX('Move Reality'!$F$5:$F$19,MATCH(D690,'Move Reality'!$A$5:$A$19,0)),INDEX('Move Reality'!$F$5:$F$19,MATCH(E690,'Move Reality'!$A$5:$A$19,0)))</f>
        <v>1</v>
      </c>
      <c r="M690" s="28" t="str">
        <f aca="false">IF(L690&gt;=5,"YES","no - dead move")</f>
        <v>no - dead move</v>
      </c>
    </row>
    <row r="691" customFormat="false" ht="15" hidden="false" customHeight="false" outlineLevel="0" collapsed="false">
      <c r="A691" s="17" t="n">
        <v>687</v>
      </c>
      <c r="B691" s="17" t="s">
        <v>40</v>
      </c>
      <c r="C691" s="17" t="s">
        <v>43</v>
      </c>
      <c r="D691" s="17" t="s">
        <v>46</v>
      </c>
      <c r="E691" s="17" t="s">
        <v>50</v>
      </c>
      <c r="F691" s="25" t="n">
        <f aca="false">SUMPRODUCT(--((('Yellow Bosses'!$H$5:$H$53&gt;=2)+('Yellow Bosses'!$K$5:$K$53&gt;=2)+('Yellow Bosses'!$N$5:$N$53&gt;=2)+('Yellow Bosses'!$R$5:$R$53&gt;=2))&gt;0))</f>
        <v>31</v>
      </c>
      <c r="G691" s="26" t="n">
        <f aca="false">F691/49</f>
        <v>0.63265306122449</v>
      </c>
      <c r="H691" s="25" t="n">
        <f aca="false">49-SUMPRODUCT(--((('Yellow Bosses'!$H$5:$H$53&gt;=1)+('Yellow Bosses'!$K$5:$K$53&gt;=1)+('Yellow Bosses'!$N$5:$N$53&gt;=1)+('Yellow Bosses'!$R$5:$R$53&gt;=1))&gt;0))</f>
        <v>0</v>
      </c>
      <c r="I691" s="25" t="n">
        <f aca="false">SUMPRODUCT(--((('Yellow Bosses'!$H$5:$H$53&gt;0)+('Yellow Bosses'!$K$5:$K$53&gt;0)+('Yellow Bosses'!$N$5:$N$53&gt;0)+('Yellow Bosses'!$R$5:$R$53&gt;0))=0))</f>
        <v>0</v>
      </c>
      <c r="J691" s="25" t="n">
        <f aca="false">SUMPRODUCT(--(((Effectiveness!$E$5:$E$155&gt;=2)+(Effectiveness!$H$5:$H$155&gt;=2)+(Effectiveness!$K$5:$K$155&gt;=2)+(Effectiveness!$O$5:$O$155&gt;=2))&gt;0))</f>
        <v>106</v>
      </c>
      <c r="K691" s="26" t="n">
        <f aca="false">J691/151</f>
        <v>0.701986754966887</v>
      </c>
      <c r="L691" s="25" t="n">
        <f aca="false">MIN(INDEX('Move Reality'!$F$5:$F$19,MATCH(B691,'Move Reality'!$A$5:$A$19,0)),INDEX('Move Reality'!$F$5:$F$19,MATCH(C691,'Move Reality'!$A$5:$A$19,0)),INDEX('Move Reality'!$F$5:$F$19,MATCH(D691,'Move Reality'!$A$5:$A$19,0)),INDEX('Move Reality'!$F$5:$F$19,MATCH(E691,'Move Reality'!$A$5:$A$19,0)))</f>
        <v>5</v>
      </c>
      <c r="M691" s="28" t="str">
        <f aca="false">IF(L691&gt;=5,"YES","no - dead move")</f>
        <v>YES</v>
      </c>
    </row>
    <row r="692" customFormat="false" ht="15" hidden="false" customHeight="false" outlineLevel="0" collapsed="false">
      <c r="A692" s="17" t="n">
        <v>688</v>
      </c>
      <c r="B692" s="17" t="s">
        <v>42</v>
      </c>
      <c r="C692" s="17" t="s">
        <v>43</v>
      </c>
      <c r="D692" s="17" t="s">
        <v>45</v>
      </c>
      <c r="E692" s="17" t="s">
        <v>46</v>
      </c>
      <c r="F692" s="25" t="n">
        <f aca="false">SUMPRODUCT(--((('Yellow Bosses'!$J$5:$J$53&gt;=2)+('Yellow Bosses'!$K$5:$K$53&gt;=2)+('Yellow Bosses'!$M$5:$M$53&gt;=2)+('Yellow Bosses'!$N$5:$N$53&gt;=2))&gt;0))</f>
        <v>31</v>
      </c>
      <c r="G692" s="26" t="n">
        <f aca="false">F692/49</f>
        <v>0.63265306122449</v>
      </c>
      <c r="H692" s="25" t="n">
        <f aca="false">49-SUMPRODUCT(--((('Yellow Bosses'!$J$5:$J$53&gt;=1)+('Yellow Bosses'!$K$5:$K$53&gt;=1)+('Yellow Bosses'!$M$5:$M$53&gt;=1)+('Yellow Bosses'!$N$5:$N$53&gt;=1))&gt;0))</f>
        <v>0</v>
      </c>
      <c r="I692" s="25" t="n">
        <f aca="false">SUMPRODUCT(--((('Yellow Bosses'!$J$5:$J$53&gt;0)+('Yellow Bosses'!$K$5:$K$53&gt;0)+('Yellow Bosses'!$M$5:$M$53&gt;0)+('Yellow Bosses'!$N$5:$N$53&gt;0))=0))</f>
        <v>0</v>
      </c>
      <c r="J692" s="25" t="n">
        <f aca="false">SUMPRODUCT(--(((Effectiveness!$G$5:$G$155&gt;=2)+(Effectiveness!$H$5:$H$155&gt;=2)+(Effectiveness!$J$5:$J$155&gt;=2)+(Effectiveness!$K$5:$K$155&gt;=2))&gt;0))</f>
        <v>106</v>
      </c>
      <c r="K692" s="26" t="n">
        <f aca="false">J692/151</f>
        <v>0.701986754966887</v>
      </c>
      <c r="L692" s="25" t="n">
        <f aca="false">MIN(INDEX('Move Reality'!$F$5:$F$19,MATCH(B692,'Move Reality'!$A$5:$A$19,0)),INDEX('Move Reality'!$F$5:$F$19,MATCH(C692,'Move Reality'!$A$5:$A$19,0)),INDEX('Move Reality'!$F$5:$F$19,MATCH(D692,'Move Reality'!$A$5:$A$19,0)),INDEX('Move Reality'!$F$5:$F$19,MATCH(E692,'Move Reality'!$A$5:$A$19,0)))</f>
        <v>5</v>
      </c>
      <c r="M692" s="28" t="str">
        <f aca="false">IF(L692&gt;=5,"YES","no - dead move")</f>
        <v>YES</v>
      </c>
    </row>
    <row r="693" customFormat="false" ht="15" hidden="false" customHeight="false" outlineLevel="0" collapsed="false">
      <c r="A693" s="17" t="n">
        <v>689</v>
      </c>
      <c r="B693" s="17" t="s">
        <v>43</v>
      </c>
      <c r="C693" s="17" t="s">
        <v>46</v>
      </c>
      <c r="D693" s="17" t="s">
        <v>48</v>
      </c>
      <c r="E693" s="17" t="s">
        <v>54</v>
      </c>
      <c r="F693" s="25" t="n">
        <f aca="false">SUMPRODUCT(--((('Yellow Bosses'!$K$5:$K$53&gt;=2)+('Yellow Bosses'!$N$5:$N$53&gt;=2)+('Yellow Bosses'!$P$5:$P$53&gt;=2)+('Yellow Bosses'!$V$5:$V$53&gt;=2))&gt;0))</f>
        <v>31</v>
      </c>
      <c r="G693" s="26" t="n">
        <f aca="false">F693/49</f>
        <v>0.63265306122449</v>
      </c>
      <c r="H693" s="25" t="n">
        <f aca="false">49-SUMPRODUCT(--((('Yellow Bosses'!$K$5:$K$53&gt;=1)+('Yellow Bosses'!$N$5:$N$53&gt;=1)+('Yellow Bosses'!$P$5:$P$53&gt;=1)+('Yellow Bosses'!$V$5:$V$53&gt;=1))&gt;0))</f>
        <v>0</v>
      </c>
      <c r="I693" s="25" t="n">
        <f aca="false">SUMPRODUCT(--((('Yellow Bosses'!$K$5:$K$53&gt;0)+('Yellow Bosses'!$N$5:$N$53&gt;0)+('Yellow Bosses'!$P$5:$P$53&gt;0)+('Yellow Bosses'!$V$5:$V$53&gt;0))=0))</f>
        <v>0</v>
      </c>
      <c r="J693" s="25" t="n">
        <f aca="false">SUMPRODUCT(--(((Effectiveness!$H$5:$H$155&gt;=2)+(Effectiveness!$K$5:$K$155&gt;=2)+(Effectiveness!$M$5:$M$155&gt;=2)+(Effectiveness!$S$5:$S$155&gt;=2))&gt;0))</f>
        <v>106</v>
      </c>
      <c r="K693" s="26" t="n">
        <f aca="false">J693/151</f>
        <v>0.701986754966887</v>
      </c>
      <c r="L693" s="25" t="n">
        <f aca="false">MIN(INDEX('Move Reality'!$F$5:$F$19,MATCH(B693,'Move Reality'!$A$5:$A$19,0)),INDEX('Move Reality'!$F$5:$F$19,MATCH(C693,'Move Reality'!$A$5:$A$19,0)),INDEX('Move Reality'!$F$5:$F$19,MATCH(D693,'Move Reality'!$A$5:$A$19,0)),INDEX('Move Reality'!$F$5:$F$19,MATCH(E693,'Move Reality'!$A$5:$A$19,0)))</f>
        <v>1</v>
      </c>
      <c r="M693" s="28" t="str">
        <f aca="false">IF(L693&gt;=5,"YES","no - dead move")</f>
        <v>no - dead move</v>
      </c>
    </row>
    <row r="694" customFormat="false" ht="15" hidden="false" customHeight="false" outlineLevel="0" collapsed="false">
      <c r="A694" s="17" t="n">
        <v>690</v>
      </c>
      <c r="B694" s="17" t="s">
        <v>43</v>
      </c>
      <c r="C694" s="17" t="s">
        <v>46</v>
      </c>
      <c r="D694" s="17" t="s">
        <v>50</v>
      </c>
      <c r="E694" s="17" t="s">
        <v>53</v>
      </c>
      <c r="F694" s="25" t="n">
        <f aca="false">SUMPRODUCT(--((('Yellow Bosses'!$K$5:$K$53&gt;=2)+('Yellow Bosses'!$N$5:$N$53&gt;=2)+('Yellow Bosses'!$R$5:$R$53&gt;=2)+('Yellow Bosses'!$U$5:$U$53&gt;=2))&gt;0))</f>
        <v>31</v>
      </c>
      <c r="G694" s="26" t="n">
        <f aca="false">F694/49</f>
        <v>0.63265306122449</v>
      </c>
      <c r="H694" s="25" t="n">
        <f aca="false">49-SUMPRODUCT(--((('Yellow Bosses'!$K$5:$K$53&gt;=1)+('Yellow Bosses'!$N$5:$N$53&gt;=1)+('Yellow Bosses'!$R$5:$R$53&gt;=1)+('Yellow Bosses'!$U$5:$U$53&gt;=1))&gt;0))</f>
        <v>1</v>
      </c>
      <c r="I694" s="25" t="n">
        <f aca="false">SUMPRODUCT(--((('Yellow Bosses'!$K$5:$K$53&gt;0)+('Yellow Bosses'!$N$5:$N$53&gt;0)+('Yellow Bosses'!$R$5:$R$53&gt;0)+('Yellow Bosses'!$U$5:$U$53&gt;0))=0))</f>
        <v>0</v>
      </c>
      <c r="J694" s="25" t="n">
        <f aca="false">SUMPRODUCT(--(((Effectiveness!$H$5:$H$155&gt;=2)+(Effectiveness!$K$5:$K$155&gt;=2)+(Effectiveness!$O$5:$O$155&gt;=2)+(Effectiveness!$R$5:$R$155&gt;=2))&gt;0))</f>
        <v>106</v>
      </c>
      <c r="K694" s="26" t="n">
        <f aca="false">J694/151</f>
        <v>0.701986754966887</v>
      </c>
      <c r="L694" s="25" t="n">
        <f aca="false">MIN(INDEX('Move Reality'!$F$5:$F$19,MATCH(B694,'Move Reality'!$A$5:$A$19,0)),INDEX('Move Reality'!$F$5:$F$19,MATCH(C694,'Move Reality'!$A$5:$A$19,0)),INDEX('Move Reality'!$F$5:$F$19,MATCH(D694,'Move Reality'!$A$5:$A$19,0)),INDEX('Move Reality'!$F$5:$F$19,MATCH(E694,'Move Reality'!$A$5:$A$19,0)))</f>
        <v>1</v>
      </c>
      <c r="M694" s="28" t="str">
        <f aca="false">IF(L694&gt;=5,"YES","no - dead move")</f>
        <v>no - dead move</v>
      </c>
    </row>
    <row r="695" customFormat="false" ht="15" hidden="false" customHeight="false" outlineLevel="0" collapsed="false">
      <c r="A695" s="17" t="n">
        <v>691</v>
      </c>
      <c r="B695" s="17" t="s">
        <v>41</v>
      </c>
      <c r="C695" s="17" t="s">
        <v>44</v>
      </c>
      <c r="D695" s="17" t="s">
        <v>46</v>
      </c>
      <c r="E695" s="17" t="s">
        <v>51</v>
      </c>
      <c r="F695" s="25" t="n">
        <f aca="false">SUMPRODUCT(--((('Yellow Bosses'!$I$5:$I$53&gt;=2)+('Yellow Bosses'!$L$5:$L$53&gt;=2)+('Yellow Bosses'!$N$5:$N$53&gt;=2)+('Yellow Bosses'!$S$5:$S$53&gt;=2))&gt;0))</f>
        <v>31</v>
      </c>
      <c r="G695" s="26" t="n">
        <f aca="false">F695/49</f>
        <v>0.63265306122449</v>
      </c>
      <c r="H695" s="25" t="n">
        <f aca="false">49-SUMPRODUCT(--((('Yellow Bosses'!$I$5:$I$53&gt;=1)+('Yellow Bosses'!$L$5:$L$53&gt;=1)+('Yellow Bosses'!$N$5:$N$53&gt;=1)+('Yellow Bosses'!$S$5:$S$53&gt;=1))&gt;0))</f>
        <v>1</v>
      </c>
      <c r="I695" s="25" t="n">
        <f aca="false">SUMPRODUCT(--((('Yellow Bosses'!$I$5:$I$53&gt;0)+('Yellow Bosses'!$L$5:$L$53&gt;0)+('Yellow Bosses'!$N$5:$N$53&gt;0)+('Yellow Bosses'!$S$5:$S$53&gt;0))=0))</f>
        <v>0</v>
      </c>
      <c r="J695" s="25" t="n">
        <f aca="false">SUMPRODUCT(--(((Effectiveness!$F$5:$F$155&gt;=2)+(Effectiveness!$I$5:$I$155&gt;=2)+(Effectiveness!$K$5:$K$155&gt;=2)+(Effectiveness!$P$5:$P$155&gt;=2))&gt;0))</f>
        <v>105</v>
      </c>
      <c r="K695" s="26" t="n">
        <f aca="false">J695/151</f>
        <v>0.695364238410596</v>
      </c>
      <c r="L695" s="25" t="n">
        <f aca="false">MIN(INDEX('Move Reality'!$F$5:$F$19,MATCH(B695,'Move Reality'!$A$5:$A$19,0)),INDEX('Move Reality'!$F$5:$F$19,MATCH(C695,'Move Reality'!$A$5:$A$19,0)),INDEX('Move Reality'!$F$5:$F$19,MATCH(D695,'Move Reality'!$A$5:$A$19,0)),INDEX('Move Reality'!$F$5:$F$19,MATCH(E695,'Move Reality'!$A$5:$A$19,0)))</f>
        <v>1</v>
      </c>
      <c r="M695" s="28" t="str">
        <f aca="false">IF(L695&gt;=5,"YES","no - dead move")</f>
        <v>no - dead move</v>
      </c>
    </row>
    <row r="696" customFormat="false" ht="15" hidden="false" customHeight="false" outlineLevel="0" collapsed="false">
      <c r="A696" s="17" t="n">
        <v>692</v>
      </c>
      <c r="B696" s="17" t="s">
        <v>44</v>
      </c>
      <c r="C696" s="17" t="s">
        <v>46</v>
      </c>
      <c r="D696" s="17" t="s">
        <v>47</v>
      </c>
      <c r="E696" s="17" t="s">
        <v>51</v>
      </c>
      <c r="F696" s="25" t="n">
        <f aca="false">SUMPRODUCT(--((('Yellow Bosses'!$L$5:$L$53&gt;=2)+('Yellow Bosses'!$N$5:$N$53&gt;=2)+('Yellow Bosses'!$O$5:$O$53&gt;=2)+('Yellow Bosses'!$S$5:$S$53&gt;=2))&gt;0))</f>
        <v>31</v>
      </c>
      <c r="G696" s="26" t="n">
        <f aca="false">F696/49</f>
        <v>0.63265306122449</v>
      </c>
      <c r="H696" s="25" t="n">
        <f aca="false">49-SUMPRODUCT(--((('Yellow Bosses'!$L$5:$L$53&gt;=1)+('Yellow Bosses'!$N$5:$N$53&gt;=1)+('Yellow Bosses'!$O$5:$O$53&gt;=1)+('Yellow Bosses'!$S$5:$S$53&gt;=1))&gt;0))</f>
        <v>0</v>
      </c>
      <c r="I696" s="25" t="n">
        <f aca="false">SUMPRODUCT(--((('Yellow Bosses'!$L$5:$L$53&gt;0)+('Yellow Bosses'!$N$5:$N$53&gt;0)+('Yellow Bosses'!$O$5:$O$53&gt;0)+('Yellow Bosses'!$S$5:$S$53&gt;0))=0))</f>
        <v>0</v>
      </c>
      <c r="J696" s="25" t="n">
        <f aca="false">SUMPRODUCT(--(((Effectiveness!$I$5:$I$155&gt;=2)+(Effectiveness!$K$5:$K$155&gt;=2)+(Effectiveness!$L$5:$L$155&gt;=2)+(Effectiveness!$P$5:$P$155&gt;=2))&gt;0))</f>
        <v>104</v>
      </c>
      <c r="K696" s="26" t="n">
        <f aca="false">J696/151</f>
        <v>0.688741721854305</v>
      </c>
      <c r="L696" s="25" t="n">
        <f aca="false">MIN(INDEX('Move Reality'!$F$5:$F$19,MATCH(B696,'Move Reality'!$A$5:$A$19,0)),INDEX('Move Reality'!$F$5:$F$19,MATCH(C696,'Move Reality'!$A$5:$A$19,0)),INDEX('Move Reality'!$F$5:$F$19,MATCH(D696,'Move Reality'!$A$5:$A$19,0)),INDEX('Move Reality'!$F$5:$F$19,MATCH(E696,'Move Reality'!$A$5:$A$19,0)))</f>
        <v>1</v>
      </c>
      <c r="M696" s="28" t="str">
        <f aca="false">IF(L696&gt;=5,"YES","no - dead move")</f>
        <v>no - dead move</v>
      </c>
    </row>
    <row r="697" customFormat="false" ht="15" hidden="false" customHeight="false" outlineLevel="0" collapsed="false">
      <c r="A697" s="17" t="n">
        <v>693</v>
      </c>
      <c r="B697" s="17" t="s">
        <v>40</v>
      </c>
      <c r="C697" s="17" t="s">
        <v>43</v>
      </c>
      <c r="D697" s="17" t="s">
        <v>51</v>
      </c>
      <c r="E697" s="17" t="s">
        <v>52</v>
      </c>
      <c r="F697" s="25" t="n">
        <f aca="false">SUMPRODUCT(--((('Yellow Bosses'!$H$5:$H$53&gt;=2)+('Yellow Bosses'!$K$5:$K$53&gt;=2)+('Yellow Bosses'!$S$5:$S$53&gt;=2)+('Yellow Bosses'!$T$5:$T$53&gt;=2))&gt;0))</f>
        <v>31</v>
      </c>
      <c r="G697" s="26" t="n">
        <f aca="false">F697/49</f>
        <v>0.63265306122449</v>
      </c>
      <c r="H697" s="25" t="n">
        <f aca="false">49-SUMPRODUCT(--((('Yellow Bosses'!$H$5:$H$53&gt;=1)+('Yellow Bosses'!$K$5:$K$53&gt;=1)+('Yellow Bosses'!$S$5:$S$53&gt;=1)+('Yellow Bosses'!$T$5:$T$53&gt;=1))&gt;0))</f>
        <v>0</v>
      </c>
      <c r="I697" s="25" t="n">
        <f aca="false">SUMPRODUCT(--((('Yellow Bosses'!$H$5:$H$53&gt;0)+('Yellow Bosses'!$K$5:$K$53&gt;0)+('Yellow Bosses'!$S$5:$S$53&gt;0)+('Yellow Bosses'!$T$5:$T$53&gt;0))=0))</f>
        <v>0</v>
      </c>
      <c r="J697" s="25" t="n">
        <f aca="false">SUMPRODUCT(--(((Effectiveness!$E$5:$E$155&gt;=2)+(Effectiveness!$H$5:$H$155&gt;=2)+(Effectiveness!$P$5:$P$155&gt;=2)+(Effectiveness!$Q$5:$Q$155&gt;=2))&gt;0))</f>
        <v>103</v>
      </c>
      <c r="K697" s="26" t="n">
        <f aca="false">J697/151</f>
        <v>0.682119205298013</v>
      </c>
      <c r="L697" s="25" t="n">
        <f aca="false">MIN(INDEX('Move Reality'!$F$5:$F$19,MATCH(B697,'Move Reality'!$A$5:$A$19,0)),INDEX('Move Reality'!$F$5:$F$19,MATCH(C697,'Move Reality'!$A$5:$A$19,0)),INDEX('Move Reality'!$F$5:$F$19,MATCH(D697,'Move Reality'!$A$5:$A$19,0)),INDEX('Move Reality'!$F$5:$F$19,MATCH(E697,'Move Reality'!$A$5:$A$19,0)))</f>
        <v>1</v>
      </c>
      <c r="M697" s="28" t="str">
        <f aca="false">IF(L697&gt;=5,"YES","no - dead move")</f>
        <v>no - dead move</v>
      </c>
    </row>
    <row r="698" customFormat="false" ht="15" hidden="false" customHeight="false" outlineLevel="0" collapsed="false">
      <c r="A698" s="17" t="n">
        <v>694</v>
      </c>
      <c r="B698" s="17" t="s">
        <v>41</v>
      </c>
      <c r="C698" s="17" t="s">
        <v>43</v>
      </c>
      <c r="D698" s="17" t="s">
        <v>51</v>
      </c>
      <c r="E698" s="17" t="s">
        <v>52</v>
      </c>
      <c r="F698" s="25" t="n">
        <f aca="false">SUMPRODUCT(--((('Yellow Bosses'!$I$5:$I$53&gt;=2)+('Yellow Bosses'!$K$5:$K$53&gt;=2)+('Yellow Bosses'!$S$5:$S$53&gt;=2)+('Yellow Bosses'!$T$5:$T$53&gt;=2))&gt;0))</f>
        <v>31</v>
      </c>
      <c r="G698" s="26" t="n">
        <f aca="false">F698/49</f>
        <v>0.63265306122449</v>
      </c>
      <c r="H698" s="25" t="n">
        <f aca="false">49-SUMPRODUCT(--((('Yellow Bosses'!$I$5:$I$53&gt;=1)+('Yellow Bosses'!$K$5:$K$53&gt;=1)+('Yellow Bosses'!$S$5:$S$53&gt;=1)+('Yellow Bosses'!$T$5:$T$53&gt;=1))&gt;0))</f>
        <v>0</v>
      </c>
      <c r="I698" s="25" t="n">
        <f aca="false">SUMPRODUCT(--((('Yellow Bosses'!$I$5:$I$53&gt;0)+('Yellow Bosses'!$K$5:$K$53&gt;0)+('Yellow Bosses'!$S$5:$S$53&gt;0)+('Yellow Bosses'!$T$5:$T$53&gt;0))=0))</f>
        <v>0</v>
      </c>
      <c r="J698" s="25" t="n">
        <f aca="false">SUMPRODUCT(--(((Effectiveness!$F$5:$F$155&gt;=2)+(Effectiveness!$H$5:$H$155&gt;=2)+(Effectiveness!$P$5:$P$155&gt;=2)+(Effectiveness!$Q$5:$Q$155&gt;=2))&gt;0))</f>
        <v>103</v>
      </c>
      <c r="K698" s="26" t="n">
        <f aca="false">J698/151</f>
        <v>0.682119205298013</v>
      </c>
      <c r="L698" s="25" t="n">
        <f aca="false">MIN(INDEX('Move Reality'!$F$5:$F$19,MATCH(B698,'Move Reality'!$A$5:$A$19,0)),INDEX('Move Reality'!$F$5:$F$19,MATCH(C698,'Move Reality'!$A$5:$A$19,0)),INDEX('Move Reality'!$F$5:$F$19,MATCH(D698,'Move Reality'!$A$5:$A$19,0)),INDEX('Move Reality'!$F$5:$F$19,MATCH(E698,'Move Reality'!$A$5:$A$19,0)))</f>
        <v>1</v>
      </c>
      <c r="M698" s="28" t="str">
        <f aca="false">IF(L698&gt;=5,"YES","no - dead move")</f>
        <v>no - dead move</v>
      </c>
    </row>
    <row r="699" customFormat="false" ht="15" hidden="false" customHeight="false" outlineLevel="0" collapsed="false">
      <c r="A699" s="17" t="n">
        <v>695</v>
      </c>
      <c r="B699" s="17" t="s">
        <v>43</v>
      </c>
      <c r="C699" s="17" t="s">
        <v>47</v>
      </c>
      <c r="D699" s="17" t="s">
        <v>51</v>
      </c>
      <c r="E699" s="17" t="s">
        <v>52</v>
      </c>
      <c r="F699" s="25" t="n">
        <f aca="false">SUMPRODUCT(--((('Yellow Bosses'!$K$5:$K$53&gt;=2)+('Yellow Bosses'!$O$5:$O$53&gt;=2)+('Yellow Bosses'!$S$5:$S$53&gt;=2)+('Yellow Bosses'!$T$5:$T$53&gt;=2))&gt;0))</f>
        <v>31</v>
      </c>
      <c r="G699" s="26" t="n">
        <f aca="false">F699/49</f>
        <v>0.63265306122449</v>
      </c>
      <c r="H699" s="25" t="n">
        <f aca="false">49-SUMPRODUCT(--((('Yellow Bosses'!$K$5:$K$53&gt;=1)+('Yellow Bosses'!$O$5:$O$53&gt;=1)+('Yellow Bosses'!$S$5:$S$53&gt;=1)+('Yellow Bosses'!$T$5:$T$53&gt;=1))&gt;0))</f>
        <v>0</v>
      </c>
      <c r="I699" s="25" t="n">
        <f aca="false">SUMPRODUCT(--((('Yellow Bosses'!$K$5:$K$53&gt;0)+('Yellow Bosses'!$O$5:$O$53&gt;0)+('Yellow Bosses'!$S$5:$S$53&gt;0)+('Yellow Bosses'!$T$5:$T$53&gt;0))=0))</f>
        <v>0</v>
      </c>
      <c r="J699" s="25" t="n">
        <f aca="false">SUMPRODUCT(--(((Effectiveness!$H$5:$H$155&gt;=2)+(Effectiveness!$L$5:$L$155&gt;=2)+(Effectiveness!$P$5:$P$155&gt;=2)+(Effectiveness!$Q$5:$Q$155&gt;=2))&gt;0))</f>
        <v>103</v>
      </c>
      <c r="K699" s="26" t="n">
        <f aca="false">J699/151</f>
        <v>0.682119205298013</v>
      </c>
      <c r="L699" s="25" t="n">
        <f aca="false">MIN(INDEX('Move Reality'!$F$5:$F$19,MATCH(B699,'Move Reality'!$A$5:$A$19,0)),INDEX('Move Reality'!$F$5:$F$19,MATCH(C699,'Move Reality'!$A$5:$A$19,0)),INDEX('Move Reality'!$F$5:$F$19,MATCH(D699,'Move Reality'!$A$5:$A$19,0)),INDEX('Move Reality'!$F$5:$F$19,MATCH(E699,'Move Reality'!$A$5:$A$19,0)))</f>
        <v>1</v>
      </c>
      <c r="M699" s="28" t="str">
        <f aca="false">IF(L699&gt;=5,"YES","no - dead move")</f>
        <v>no - dead move</v>
      </c>
    </row>
    <row r="700" customFormat="false" ht="15" hidden="false" customHeight="false" outlineLevel="0" collapsed="false">
      <c r="A700" s="17" t="n">
        <v>696</v>
      </c>
      <c r="B700" s="17" t="s">
        <v>40</v>
      </c>
      <c r="C700" s="17" t="s">
        <v>43</v>
      </c>
      <c r="D700" s="17" t="s">
        <v>50</v>
      </c>
      <c r="E700" s="17" t="s">
        <v>52</v>
      </c>
      <c r="F700" s="25" t="n">
        <f aca="false">SUMPRODUCT(--((('Yellow Bosses'!$H$5:$H$53&gt;=2)+('Yellow Bosses'!$K$5:$K$53&gt;=2)+('Yellow Bosses'!$R$5:$R$53&gt;=2)+('Yellow Bosses'!$T$5:$T$53&gt;=2))&gt;0))</f>
        <v>31</v>
      </c>
      <c r="G700" s="26" t="n">
        <f aca="false">F700/49</f>
        <v>0.63265306122449</v>
      </c>
      <c r="H700" s="25" t="n">
        <f aca="false">49-SUMPRODUCT(--((('Yellow Bosses'!$H$5:$H$53&gt;=1)+('Yellow Bosses'!$K$5:$K$53&gt;=1)+('Yellow Bosses'!$R$5:$R$53&gt;=1)+('Yellow Bosses'!$T$5:$T$53&gt;=1))&gt;0))</f>
        <v>0</v>
      </c>
      <c r="I700" s="25" t="n">
        <f aca="false">SUMPRODUCT(--((('Yellow Bosses'!$H$5:$H$53&gt;0)+('Yellow Bosses'!$K$5:$K$53&gt;0)+('Yellow Bosses'!$R$5:$R$53&gt;0)+('Yellow Bosses'!$T$5:$T$53&gt;0))=0))</f>
        <v>0</v>
      </c>
      <c r="J700" s="25" t="n">
        <f aca="false">SUMPRODUCT(--(((Effectiveness!$E$5:$E$155&gt;=2)+(Effectiveness!$H$5:$H$155&gt;=2)+(Effectiveness!$O$5:$O$155&gt;=2)+(Effectiveness!$Q$5:$Q$155&gt;=2))&gt;0))</f>
        <v>102</v>
      </c>
      <c r="K700" s="26" t="n">
        <f aca="false">J700/151</f>
        <v>0.675496688741722</v>
      </c>
      <c r="L700" s="25" t="n">
        <f aca="false">MIN(INDEX('Move Reality'!$F$5:$F$19,MATCH(B700,'Move Reality'!$A$5:$A$19,0)),INDEX('Move Reality'!$F$5:$F$19,MATCH(C700,'Move Reality'!$A$5:$A$19,0)),INDEX('Move Reality'!$F$5:$F$19,MATCH(D700,'Move Reality'!$A$5:$A$19,0)),INDEX('Move Reality'!$F$5:$F$19,MATCH(E700,'Move Reality'!$A$5:$A$19,0)))</f>
        <v>6</v>
      </c>
      <c r="M700" s="28" t="str">
        <f aca="false">IF(L700&gt;=5,"YES","no - dead move")</f>
        <v>YES</v>
      </c>
    </row>
    <row r="701" customFormat="false" ht="15" hidden="false" customHeight="false" outlineLevel="0" collapsed="false">
      <c r="A701" s="17" t="n">
        <v>697</v>
      </c>
      <c r="B701" s="17" t="s">
        <v>41</v>
      </c>
      <c r="C701" s="17" t="s">
        <v>44</v>
      </c>
      <c r="D701" s="17" t="s">
        <v>45</v>
      </c>
      <c r="E701" s="17" t="s">
        <v>46</v>
      </c>
      <c r="F701" s="25" t="n">
        <f aca="false">SUMPRODUCT(--((('Yellow Bosses'!$I$5:$I$53&gt;=2)+('Yellow Bosses'!$L$5:$L$53&gt;=2)+('Yellow Bosses'!$M$5:$M$53&gt;=2)+('Yellow Bosses'!$N$5:$N$53&gt;=2))&gt;0))</f>
        <v>31</v>
      </c>
      <c r="G701" s="26" t="n">
        <f aca="false">F701/49</f>
        <v>0.63265306122449</v>
      </c>
      <c r="H701" s="25" t="n">
        <f aca="false">49-SUMPRODUCT(--((('Yellow Bosses'!$I$5:$I$53&gt;=1)+('Yellow Bosses'!$L$5:$L$53&gt;=1)+('Yellow Bosses'!$M$5:$M$53&gt;=1)+('Yellow Bosses'!$N$5:$N$53&gt;=1))&gt;0))</f>
        <v>0</v>
      </c>
      <c r="I701" s="25" t="n">
        <f aca="false">SUMPRODUCT(--((('Yellow Bosses'!$I$5:$I$53&gt;0)+('Yellow Bosses'!$L$5:$L$53&gt;0)+('Yellow Bosses'!$M$5:$M$53&gt;0)+('Yellow Bosses'!$N$5:$N$53&gt;0))=0))</f>
        <v>0</v>
      </c>
      <c r="J701" s="25" t="n">
        <f aca="false">SUMPRODUCT(--(((Effectiveness!$F$5:$F$155&gt;=2)+(Effectiveness!$I$5:$I$155&gt;=2)+(Effectiveness!$J$5:$J$155&gt;=2)+(Effectiveness!$K$5:$K$155&gt;=2))&gt;0))</f>
        <v>102</v>
      </c>
      <c r="K701" s="26" t="n">
        <f aca="false">J701/151</f>
        <v>0.675496688741722</v>
      </c>
      <c r="L701" s="25" t="n">
        <f aca="false">MIN(INDEX('Move Reality'!$F$5:$F$19,MATCH(B701,'Move Reality'!$A$5:$A$19,0)),INDEX('Move Reality'!$F$5:$F$19,MATCH(C701,'Move Reality'!$A$5:$A$19,0)),INDEX('Move Reality'!$F$5:$F$19,MATCH(D701,'Move Reality'!$A$5:$A$19,0)),INDEX('Move Reality'!$F$5:$F$19,MATCH(E701,'Move Reality'!$A$5:$A$19,0)))</f>
        <v>4</v>
      </c>
      <c r="M701" s="28" t="str">
        <f aca="false">IF(L701&gt;=5,"YES","no - dead move")</f>
        <v>no - dead move</v>
      </c>
    </row>
    <row r="702" customFormat="false" ht="15" hidden="false" customHeight="false" outlineLevel="0" collapsed="false">
      <c r="A702" s="17" t="n">
        <v>698</v>
      </c>
      <c r="B702" s="17" t="s">
        <v>43</v>
      </c>
      <c r="C702" s="17" t="s">
        <v>50</v>
      </c>
      <c r="D702" s="17" t="s">
        <v>52</v>
      </c>
      <c r="E702" s="17" t="s">
        <v>53</v>
      </c>
      <c r="F702" s="25" t="n">
        <f aca="false">SUMPRODUCT(--((('Yellow Bosses'!$K$5:$K$53&gt;=2)+('Yellow Bosses'!$R$5:$R$53&gt;=2)+('Yellow Bosses'!$T$5:$T$53&gt;=2)+('Yellow Bosses'!$U$5:$U$53&gt;=2))&gt;0))</f>
        <v>31</v>
      </c>
      <c r="G702" s="26" t="n">
        <f aca="false">F702/49</f>
        <v>0.63265306122449</v>
      </c>
      <c r="H702" s="25" t="n">
        <f aca="false">49-SUMPRODUCT(--((('Yellow Bosses'!$K$5:$K$53&gt;=1)+('Yellow Bosses'!$R$5:$R$53&gt;=1)+('Yellow Bosses'!$T$5:$T$53&gt;=1)+('Yellow Bosses'!$U$5:$U$53&gt;=1))&gt;0))</f>
        <v>0</v>
      </c>
      <c r="I702" s="25" t="n">
        <f aca="false">SUMPRODUCT(--((('Yellow Bosses'!$K$5:$K$53&gt;0)+('Yellow Bosses'!$R$5:$R$53&gt;0)+('Yellow Bosses'!$T$5:$T$53&gt;0)+('Yellow Bosses'!$U$5:$U$53&gt;0))=0))</f>
        <v>0</v>
      </c>
      <c r="J702" s="25" t="n">
        <f aca="false">SUMPRODUCT(--(((Effectiveness!$H$5:$H$155&gt;=2)+(Effectiveness!$O$5:$O$155&gt;=2)+(Effectiveness!$Q$5:$Q$155&gt;=2)+(Effectiveness!$R$5:$R$155&gt;=2))&gt;0))</f>
        <v>102</v>
      </c>
      <c r="K702" s="26" t="n">
        <f aca="false">J702/151</f>
        <v>0.675496688741722</v>
      </c>
      <c r="L702" s="25" t="n">
        <f aca="false">MIN(INDEX('Move Reality'!$F$5:$F$19,MATCH(B702,'Move Reality'!$A$5:$A$19,0)),INDEX('Move Reality'!$F$5:$F$19,MATCH(C702,'Move Reality'!$A$5:$A$19,0)),INDEX('Move Reality'!$F$5:$F$19,MATCH(D702,'Move Reality'!$A$5:$A$19,0)),INDEX('Move Reality'!$F$5:$F$19,MATCH(E702,'Move Reality'!$A$5:$A$19,0)))</f>
        <v>1</v>
      </c>
      <c r="M702" s="28" t="str">
        <f aca="false">IF(L702&gt;=5,"YES","no - dead move")</f>
        <v>no - dead move</v>
      </c>
    </row>
    <row r="703" customFormat="false" ht="15" hidden="false" customHeight="false" outlineLevel="0" collapsed="false">
      <c r="A703" s="17" t="n">
        <v>699</v>
      </c>
      <c r="B703" s="17" t="s">
        <v>42</v>
      </c>
      <c r="C703" s="17" t="s">
        <v>43</v>
      </c>
      <c r="D703" s="17" t="s">
        <v>47</v>
      </c>
      <c r="E703" s="17" t="s">
        <v>48</v>
      </c>
      <c r="F703" s="25" t="n">
        <f aca="false">SUMPRODUCT(--((('Yellow Bosses'!$J$5:$J$53&gt;=2)+('Yellow Bosses'!$K$5:$K$53&gt;=2)+('Yellow Bosses'!$O$5:$O$53&gt;=2)+('Yellow Bosses'!$P$5:$P$53&gt;=2))&gt;0))</f>
        <v>31</v>
      </c>
      <c r="G703" s="26" t="n">
        <f aca="false">F703/49</f>
        <v>0.63265306122449</v>
      </c>
      <c r="H703" s="25" t="n">
        <f aca="false">49-SUMPRODUCT(--((('Yellow Bosses'!$J$5:$J$53&gt;=1)+('Yellow Bosses'!$K$5:$K$53&gt;=1)+('Yellow Bosses'!$O$5:$O$53&gt;=1)+('Yellow Bosses'!$P$5:$P$53&gt;=1))&gt;0))</f>
        <v>0</v>
      </c>
      <c r="I703" s="25" t="n">
        <f aca="false">SUMPRODUCT(--((('Yellow Bosses'!$J$5:$J$53&gt;0)+('Yellow Bosses'!$K$5:$K$53&gt;0)+('Yellow Bosses'!$O$5:$O$53&gt;0)+('Yellow Bosses'!$P$5:$P$53&gt;0))=0))</f>
        <v>0</v>
      </c>
      <c r="J703" s="25" t="n">
        <f aca="false">SUMPRODUCT(--(((Effectiveness!$G$5:$G$155&gt;=2)+(Effectiveness!$H$5:$H$155&gt;=2)+(Effectiveness!$L$5:$L$155&gt;=2)+(Effectiveness!$M$5:$M$155&gt;=2))&gt;0))</f>
        <v>101</v>
      </c>
      <c r="K703" s="26" t="n">
        <f aca="false">J703/151</f>
        <v>0.66887417218543</v>
      </c>
      <c r="L703" s="25" t="n">
        <f aca="false">MIN(INDEX('Move Reality'!$F$5:$F$19,MATCH(B703,'Move Reality'!$A$5:$A$19,0)),INDEX('Move Reality'!$F$5:$F$19,MATCH(C703,'Move Reality'!$A$5:$A$19,0)),INDEX('Move Reality'!$F$5:$F$19,MATCH(D703,'Move Reality'!$A$5:$A$19,0)),INDEX('Move Reality'!$F$5:$F$19,MATCH(E703,'Move Reality'!$A$5:$A$19,0)))</f>
        <v>2</v>
      </c>
      <c r="M703" s="28" t="str">
        <f aca="false">IF(L703&gt;=5,"YES","no - dead move")</f>
        <v>no - dead move</v>
      </c>
    </row>
    <row r="704" customFormat="false" ht="15" hidden="false" customHeight="false" outlineLevel="0" collapsed="false">
      <c r="A704" s="17" t="n">
        <v>700</v>
      </c>
      <c r="B704" s="17" t="s">
        <v>43</v>
      </c>
      <c r="C704" s="17" t="s">
        <v>44</v>
      </c>
      <c r="D704" s="17" t="s">
        <v>47</v>
      </c>
      <c r="E704" s="17" t="s">
        <v>48</v>
      </c>
      <c r="F704" s="25" t="n">
        <f aca="false">SUMPRODUCT(--((('Yellow Bosses'!$K$5:$K$53&gt;=2)+('Yellow Bosses'!$L$5:$L$53&gt;=2)+('Yellow Bosses'!$O$5:$O$53&gt;=2)+('Yellow Bosses'!$P$5:$P$53&gt;=2))&gt;0))</f>
        <v>31</v>
      </c>
      <c r="G704" s="26" t="n">
        <f aca="false">F704/49</f>
        <v>0.63265306122449</v>
      </c>
      <c r="H704" s="25" t="n">
        <f aca="false">49-SUMPRODUCT(--((('Yellow Bosses'!$K$5:$K$53&gt;=1)+('Yellow Bosses'!$L$5:$L$53&gt;=1)+('Yellow Bosses'!$O$5:$O$53&gt;=1)+('Yellow Bosses'!$P$5:$P$53&gt;=1))&gt;0))</f>
        <v>0</v>
      </c>
      <c r="I704" s="25" t="n">
        <f aca="false">SUMPRODUCT(--((('Yellow Bosses'!$K$5:$K$53&gt;0)+('Yellow Bosses'!$L$5:$L$53&gt;0)+('Yellow Bosses'!$O$5:$O$53&gt;0)+('Yellow Bosses'!$P$5:$P$53&gt;0))=0))</f>
        <v>0</v>
      </c>
      <c r="J704" s="25" t="n">
        <f aca="false">SUMPRODUCT(--(((Effectiveness!$H$5:$H$155&gt;=2)+(Effectiveness!$I$5:$I$155&gt;=2)+(Effectiveness!$L$5:$L$155&gt;=2)+(Effectiveness!$M$5:$M$155&gt;=2))&gt;0))</f>
        <v>101</v>
      </c>
      <c r="K704" s="26" t="n">
        <f aca="false">J704/151</f>
        <v>0.66887417218543</v>
      </c>
      <c r="L704" s="25" t="n">
        <f aca="false">MIN(INDEX('Move Reality'!$F$5:$F$19,MATCH(B704,'Move Reality'!$A$5:$A$19,0)),INDEX('Move Reality'!$F$5:$F$19,MATCH(C704,'Move Reality'!$A$5:$A$19,0)),INDEX('Move Reality'!$F$5:$F$19,MATCH(D704,'Move Reality'!$A$5:$A$19,0)),INDEX('Move Reality'!$F$5:$F$19,MATCH(E704,'Move Reality'!$A$5:$A$19,0)))</f>
        <v>2</v>
      </c>
      <c r="M704" s="28" t="str">
        <f aca="false">IF(L704&gt;=5,"YES","no - dead move")</f>
        <v>no - dead move</v>
      </c>
    </row>
    <row r="705" customFormat="false" ht="15" hidden="false" customHeight="false" outlineLevel="0" collapsed="false">
      <c r="A705" s="17" t="n">
        <v>701</v>
      </c>
      <c r="B705" s="17" t="s">
        <v>44</v>
      </c>
      <c r="C705" s="17" t="s">
        <v>46</v>
      </c>
      <c r="D705" s="17" t="s">
        <v>52</v>
      </c>
      <c r="E705" s="17" t="s">
        <v>53</v>
      </c>
      <c r="F705" s="25" t="n">
        <f aca="false">SUMPRODUCT(--((('Yellow Bosses'!$L$5:$L$53&gt;=2)+('Yellow Bosses'!$N$5:$N$53&gt;=2)+('Yellow Bosses'!$T$5:$T$53&gt;=2)+('Yellow Bosses'!$U$5:$U$53&gt;=2))&gt;0))</f>
        <v>31</v>
      </c>
      <c r="G705" s="26" t="n">
        <f aca="false">F705/49</f>
        <v>0.63265306122449</v>
      </c>
      <c r="H705" s="25" t="n">
        <f aca="false">49-SUMPRODUCT(--((('Yellow Bosses'!$L$5:$L$53&gt;=1)+('Yellow Bosses'!$N$5:$N$53&gt;=1)+('Yellow Bosses'!$T$5:$T$53&gt;=1)+('Yellow Bosses'!$U$5:$U$53&gt;=1))&gt;0))</f>
        <v>0</v>
      </c>
      <c r="I705" s="25" t="n">
        <f aca="false">SUMPRODUCT(--((('Yellow Bosses'!$L$5:$L$53&gt;0)+('Yellow Bosses'!$N$5:$N$53&gt;0)+('Yellow Bosses'!$T$5:$T$53&gt;0)+('Yellow Bosses'!$U$5:$U$53&gt;0))=0))</f>
        <v>0</v>
      </c>
      <c r="J705" s="25" t="n">
        <f aca="false">SUMPRODUCT(--(((Effectiveness!$I$5:$I$155&gt;=2)+(Effectiveness!$K$5:$K$155&gt;=2)+(Effectiveness!$Q$5:$Q$155&gt;=2)+(Effectiveness!$R$5:$R$155&gt;=2))&gt;0))</f>
        <v>100</v>
      </c>
      <c r="K705" s="26" t="n">
        <f aca="false">J705/151</f>
        <v>0.662251655629139</v>
      </c>
      <c r="L705" s="25" t="n">
        <f aca="false">MIN(INDEX('Move Reality'!$F$5:$F$19,MATCH(B705,'Move Reality'!$A$5:$A$19,0)),INDEX('Move Reality'!$F$5:$F$19,MATCH(C705,'Move Reality'!$A$5:$A$19,0)),INDEX('Move Reality'!$F$5:$F$19,MATCH(D705,'Move Reality'!$A$5:$A$19,0)),INDEX('Move Reality'!$F$5:$F$19,MATCH(E705,'Move Reality'!$A$5:$A$19,0)))</f>
        <v>1</v>
      </c>
      <c r="M705" s="28" t="str">
        <f aca="false">IF(L705&gt;=5,"YES","no - dead move")</f>
        <v>no - dead move</v>
      </c>
    </row>
    <row r="706" customFormat="false" ht="15" hidden="false" customHeight="false" outlineLevel="0" collapsed="false">
      <c r="A706" s="17" t="n">
        <v>702</v>
      </c>
      <c r="B706" s="17" t="s">
        <v>40</v>
      </c>
      <c r="C706" s="17" t="s">
        <v>44</v>
      </c>
      <c r="D706" s="17" t="s">
        <v>46</v>
      </c>
      <c r="E706" s="17" t="s">
        <v>51</v>
      </c>
      <c r="F706" s="25" t="n">
        <f aca="false">SUMPRODUCT(--((('Yellow Bosses'!$H$5:$H$53&gt;=2)+('Yellow Bosses'!$L$5:$L$53&gt;=2)+('Yellow Bosses'!$N$5:$N$53&gt;=2)+('Yellow Bosses'!$S$5:$S$53&gt;=2))&gt;0))</f>
        <v>31</v>
      </c>
      <c r="G706" s="26" t="n">
        <f aca="false">F706/49</f>
        <v>0.63265306122449</v>
      </c>
      <c r="H706" s="25" t="n">
        <f aca="false">49-SUMPRODUCT(--((('Yellow Bosses'!$H$5:$H$53&gt;=1)+('Yellow Bosses'!$L$5:$L$53&gt;=1)+('Yellow Bosses'!$N$5:$N$53&gt;=1)+('Yellow Bosses'!$S$5:$S$53&gt;=1))&gt;0))</f>
        <v>0</v>
      </c>
      <c r="I706" s="25" t="n">
        <f aca="false">SUMPRODUCT(--((('Yellow Bosses'!$H$5:$H$53&gt;0)+('Yellow Bosses'!$L$5:$L$53&gt;0)+('Yellow Bosses'!$N$5:$N$53&gt;0)+('Yellow Bosses'!$S$5:$S$53&gt;0))=0))</f>
        <v>0</v>
      </c>
      <c r="J706" s="25" t="n">
        <f aca="false">SUMPRODUCT(--(((Effectiveness!$E$5:$E$155&gt;=2)+(Effectiveness!$I$5:$I$155&gt;=2)+(Effectiveness!$K$5:$K$155&gt;=2)+(Effectiveness!$P$5:$P$155&gt;=2))&gt;0))</f>
        <v>99</v>
      </c>
      <c r="K706" s="26" t="n">
        <f aca="false">J706/151</f>
        <v>0.655629139072848</v>
      </c>
      <c r="L706" s="25" t="n">
        <f aca="false">MIN(INDEX('Move Reality'!$F$5:$F$19,MATCH(B706,'Move Reality'!$A$5:$A$19,0)),INDEX('Move Reality'!$F$5:$F$19,MATCH(C706,'Move Reality'!$A$5:$A$19,0)),INDEX('Move Reality'!$F$5:$F$19,MATCH(D706,'Move Reality'!$A$5:$A$19,0)),INDEX('Move Reality'!$F$5:$F$19,MATCH(E706,'Move Reality'!$A$5:$A$19,0)))</f>
        <v>1</v>
      </c>
      <c r="M706" s="28" t="str">
        <f aca="false">IF(L706&gt;=5,"YES","no - dead move")</f>
        <v>no - dead move</v>
      </c>
    </row>
    <row r="707" customFormat="false" ht="15" hidden="false" customHeight="false" outlineLevel="0" collapsed="false">
      <c r="A707" s="17" t="n">
        <v>703</v>
      </c>
      <c r="B707" s="17" t="s">
        <v>41</v>
      </c>
      <c r="C707" s="17" t="s">
        <v>42</v>
      </c>
      <c r="D707" s="17" t="s">
        <v>44</v>
      </c>
      <c r="E707" s="17" t="s">
        <v>46</v>
      </c>
      <c r="F707" s="25" t="n">
        <f aca="false">SUMPRODUCT(--((('Yellow Bosses'!$I$5:$I$53&gt;=2)+('Yellow Bosses'!$J$5:$J$53&gt;=2)+('Yellow Bosses'!$L$5:$L$53&gt;=2)+('Yellow Bosses'!$N$5:$N$53&gt;=2))&gt;0))</f>
        <v>31</v>
      </c>
      <c r="G707" s="26" t="n">
        <f aca="false">F707/49</f>
        <v>0.63265306122449</v>
      </c>
      <c r="H707" s="25" t="n">
        <f aca="false">49-SUMPRODUCT(--((('Yellow Bosses'!$I$5:$I$53&gt;=1)+('Yellow Bosses'!$J$5:$J$53&gt;=1)+('Yellow Bosses'!$L$5:$L$53&gt;=1)+('Yellow Bosses'!$N$5:$N$53&gt;=1))&gt;0))</f>
        <v>1</v>
      </c>
      <c r="I707" s="25" t="n">
        <f aca="false">SUMPRODUCT(--((('Yellow Bosses'!$I$5:$I$53&gt;0)+('Yellow Bosses'!$J$5:$J$53&gt;0)+('Yellow Bosses'!$L$5:$L$53&gt;0)+('Yellow Bosses'!$N$5:$N$53&gt;0))=0))</f>
        <v>0</v>
      </c>
      <c r="J707" s="25" t="n">
        <f aca="false">SUMPRODUCT(--(((Effectiveness!$F$5:$F$155&gt;=2)+(Effectiveness!$G$5:$G$155&gt;=2)+(Effectiveness!$I$5:$I$155&gt;=2)+(Effectiveness!$K$5:$K$155&gt;=2))&gt;0))</f>
        <v>98</v>
      </c>
      <c r="K707" s="26" t="n">
        <f aca="false">J707/151</f>
        <v>0.649006622516556</v>
      </c>
      <c r="L707" s="25" t="n">
        <f aca="false">MIN(INDEX('Move Reality'!$F$5:$F$19,MATCH(B707,'Move Reality'!$A$5:$A$19,0)),INDEX('Move Reality'!$F$5:$F$19,MATCH(C707,'Move Reality'!$A$5:$A$19,0)),INDEX('Move Reality'!$F$5:$F$19,MATCH(D707,'Move Reality'!$A$5:$A$19,0)),INDEX('Move Reality'!$F$5:$F$19,MATCH(E707,'Move Reality'!$A$5:$A$19,0)))</f>
        <v>4</v>
      </c>
      <c r="M707" s="28" t="str">
        <f aca="false">IF(L707&gt;=5,"YES","no - dead move")</f>
        <v>no - dead move</v>
      </c>
    </row>
    <row r="708" customFormat="false" ht="15" hidden="false" customHeight="false" outlineLevel="0" collapsed="false">
      <c r="A708" s="17" t="n">
        <v>704</v>
      </c>
      <c r="B708" s="17" t="s">
        <v>40</v>
      </c>
      <c r="C708" s="17" t="s">
        <v>44</v>
      </c>
      <c r="D708" s="17" t="s">
        <v>46</v>
      </c>
      <c r="E708" s="17" t="s">
        <v>50</v>
      </c>
      <c r="F708" s="25" t="n">
        <f aca="false">SUMPRODUCT(--((('Yellow Bosses'!$H$5:$H$53&gt;=2)+('Yellow Bosses'!$L$5:$L$53&gt;=2)+('Yellow Bosses'!$N$5:$N$53&gt;=2)+('Yellow Bosses'!$R$5:$R$53&gt;=2))&gt;0))</f>
        <v>31</v>
      </c>
      <c r="G708" s="26" t="n">
        <f aca="false">F708/49</f>
        <v>0.63265306122449</v>
      </c>
      <c r="H708" s="25" t="n">
        <f aca="false">49-SUMPRODUCT(--((('Yellow Bosses'!$H$5:$H$53&gt;=1)+('Yellow Bosses'!$L$5:$L$53&gt;=1)+('Yellow Bosses'!$N$5:$N$53&gt;=1)+('Yellow Bosses'!$R$5:$R$53&gt;=1))&gt;0))</f>
        <v>0</v>
      </c>
      <c r="I708" s="25" t="n">
        <f aca="false">SUMPRODUCT(--((('Yellow Bosses'!$H$5:$H$53&gt;0)+('Yellow Bosses'!$L$5:$L$53&gt;0)+('Yellow Bosses'!$N$5:$N$53&gt;0)+('Yellow Bosses'!$R$5:$R$53&gt;0))=0))</f>
        <v>0</v>
      </c>
      <c r="J708" s="25" t="n">
        <f aca="false">SUMPRODUCT(--(((Effectiveness!$E$5:$E$155&gt;=2)+(Effectiveness!$I$5:$I$155&gt;=2)+(Effectiveness!$K$5:$K$155&gt;=2)+(Effectiveness!$O$5:$O$155&gt;=2))&gt;0))</f>
        <v>97</v>
      </c>
      <c r="K708" s="26" t="n">
        <f aca="false">J708/151</f>
        <v>0.642384105960265</v>
      </c>
      <c r="L708" s="25" t="n">
        <f aca="false">MIN(INDEX('Move Reality'!$F$5:$F$19,MATCH(B708,'Move Reality'!$A$5:$A$19,0)),INDEX('Move Reality'!$F$5:$F$19,MATCH(C708,'Move Reality'!$A$5:$A$19,0)),INDEX('Move Reality'!$F$5:$F$19,MATCH(D708,'Move Reality'!$A$5:$A$19,0)),INDEX('Move Reality'!$F$5:$F$19,MATCH(E708,'Move Reality'!$A$5:$A$19,0)))</f>
        <v>4</v>
      </c>
      <c r="M708" s="28" t="str">
        <f aca="false">IF(L708&gt;=5,"YES","no - dead move")</f>
        <v>no - dead move</v>
      </c>
    </row>
    <row r="709" customFormat="false" ht="15" hidden="false" customHeight="false" outlineLevel="0" collapsed="false">
      <c r="A709" s="17" t="n">
        <v>705</v>
      </c>
      <c r="B709" s="17" t="s">
        <v>44</v>
      </c>
      <c r="C709" s="17" t="s">
        <v>46</v>
      </c>
      <c r="D709" s="17" t="s">
        <v>50</v>
      </c>
      <c r="E709" s="17" t="s">
        <v>53</v>
      </c>
      <c r="F709" s="25" t="n">
        <f aca="false">SUMPRODUCT(--((('Yellow Bosses'!$L$5:$L$53&gt;=2)+('Yellow Bosses'!$N$5:$N$53&gt;=2)+('Yellow Bosses'!$R$5:$R$53&gt;=2)+('Yellow Bosses'!$U$5:$U$53&gt;=2))&gt;0))</f>
        <v>31</v>
      </c>
      <c r="G709" s="26" t="n">
        <f aca="false">F709/49</f>
        <v>0.63265306122449</v>
      </c>
      <c r="H709" s="25" t="n">
        <f aca="false">49-SUMPRODUCT(--((('Yellow Bosses'!$L$5:$L$53&gt;=1)+('Yellow Bosses'!$N$5:$N$53&gt;=1)+('Yellow Bosses'!$R$5:$R$53&gt;=1)+('Yellow Bosses'!$U$5:$U$53&gt;=1))&gt;0))</f>
        <v>1</v>
      </c>
      <c r="I709" s="25" t="n">
        <f aca="false">SUMPRODUCT(--((('Yellow Bosses'!$L$5:$L$53&gt;0)+('Yellow Bosses'!$N$5:$N$53&gt;0)+('Yellow Bosses'!$R$5:$R$53&gt;0)+('Yellow Bosses'!$U$5:$U$53&gt;0))=0))</f>
        <v>0</v>
      </c>
      <c r="J709" s="25" t="n">
        <f aca="false">SUMPRODUCT(--(((Effectiveness!$I$5:$I$155&gt;=2)+(Effectiveness!$K$5:$K$155&gt;=2)+(Effectiveness!$O$5:$O$155&gt;=2)+(Effectiveness!$R$5:$R$155&gt;=2))&gt;0))</f>
        <v>97</v>
      </c>
      <c r="K709" s="26" t="n">
        <f aca="false">J709/151</f>
        <v>0.642384105960265</v>
      </c>
      <c r="L709" s="25" t="n">
        <f aca="false">MIN(INDEX('Move Reality'!$F$5:$F$19,MATCH(B709,'Move Reality'!$A$5:$A$19,0)),INDEX('Move Reality'!$F$5:$F$19,MATCH(C709,'Move Reality'!$A$5:$A$19,0)),INDEX('Move Reality'!$F$5:$F$19,MATCH(D709,'Move Reality'!$A$5:$A$19,0)),INDEX('Move Reality'!$F$5:$F$19,MATCH(E709,'Move Reality'!$A$5:$A$19,0)))</f>
        <v>1</v>
      </c>
      <c r="M709" s="28" t="str">
        <f aca="false">IF(L709&gt;=5,"YES","no - dead move")</f>
        <v>no - dead move</v>
      </c>
    </row>
    <row r="710" customFormat="false" ht="15" hidden="false" customHeight="false" outlineLevel="0" collapsed="false">
      <c r="A710" s="17" t="n">
        <v>706</v>
      </c>
      <c r="B710" s="17" t="s">
        <v>41</v>
      </c>
      <c r="C710" s="17" t="s">
        <v>43</v>
      </c>
      <c r="D710" s="17" t="s">
        <v>50</v>
      </c>
      <c r="E710" s="17" t="s">
        <v>54</v>
      </c>
      <c r="F710" s="25" t="n">
        <f aca="false">SUMPRODUCT(--((('Yellow Bosses'!$I$5:$I$53&gt;=2)+('Yellow Bosses'!$K$5:$K$53&gt;=2)+('Yellow Bosses'!$R$5:$R$53&gt;=2)+('Yellow Bosses'!$V$5:$V$53&gt;=2))&gt;0))</f>
        <v>31</v>
      </c>
      <c r="G710" s="26" t="n">
        <f aca="false">F710/49</f>
        <v>0.63265306122449</v>
      </c>
      <c r="H710" s="25" t="n">
        <f aca="false">49-SUMPRODUCT(--((('Yellow Bosses'!$I$5:$I$53&gt;=1)+('Yellow Bosses'!$K$5:$K$53&gt;=1)+('Yellow Bosses'!$R$5:$R$53&gt;=1)+('Yellow Bosses'!$V$5:$V$53&gt;=1))&gt;0))</f>
        <v>0</v>
      </c>
      <c r="I710" s="25" t="n">
        <f aca="false">SUMPRODUCT(--((('Yellow Bosses'!$I$5:$I$53&gt;0)+('Yellow Bosses'!$K$5:$K$53&gt;0)+('Yellow Bosses'!$R$5:$R$53&gt;0)+('Yellow Bosses'!$V$5:$V$53&gt;0))=0))</f>
        <v>0</v>
      </c>
      <c r="J710" s="25" t="n">
        <f aca="false">SUMPRODUCT(--(((Effectiveness!$F$5:$F$155&gt;=2)+(Effectiveness!$H$5:$H$155&gt;=2)+(Effectiveness!$O$5:$O$155&gt;=2)+(Effectiveness!$S$5:$S$155&gt;=2))&gt;0))</f>
        <v>96</v>
      </c>
      <c r="K710" s="26" t="n">
        <f aca="false">J710/151</f>
        <v>0.635761589403974</v>
      </c>
      <c r="L710" s="25" t="n">
        <f aca="false">MIN(INDEX('Move Reality'!$F$5:$F$19,MATCH(B710,'Move Reality'!$A$5:$A$19,0)),INDEX('Move Reality'!$F$5:$F$19,MATCH(C710,'Move Reality'!$A$5:$A$19,0)),INDEX('Move Reality'!$F$5:$F$19,MATCH(D710,'Move Reality'!$A$5:$A$19,0)),INDEX('Move Reality'!$F$5:$F$19,MATCH(E710,'Move Reality'!$A$5:$A$19,0)))</f>
        <v>1</v>
      </c>
      <c r="M710" s="28" t="str">
        <f aca="false">IF(L710&gt;=5,"YES","no - dead move")</f>
        <v>no - dead move</v>
      </c>
    </row>
    <row r="711" customFormat="false" ht="15" hidden="false" customHeight="false" outlineLevel="0" collapsed="false">
      <c r="A711" s="17" t="n">
        <v>707</v>
      </c>
      <c r="B711" s="17" t="s">
        <v>41</v>
      </c>
      <c r="C711" s="17" t="s">
        <v>43</v>
      </c>
      <c r="D711" s="17" t="s">
        <v>44</v>
      </c>
      <c r="E711" s="17" t="s">
        <v>52</v>
      </c>
      <c r="F711" s="25" t="n">
        <f aca="false">SUMPRODUCT(--((('Yellow Bosses'!$I$5:$I$53&gt;=2)+('Yellow Bosses'!$K$5:$K$53&gt;=2)+('Yellow Bosses'!$L$5:$L$53&gt;=2)+('Yellow Bosses'!$T$5:$T$53&gt;=2))&gt;0))</f>
        <v>31</v>
      </c>
      <c r="G711" s="26" t="n">
        <f aca="false">F711/49</f>
        <v>0.63265306122449</v>
      </c>
      <c r="H711" s="25" t="n">
        <f aca="false">49-SUMPRODUCT(--((('Yellow Bosses'!$I$5:$I$53&gt;=1)+('Yellow Bosses'!$K$5:$K$53&gt;=1)+('Yellow Bosses'!$L$5:$L$53&gt;=1)+('Yellow Bosses'!$T$5:$T$53&gt;=1))&gt;0))</f>
        <v>0</v>
      </c>
      <c r="I711" s="25" t="n">
        <f aca="false">SUMPRODUCT(--((('Yellow Bosses'!$I$5:$I$53&gt;0)+('Yellow Bosses'!$K$5:$K$53&gt;0)+('Yellow Bosses'!$L$5:$L$53&gt;0)+('Yellow Bosses'!$T$5:$T$53&gt;0))=0))</f>
        <v>0</v>
      </c>
      <c r="J711" s="25" t="n">
        <f aca="false">SUMPRODUCT(--(((Effectiveness!$F$5:$F$155&gt;=2)+(Effectiveness!$H$5:$H$155&gt;=2)+(Effectiveness!$I$5:$I$155&gt;=2)+(Effectiveness!$Q$5:$Q$155&gt;=2))&gt;0))</f>
        <v>95</v>
      </c>
      <c r="K711" s="26" t="n">
        <f aca="false">J711/151</f>
        <v>0.629139072847682</v>
      </c>
      <c r="L711" s="25" t="n">
        <f aca="false">MIN(INDEX('Move Reality'!$F$5:$F$19,MATCH(B711,'Move Reality'!$A$5:$A$19,0)),INDEX('Move Reality'!$F$5:$F$19,MATCH(C711,'Move Reality'!$A$5:$A$19,0)),INDEX('Move Reality'!$F$5:$F$19,MATCH(D711,'Move Reality'!$A$5:$A$19,0)),INDEX('Move Reality'!$F$5:$F$19,MATCH(E711,'Move Reality'!$A$5:$A$19,0)))</f>
        <v>4</v>
      </c>
      <c r="M711" s="28" t="str">
        <f aca="false">IF(L711&gt;=5,"YES","no - dead move")</f>
        <v>no - dead move</v>
      </c>
    </row>
    <row r="712" customFormat="false" ht="15" hidden="false" customHeight="false" outlineLevel="0" collapsed="false">
      <c r="A712" s="17" t="n">
        <v>708</v>
      </c>
      <c r="B712" s="17" t="s">
        <v>40</v>
      </c>
      <c r="C712" s="17" t="s">
        <v>41</v>
      </c>
      <c r="D712" s="17" t="s">
        <v>44</v>
      </c>
      <c r="E712" s="17" t="s">
        <v>52</v>
      </c>
      <c r="F712" s="25" t="n">
        <f aca="false">SUMPRODUCT(--((('Yellow Bosses'!$H$5:$H$53&gt;=2)+('Yellow Bosses'!$I$5:$I$53&gt;=2)+('Yellow Bosses'!$L$5:$L$53&gt;=2)+('Yellow Bosses'!$T$5:$T$53&gt;=2))&gt;0))</f>
        <v>31</v>
      </c>
      <c r="G712" s="26" t="n">
        <f aca="false">F712/49</f>
        <v>0.63265306122449</v>
      </c>
      <c r="H712" s="25" t="n">
        <f aca="false">49-SUMPRODUCT(--((('Yellow Bosses'!$H$5:$H$53&gt;=1)+('Yellow Bosses'!$I$5:$I$53&gt;=1)+('Yellow Bosses'!$L$5:$L$53&gt;=1)+('Yellow Bosses'!$T$5:$T$53&gt;=1))&gt;0))</f>
        <v>0</v>
      </c>
      <c r="I712" s="25" t="n">
        <f aca="false">SUMPRODUCT(--((('Yellow Bosses'!$H$5:$H$53&gt;0)+('Yellow Bosses'!$I$5:$I$53&gt;0)+('Yellow Bosses'!$L$5:$L$53&gt;0)+('Yellow Bosses'!$T$5:$T$53&gt;0))=0))</f>
        <v>0</v>
      </c>
      <c r="J712" s="25" t="n">
        <f aca="false">SUMPRODUCT(--(((Effectiveness!$E$5:$E$155&gt;=2)+(Effectiveness!$F$5:$F$155&gt;=2)+(Effectiveness!$I$5:$I$155&gt;=2)+(Effectiveness!$Q$5:$Q$155&gt;=2))&gt;0))</f>
        <v>93</v>
      </c>
      <c r="K712" s="26" t="n">
        <f aca="false">J712/151</f>
        <v>0.615894039735099</v>
      </c>
      <c r="L712" s="25" t="n">
        <f aca="false">MIN(INDEX('Move Reality'!$F$5:$F$19,MATCH(B712,'Move Reality'!$A$5:$A$19,0)),INDEX('Move Reality'!$F$5:$F$19,MATCH(C712,'Move Reality'!$A$5:$A$19,0)),INDEX('Move Reality'!$F$5:$F$19,MATCH(D712,'Move Reality'!$A$5:$A$19,0)),INDEX('Move Reality'!$F$5:$F$19,MATCH(E712,'Move Reality'!$A$5:$A$19,0)))</f>
        <v>4</v>
      </c>
      <c r="M712" s="28" t="str">
        <f aca="false">IF(L712&gt;=5,"YES","no - dead move")</f>
        <v>no - dead move</v>
      </c>
    </row>
    <row r="713" customFormat="false" ht="15" hidden="false" customHeight="false" outlineLevel="0" collapsed="false">
      <c r="A713" s="17" t="n">
        <v>709</v>
      </c>
      <c r="B713" s="17" t="s">
        <v>41</v>
      </c>
      <c r="C713" s="17" t="s">
        <v>44</v>
      </c>
      <c r="D713" s="17" t="s">
        <v>47</v>
      </c>
      <c r="E713" s="17" t="s">
        <v>52</v>
      </c>
      <c r="F713" s="25" t="n">
        <f aca="false">SUMPRODUCT(--((('Yellow Bosses'!$I$5:$I$53&gt;=2)+('Yellow Bosses'!$L$5:$L$53&gt;=2)+('Yellow Bosses'!$O$5:$O$53&gt;=2)+('Yellow Bosses'!$T$5:$T$53&gt;=2))&gt;0))</f>
        <v>31</v>
      </c>
      <c r="G713" s="26" t="n">
        <f aca="false">F713/49</f>
        <v>0.63265306122449</v>
      </c>
      <c r="H713" s="25" t="n">
        <f aca="false">49-SUMPRODUCT(--((('Yellow Bosses'!$I$5:$I$53&gt;=1)+('Yellow Bosses'!$L$5:$L$53&gt;=1)+('Yellow Bosses'!$O$5:$O$53&gt;=1)+('Yellow Bosses'!$T$5:$T$53&gt;=1))&gt;0))</f>
        <v>0</v>
      </c>
      <c r="I713" s="25" t="n">
        <f aca="false">SUMPRODUCT(--((('Yellow Bosses'!$I$5:$I$53&gt;0)+('Yellow Bosses'!$L$5:$L$53&gt;0)+('Yellow Bosses'!$O$5:$O$53&gt;0)+('Yellow Bosses'!$T$5:$T$53&gt;0))=0))</f>
        <v>0</v>
      </c>
      <c r="J713" s="25" t="n">
        <f aca="false">SUMPRODUCT(--(((Effectiveness!$F$5:$F$155&gt;=2)+(Effectiveness!$I$5:$I$155&gt;=2)+(Effectiveness!$L$5:$L$155&gt;=2)+(Effectiveness!$Q$5:$Q$155&gt;=2))&gt;0))</f>
        <v>93</v>
      </c>
      <c r="K713" s="26" t="n">
        <f aca="false">J713/151</f>
        <v>0.615894039735099</v>
      </c>
      <c r="L713" s="25" t="n">
        <f aca="false">MIN(INDEX('Move Reality'!$F$5:$F$19,MATCH(B713,'Move Reality'!$A$5:$A$19,0)),INDEX('Move Reality'!$F$5:$F$19,MATCH(C713,'Move Reality'!$A$5:$A$19,0)),INDEX('Move Reality'!$F$5:$F$19,MATCH(D713,'Move Reality'!$A$5:$A$19,0)),INDEX('Move Reality'!$F$5:$F$19,MATCH(E713,'Move Reality'!$A$5:$A$19,0)))</f>
        <v>2</v>
      </c>
      <c r="M713" s="28" t="str">
        <f aca="false">IF(L713&gt;=5,"YES","no - dead move")</f>
        <v>no - dead move</v>
      </c>
    </row>
    <row r="714" customFormat="false" ht="15" hidden="false" customHeight="false" outlineLevel="0" collapsed="false">
      <c r="A714" s="17" t="n">
        <v>710</v>
      </c>
      <c r="B714" s="17" t="s">
        <v>43</v>
      </c>
      <c r="C714" s="17" t="s">
        <v>44</v>
      </c>
      <c r="D714" s="17" t="s">
        <v>49</v>
      </c>
      <c r="E714" s="17" t="s">
        <v>53</v>
      </c>
      <c r="F714" s="25" t="n">
        <f aca="false">SUMPRODUCT(--((('Yellow Bosses'!$K$5:$K$53&gt;=2)+('Yellow Bosses'!$L$5:$L$53&gt;=2)+('Yellow Bosses'!$Q$5:$Q$53&gt;=2)+('Yellow Bosses'!$U$5:$U$53&gt;=2))&gt;0))</f>
        <v>31</v>
      </c>
      <c r="G714" s="26" t="n">
        <f aca="false">F714/49</f>
        <v>0.63265306122449</v>
      </c>
      <c r="H714" s="25" t="n">
        <f aca="false">49-SUMPRODUCT(--((('Yellow Bosses'!$K$5:$K$53&gt;=1)+('Yellow Bosses'!$L$5:$L$53&gt;=1)+('Yellow Bosses'!$Q$5:$Q$53&gt;=1)+('Yellow Bosses'!$U$5:$U$53&gt;=1))&gt;0))</f>
        <v>0</v>
      </c>
      <c r="I714" s="25" t="n">
        <f aca="false">SUMPRODUCT(--((('Yellow Bosses'!$K$5:$K$53&gt;0)+('Yellow Bosses'!$L$5:$L$53&gt;0)+('Yellow Bosses'!$Q$5:$Q$53&gt;0)+('Yellow Bosses'!$U$5:$U$53&gt;0))=0))</f>
        <v>0</v>
      </c>
      <c r="J714" s="25" t="n">
        <f aca="false">SUMPRODUCT(--(((Effectiveness!$H$5:$H$155&gt;=2)+(Effectiveness!$I$5:$I$155&gt;=2)+(Effectiveness!$N$5:$N$155&gt;=2)+(Effectiveness!$R$5:$R$155&gt;=2))&gt;0))</f>
        <v>92</v>
      </c>
      <c r="K714" s="26" t="n">
        <f aca="false">J714/151</f>
        <v>0.609271523178808</v>
      </c>
      <c r="L714" s="25" t="n">
        <f aca="false">MIN(INDEX('Move Reality'!$F$5:$F$19,MATCH(B714,'Move Reality'!$A$5:$A$19,0)),INDEX('Move Reality'!$F$5:$F$19,MATCH(C714,'Move Reality'!$A$5:$A$19,0)),INDEX('Move Reality'!$F$5:$F$19,MATCH(D714,'Move Reality'!$A$5:$A$19,0)),INDEX('Move Reality'!$F$5:$F$19,MATCH(E714,'Move Reality'!$A$5:$A$19,0)))</f>
        <v>1</v>
      </c>
      <c r="M714" s="28" t="str">
        <f aca="false">IF(L714&gt;=5,"YES","no - dead move")</f>
        <v>no - dead move</v>
      </c>
    </row>
    <row r="715" customFormat="false" ht="15" hidden="false" customHeight="false" outlineLevel="0" collapsed="false">
      <c r="A715" s="17" t="n">
        <v>711</v>
      </c>
      <c r="B715" s="17" t="s">
        <v>43</v>
      </c>
      <c r="C715" s="17" t="s">
        <v>44</v>
      </c>
      <c r="D715" s="17" t="s">
        <v>49</v>
      </c>
      <c r="E715" s="17" t="s">
        <v>54</v>
      </c>
      <c r="F715" s="25" t="n">
        <f aca="false">SUMPRODUCT(--((('Yellow Bosses'!$K$5:$K$53&gt;=2)+('Yellow Bosses'!$L$5:$L$53&gt;=2)+('Yellow Bosses'!$Q$5:$Q$53&gt;=2)+('Yellow Bosses'!$V$5:$V$53&gt;=2))&gt;0))</f>
        <v>31</v>
      </c>
      <c r="G715" s="26" t="n">
        <f aca="false">F715/49</f>
        <v>0.63265306122449</v>
      </c>
      <c r="H715" s="25" t="n">
        <f aca="false">49-SUMPRODUCT(--((('Yellow Bosses'!$K$5:$K$53&gt;=1)+('Yellow Bosses'!$L$5:$L$53&gt;=1)+('Yellow Bosses'!$Q$5:$Q$53&gt;=1)+('Yellow Bosses'!$V$5:$V$53&gt;=1))&gt;0))</f>
        <v>0</v>
      </c>
      <c r="I715" s="25" t="n">
        <f aca="false">SUMPRODUCT(--((('Yellow Bosses'!$K$5:$K$53&gt;0)+('Yellow Bosses'!$L$5:$L$53&gt;0)+('Yellow Bosses'!$Q$5:$Q$53&gt;0)+('Yellow Bosses'!$V$5:$V$53&gt;0))=0))</f>
        <v>0</v>
      </c>
      <c r="J715" s="25" t="n">
        <f aca="false">SUMPRODUCT(--(((Effectiveness!$H$5:$H$155&gt;=2)+(Effectiveness!$I$5:$I$155&gt;=2)+(Effectiveness!$N$5:$N$155&gt;=2)+(Effectiveness!$S$5:$S$155&gt;=2))&gt;0))</f>
        <v>92</v>
      </c>
      <c r="K715" s="26" t="n">
        <f aca="false">J715/151</f>
        <v>0.609271523178808</v>
      </c>
      <c r="L715" s="25" t="n">
        <f aca="false">MIN(INDEX('Move Reality'!$F$5:$F$19,MATCH(B715,'Move Reality'!$A$5:$A$19,0)),INDEX('Move Reality'!$F$5:$F$19,MATCH(C715,'Move Reality'!$A$5:$A$19,0)),INDEX('Move Reality'!$F$5:$F$19,MATCH(D715,'Move Reality'!$A$5:$A$19,0)),INDEX('Move Reality'!$F$5:$F$19,MATCH(E715,'Move Reality'!$A$5:$A$19,0)))</f>
        <v>1</v>
      </c>
      <c r="M715" s="28" t="str">
        <f aca="false">IF(L715&gt;=5,"YES","no - dead move")</f>
        <v>no - dead move</v>
      </c>
    </row>
    <row r="716" customFormat="false" ht="15" hidden="false" customHeight="false" outlineLevel="0" collapsed="false">
      <c r="A716" s="17" t="n">
        <v>712</v>
      </c>
      <c r="B716" s="17" t="s">
        <v>46</v>
      </c>
      <c r="C716" s="17" t="s">
        <v>49</v>
      </c>
      <c r="D716" s="17" t="s">
        <v>52</v>
      </c>
      <c r="E716" s="17" t="s">
        <v>54</v>
      </c>
      <c r="F716" s="25" t="n">
        <f aca="false">SUMPRODUCT(--((('Yellow Bosses'!$N$5:$N$53&gt;=2)+('Yellow Bosses'!$Q$5:$Q$53&gt;=2)+('Yellow Bosses'!$T$5:$T$53&gt;=2)+('Yellow Bosses'!$V$5:$V$53&gt;=2))&gt;0))</f>
        <v>31</v>
      </c>
      <c r="G716" s="26" t="n">
        <f aca="false">F716/49</f>
        <v>0.63265306122449</v>
      </c>
      <c r="H716" s="25" t="n">
        <f aca="false">49-SUMPRODUCT(--((('Yellow Bosses'!$N$5:$N$53&gt;=1)+('Yellow Bosses'!$Q$5:$Q$53&gt;=1)+('Yellow Bosses'!$T$5:$T$53&gt;=1)+('Yellow Bosses'!$V$5:$V$53&gt;=1))&gt;0))</f>
        <v>0</v>
      </c>
      <c r="I716" s="25" t="n">
        <f aca="false">SUMPRODUCT(--((('Yellow Bosses'!$N$5:$N$53&gt;0)+('Yellow Bosses'!$Q$5:$Q$53&gt;0)+('Yellow Bosses'!$T$5:$T$53&gt;0)+('Yellow Bosses'!$V$5:$V$53&gt;0))=0))</f>
        <v>0</v>
      </c>
      <c r="J716" s="25" t="n">
        <f aca="false">SUMPRODUCT(--(((Effectiveness!$K$5:$K$155&gt;=2)+(Effectiveness!$N$5:$N$155&gt;=2)+(Effectiveness!$Q$5:$Q$155&gt;=2)+(Effectiveness!$S$5:$S$155&gt;=2))&gt;0))</f>
        <v>91</v>
      </c>
      <c r="K716" s="26" t="n">
        <f aca="false">J716/151</f>
        <v>0.602649006622517</v>
      </c>
      <c r="L716" s="25" t="n">
        <f aca="false">MIN(INDEX('Move Reality'!$F$5:$F$19,MATCH(B716,'Move Reality'!$A$5:$A$19,0)),INDEX('Move Reality'!$F$5:$F$19,MATCH(C716,'Move Reality'!$A$5:$A$19,0)),INDEX('Move Reality'!$F$5:$F$19,MATCH(D716,'Move Reality'!$A$5:$A$19,0)),INDEX('Move Reality'!$F$5:$F$19,MATCH(E716,'Move Reality'!$A$5:$A$19,0)))</f>
        <v>1</v>
      </c>
      <c r="M716" s="28" t="str">
        <f aca="false">IF(L716&gt;=5,"YES","no - dead move")</f>
        <v>no - dead move</v>
      </c>
    </row>
    <row r="717" customFormat="false" ht="15" hidden="false" customHeight="false" outlineLevel="0" collapsed="false">
      <c r="A717" s="17" t="n">
        <v>713</v>
      </c>
      <c r="B717" s="17" t="s">
        <v>41</v>
      </c>
      <c r="C717" s="17" t="s">
        <v>42</v>
      </c>
      <c r="D717" s="17" t="s">
        <v>45</v>
      </c>
      <c r="E717" s="17" t="s">
        <v>46</v>
      </c>
      <c r="F717" s="25" t="n">
        <f aca="false">SUMPRODUCT(--((('Yellow Bosses'!$I$5:$I$53&gt;=2)+('Yellow Bosses'!$J$5:$J$53&gt;=2)+('Yellow Bosses'!$M$5:$M$53&gt;=2)+('Yellow Bosses'!$N$5:$N$53&gt;=2))&gt;0))</f>
        <v>31</v>
      </c>
      <c r="G717" s="26" t="n">
        <f aca="false">F717/49</f>
        <v>0.63265306122449</v>
      </c>
      <c r="H717" s="25" t="n">
        <f aca="false">49-SUMPRODUCT(--((('Yellow Bosses'!$I$5:$I$53&gt;=1)+('Yellow Bosses'!$J$5:$J$53&gt;=1)+('Yellow Bosses'!$M$5:$M$53&gt;=1)+('Yellow Bosses'!$N$5:$N$53&gt;=1))&gt;0))</f>
        <v>2</v>
      </c>
      <c r="I717" s="25" t="n">
        <f aca="false">SUMPRODUCT(--((('Yellow Bosses'!$I$5:$I$53&gt;0)+('Yellow Bosses'!$J$5:$J$53&gt;0)+('Yellow Bosses'!$M$5:$M$53&gt;0)+('Yellow Bosses'!$N$5:$N$53&gt;0))=0))</f>
        <v>0</v>
      </c>
      <c r="J717" s="25" t="n">
        <f aca="false">SUMPRODUCT(--(((Effectiveness!$F$5:$F$155&gt;=2)+(Effectiveness!$G$5:$G$155&gt;=2)+(Effectiveness!$J$5:$J$155&gt;=2)+(Effectiveness!$K$5:$K$155&gt;=2))&gt;0))</f>
        <v>90</v>
      </c>
      <c r="K717" s="26" t="n">
        <f aca="false">J717/151</f>
        <v>0.596026490066225</v>
      </c>
      <c r="L717" s="25" t="n">
        <f aca="false">MIN(INDEX('Move Reality'!$F$5:$F$19,MATCH(B717,'Move Reality'!$A$5:$A$19,0)),INDEX('Move Reality'!$F$5:$F$19,MATCH(C717,'Move Reality'!$A$5:$A$19,0)),INDEX('Move Reality'!$F$5:$F$19,MATCH(D717,'Move Reality'!$A$5:$A$19,0)),INDEX('Move Reality'!$F$5:$F$19,MATCH(E717,'Move Reality'!$A$5:$A$19,0)))</f>
        <v>5</v>
      </c>
      <c r="M717" s="28" t="str">
        <f aca="false">IF(L717&gt;=5,"YES","no - dead move")</f>
        <v>YES</v>
      </c>
    </row>
    <row r="718" customFormat="false" ht="15" hidden="false" customHeight="false" outlineLevel="0" collapsed="false">
      <c r="A718" s="17" t="n">
        <v>714</v>
      </c>
      <c r="B718" s="17" t="s">
        <v>40</v>
      </c>
      <c r="C718" s="17" t="s">
        <v>41</v>
      </c>
      <c r="D718" s="17" t="s">
        <v>43</v>
      </c>
      <c r="E718" s="17" t="s">
        <v>45</v>
      </c>
      <c r="F718" s="25" t="n">
        <f aca="false">SUMPRODUCT(--((('Yellow Bosses'!$H$5:$H$53&gt;=2)+('Yellow Bosses'!$I$5:$I$53&gt;=2)+('Yellow Bosses'!$K$5:$K$53&gt;=2)+('Yellow Bosses'!$M$5:$M$53&gt;=2))&gt;0))</f>
        <v>31</v>
      </c>
      <c r="G718" s="26" t="n">
        <f aca="false">F718/49</f>
        <v>0.63265306122449</v>
      </c>
      <c r="H718" s="25" t="n">
        <f aca="false">49-SUMPRODUCT(--((('Yellow Bosses'!$H$5:$H$53&gt;=1)+('Yellow Bosses'!$I$5:$I$53&gt;=1)+('Yellow Bosses'!$K$5:$K$53&gt;=1)+('Yellow Bosses'!$M$5:$M$53&gt;=1))&gt;0))</f>
        <v>0</v>
      </c>
      <c r="I718" s="25" t="n">
        <f aca="false">SUMPRODUCT(--((('Yellow Bosses'!$H$5:$H$53&gt;0)+('Yellow Bosses'!$I$5:$I$53&gt;0)+('Yellow Bosses'!$K$5:$K$53&gt;0)+('Yellow Bosses'!$M$5:$M$53&gt;0))=0))</f>
        <v>0</v>
      </c>
      <c r="J718" s="25" t="n">
        <f aca="false">SUMPRODUCT(--(((Effectiveness!$E$5:$E$155&gt;=2)+(Effectiveness!$F$5:$F$155&gt;=2)+(Effectiveness!$H$5:$H$155&gt;=2)+(Effectiveness!$J$5:$J$155&gt;=2))&gt;0))</f>
        <v>89</v>
      </c>
      <c r="K718" s="26" t="n">
        <f aca="false">J718/151</f>
        <v>0.589403973509934</v>
      </c>
      <c r="L718" s="25" t="n">
        <f aca="false">MIN(INDEX('Move Reality'!$F$5:$F$19,MATCH(B718,'Move Reality'!$A$5:$A$19,0)),INDEX('Move Reality'!$F$5:$F$19,MATCH(C718,'Move Reality'!$A$5:$A$19,0)),INDEX('Move Reality'!$F$5:$F$19,MATCH(D718,'Move Reality'!$A$5:$A$19,0)),INDEX('Move Reality'!$F$5:$F$19,MATCH(E718,'Move Reality'!$A$5:$A$19,0)))</f>
        <v>7</v>
      </c>
      <c r="M718" s="28" t="str">
        <f aca="false">IF(L718&gt;=5,"YES","no - dead move")</f>
        <v>YES</v>
      </c>
    </row>
    <row r="719" customFormat="false" ht="15" hidden="false" customHeight="false" outlineLevel="0" collapsed="false">
      <c r="A719" s="17" t="n">
        <v>715</v>
      </c>
      <c r="B719" s="17" t="s">
        <v>41</v>
      </c>
      <c r="C719" s="17" t="s">
        <v>43</v>
      </c>
      <c r="D719" s="17" t="s">
        <v>44</v>
      </c>
      <c r="E719" s="17" t="s">
        <v>45</v>
      </c>
      <c r="F719" s="25" t="n">
        <f aca="false">SUMPRODUCT(--((('Yellow Bosses'!$I$5:$I$53&gt;=2)+('Yellow Bosses'!$K$5:$K$53&gt;=2)+('Yellow Bosses'!$L$5:$L$53&gt;=2)+('Yellow Bosses'!$M$5:$M$53&gt;=2))&gt;0))</f>
        <v>31</v>
      </c>
      <c r="G719" s="26" t="n">
        <f aca="false">F719/49</f>
        <v>0.63265306122449</v>
      </c>
      <c r="H719" s="25" t="n">
        <f aca="false">49-SUMPRODUCT(--((('Yellow Bosses'!$I$5:$I$53&gt;=1)+('Yellow Bosses'!$K$5:$K$53&gt;=1)+('Yellow Bosses'!$L$5:$L$53&gt;=1)+('Yellow Bosses'!$M$5:$M$53&gt;=1))&gt;0))</f>
        <v>0</v>
      </c>
      <c r="I719" s="25" t="n">
        <f aca="false">SUMPRODUCT(--((('Yellow Bosses'!$I$5:$I$53&gt;0)+('Yellow Bosses'!$K$5:$K$53&gt;0)+('Yellow Bosses'!$L$5:$L$53&gt;0)+('Yellow Bosses'!$M$5:$M$53&gt;0))=0))</f>
        <v>0</v>
      </c>
      <c r="J719" s="25" t="n">
        <f aca="false">SUMPRODUCT(--(((Effectiveness!$F$5:$F$155&gt;=2)+(Effectiveness!$H$5:$H$155&gt;=2)+(Effectiveness!$I$5:$I$155&gt;=2)+(Effectiveness!$J$5:$J$155&gt;=2))&gt;0))</f>
        <v>89</v>
      </c>
      <c r="K719" s="26" t="n">
        <f aca="false">J719/151</f>
        <v>0.589403973509934</v>
      </c>
      <c r="L719" s="25" t="n">
        <f aca="false">MIN(INDEX('Move Reality'!$F$5:$F$19,MATCH(B719,'Move Reality'!$A$5:$A$19,0)),INDEX('Move Reality'!$F$5:$F$19,MATCH(C719,'Move Reality'!$A$5:$A$19,0)),INDEX('Move Reality'!$F$5:$F$19,MATCH(D719,'Move Reality'!$A$5:$A$19,0)),INDEX('Move Reality'!$F$5:$F$19,MATCH(E719,'Move Reality'!$A$5:$A$19,0)))</f>
        <v>4</v>
      </c>
      <c r="M719" s="28" t="str">
        <f aca="false">IF(L719&gt;=5,"YES","no - dead move")</f>
        <v>no - dead move</v>
      </c>
    </row>
    <row r="720" customFormat="false" ht="15" hidden="false" customHeight="false" outlineLevel="0" collapsed="false">
      <c r="A720" s="17" t="n">
        <v>716</v>
      </c>
      <c r="B720" s="17" t="s">
        <v>41</v>
      </c>
      <c r="C720" s="17" t="s">
        <v>43</v>
      </c>
      <c r="D720" s="17" t="s">
        <v>45</v>
      </c>
      <c r="E720" s="17" t="s">
        <v>47</v>
      </c>
      <c r="F720" s="25" t="n">
        <f aca="false">SUMPRODUCT(--((('Yellow Bosses'!$I$5:$I$53&gt;=2)+('Yellow Bosses'!$K$5:$K$53&gt;=2)+('Yellow Bosses'!$M$5:$M$53&gt;=2)+('Yellow Bosses'!$O$5:$O$53&gt;=2))&gt;0))</f>
        <v>31</v>
      </c>
      <c r="G720" s="26" t="n">
        <f aca="false">F720/49</f>
        <v>0.63265306122449</v>
      </c>
      <c r="H720" s="25" t="n">
        <f aca="false">49-SUMPRODUCT(--((('Yellow Bosses'!$I$5:$I$53&gt;=1)+('Yellow Bosses'!$K$5:$K$53&gt;=1)+('Yellow Bosses'!$M$5:$M$53&gt;=1)+('Yellow Bosses'!$O$5:$O$53&gt;=1))&gt;0))</f>
        <v>0</v>
      </c>
      <c r="I720" s="25" t="n">
        <f aca="false">SUMPRODUCT(--((('Yellow Bosses'!$I$5:$I$53&gt;0)+('Yellow Bosses'!$K$5:$K$53&gt;0)+('Yellow Bosses'!$M$5:$M$53&gt;0)+('Yellow Bosses'!$O$5:$O$53&gt;0))=0))</f>
        <v>0</v>
      </c>
      <c r="J720" s="25" t="n">
        <f aca="false">SUMPRODUCT(--(((Effectiveness!$F$5:$F$155&gt;=2)+(Effectiveness!$H$5:$H$155&gt;=2)+(Effectiveness!$J$5:$J$155&gt;=2)+(Effectiveness!$L$5:$L$155&gt;=2))&gt;0))</f>
        <v>89</v>
      </c>
      <c r="K720" s="26" t="n">
        <f aca="false">J720/151</f>
        <v>0.589403973509934</v>
      </c>
      <c r="L720" s="25" t="n">
        <f aca="false">MIN(INDEX('Move Reality'!$F$5:$F$19,MATCH(B720,'Move Reality'!$A$5:$A$19,0)),INDEX('Move Reality'!$F$5:$F$19,MATCH(C720,'Move Reality'!$A$5:$A$19,0)),INDEX('Move Reality'!$F$5:$F$19,MATCH(D720,'Move Reality'!$A$5:$A$19,0)),INDEX('Move Reality'!$F$5:$F$19,MATCH(E720,'Move Reality'!$A$5:$A$19,0)))</f>
        <v>2</v>
      </c>
      <c r="M720" s="28" t="str">
        <f aca="false">IF(L720&gt;=5,"YES","no - dead move")</f>
        <v>no - dead move</v>
      </c>
    </row>
    <row r="721" customFormat="false" ht="15" hidden="false" customHeight="false" outlineLevel="0" collapsed="false">
      <c r="A721" s="17" t="n">
        <v>717</v>
      </c>
      <c r="B721" s="17" t="s">
        <v>41</v>
      </c>
      <c r="C721" s="17" t="s">
        <v>43</v>
      </c>
      <c r="D721" s="17" t="s">
        <v>45</v>
      </c>
      <c r="E721" s="17" t="s">
        <v>54</v>
      </c>
      <c r="F721" s="25" t="n">
        <f aca="false">SUMPRODUCT(--((('Yellow Bosses'!$I$5:$I$53&gt;=2)+('Yellow Bosses'!$K$5:$K$53&gt;=2)+('Yellow Bosses'!$M$5:$M$53&gt;=2)+('Yellow Bosses'!$V$5:$V$53&gt;=2))&gt;0))</f>
        <v>31</v>
      </c>
      <c r="G721" s="26" t="n">
        <f aca="false">F721/49</f>
        <v>0.63265306122449</v>
      </c>
      <c r="H721" s="25" t="n">
        <f aca="false">49-SUMPRODUCT(--((('Yellow Bosses'!$I$5:$I$53&gt;=1)+('Yellow Bosses'!$K$5:$K$53&gt;=1)+('Yellow Bosses'!$M$5:$M$53&gt;=1)+('Yellow Bosses'!$V$5:$V$53&gt;=1))&gt;0))</f>
        <v>0</v>
      </c>
      <c r="I721" s="25" t="n">
        <f aca="false">SUMPRODUCT(--((('Yellow Bosses'!$I$5:$I$53&gt;0)+('Yellow Bosses'!$K$5:$K$53&gt;0)+('Yellow Bosses'!$M$5:$M$53&gt;0)+('Yellow Bosses'!$V$5:$V$53&gt;0))=0))</f>
        <v>0</v>
      </c>
      <c r="J721" s="25" t="n">
        <f aca="false">SUMPRODUCT(--(((Effectiveness!$F$5:$F$155&gt;=2)+(Effectiveness!$H$5:$H$155&gt;=2)+(Effectiveness!$J$5:$J$155&gt;=2)+(Effectiveness!$S$5:$S$155&gt;=2))&gt;0))</f>
        <v>89</v>
      </c>
      <c r="K721" s="26" t="n">
        <f aca="false">J721/151</f>
        <v>0.589403973509934</v>
      </c>
      <c r="L721" s="25" t="n">
        <f aca="false">MIN(INDEX('Move Reality'!$F$5:$F$19,MATCH(B721,'Move Reality'!$A$5:$A$19,0)),INDEX('Move Reality'!$F$5:$F$19,MATCH(C721,'Move Reality'!$A$5:$A$19,0)),INDEX('Move Reality'!$F$5:$F$19,MATCH(D721,'Move Reality'!$A$5:$A$19,0)),INDEX('Move Reality'!$F$5:$F$19,MATCH(E721,'Move Reality'!$A$5:$A$19,0)))</f>
        <v>1</v>
      </c>
      <c r="M721" s="28" t="str">
        <f aca="false">IF(L721&gt;=5,"YES","no - dead move")</f>
        <v>no - dead move</v>
      </c>
    </row>
    <row r="722" customFormat="false" ht="15" hidden="false" customHeight="false" outlineLevel="0" collapsed="false">
      <c r="A722" s="17" t="n">
        <v>718</v>
      </c>
      <c r="B722" s="17" t="s">
        <v>44</v>
      </c>
      <c r="C722" s="17" t="s">
        <v>47</v>
      </c>
      <c r="D722" s="17" t="s">
        <v>48</v>
      </c>
      <c r="E722" s="17" t="s">
        <v>54</v>
      </c>
      <c r="F722" s="25" t="n">
        <f aca="false">SUMPRODUCT(--((('Yellow Bosses'!$L$5:$L$53&gt;=2)+('Yellow Bosses'!$O$5:$O$53&gt;=2)+('Yellow Bosses'!$P$5:$P$53&gt;=2)+('Yellow Bosses'!$V$5:$V$53&gt;=2))&gt;0))</f>
        <v>31</v>
      </c>
      <c r="G722" s="26" t="n">
        <f aca="false">F722/49</f>
        <v>0.63265306122449</v>
      </c>
      <c r="H722" s="25" t="n">
        <f aca="false">49-SUMPRODUCT(--((('Yellow Bosses'!$L$5:$L$53&gt;=1)+('Yellow Bosses'!$O$5:$O$53&gt;=1)+('Yellow Bosses'!$P$5:$P$53&gt;=1)+('Yellow Bosses'!$V$5:$V$53&gt;=1))&gt;0))</f>
        <v>0</v>
      </c>
      <c r="I722" s="25" t="n">
        <f aca="false">SUMPRODUCT(--((('Yellow Bosses'!$L$5:$L$53&gt;0)+('Yellow Bosses'!$O$5:$O$53&gt;0)+('Yellow Bosses'!$P$5:$P$53&gt;0)+('Yellow Bosses'!$V$5:$V$53&gt;0))=0))</f>
        <v>0</v>
      </c>
      <c r="J722" s="25" t="n">
        <f aca="false">SUMPRODUCT(--(((Effectiveness!$I$5:$I$155&gt;=2)+(Effectiveness!$L$5:$L$155&gt;=2)+(Effectiveness!$M$5:$M$155&gt;=2)+(Effectiveness!$S$5:$S$155&gt;=2))&gt;0))</f>
        <v>89</v>
      </c>
      <c r="K722" s="26" t="n">
        <f aca="false">J722/151</f>
        <v>0.589403973509934</v>
      </c>
      <c r="L722" s="25" t="n">
        <f aca="false">MIN(INDEX('Move Reality'!$F$5:$F$19,MATCH(B722,'Move Reality'!$A$5:$A$19,0)),INDEX('Move Reality'!$F$5:$F$19,MATCH(C722,'Move Reality'!$A$5:$A$19,0)),INDEX('Move Reality'!$F$5:$F$19,MATCH(D722,'Move Reality'!$A$5:$A$19,0)),INDEX('Move Reality'!$F$5:$F$19,MATCH(E722,'Move Reality'!$A$5:$A$19,0)))</f>
        <v>1</v>
      </c>
      <c r="M722" s="28" t="str">
        <f aca="false">IF(L722&gt;=5,"YES","no - dead move")</f>
        <v>no - dead move</v>
      </c>
    </row>
    <row r="723" customFormat="false" ht="15" hidden="false" customHeight="false" outlineLevel="0" collapsed="false">
      <c r="A723" s="17" t="n">
        <v>719</v>
      </c>
      <c r="B723" s="17" t="s">
        <v>40</v>
      </c>
      <c r="C723" s="17" t="s">
        <v>46</v>
      </c>
      <c r="D723" s="17" t="s">
        <v>48</v>
      </c>
      <c r="E723" s="17" t="s">
        <v>50</v>
      </c>
      <c r="F723" s="25" t="n">
        <f aca="false">SUMPRODUCT(--((('Yellow Bosses'!$H$5:$H$53&gt;=2)+('Yellow Bosses'!$N$5:$N$53&gt;=2)+('Yellow Bosses'!$P$5:$P$53&gt;=2)+('Yellow Bosses'!$R$5:$R$53&gt;=2))&gt;0))</f>
        <v>31</v>
      </c>
      <c r="G723" s="26" t="n">
        <f aca="false">F723/49</f>
        <v>0.63265306122449</v>
      </c>
      <c r="H723" s="25" t="n">
        <f aca="false">49-SUMPRODUCT(--((('Yellow Bosses'!$H$5:$H$53&gt;=1)+('Yellow Bosses'!$N$5:$N$53&gt;=1)+('Yellow Bosses'!$P$5:$P$53&gt;=1)+('Yellow Bosses'!$R$5:$R$53&gt;=1))&gt;0))</f>
        <v>0</v>
      </c>
      <c r="I723" s="25" t="n">
        <f aca="false">SUMPRODUCT(--((('Yellow Bosses'!$H$5:$H$53&gt;0)+('Yellow Bosses'!$N$5:$N$53&gt;0)+('Yellow Bosses'!$P$5:$P$53&gt;0)+('Yellow Bosses'!$R$5:$R$53&gt;0))=0))</f>
        <v>0</v>
      </c>
      <c r="J723" s="25" t="n">
        <f aca="false">SUMPRODUCT(--(((Effectiveness!$E$5:$E$155&gt;=2)+(Effectiveness!$K$5:$K$155&gt;=2)+(Effectiveness!$M$5:$M$155&gt;=2)+(Effectiveness!$O$5:$O$155&gt;=2))&gt;0))</f>
        <v>88</v>
      </c>
      <c r="K723" s="26" t="n">
        <f aca="false">J723/151</f>
        <v>0.582781456953642</v>
      </c>
      <c r="L723" s="25" t="n">
        <f aca="false">MIN(INDEX('Move Reality'!$F$5:$F$19,MATCH(B723,'Move Reality'!$A$5:$A$19,0)),INDEX('Move Reality'!$F$5:$F$19,MATCH(C723,'Move Reality'!$A$5:$A$19,0)),INDEX('Move Reality'!$F$5:$F$19,MATCH(D723,'Move Reality'!$A$5:$A$19,0)),INDEX('Move Reality'!$F$5:$F$19,MATCH(E723,'Move Reality'!$A$5:$A$19,0)))</f>
        <v>5</v>
      </c>
      <c r="M723" s="28" t="str">
        <f aca="false">IF(L723&gt;=5,"YES","no - dead move")</f>
        <v>YES</v>
      </c>
    </row>
    <row r="724" customFormat="false" ht="15" hidden="false" customHeight="false" outlineLevel="0" collapsed="false">
      <c r="A724" s="17" t="n">
        <v>720</v>
      </c>
      <c r="B724" s="17" t="s">
        <v>42</v>
      </c>
      <c r="C724" s="17" t="s">
        <v>43</v>
      </c>
      <c r="D724" s="17" t="s">
        <v>47</v>
      </c>
      <c r="E724" s="17" t="s">
        <v>52</v>
      </c>
      <c r="F724" s="25" t="n">
        <f aca="false">SUMPRODUCT(--((('Yellow Bosses'!$J$5:$J$53&gt;=2)+('Yellow Bosses'!$K$5:$K$53&gt;=2)+('Yellow Bosses'!$O$5:$O$53&gt;=2)+('Yellow Bosses'!$T$5:$T$53&gt;=2))&gt;0))</f>
        <v>31</v>
      </c>
      <c r="G724" s="26" t="n">
        <f aca="false">F724/49</f>
        <v>0.63265306122449</v>
      </c>
      <c r="H724" s="25" t="n">
        <f aca="false">49-SUMPRODUCT(--((('Yellow Bosses'!$J$5:$J$53&gt;=1)+('Yellow Bosses'!$K$5:$K$53&gt;=1)+('Yellow Bosses'!$O$5:$O$53&gt;=1)+('Yellow Bosses'!$T$5:$T$53&gt;=1))&gt;0))</f>
        <v>0</v>
      </c>
      <c r="I724" s="25" t="n">
        <f aca="false">SUMPRODUCT(--((('Yellow Bosses'!$J$5:$J$53&gt;0)+('Yellow Bosses'!$K$5:$K$53&gt;0)+('Yellow Bosses'!$O$5:$O$53&gt;0)+('Yellow Bosses'!$T$5:$T$53&gt;0))=0))</f>
        <v>0</v>
      </c>
      <c r="J724" s="25" t="n">
        <f aca="false">SUMPRODUCT(--(((Effectiveness!$G$5:$G$155&gt;=2)+(Effectiveness!$H$5:$H$155&gt;=2)+(Effectiveness!$L$5:$L$155&gt;=2)+(Effectiveness!$Q$5:$Q$155&gt;=2))&gt;0))</f>
        <v>88</v>
      </c>
      <c r="K724" s="26" t="n">
        <f aca="false">J724/151</f>
        <v>0.582781456953642</v>
      </c>
      <c r="L724" s="25" t="n">
        <f aca="false">MIN(INDEX('Move Reality'!$F$5:$F$19,MATCH(B724,'Move Reality'!$A$5:$A$19,0)),INDEX('Move Reality'!$F$5:$F$19,MATCH(C724,'Move Reality'!$A$5:$A$19,0)),INDEX('Move Reality'!$F$5:$F$19,MATCH(D724,'Move Reality'!$A$5:$A$19,0)),INDEX('Move Reality'!$F$5:$F$19,MATCH(E724,'Move Reality'!$A$5:$A$19,0)))</f>
        <v>2</v>
      </c>
      <c r="M724" s="28" t="str">
        <f aca="false">IF(L724&gt;=5,"YES","no - dead move")</f>
        <v>no - dead move</v>
      </c>
    </row>
    <row r="725" customFormat="false" ht="15" hidden="false" customHeight="false" outlineLevel="0" collapsed="false">
      <c r="A725" s="17" t="n">
        <v>721</v>
      </c>
      <c r="B725" s="17" t="s">
        <v>46</v>
      </c>
      <c r="C725" s="17" t="s">
        <v>48</v>
      </c>
      <c r="D725" s="17" t="s">
        <v>50</v>
      </c>
      <c r="E725" s="17" t="s">
        <v>53</v>
      </c>
      <c r="F725" s="25" t="n">
        <f aca="false">SUMPRODUCT(--((('Yellow Bosses'!$N$5:$N$53&gt;=2)+('Yellow Bosses'!$P$5:$P$53&gt;=2)+('Yellow Bosses'!$R$5:$R$53&gt;=2)+('Yellow Bosses'!$U$5:$U$53&gt;=2))&gt;0))</f>
        <v>31</v>
      </c>
      <c r="G725" s="26" t="n">
        <f aca="false">F725/49</f>
        <v>0.63265306122449</v>
      </c>
      <c r="H725" s="25" t="n">
        <f aca="false">49-SUMPRODUCT(--((('Yellow Bosses'!$N$5:$N$53&gt;=1)+('Yellow Bosses'!$P$5:$P$53&gt;=1)+('Yellow Bosses'!$R$5:$R$53&gt;=1)+('Yellow Bosses'!$U$5:$U$53&gt;=1))&gt;0))</f>
        <v>1</v>
      </c>
      <c r="I725" s="25" t="n">
        <f aca="false">SUMPRODUCT(--((('Yellow Bosses'!$N$5:$N$53&gt;0)+('Yellow Bosses'!$P$5:$P$53&gt;0)+('Yellow Bosses'!$R$5:$R$53&gt;0)+('Yellow Bosses'!$U$5:$U$53&gt;0))=0))</f>
        <v>0</v>
      </c>
      <c r="J725" s="25" t="n">
        <f aca="false">SUMPRODUCT(--(((Effectiveness!$K$5:$K$155&gt;=2)+(Effectiveness!$M$5:$M$155&gt;=2)+(Effectiveness!$O$5:$O$155&gt;=2)+(Effectiveness!$R$5:$R$155&gt;=2))&gt;0))</f>
        <v>88</v>
      </c>
      <c r="K725" s="26" t="n">
        <f aca="false">J725/151</f>
        <v>0.582781456953642</v>
      </c>
      <c r="L725" s="25" t="n">
        <f aca="false">MIN(INDEX('Move Reality'!$F$5:$F$19,MATCH(B725,'Move Reality'!$A$5:$A$19,0)),INDEX('Move Reality'!$F$5:$F$19,MATCH(C725,'Move Reality'!$A$5:$A$19,0)),INDEX('Move Reality'!$F$5:$F$19,MATCH(D725,'Move Reality'!$A$5:$A$19,0)),INDEX('Move Reality'!$F$5:$F$19,MATCH(E725,'Move Reality'!$A$5:$A$19,0)))</f>
        <v>1</v>
      </c>
      <c r="M725" s="28" t="str">
        <f aca="false">IF(L725&gt;=5,"YES","no - dead move")</f>
        <v>no - dead move</v>
      </c>
    </row>
    <row r="726" customFormat="false" ht="15" hidden="false" customHeight="false" outlineLevel="0" collapsed="false">
      <c r="A726" s="17" t="n">
        <v>722</v>
      </c>
      <c r="B726" s="17" t="s">
        <v>42</v>
      </c>
      <c r="C726" s="17" t="s">
        <v>43</v>
      </c>
      <c r="D726" s="17" t="s">
        <v>52</v>
      </c>
      <c r="E726" s="17" t="s">
        <v>54</v>
      </c>
      <c r="F726" s="25" t="n">
        <f aca="false">SUMPRODUCT(--((('Yellow Bosses'!$J$5:$J$53&gt;=2)+('Yellow Bosses'!$K$5:$K$53&gt;=2)+('Yellow Bosses'!$T$5:$T$53&gt;=2)+('Yellow Bosses'!$V$5:$V$53&gt;=2))&gt;0))</f>
        <v>31</v>
      </c>
      <c r="G726" s="26" t="n">
        <f aca="false">F726/49</f>
        <v>0.63265306122449</v>
      </c>
      <c r="H726" s="25" t="n">
        <f aca="false">49-SUMPRODUCT(--((('Yellow Bosses'!$J$5:$J$53&gt;=1)+('Yellow Bosses'!$K$5:$K$53&gt;=1)+('Yellow Bosses'!$T$5:$T$53&gt;=1)+('Yellow Bosses'!$V$5:$V$53&gt;=1))&gt;0))</f>
        <v>0</v>
      </c>
      <c r="I726" s="25" t="n">
        <f aca="false">SUMPRODUCT(--((('Yellow Bosses'!$J$5:$J$53&gt;0)+('Yellow Bosses'!$K$5:$K$53&gt;0)+('Yellow Bosses'!$T$5:$T$53&gt;0)+('Yellow Bosses'!$V$5:$V$53&gt;0))=0))</f>
        <v>0</v>
      </c>
      <c r="J726" s="25" t="n">
        <f aca="false">SUMPRODUCT(--(((Effectiveness!$G$5:$G$155&gt;=2)+(Effectiveness!$H$5:$H$155&gt;=2)+(Effectiveness!$Q$5:$Q$155&gt;=2)+(Effectiveness!$S$5:$S$155&gt;=2))&gt;0))</f>
        <v>87</v>
      </c>
      <c r="K726" s="26" t="n">
        <f aca="false">J726/151</f>
        <v>0.576158940397351</v>
      </c>
      <c r="L726" s="25" t="n">
        <f aca="false">MIN(INDEX('Move Reality'!$F$5:$F$19,MATCH(B726,'Move Reality'!$A$5:$A$19,0)),INDEX('Move Reality'!$F$5:$F$19,MATCH(C726,'Move Reality'!$A$5:$A$19,0)),INDEX('Move Reality'!$F$5:$F$19,MATCH(D726,'Move Reality'!$A$5:$A$19,0)),INDEX('Move Reality'!$F$5:$F$19,MATCH(E726,'Move Reality'!$A$5:$A$19,0)))</f>
        <v>1</v>
      </c>
      <c r="M726" s="28" t="str">
        <f aca="false">IF(L726&gt;=5,"YES","no - dead move")</f>
        <v>no - dead move</v>
      </c>
    </row>
    <row r="727" customFormat="false" ht="15" hidden="false" customHeight="false" outlineLevel="0" collapsed="false">
      <c r="A727" s="17" t="n">
        <v>723</v>
      </c>
      <c r="B727" s="17" t="s">
        <v>40</v>
      </c>
      <c r="C727" s="17" t="s">
        <v>42</v>
      </c>
      <c r="D727" s="17" t="s">
        <v>48</v>
      </c>
      <c r="E727" s="17" t="s">
        <v>49</v>
      </c>
      <c r="F727" s="25" t="n">
        <f aca="false">SUMPRODUCT(--((('Yellow Bosses'!$H$5:$H$53&gt;=2)+('Yellow Bosses'!$J$5:$J$53&gt;=2)+('Yellow Bosses'!$P$5:$P$53&gt;=2)+('Yellow Bosses'!$Q$5:$Q$53&gt;=2))&gt;0))</f>
        <v>31</v>
      </c>
      <c r="G727" s="26" t="n">
        <f aca="false">F727/49</f>
        <v>0.63265306122449</v>
      </c>
      <c r="H727" s="25" t="n">
        <f aca="false">49-SUMPRODUCT(--((('Yellow Bosses'!$H$5:$H$53&gt;=1)+('Yellow Bosses'!$J$5:$J$53&gt;=1)+('Yellow Bosses'!$P$5:$P$53&gt;=1)+('Yellow Bosses'!$Q$5:$Q$53&gt;=1))&gt;0))</f>
        <v>0</v>
      </c>
      <c r="I727" s="25" t="n">
        <f aca="false">SUMPRODUCT(--((('Yellow Bosses'!$H$5:$H$53&gt;0)+('Yellow Bosses'!$J$5:$J$53&gt;0)+('Yellow Bosses'!$P$5:$P$53&gt;0)+('Yellow Bosses'!$Q$5:$Q$53&gt;0))=0))</f>
        <v>0</v>
      </c>
      <c r="J727" s="25" t="n">
        <f aca="false">SUMPRODUCT(--(((Effectiveness!$E$5:$E$155&gt;=2)+(Effectiveness!$G$5:$G$155&gt;=2)+(Effectiveness!$M$5:$M$155&gt;=2)+(Effectiveness!$N$5:$N$155&gt;=2))&gt;0))</f>
        <v>86</v>
      </c>
      <c r="K727" s="26" t="n">
        <f aca="false">J727/151</f>
        <v>0.56953642384106</v>
      </c>
      <c r="L727" s="25" t="n">
        <f aca="false">MIN(INDEX('Move Reality'!$F$5:$F$19,MATCH(B727,'Move Reality'!$A$5:$A$19,0)),INDEX('Move Reality'!$F$5:$F$19,MATCH(C727,'Move Reality'!$A$5:$A$19,0)),INDEX('Move Reality'!$F$5:$F$19,MATCH(D727,'Move Reality'!$A$5:$A$19,0)),INDEX('Move Reality'!$F$5:$F$19,MATCH(E727,'Move Reality'!$A$5:$A$19,0)))</f>
        <v>5</v>
      </c>
      <c r="M727" s="28" t="str">
        <f aca="false">IF(L727&gt;=5,"YES","no - dead move")</f>
        <v>YES</v>
      </c>
    </row>
    <row r="728" customFormat="false" ht="15" hidden="false" customHeight="false" outlineLevel="0" collapsed="false">
      <c r="A728" s="17" t="n">
        <v>724</v>
      </c>
      <c r="B728" s="17" t="s">
        <v>42</v>
      </c>
      <c r="C728" s="17" t="s">
        <v>44</v>
      </c>
      <c r="D728" s="17" t="s">
        <v>47</v>
      </c>
      <c r="E728" s="17" t="s">
        <v>52</v>
      </c>
      <c r="F728" s="25" t="n">
        <f aca="false">SUMPRODUCT(--((('Yellow Bosses'!$J$5:$J$53&gt;=2)+('Yellow Bosses'!$L$5:$L$53&gt;=2)+('Yellow Bosses'!$O$5:$O$53&gt;=2)+('Yellow Bosses'!$T$5:$T$53&gt;=2))&gt;0))</f>
        <v>31</v>
      </c>
      <c r="G728" s="26" t="n">
        <f aca="false">F728/49</f>
        <v>0.63265306122449</v>
      </c>
      <c r="H728" s="25" t="n">
        <f aca="false">49-SUMPRODUCT(--((('Yellow Bosses'!$J$5:$J$53&gt;=1)+('Yellow Bosses'!$L$5:$L$53&gt;=1)+('Yellow Bosses'!$O$5:$O$53&gt;=1)+('Yellow Bosses'!$T$5:$T$53&gt;=1))&gt;0))</f>
        <v>0</v>
      </c>
      <c r="I728" s="25" t="n">
        <f aca="false">SUMPRODUCT(--((('Yellow Bosses'!$J$5:$J$53&gt;0)+('Yellow Bosses'!$L$5:$L$53&gt;0)+('Yellow Bosses'!$O$5:$O$53&gt;0)+('Yellow Bosses'!$T$5:$T$53&gt;0))=0))</f>
        <v>0</v>
      </c>
      <c r="J728" s="25" t="n">
        <f aca="false">SUMPRODUCT(--(((Effectiveness!$G$5:$G$155&gt;=2)+(Effectiveness!$I$5:$I$155&gt;=2)+(Effectiveness!$L$5:$L$155&gt;=2)+(Effectiveness!$Q$5:$Q$155&gt;=2))&gt;0))</f>
        <v>86</v>
      </c>
      <c r="K728" s="26" t="n">
        <f aca="false">J728/151</f>
        <v>0.56953642384106</v>
      </c>
      <c r="L728" s="25" t="n">
        <f aca="false">MIN(INDEX('Move Reality'!$F$5:$F$19,MATCH(B728,'Move Reality'!$A$5:$A$19,0)),INDEX('Move Reality'!$F$5:$F$19,MATCH(C728,'Move Reality'!$A$5:$A$19,0)),INDEX('Move Reality'!$F$5:$F$19,MATCH(D728,'Move Reality'!$A$5:$A$19,0)),INDEX('Move Reality'!$F$5:$F$19,MATCH(E728,'Move Reality'!$A$5:$A$19,0)))</f>
        <v>2</v>
      </c>
      <c r="M728" s="28" t="str">
        <f aca="false">IF(L728&gt;=5,"YES","no - dead move")</f>
        <v>no - dead move</v>
      </c>
    </row>
    <row r="729" customFormat="false" ht="15" hidden="false" customHeight="false" outlineLevel="0" collapsed="false">
      <c r="A729" s="17" t="n">
        <v>725</v>
      </c>
      <c r="B729" s="17" t="s">
        <v>42</v>
      </c>
      <c r="C729" s="17" t="s">
        <v>47</v>
      </c>
      <c r="D729" s="17" t="s">
        <v>48</v>
      </c>
      <c r="E729" s="17" t="s">
        <v>49</v>
      </c>
      <c r="F729" s="25" t="n">
        <f aca="false">SUMPRODUCT(--((('Yellow Bosses'!$J$5:$J$53&gt;=2)+('Yellow Bosses'!$O$5:$O$53&gt;=2)+('Yellow Bosses'!$P$5:$P$53&gt;=2)+('Yellow Bosses'!$Q$5:$Q$53&gt;=2))&gt;0))</f>
        <v>31</v>
      </c>
      <c r="G729" s="26" t="n">
        <f aca="false">F729/49</f>
        <v>0.63265306122449</v>
      </c>
      <c r="H729" s="25" t="n">
        <f aca="false">49-SUMPRODUCT(--((('Yellow Bosses'!$J$5:$J$53&gt;=1)+('Yellow Bosses'!$O$5:$O$53&gt;=1)+('Yellow Bosses'!$P$5:$P$53&gt;=1)+('Yellow Bosses'!$Q$5:$Q$53&gt;=1))&gt;0))</f>
        <v>0</v>
      </c>
      <c r="I729" s="25" t="n">
        <f aca="false">SUMPRODUCT(--((('Yellow Bosses'!$J$5:$J$53&gt;0)+('Yellow Bosses'!$O$5:$O$53&gt;0)+('Yellow Bosses'!$P$5:$P$53&gt;0)+('Yellow Bosses'!$Q$5:$Q$53&gt;0))=0))</f>
        <v>0</v>
      </c>
      <c r="J729" s="25" t="n">
        <f aca="false">SUMPRODUCT(--(((Effectiveness!$G$5:$G$155&gt;=2)+(Effectiveness!$L$5:$L$155&gt;=2)+(Effectiveness!$M$5:$M$155&gt;=2)+(Effectiveness!$N$5:$N$155&gt;=2))&gt;0))</f>
        <v>86</v>
      </c>
      <c r="K729" s="26" t="n">
        <f aca="false">J729/151</f>
        <v>0.56953642384106</v>
      </c>
      <c r="L729" s="25" t="n">
        <f aca="false">MIN(INDEX('Move Reality'!$F$5:$F$19,MATCH(B729,'Move Reality'!$A$5:$A$19,0)),INDEX('Move Reality'!$F$5:$F$19,MATCH(C729,'Move Reality'!$A$5:$A$19,0)),INDEX('Move Reality'!$F$5:$F$19,MATCH(D729,'Move Reality'!$A$5:$A$19,0)),INDEX('Move Reality'!$F$5:$F$19,MATCH(E729,'Move Reality'!$A$5:$A$19,0)))</f>
        <v>2</v>
      </c>
      <c r="M729" s="28" t="str">
        <f aca="false">IF(L729&gt;=5,"YES","no - dead move")</f>
        <v>no - dead move</v>
      </c>
    </row>
    <row r="730" customFormat="false" ht="15" hidden="false" customHeight="false" outlineLevel="0" collapsed="false">
      <c r="A730" s="17" t="n">
        <v>726</v>
      </c>
      <c r="B730" s="17" t="s">
        <v>42</v>
      </c>
      <c r="C730" s="17" t="s">
        <v>48</v>
      </c>
      <c r="D730" s="17" t="s">
        <v>49</v>
      </c>
      <c r="E730" s="17" t="s">
        <v>53</v>
      </c>
      <c r="F730" s="25" t="n">
        <f aca="false">SUMPRODUCT(--((('Yellow Bosses'!$J$5:$J$53&gt;=2)+('Yellow Bosses'!$P$5:$P$53&gt;=2)+('Yellow Bosses'!$Q$5:$Q$53&gt;=2)+('Yellow Bosses'!$U$5:$U$53&gt;=2))&gt;0))</f>
        <v>31</v>
      </c>
      <c r="G730" s="26" t="n">
        <f aca="false">F730/49</f>
        <v>0.63265306122449</v>
      </c>
      <c r="H730" s="25" t="n">
        <f aca="false">49-SUMPRODUCT(--((('Yellow Bosses'!$J$5:$J$53&gt;=1)+('Yellow Bosses'!$P$5:$P$53&gt;=1)+('Yellow Bosses'!$Q$5:$Q$53&gt;=1)+('Yellow Bosses'!$U$5:$U$53&gt;=1))&gt;0))</f>
        <v>0</v>
      </c>
      <c r="I730" s="25" t="n">
        <f aca="false">SUMPRODUCT(--((('Yellow Bosses'!$J$5:$J$53&gt;0)+('Yellow Bosses'!$P$5:$P$53&gt;0)+('Yellow Bosses'!$Q$5:$Q$53&gt;0)+('Yellow Bosses'!$U$5:$U$53&gt;0))=0))</f>
        <v>0</v>
      </c>
      <c r="J730" s="25" t="n">
        <f aca="false">SUMPRODUCT(--(((Effectiveness!$G$5:$G$155&gt;=2)+(Effectiveness!$M$5:$M$155&gt;=2)+(Effectiveness!$N$5:$N$155&gt;=2)+(Effectiveness!$R$5:$R$155&gt;=2))&gt;0))</f>
        <v>86</v>
      </c>
      <c r="K730" s="26" t="n">
        <f aca="false">J730/151</f>
        <v>0.56953642384106</v>
      </c>
      <c r="L730" s="25" t="n">
        <f aca="false">MIN(INDEX('Move Reality'!$F$5:$F$19,MATCH(B730,'Move Reality'!$A$5:$A$19,0)),INDEX('Move Reality'!$F$5:$F$19,MATCH(C730,'Move Reality'!$A$5:$A$19,0)),INDEX('Move Reality'!$F$5:$F$19,MATCH(D730,'Move Reality'!$A$5:$A$19,0)),INDEX('Move Reality'!$F$5:$F$19,MATCH(E730,'Move Reality'!$A$5:$A$19,0)))</f>
        <v>1</v>
      </c>
      <c r="M730" s="28" t="str">
        <f aca="false">IF(L730&gt;=5,"YES","no - dead move")</f>
        <v>no - dead move</v>
      </c>
    </row>
    <row r="731" customFormat="false" ht="15" hidden="false" customHeight="false" outlineLevel="0" collapsed="false">
      <c r="A731" s="17" t="n">
        <v>727</v>
      </c>
      <c r="B731" s="17" t="s">
        <v>44</v>
      </c>
      <c r="C731" s="17" t="s">
        <v>47</v>
      </c>
      <c r="D731" s="17" t="s">
        <v>52</v>
      </c>
      <c r="E731" s="17" t="s">
        <v>54</v>
      </c>
      <c r="F731" s="25" t="n">
        <f aca="false">SUMPRODUCT(--((('Yellow Bosses'!$L$5:$L$53&gt;=2)+('Yellow Bosses'!$O$5:$O$53&gt;=2)+('Yellow Bosses'!$T$5:$T$53&gt;=2)+('Yellow Bosses'!$V$5:$V$53&gt;=2))&gt;0))</f>
        <v>31</v>
      </c>
      <c r="G731" s="26" t="n">
        <f aca="false">F731/49</f>
        <v>0.63265306122449</v>
      </c>
      <c r="H731" s="25" t="n">
        <f aca="false">49-SUMPRODUCT(--((('Yellow Bosses'!$L$5:$L$53&gt;=1)+('Yellow Bosses'!$O$5:$O$53&gt;=1)+('Yellow Bosses'!$T$5:$T$53&gt;=1)+('Yellow Bosses'!$V$5:$V$53&gt;=1))&gt;0))</f>
        <v>0</v>
      </c>
      <c r="I731" s="25" t="n">
        <f aca="false">SUMPRODUCT(--((('Yellow Bosses'!$L$5:$L$53&gt;0)+('Yellow Bosses'!$O$5:$O$53&gt;0)+('Yellow Bosses'!$T$5:$T$53&gt;0)+('Yellow Bosses'!$V$5:$V$53&gt;0))=0))</f>
        <v>0</v>
      </c>
      <c r="J731" s="25" t="n">
        <f aca="false">SUMPRODUCT(--(((Effectiveness!$I$5:$I$155&gt;=2)+(Effectiveness!$L$5:$L$155&gt;=2)+(Effectiveness!$Q$5:$Q$155&gt;=2)+(Effectiveness!$S$5:$S$155&gt;=2))&gt;0))</f>
        <v>86</v>
      </c>
      <c r="K731" s="26" t="n">
        <f aca="false">J731/151</f>
        <v>0.56953642384106</v>
      </c>
      <c r="L731" s="25" t="n">
        <f aca="false">MIN(INDEX('Move Reality'!$F$5:$F$19,MATCH(B731,'Move Reality'!$A$5:$A$19,0)),INDEX('Move Reality'!$F$5:$F$19,MATCH(C731,'Move Reality'!$A$5:$A$19,0)),INDEX('Move Reality'!$F$5:$F$19,MATCH(D731,'Move Reality'!$A$5:$A$19,0)),INDEX('Move Reality'!$F$5:$F$19,MATCH(E731,'Move Reality'!$A$5:$A$19,0)))</f>
        <v>1</v>
      </c>
      <c r="M731" s="28" t="str">
        <f aca="false">IF(L731&gt;=5,"YES","no - dead move")</f>
        <v>no - dead move</v>
      </c>
    </row>
    <row r="732" customFormat="false" ht="15" hidden="false" customHeight="false" outlineLevel="0" collapsed="false">
      <c r="A732" s="17" t="n">
        <v>728</v>
      </c>
      <c r="B732" s="17" t="s">
        <v>41</v>
      </c>
      <c r="C732" s="17" t="s">
        <v>46</v>
      </c>
      <c r="D732" s="17" t="s">
        <v>50</v>
      </c>
      <c r="E732" s="17" t="s">
        <v>54</v>
      </c>
      <c r="F732" s="25" t="n">
        <f aca="false">SUMPRODUCT(--((('Yellow Bosses'!$I$5:$I$53&gt;=2)+('Yellow Bosses'!$N$5:$N$53&gt;=2)+('Yellow Bosses'!$R$5:$R$53&gt;=2)+('Yellow Bosses'!$V$5:$V$53&gt;=2))&gt;0))</f>
        <v>31</v>
      </c>
      <c r="G732" s="26" t="n">
        <f aca="false">F732/49</f>
        <v>0.63265306122449</v>
      </c>
      <c r="H732" s="25" t="n">
        <f aca="false">49-SUMPRODUCT(--((('Yellow Bosses'!$I$5:$I$53&gt;=1)+('Yellow Bosses'!$N$5:$N$53&gt;=1)+('Yellow Bosses'!$R$5:$R$53&gt;=1)+('Yellow Bosses'!$V$5:$V$53&gt;=1))&gt;0))</f>
        <v>0</v>
      </c>
      <c r="I732" s="25" t="n">
        <f aca="false">SUMPRODUCT(--((('Yellow Bosses'!$I$5:$I$53&gt;0)+('Yellow Bosses'!$N$5:$N$53&gt;0)+('Yellow Bosses'!$R$5:$R$53&gt;0)+('Yellow Bosses'!$V$5:$V$53&gt;0))=0))</f>
        <v>0</v>
      </c>
      <c r="J732" s="25" t="n">
        <f aca="false">SUMPRODUCT(--(((Effectiveness!$F$5:$F$155&gt;=2)+(Effectiveness!$K$5:$K$155&gt;=2)+(Effectiveness!$O$5:$O$155&gt;=2)+(Effectiveness!$S$5:$S$155&gt;=2))&gt;0))</f>
        <v>85</v>
      </c>
      <c r="K732" s="26" t="n">
        <f aca="false">J732/151</f>
        <v>0.562913907284768</v>
      </c>
      <c r="L732" s="25" t="n">
        <f aca="false">MIN(INDEX('Move Reality'!$F$5:$F$19,MATCH(B732,'Move Reality'!$A$5:$A$19,0)),INDEX('Move Reality'!$F$5:$F$19,MATCH(C732,'Move Reality'!$A$5:$A$19,0)),INDEX('Move Reality'!$F$5:$F$19,MATCH(D732,'Move Reality'!$A$5:$A$19,0)),INDEX('Move Reality'!$F$5:$F$19,MATCH(E732,'Move Reality'!$A$5:$A$19,0)))</f>
        <v>1</v>
      </c>
      <c r="M732" s="28" t="str">
        <f aca="false">IF(L732&gt;=5,"YES","no - dead move")</f>
        <v>no - dead move</v>
      </c>
    </row>
    <row r="733" customFormat="false" ht="15" hidden="false" customHeight="false" outlineLevel="0" collapsed="false">
      <c r="A733" s="17" t="n">
        <v>729</v>
      </c>
      <c r="B733" s="17" t="s">
        <v>42</v>
      </c>
      <c r="C733" s="17" t="s">
        <v>44</v>
      </c>
      <c r="D733" s="17" t="s">
        <v>52</v>
      </c>
      <c r="E733" s="17" t="s">
        <v>54</v>
      </c>
      <c r="F733" s="25" t="n">
        <f aca="false">SUMPRODUCT(--((('Yellow Bosses'!$J$5:$J$53&gt;=2)+('Yellow Bosses'!$L$5:$L$53&gt;=2)+('Yellow Bosses'!$T$5:$T$53&gt;=2)+('Yellow Bosses'!$V$5:$V$53&gt;=2))&gt;0))</f>
        <v>31</v>
      </c>
      <c r="G733" s="26" t="n">
        <f aca="false">F733/49</f>
        <v>0.63265306122449</v>
      </c>
      <c r="H733" s="25" t="n">
        <f aca="false">49-SUMPRODUCT(--((('Yellow Bosses'!$J$5:$J$53&gt;=1)+('Yellow Bosses'!$L$5:$L$53&gt;=1)+('Yellow Bosses'!$T$5:$T$53&gt;=1)+('Yellow Bosses'!$V$5:$V$53&gt;=1))&gt;0))</f>
        <v>0</v>
      </c>
      <c r="I733" s="25" t="n">
        <f aca="false">SUMPRODUCT(--((('Yellow Bosses'!$J$5:$J$53&gt;0)+('Yellow Bosses'!$L$5:$L$53&gt;0)+('Yellow Bosses'!$T$5:$T$53&gt;0)+('Yellow Bosses'!$V$5:$V$53&gt;0))=0))</f>
        <v>0</v>
      </c>
      <c r="J733" s="25" t="n">
        <f aca="false">SUMPRODUCT(--(((Effectiveness!$G$5:$G$155&gt;=2)+(Effectiveness!$I$5:$I$155&gt;=2)+(Effectiveness!$Q$5:$Q$155&gt;=2)+(Effectiveness!$S$5:$S$155&gt;=2))&gt;0))</f>
        <v>85</v>
      </c>
      <c r="K733" s="26" t="n">
        <f aca="false">J733/151</f>
        <v>0.562913907284768</v>
      </c>
      <c r="L733" s="25" t="n">
        <f aca="false">MIN(INDEX('Move Reality'!$F$5:$F$19,MATCH(B733,'Move Reality'!$A$5:$A$19,0)),INDEX('Move Reality'!$F$5:$F$19,MATCH(C733,'Move Reality'!$A$5:$A$19,0)),INDEX('Move Reality'!$F$5:$F$19,MATCH(D733,'Move Reality'!$A$5:$A$19,0)),INDEX('Move Reality'!$F$5:$F$19,MATCH(E733,'Move Reality'!$A$5:$A$19,0)))</f>
        <v>1</v>
      </c>
      <c r="M733" s="28" t="str">
        <f aca="false">IF(L733&gt;=5,"YES","no - dead move")</f>
        <v>no - dead move</v>
      </c>
    </row>
    <row r="734" customFormat="false" ht="15" hidden="false" customHeight="false" outlineLevel="0" collapsed="false">
      <c r="A734" s="17" t="n">
        <v>730</v>
      </c>
      <c r="B734" s="17" t="s">
        <v>40</v>
      </c>
      <c r="C734" s="17" t="s">
        <v>42</v>
      </c>
      <c r="D734" s="17" t="s">
        <v>48</v>
      </c>
      <c r="E734" s="17" t="s">
        <v>52</v>
      </c>
      <c r="F734" s="25" t="n">
        <f aca="false">SUMPRODUCT(--((('Yellow Bosses'!$H$5:$H$53&gt;=2)+('Yellow Bosses'!$J$5:$J$53&gt;=2)+('Yellow Bosses'!$P$5:$P$53&gt;=2)+('Yellow Bosses'!$T$5:$T$53&gt;=2))&gt;0))</f>
        <v>31</v>
      </c>
      <c r="G734" s="26" t="n">
        <f aca="false">F734/49</f>
        <v>0.63265306122449</v>
      </c>
      <c r="H734" s="25" t="n">
        <f aca="false">49-SUMPRODUCT(--((('Yellow Bosses'!$H$5:$H$53&gt;=1)+('Yellow Bosses'!$J$5:$J$53&gt;=1)+('Yellow Bosses'!$P$5:$P$53&gt;=1)+('Yellow Bosses'!$T$5:$T$53&gt;=1))&gt;0))</f>
        <v>0</v>
      </c>
      <c r="I734" s="25" t="n">
        <f aca="false">SUMPRODUCT(--((('Yellow Bosses'!$H$5:$H$53&gt;0)+('Yellow Bosses'!$J$5:$J$53&gt;0)+('Yellow Bosses'!$P$5:$P$53&gt;0)+('Yellow Bosses'!$T$5:$T$53&gt;0))=0))</f>
        <v>0</v>
      </c>
      <c r="J734" s="25" t="n">
        <f aca="false">SUMPRODUCT(--(((Effectiveness!$E$5:$E$155&gt;=2)+(Effectiveness!$G$5:$G$155&gt;=2)+(Effectiveness!$M$5:$M$155&gt;=2)+(Effectiveness!$Q$5:$Q$155&gt;=2))&gt;0))</f>
        <v>84</v>
      </c>
      <c r="K734" s="26" t="n">
        <f aca="false">J734/151</f>
        <v>0.556291390728477</v>
      </c>
      <c r="L734" s="25" t="n">
        <f aca="false">MIN(INDEX('Move Reality'!$F$5:$F$19,MATCH(B734,'Move Reality'!$A$5:$A$19,0)),INDEX('Move Reality'!$F$5:$F$19,MATCH(C734,'Move Reality'!$A$5:$A$19,0)),INDEX('Move Reality'!$F$5:$F$19,MATCH(D734,'Move Reality'!$A$5:$A$19,0)),INDEX('Move Reality'!$F$5:$F$19,MATCH(E734,'Move Reality'!$A$5:$A$19,0)))</f>
        <v>6</v>
      </c>
      <c r="M734" s="28" t="str">
        <f aca="false">IF(L734&gt;=5,"YES","no - dead move")</f>
        <v>YES</v>
      </c>
    </row>
    <row r="735" customFormat="false" ht="15" hidden="false" customHeight="false" outlineLevel="0" collapsed="false">
      <c r="A735" s="17" t="n">
        <v>731</v>
      </c>
      <c r="B735" s="17" t="s">
        <v>42</v>
      </c>
      <c r="C735" s="17" t="s">
        <v>48</v>
      </c>
      <c r="D735" s="17" t="s">
        <v>52</v>
      </c>
      <c r="E735" s="17" t="s">
        <v>53</v>
      </c>
      <c r="F735" s="25" t="n">
        <f aca="false">SUMPRODUCT(--((('Yellow Bosses'!$J$5:$J$53&gt;=2)+('Yellow Bosses'!$P$5:$P$53&gt;=2)+('Yellow Bosses'!$T$5:$T$53&gt;=2)+('Yellow Bosses'!$U$5:$U$53&gt;=2))&gt;0))</f>
        <v>31</v>
      </c>
      <c r="G735" s="26" t="n">
        <f aca="false">F735/49</f>
        <v>0.63265306122449</v>
      </c>
      <c r="H735" s="25" t="n">
        <f aca="false">49-SUMPRODUCT(--((('Yellow Bosses'!$J$5:$J$53&gt;=1)+('Yellow Bosses'!$P$5:$P$53&gt;=1)+('Yellow Bosses'!$T$5:$T$53&gt;=1)+('Yellow Bosses'!$U$5:$U$53&gt;=1))&gt;0))</f>
        <v>0</v>
      </c>
      <c r="I735" s="25" t="n">
        <f aca="false">SUMPRODUCT(--((('Yellow Bosses'!$J$5:$J$53&gt;0)+('Yellow Bosses'!$P$5:$P$53&gt;0)+('Yellow Bosses'!$T$5:$T$53&gt;0)+('Yellow Bosses'!$U$5:$U$53&gt;0))=0))</f>
        <v>0</v>
      </c>
      <c r="J735" s="25" t="n">
        <f aca="false">SUMPRODUCT(--(((Effectiveness!$G$5:$G$155&gt;=2)+(Effectiveness!$M$5:$M$155&gt;=2)+(Effectiveness!$Q$5:$Q$155&gt;=2)+(Effectiveness!$R$5:$R$155&gt;=2))&gt;0))</f>
        <v>84</v>
      </c>
      <c r="K735" s="26" t="n">
        <f aca="false">J735/151</f>
        <v>0.556291390728477</v>
      </c>
      <c r="L735" s="25" t="n">
        <f aca="false">MIN(INDEX('Move Reality'!$F$5:$F$19,MATCH(B735,'Move Reality'!$A$5:$A$19,0)),INDEX('Move Reality'!$F$5:$F$19,MATCH(C735,'Move Reality'!$A$5:$A$19,0)),INDEX('Move Reality'!$F$5:$F$19,MATCH(D735,'Move Reality'!$A$5:$A$19,0)),INDEX('Move Reality'!$F$5:$F$19,MATCH(E735,'Move Reality'!$A$5:$A$19,0)))</f>
        <v>1</v>
      </c>
      <c r="M735" s="28" t="str">
        <f aca="false">IF(L735&gt;=5,"YES","no - dead move")</f>
        <v>no - dead move</v>
      </c>
    </row>
    <row r="736" customFormat="false" ht="15" hidden="false" customHeight="false" outlineLevel="0" collapsed="false">
      <c r="A736" s="17" t="n">
        <v>732</v>
      </c>
      <c r="B736" s="17" t="s">
        <v>40</v>
      </c>
      <c r="C736" s="17" t="s">
        <v>51</v>
      </c>
      <c r="D736" s="17" t="s">
        <v>52</v>
      </c>
      <c r="E736" s="17" t="s">
        <v>54</v>
      </c>
      <c r="F736" s="25" t="n">
        <f aca="false">SUMPRODUCT(--((('Yellow Bosses'!$H$5:$H$53&gt;=2)+('Yellow Bosses'!$S$5:$S$53&gt;=2)+('Yellow Bosses'!$T$5:$T$53&gt;=2)+('Yellow Bosses'!$V$5:$V$53&gt;=2))&gt;0))</f>
        <v>31</v>
      </c>
      <c r="G736" s="26" t="n">
        <f aca="false">F736/49</f>
        <v>0.63265306122449</v>
      </c>
      <c r="H736" s="25" t="n">
        <f aca="false">49-SUMPRODUCT(--((('Yellow Bosses'!$H$5:$H$53&gt;=1)+('Yellow Bosses'!$S$5:$S$53&gt;=1)+('Yellow Bosses'!$T$5:$T$53&gt;=1)+('Yellow Bosses'!$V$5:$V$53&gt;=1))&gt;0))</f>
        <v>0</v>
      </c>
      <c r="I736" s="25" t="n">
        <f aca="false">SUMPRODUCT(--((('Yellow Bosses'!$H$5:$H$53&gt;0)+('Yellow Bosses'!$S$5:$S$53&gt;0)+('Yellow Bosses'!$T$5:$T$53&gt;0)+('Yellow Bosses'!$V$5:$V$53&gt;0))=0))</f>
        <v>0</v>
      </c>
      <c r="J736" s="25" t="n">
        <f aca="false">SUMPRODUCT(--(((Effectiveness!$E$5:$E$155&gt;=2)+(Effectiveness!$P$5:$P$155&gt;=2)+(Effectiveness!$Q$5:$Q$155&gt;=2)+(Effectiveness!$S$5:$S$155&gt;=2))&gt;0))</f>
        <v>82</v>
      </c>
      <c r="K736" s="26" t="n">
        <f aca="false">J736/151</f>
        <v>0.543046357615894</v>
      </c>
      <c r="L736" s="25" t="n">
        <f aca="false">MIN(INDEX('Move Reality'!$F$5:$F$19,MATCH(B736,'Move Reality'!$A$5:$A$19,0)),INDEX('Move Reality'!$F$5:$F$19,MATCH(C736,'Move Reality'!$A$5:$A$19,0)),INDEX('Move Reality'!$F$5:$F$19,MATCH(D736,'Move Reality'!$A$5:$A$19,0)),INDEX('Move Reality'!$F$5:$F$19,MATCH(E736,'Move Reality'!$A$5:$A$19,0)))</f>
        <v>1</v>
      </c>
      <c r="M736" s="28" t="str">
        <f aca="false">IF(L736&gt;=5,"YES","no - dead move")</f>
        <v>no - dead move</v>
      </c>
    </row>
    <row r="737" customFormat="false" ht="15" hidden="false" customHeight="false" outlineLevel="0" collapsed="false">
      <c r="A737" s="17" t="n">
        <v>733</v>
      </c>
      <c r="B737" s="17" t="s">
        <v>41</v>
      </c>
      <c r="C737" s="17" t="s">
        <v>50</v>
      </c>
      <c r="D737" s="17" t="s">
        <v>52</v>
      </c>
      <c r="E737" s="17" t="s">
        <v>54</v>
      </c>
      <c r="F737" s="25" t="n">
        <f aca="false">SUMPRODUCT(--((('Yellow Bosses'!$I$5:$I$53&gt;=2)+('Yellow Bosses'!$R$5:$R$53&gt;=2)+('Yellow Bosses'!$T$5:$T$53&gt;=2)+('Yellow Bosses'!$V$5:$V$53&gt;=2))&gt;0))</f>
        <v>31</v>
      </c>
      <c r="G737" s="26" t="n">
        <f aca="false">F737/49</f>
        <v>0.63265306122449</v>
      </c>
      <c r="H737" s="25" t="n">
        <f aca="false">49-SUMPRODUCT(--((('Yellow Bosses'!$I$5:$I$53&gt;=1)+('Yellow Bosses'!$R$5:$R$53&gt;=1)+('Yellow Bosses'!$T$5:$T$53&gt;=1)+('Yellow Bosses'!$V$5:$V$53&gt;=1))&gt;0))</f>
        <v>0</v>
      </c>
      <c r="I737" s="25" t="n">
        <f aca="false">SUMPRODUCT(--((('Yellow Bosses'!$I$5:$I$53&gt;0)+('Yellow Bosses'!$R$5:$R$53&gt;0)+('Yellow Bosses'!$T$5:$T$53&gt;0)+('Yellow Bosses'!$V$5:$V$53&gt;0))=0))</f>
        <v>0</v>
      </c>
      <c r="J737" s="25" t="n">
        <f aca="false">SUMPRODUCT(--(((Effectiveness!$F$5:$F$155&gt;=2)+(Effectiveness!$O$5:$O$155&gt;=2)+(Effectiveness!$Q$5:$Q$155&gt;=2)+(Effectiveness!$S$5:$S$155&gt;=2))&gt;0))</f>
        <v>82</v>
      </c>
      <c r="K737" s="26" t="n">
        <f aca="false">J737/151</f>
        <v>0.543046357615894</v>
      </c>
      <c r="L737" s="25" t="n">
        <f aca="false">MIN(INDEX('Move Reality'!$F$5:$F$19,MATCH(B737,'Move Reality'!$A$5:$A$19,0)),INDEX('Move Reality'!$F$5:$F$19,MATCH(C737,'Move Reality'!$A$5:$A$19,0)),INDEX('Move Reality'!$F$5:$F$19,MATCH(D737,'Move Reality'!$A$5:$A$19,0)),INDEX('Move Reality'!$F$5:$F$19,MATCH(E737,'Move Reality'!$A$5:$A$19,0)))</f>
        <v>1</v>
      </c>
      <c r="M737" s="28" t="str">
        <f aca="false">IF(L737&gt;=5,"YES","no - dead move")</f>
        <v>no - dead move</v>
      </c>
    </row>
    <row r="738" customFormat="false" ht="15" hidden="false" customHeight="false" outlineLevel="0" collapsed="false">
      <c r="A738" s="17" t="n">
        <v>734</v>
      </c>
      <c r="B738" s="17" t="s">
        <v>41</v>
      </c>
      <c r="C738" s="17" t="s">
        <v>51</v>
      </c>
      <c r="D738" s="17" t="s">
        <v>52</v>
      </c>
      <c r="E738" s="17" t="s">
        <v>54</v>
      </c>
      <c r="F738" s="25" t="n">
        <f aca="false">SUMPRODUCT(--((('Yellow Bosses'!$I$5:$I$53&gt;=2)+('Yellow Bosses'!$S$5:$S$53&gt;=2)+('Yellow Bosses'!$T$5:$T$53&gt;=2)+('Yellow Bosses'!$V$5:$V$53&gt;=2))&gt;0))</f>
        <v>31</v>
      </c>
      <c r="G738" s="26" t="n">
        <f aca="false">F738/49</f>
        <v>0.63265306122449</v>
      </c>
      <c r="H738" s="25" t="n">
        <f aca="false">49-SUMPRODUCT(--((('Yellow Bosses'!$I$5:$I$53&gt;=1)+('Yellow Bosses'!$S$5:$S$53&gt;=1)+('Yellow Bosses'!$T$5:$T$53&gt;=1)+('Yellow Bosses'!$V$5:$V$53&gt;=1))&gt;0))</f>
        <v>0</v>
      </c>
      <c r="I738" s="25" t="n">
        <f aca="false">SUMPRODUCT(--((('Yellow Bosses'!$I$5:$I$53&gt;0)+('Yellow Bosses'!$S$5:$S$53&gt;0)+('Yellow Bosses'!$T$5:$T$53&gt;0)+('Yellow Bosses'!$V$5:$V$53&gt;0))=0))</f>
        <v>0</v>
      </c>
      <c r="J738" s="25" t="n">
        <f aca="false">SUMPRODUCT(--(((Effectiveness!$F$5:$F$155&gt;=2)+(Effectiveness!$P$5:$P$155&gt;=2)+(Effectiveness!$Q$5:$Q$155&gt;=2)+(Effectiveness!$S$5:$S$155&gt;=2))&gt;0))</f>
        <v>82</v>
      </c>
      <c r="K738" s="26" t="n">
        <f aca="false">J738/151</f>
        <v>0.543046357615894</v>
      </c>
      <c r="L738" s="25" t="n">
        <f aca="false">MIN(INDEX('Move Reality'!$F$5:$F$19,MATCH(B738,'Move Reality'!$A$5:$A$19,0)),INDEX('Move Reality'!$F$5:$F$19,MATCH(C738,'Move Reality'!$A$5:$A$19,0)),INDEX('Move Reality'!$F$5:$F$19,MATCH(D738,'Move Reality'!$A$5:$A$19,0)),INDEX('Move Reality'!$F$5:$F$19,MATCH(E738,'Move Reality'!$A$5:$A$19,0)))</f>
        <v>1</v>
      </c>
      <c r="M738" s="28" t="str">
        <f aca="false">IF(L738&gt;=5,"YES","no - dead move")</f>
        <v>no - dead move</v>
      </c>
    </row>
    <row r="739" customFormat="false" ht="15" hidden="false" customHeight="false" outlineLevel="0" collapsed="false">
      <c r="A739" s="17" t="n">
        <v>735</v>
      </c>
      <c r="B739" s="17" t="s">
        <v>47</v>
      </c>
      <c r="C739" s="17" t="s">
        <v>50</v>
      </c>
      <c r="D739" s="17" t="s">
        <v>52</v>
      </c>
      <c r="E739" s="17" t="s">
        <v>54</v>
      </c>
      <c r="F739" s="25" t="n">
        <f aca="false">SUMPRODUCT(--((('Yellow Bosses'!$O$5:$O$53&gt;=2)+('Yellow Bosses'!$R$5:$R$53&gt;=2)+('Yellow Bosses'!$T$5:$T$53&gt;=2)+('Yellow Bosses'!$V$5:$V$53&gt;=2))&gt;0))</f>
        <v>31</v>
      </c>
      <c r="G739" s="26" t="n">
        <f aca="false">F739/49</f>
        <v>0.63265306122449</v>
      </c>
      <c r="H739" s="25" t="n">
        <f aca="false">49-SUMPRODUCT(--((('Yellow Bosses'!$O$5:$O$53&gt;=1)+('Yellow Bosses'!$R$5:$R$53&gt;=1)+('Yellow Bosses'!$T$5:$T$53&gt;=1)+('Yellow Bosses'!$V$5:$V$53&gt;=1))&gt;0))</f>
        <v>0</v>
      </c>
      <c r="I739" s="25" t="n">
        <f aca="false">SUMPRODUCT(--((('Yellow Bosses'!$O$5:$O$53&gt;0)+('Yellow Bosses'!$R$5:$R$53&gt;0)+('Yellow Bosses'!$T$5:$T$53&gt;0)+('Yellow Bosses'!$V$5:$V$53&gt;0))=0))</f>
        <v>0</v>
      </c>
      <c r="J739" s="25" t="n">
        <f aca="false">SUMPRODUCT(--(((Effectiveness!$L$5:$L$155&gt;=2)+(Effectiveness!$O$5:$O$155&gt;=2)+(Effectiveness!$Q$5:$Q$155&gt;=2)+(Effectiveness!$S$5:$S$155&gt;=2))&gt;0))</f>
        <v>82</v>
      </c>
      <c r="K739" s="26" t="n">
        <f aca="false">J739/151</f>
        <v>0.543046357615894</v>
      </c>
      <c r="L739" s="25" t="n">
        <f aca="false">MIN(INDEX('Move Reality'!$F$5:$F$19,MATCH(B739,'Move Reality'!$A$5:$A$19,0)),INDEX('Move Reality'!$F$5:$F$19,MATCH(C739,'Move Reality'!$A$5:$A$19,0)),INDEX('Move Reality'!$F$5:$F$19,MATCH(D739,'Move Reality'!$A$5:$A$19,0)),INDEX('Move Reality'!$F$5:$F$19,MATCH(E739,'Move Reality'!$A$5:$A$19,0)))</f>
        <v>1</v>
      </c>
      <c r="M739" s="28" t="str">
        <f aca="false">IF(L739&gt;=5,"YES","no - dead move")</f>
        <v>no - dead move</v>
      </c>
    </row>
    <row r="740" customFormat="false" ht="15" hidden="false" customHeight="false" outlineLevel="0" collapsed="false">
      <c r="A740" s="17" t="n">
        <v>736</v>
      </c>
      <c r="B740" s="17" t="s">
        <v>47</v>
      </c>
      <c r="C740" s="17" t="s">
        <v>51</v>
      </c>
      <c r="D740" s="17" t="s">
        <v>52</v>
      </c>
      <c r="E740" s="17" t="s">
        <v>54</v>
      </c>
      <c r="F740" s="25" t="n">
        <f aca="false">SUMPRODUCT(--((('Yellow Bosses'!$O$5:$O$53&gt;=2)+('Yellow Bosses'!$S$5:$S$53&gt;=2)+('Yellow Bosses'!$T$5:$T$53&gt;=2)+('Yellow Bosses'!$V$5:$V$53&gt;=2))&gt;0))</f>
        <v>31</v>
      </c>
      <c r="G740" s="26" t="n">
        <f aca="false">F740/49</f>
        <v>0.63265306122449</v>
      </c>
      <c r="H740" s="25" t="n">
        <f aca="false">49-SUMPRODUCT(--((('Yellow Bosses'!$O$5:$O$53&gt;=1)+('Yellow Bosses'!$S$5:$S$53&gt;=1)+('Yellow Bosses'!$T$5:$T$53&gt;=1)+('Yellow Bosses'!$V$5:$V$53&gt;=1))&gt;0))</f>
        <v>0</v>
      </c>
      <c r="I740" s="25" t="n">
        <f aca="false">SUMPRODUCT(--((('Yellow Bosses'!$O$5:$O$53&gt;0)+('Yellow Bosses'!$S$5:$S$53&gt;0)+('Yellow Bosses'!$T$5:$T$53&gt;0)+('Yellow Bosses'!$V$5:$V$53&gt;0))=0))</f>
        <v>0</v>
      </c>
      <c r="J740" s="25" t="n">
        <f aca="false">SUMPRODUCT(--(((Effectiveness!$L$5:$L$155&gt;=2)+(Effectiveness!$P$5:$P$155&gt;=2)+(Effectiveness!$Q$5:$Q$155&gt;=2)+(Effectiveness!$S$5:$S$155&gt;=2))&gt;0))</f>
        <v>82</v>
      </c>
      <c r="K740" s="26" t="n">
        <f aca="false">J740/151</f>
        <v>0.543046357615894</v>
      </c>
      <c r="L740" s="25" t="n">
        <f aca="false">MIN(INDEX('Move Reality'!$F$5:$F$19,MATCH(B740,'Move Reality'!$A$5:$A$19,0)),INDEX('Move Reality'!$F$5:$F$19,MATCH(C740,'Move Reality'!$A$5:$A$19,0)),INDEX('Move Reality'!$F$5:$F$19,MATCH(D740,'Move Reality'!$A$5:$A$19,0)),INDEX('Move Reality'!$F$5:$F$19,MATCH(E740,'Move Reality'!$A$5:$A$19,0)))</f>
        <v>1</v>
      </c>
      <c r="M740" s="28" t="str">
        <f aca="false">IF(L740&gt;=5,"YES","no - dead move")</f>
        <v>no - dead move</v>
      </c>
    </row>
    <row r="741" customFormat="false" ht="15" hidden="false" customHeight="false" outlineLevel="0" collapsed="false">
      <c r="A741" s="17" t="n">
        <v>737</v>
      </c>
      <c r="B741" s="17" t="s">
        <v>49</v>
      </c>
      <c r="C741" s="17" t="s">
        <v>50</v>
      </c>
      <c r="D741" s="17" t="s">
        <v>52</v>
      </c>
      <c r="E741" s="17" t="s">
        <v>54</v>
      </c>
      <c r="F741" s="25" t="n">
        <f aca="false">SUMPRODUCT(--((('Yellow Bosses'!$Q$5:$Q$53&gt;=2)+('Yellow Bosses'!$R$5:$R$53&gt;=2)+('Yellow Bosses'!$T$5:$T$53&gt;=2)+('Yellow Bosses'!$V$5:$V$53&gt;=2))&gt;0))</f>
        <v>31</v>
      </c>
      <c r="G741" s="26" t="n">
        <f aca="false">F741/49</f>
        <v>0.63265306122449</v>
      </c>
      <c r="H741" s="25" t="n">
        <f aca="false">49-SUMPRODUCT(--((('Yellow Bosses'!$Q$5:$Q$53&gt;=1)+('Yellow Bosses'!$R$5:$R$53&gt;=1)+('Yellow Bosses'!$T$5:$T$53&gt;=1)+('Yellow Bosses'!$V$5:$V$53&gt;=1))&gt;0))</f>
        <v>0</v>
      </c>
      <c r="I741" s="25" t="n">
        <f aca="false">SUMPRODUCT(--((('Yellow Bosses'!$Q$5:$Q$53&gt;0)+('Yellow Bosses'!$R$5:$R$53&gt;0)+('Yellow Bosses'!$T$5:$T$53&gt;0)+('Yellow Bosses'!$V$5:$V$53&gt;0))=0))</f>
        <v>0</v>
      </c>
      <c r="J741" s="25" t="n">
        <f aca="false">SUMPRODUCT(--(((Effectiveness!$N$5:$N$155&gt;=2)+(Effectiveness!$O$5:$O$155&gt;=2)+(Effectiveness!$Q$5:$Q$155&gt;=2)+(Effectiveness!$S$5:$S$155&gt;=2))&gt;0))</f>
        <v>82</v>
      </c>
      <c r="K741" s="26" t="n">
        <f aca="false">J741/151</f>
        <v>0.543046357615894</v>
      </c>
      <c r="L741" s="25" t="n">
        <f aca="false">MIN(INDEX('Move Reality'!$F$5:$F$19,MATCH(B741,'Move Reality'!$A$5:$A$19,0)),INDEX('Move Reality'!$F$5:$F$19,MATCH(C741,'Move Reality'!$A$5:$A$19,0)),INDEX('Move Reality'!$F$5:$F$19,MATCH(D741,'Move Reality'!$A$5:$A$19,0)),INDEX('Move Reality'!$F$5:$F$19,MATCH(E741,'Move Reality'!$A$5:$A$19,0)))</f>
        <v>1</v>
      </c>
      <c r="M741" s="28" t="str">
        <f aca="false">IF(L741&gt;=5,"YES","no - dead move")</f>
        <v>no - dead move</v>
      </c>
    </row>
    <row r="742" customFormat="false" ht="15" hidden="false" customHeight="false" outlineLevel="0" collapsed="false">
      <c r="A742" s="17" t="n">
        <v>738</v>
      </c>
      <c r="B742" s="17" t="s">
        <v>40</v>
      </c>
      <c r="C742" s="17" t="s">
        <v>47</v>
      </c>
      <c r="D742" s="17" t="s">
        <v>48</v>
      </c>
      <c r="E742" s="17" t="s">
        <v>52</v>
      </c>
      <c r="F742" s="25" t="n">
        <f aca="false">SUMPRODUCT(--((('Yellow Bosses'!$H$5:$H$53&gt;=2)+('Yellow Bosses'!$O$5:$O$53&gt;=2)+('Yellow Bosses'!$P$5:$P$53&gt;=2)+('Yellow Bosses'!$T$5:$T$53&gt;=2))&gt;0))</f>
        <v>31</v>
      </c>
      <c r="G742" s="26" t="n">
        <f aca="false">F742/49</f>
        <v>0.63265306122449</v>
      </c>
      <c r="H742" s="25" t="n">
        <f aca="false">49-SUMPRODUCT(--((('Yellow Bosses'!$H$5:$H$53&gt;=1)+('Yellow Bosses'!$O$5:$O$53&gt;=1)+('Yellow Bosses'!$P$5:$P$53&gt;=1)+('Yellow Bosses'!$T$5:$T$53&gt;=1))&gt;0))</f>
        <v>0</v>
      </c>
      <c r="I742" s="25" t="n">
        <f aca="false">SUMPRODUCT(--((('Yellow Bosses'!$H$5:$H$53&gt;0)+('Yellow Bosses'!$O$5:$O$53&gt;0)+('Yellow Bosses'!$P$5:$P$53&gt;0)+('Yellow Bosses'!$T$5:$T$53&gt;0))=0))</f>
        <v>0</v>
      </c>
      <c r="J742" s="25" t="n">
        <f aca="false">SUMPRODUCT(--(((Effectiveness!$E$5:$E$155&gt;=2)+(Effectiveness!$L$5:$L$155&gt;=2)+(Effectiveness!$M$5:$M$155&gt;=2)+(Effectiveness!$Q$5:$Q$155&gt;=2))&gt;0))</f>
        <v>81</v>
      </c>
      <c r="K742" s="26" t="n">
        <f aca="false">J742/151</f>
        <v>0.536423841059603</v>
      </c>
      <c r="L742" s="25" t="n">
        <f aca="false">MIN(INDEX('Move Reality'!$F$5:$F$19,MATCH(B742,'Move Reality'!$A$5:$A$19,0)),INDEX('Move Reality'!$F$5:$F$19,MATCH(C742,'Move Reality'!$A$5:$A$19,0)),INDEX('Move Reality'!$F$5:$F$19,MATCH(D742,'Move Reality'!$A$5:$A$19,0)),INDEX('Move Reality'!$F$5:$F$19,MATCH(E742,'Move Reality'!$A$5:$A$19,0)))</f>
        <v>2</v>
      </c>
      <c r="M742" s="28" t="str">
        <f aca="false">IF(L742&gt;=5,"YES","no - dead move")</f>
        <v>no - dead move</v>
      </c>
    </row>
    <row r="743" customFormat="false" ht="15" hidden="false" customHeight="false" outlineLevel="0" collapsed="false">
      <c r="A743" s="17" t="n">
        <v>739</v>
      </c>
      <c r="B743" s="17" t="s">
        <v>47</v>
      </c>
      <c r="C743" s="17" t="s">
        <v>48</v>
      </c>
      <c r="D743" s="17" t="s">
        <v>52</v>
      </c>
      <c r="E743" s="17" t="s">
        <v>53</v>
      </c>
      <c r="F743" s="25" t="n">
        <f aca="false">SUMPRODUCT(--((('Yellow Bosses'!$O$5:$O$53&gt;=2)+('Yellow Bosses'!$P$5:$P$53&gt;=2)+('Yellow Bosses'!$T$5:$T$53&gt;=2)+('Yellow Bosses'!$U$5:$U$53&gt;=2))&gt;0))</f>
        <v>31</v>
      </c>
      <c r="G743" s="26" t="n">
        <f aca="false">F743/49</f>
        <v>0.63265306122449</v>
      </c>
      <c r="H743" s="25" t="n">
        <f aca="false">49-SUMPRODUCT(--((('Yellow Bosses'!$O$5:$O$53&gt;=1)+('Yellow Bosses'!$P$5:$P$53&gt;=1)+('Yellow Bosses'!$T$5:$T$53&gt;=1)+('Yellow Bosses'!$U$5:$U$53&gt;=1))&gt;0))</f>
        <v>0</v>
      </c>
      <c r="I743" s="25" t="n">
        <f aca="false">SUMPRODUCT(--((('Yellow Bosses'!$O$5:$O$53&gt;0)+('Yellow Bosses'!$P$5:$P$53&gt;0)+('Yellow Bosses'!$T$5:$T$53&gt;0)+('Yellow Bosses'!$U$5:$U$53&gt;0))=0))</f>
        <v>0</v>
      </c>
      <c r="J743" s="25" t="n">
        <f aca="false">SUMPRODUCT(--(((Effectiveness!$L$5:$L$155&gt;=2)+(Effectiveness!$M$5:$M$155&gt;=2)+(Effectiveness!$Q$5:$Q$155&gt;=2)+(Effectiveness!$R$5:$R$155&gt;=2))&gt;0))</f>
        <v>81</v>
      </c>
      <c r="K743" s="26" t="n">
        <f aca="false">J743/151</f>
        <v>0.536423841059603</v>
      </c>
      <c r="L743" s="25" t="n">
        <f aca="false">MIN(INDEX('Move Reality'!$F$5:$F$19,MATCH(B743,'Move Reality'!$A$5:$A$19,0)),INDEX('Move Reality'!$F$5:$F$19,MATCH(C743,'Move Reality'!$A$5:$A$19,0)),INDEX('Move Reality'!$F$5:$F$19,MATCH(D743,'Move Reality'!$A$5:$A$19,0)),INDEX('Move Reality'!$F$5:$F$19,MATCH(E743,'Move Reality'!$A$5:$A$19,0)))</f>
        <v>1</v>
      </c>
      <c r="M743" s="28" t="str">
        <f aca="false">IF(L743&gt;=5,"YES","no - dead move")</f>
        <v>no - dead move</v>
      </c>
    </row>
    <row r="744" customFormat="false" ht="15" hidden="false" customHeight="false" outlineLevel="0" collapsed="false">
      <c r="A744" s="17" t="n">
        <v>740</v>
      </c>
      <c r="B744" s="17" t="s">
        <v>40</v>
      </c>
      <c r="C744" s="17" t="s">
        <v>48</v>
      </c>
      <c r="D744" s="17" t="s">
        <v>49</v>
      </c>
      <c r="E744" s="17" t="s">
        <v>54</v>
      </c>
      <c r="F744" s="25" t="n">
        <f aca="false">SUMPRODUCT(--((('Yellow Bosses'!$H$5:$H$53&gt;=2)+('Yellow Bosses'!$P$5:$P$53&gt;=2)+('Yellow Bosses'!$Q$5:$Q$53&gt;=2)+('Yellow Bosses'!$V$5:$V$53&gt;=2))&gt;0))</f>
        <v>31</v>
      </c>
      <c r="G744" s="26" t="n">
        <f aca="false">F744/49</f>
        <v>0.63265306122449</v>
      </c>
      <c r="H744" s="25" t="n">
        <f aca="false">49-SUMPRODUCT(--((('Yellow Bosses'!$H$5:$H$53&gt;=1)+('Yellow Bosses'!$P$5:$P$53&gt;=1)+('Yellow Bosses'!$Q$5:$Q$53&gt;=1)+('Yellow Bosses'!$V$5:$V$53&gt;=1))&gt;0))</f>
        <v>0</v>
      </c>
      <c r="I744" s="25" t="n">
        <f aca="false">SUMPRODUCT(--((('Yellow Bosses'!$H$5:$H$53&gt;0)+('Yellow Bosses'!$P$5:$P$53&gt;0)+('Yellow Bosses'!$Q$5:$Q$53&gt;0)+('Yellow Bosses'!$V$5:$V$53&gt;0))=0))</f>
        <v>0</v>
      </c>
      <c r="J744" s="25" t="n">
        <f aca="false">SUMPRODUCT(--(((Effectiveness!$E$5:$E$155&gt;=2)+(Effectiveness!$M$5:$M$155&gt;=2)+(Effectiveness!$N$5:$N$155&gt;=2)+(Effectiveness!$S$5:$S$155&gt;=2))&gt;0))</f>
        <v>80</v>
      </c>
      <c r="K744" s="26" t="n">
        <f aca="false">J744/151</f>
        <v>0.529801324503311</v>
      </c>
      <c r="L744" s="25" t="n">
        <f aca="false">MIN(INDEX('Move Reality'!$F$5:$F$19,MATCH(B744,'Move Reality'!$A$5:$A$19,0)),INDEX('Move Reality'!$F$5:$F$19,MATCH(C744,'Move Reality'!$A$5:$A$19,0)),INDEX('Move Reality'!$F$5:$F$19,MATCH(D744,'Move Reality'!$A$5:$A$19,0)),INDEX('Move Reality'!$F$5:$F$19,MATCH(E744,'Move Reality'!$A$5:$A$19,0)))</f>
        <v>1</v>
      </c>
      <c r="M744" s="28" t="str">
        <f aca="false">IF(L744&gt;=5,"YES","no - dead move")</f>
        <v>no - dead move</v>
      </c>
    </row>
    <row r="745" customFormat="false" ht="15" hidden="false" customHeight="false" outlineLevel="0" collapsed="false">
      <c r="A745" s="17" t="n">
        <v>741</v>
      </c>
      <c r="B745" s="17" t="s">
        <v>40</v>
      </c>
      <c r="C745" s="17" t="s">
        <v>48</v>
      </c>
      <c r="D745" s="17" t="s">
        <v>52</v>
      </c>
      <c r="E745" s="17" t="s">
        <v>54</v>
      </c>
      <c r="F745" s="25" t="n">
        <f aca="false">SUMPRODUCT(--((('Yellow Bosses'!$H$5:$H$53&gt;=2)+('Yellow Bosses'!$P$5:$P$53&gt;=2)+('Yellow Bosses'!$T$5:$T$53&gt;=2)+('Yellow Bosses'!$V$5:$V$53&gt;=2))&gt;0))</f>
        <v>31</v>
      </c>
      <c r="G745" s="26" t="n">
        <f aca="false">F745/49</f>
        <v>0.63265306122449</v>
      </c>
      <c r="H745" s="25" t="n">
        <f aca="false">49-SUMPRODUCT(--((('Yellow Bosses'!$H$5:$H$53&gt;=1)+('Yellow Bosses'!$P$5:$P$53&gt;=1)+('Yellow Bosses'!$T$5:$T$53&gt;=1)+('Yellow Bosses'!$V$5:$V$53&gt;=1))&gt;0))</f>
        <v>0</v>
      </c>
      <c r="I745" s="25" t="n">
        <f aca="false">SUMPRODUCT(--((('Yellow Bosses'!$H$5:$H$53&gt;0)+('Yellow Bosses'!$P$5:$P$53&gt;0)+('Yellow Bosses'!$T$5:$T$53&gt;0)+('Yellow Bosses'!$V$5:$V$53&gt;0))=0))</f>
        <v>0</v>
      </c>
      <c r="J745" s="25" t="n">
        <f aca="false">SUMPRODUCT(--(((Effectiveness!$E$5:$E$155&gt;=2)+(Effectiveness!$M$5:$M$155&gt;=2)+(Effectiveness!$Q$5:$Q$155&gt;=2)+(Effectiveness!$S$5:$S$155&gt;=2))&gt;0))</f>
        <v>80</v>
      </c>
      <c r="K745" s="26" t="n">
        <f aca="false">J745/151</f>
        <v>0.529801324503311</v>
      </c>
      <c r="L745" s="25" t="n">
        <f aca="false">MIN(INDEX('Move Reality'!$F$5:$F$19,MATCH(B745,'Move Reality'!$A$5:$A$19,0)),INDEX('Move Reality'!$F$5:$F$19,MATCH(C745,'Move Reality'!$A$5:$A$19,0)),INDEX('Move Reality'!$F$5:$F$19,MATCH(D745,'Move Reality'!$A$5:$A$19,0)),INDEX('Move Reality'!$F$5:$F$19,MATCH(E745,'Move Reality'!$A$5:$A$19,0)))</f>
        <v>1</v>
      </c>
      <c r="M745" s="28" t="str">
        <f aca="false">IF(L745&gt;=5,"YES","no - dead move")</f>
        <v>no - dead move</v>
      </c>
    </row>
    <row r="746" customFormat="false" ht="15" hidden="false" customHeight="false" outlineLevel="0" collapsed="false">
      <c r="A746" s="17" t="n">
        <v>742</v>
      </c>
      <c r="B746" s="17" t="s">
        <v>47</v>
      </c>
      <c r="C746" s="17" t="s">
        <v>48</v>
      </c>
      <c r="D746" s="17" t="s">
        <v>49</v>
      </c>
      <c r="E746" s="17" t="s">
        <v>54</v>
      </c>
      <c r="F746" s="25" t="n">
        <f aca="false">SUMPRODUCT(--((('Yellow Bosses'!$O$5:$O$53&gt;=2)+('Yellow Bosses'!$P$5:$P$53&gt;=2)+('Yellow Bosses'!$Q$5:$Q$53&gt;=2)+('Yellow Bosses'!$V$5:$V$53&gt;=2))&gt;0))</f>
        <v>31</v>
      </c>
      <c r="G746" s="26" t="n">
        <f aca="false">F746/49</f>
        <v>0.63265306122449</v>
      </c>
      <c r="H746" s="25" t="n">
        <f aca="false">49-SUMPRODUCT(--((('Yellow Bosses'!$O$5:$O$53&gt;=1)+('Yellow Bosses'!$P$5:$P$53&gt;=1)+('Yellow Bosses'!$Q$5:$Q$53&gt;=1)+('Yellow Bosses'!$V$5:$V$53&gt;=1))&gt;0))</f>
        <v>0</v>
      </c>
      <c r="I746" s="25" t="n">
        <f aca="false">SUMPRODUCT(--((('Yellow Bosses'!$O$5:$O$53&gt;0)+('Yellow Bosses'!$P$5:$P$53&gt;0)+('Yellow Bosses'!$Q$5:$Q$53&gt;0)+('Yellow Bosses'!$V$5:$V$53&gt;0))=0))</f>
        <v>0</v>
      </c>
      <c r="J746" s="25" t="n">
        <f aca="false">SUMPRODUCT(--(((Effectiveness!$L$5:$L$155&gt;=2)+(Effectiveness!$M$5:$M$155&gt;=2)+(Effectiveness!$N$5:$N$155&gt;=2)+(Effectiveness!$S$5:$S$155&gt;=2))&gt;0))</f>
        <v>80</v>
      </c>
      <c r="K746" s="26" t="n">
        <f aca="false">J746/151</f>
        <v>0.529801324503311</v>
      </c>
      <c r="L746" s="25" t="n">
        <f aca="false">MIN(INDEX('Move Reality'!$F$5:$F$19,MATCH(B746,'Move Reality'!$A$5:$A$19,0)),INDEX('Move Reality'!$F$5:$F$19,MATCH(C746,'Move Reality'!$A$5:$A$19,0)),INDEX('Move Reality'!$F$5:$F$19,MATCH(D746,'Move Reality'!$A$5:$A$19,0)),INDEX('Move Reality'!$F$5:$F$19,MATCH(E746,'Move Reality'!$A$5:$A$19,0)))</f>
        <v>1</v>
      </c>
      <c r="M746" s="28" t="str">
        <f aca="false">IF(L746&gt;=5,"YES","no - dead move")</f>
        <v>no - dead move</v>
      </c>
    </row>
    <row r="747" customFormat="false" ht="15" hidden="false" customHeight="false" outlineLevel="0" collapsed="false">
      <c r="A747" s="17" t="n">
        <v>743</v>
      </c>
      <c r="B747" s="17" t="s">
        <v>48</v>
      </c>
      <c r="C747" s="17" t="s">
        <v>49</v>
      </c>
      <c r="D747" s="17" t="s">
        <v>53</v>
      </c>
      <c r="E747" s="17" t="s">
        <v>54</v>
      </c>
      <c r="F747" s="25" t="n">
        <f aca="false">SUMPRODUCT(--((('Yellow Bosses'!$P$5:$P$53&gt;=2)+('Yellow Bosses'!$Q$5:$Q$53&gt;=2)+('Yellow Bosses'!$U$5:$U$53&gt;=2)+('Yellow Bosses'!$V$5:$V$53&gt;=2))&gt;0))</f>
        <v>31</v>
      </c>
      <c r="G747" s="26" t="n">
        <f aca="false">F747/49</f>
        <v>0.63265306122449</v>
      </c>
      <c r="H747" s="25" t="n">
        <f aca="false">49-SUMPRODUCT(--((('Yellow Bosses'!$P$5:$P$53&gt;=1)+('Yellow Bosses'!$Q$5:$Q$53&gt;=1)+('Yellow Bosses'!$U$5:$U$53&gt;=1)+('Yellow Bosses'!$V$5:$V$53&gt;=1))&gt;0))</f>
        <v>0</v>
      </c>
      <c r="I747" s="25" t="n">
        <f aca="false">SUMPRODUCT(--((('Yellow Bosses'!$P$5:$P$53&gt;0)+('Yellow Bosses'!$Q$5:$Q$53&gt;0)+('Yellow Bosses'!$U$5:$U$53&gt;0)+('Yellow Bosses'!$V$5:$V$53&gt;0))=0))</f>
        <v>0</v>
      </c>
      <c r="J747" s="25" t="n">
        <f aca="false">SUMPRODUCT(--(((Effectiveness!$M$5:$M$155&gt;=2)+(Effectiveness!$N$5:$N$155&gt;=2)+(Effectiveness!$R$5:$R$155&gt;=2)+(Effectiveness!$S$5:$S$155&gt;=2))&gt;0))</f>
        <v>80</v>
      </c>
      <c r="K747" s="26" t="n">
        <f aca="false">J747/151</f>
        <v>0.529801324503311</v>
      </c>
      <c r="L747" s="25" t="n">
        <f aca="false">MIN(INDEX('Move Reality'!$F$5:$F$19,MATCH(B747,'Move Reality'!$A$5:$A$19,0)),INDEX('Move Reality'!$F$5:$F$19,MATCH(C747,'Move Reality'!$A$5:$A$19,0)),INDEX('Move Reality'!$F$5:$F$19,MATCH(D747,'Move Reality'!$A$5:$A$19,0)),INDEX('Move Reality'!$F$5:$F$19,MATCH(E747,'Move Reality'!$A$5:$A$19,0)))</f>
        <v>1</v>
      </c>
      <c r="M747" s="28" t="str">
        <f aca="false">IF(L747&gt;=5,"YES","no - dead move")</f>
        <v>no - dead move</v>
      </c>
    </row>
    <row r="748" customFormat="false" ht="15" hidden="false" customHeight="false" outlineLevel="0" collapsed="false">
      <c r="A748" s="17" t="n">
        <v>744</v>
      </c>
      <c r="B748" s="17" t="s">
        <v>48</v>
      </c>
      <c r="C748" s="17" t="s">
        <v>52</v>
      </c>
      <c r="D748" s="17" t="s">
        <v>53</v>
      </c>
      <c r="E748" s="17" t="s">
        <v>54</v>
      </c>
      <c r="F748" s="25" t="n">
        <f aca="false">SUMPRODUCT(--((('Yellow Bosses'!$P$5:$P$53&gt;=2)+('Yellow Bosses'!$T$5:$T$53&gt;=2)+('Yellow Bosses'!$U$5:$U$53&gt;=2)+('Yellow Bosses'!$V$5:$V$53&gt;=2))&gt;0))</f>
        <v>31</v>
      </c>
      <c r="G748" s="26" t="n">
        <f aca="false">F748/49</f>
        <v>0.63265306122449</v>
      </c>
      <c r="H748" s="25" t="n">
        <f aca="false">49-SUMPRODUCT(--((('Yellow Bosses'!$P$5:$P$53&gt;=1)+('Yellow Bosses'!$T$5:$T$53&gt;=1)+('Yellow Bosses'!$U$5:$U$53&gt;=1)+('Yellow Bosses'!$V$5:$V$53&gt;=1))&gt;0))</f>
        <v>0</v>
      </c>
      <c r="I748" s="25" t="n">
        <f aca="false">SUMPRODUCT(--((('Yellow Bosses'!$P$5:$P$53&gt;0)+('Yellow Bosses'!$T$5:$T$53&gt;0)+('Yellow Bosses'!$U$5:$U$53&gt;0)+('Yellow Bosses'!$V$5:$V$53&gt;0))=0))</f>
        <v>0</v>
      </c>
      <c r="J748" s="25" t="n">
        <f aca="false">SUMPRODUCT(--(((Effectiveness!$M$5:$M$155&gt;=2)+(Effectiveness!$Q$5:$Q$155&gt;=2)+(Effectiveness!$R$5:$R$155&gt;=2)+(Effectiveness!$S$5:$S$155&gt;=2))&gt;0))</f>
        <v>80</v>
      </c>
      <c r="K748" s="26" t="n">
        <f aca="false">J748/151</f>
        <v>0.529801324503311</v>
      </c>
      <c r="L748" s="25" t="n">
        <f aca="false">MIN(INDEX('Move Reality'!$F$5:$F$19,MATCH(B748,'Move Reality'!$A$5:$A$19,0)),INDEX('Move Reality'!$F$5:$F$19,MATCH(C748,'Move Reality'!$A$5:$A$19,0)),INDEX('Move Reality'!$F$5:$F$19,MATCH(D748,'Move Reality'!$A$5:$A$19,0)),INDEX('Move Reality'!$F$5:$F$19,MATCH(E748,'Move Reality'!$A$5:$A$19,0)))</f>
        <v>1</v>
      </c>
      <c r="M748" s="28" t="str">
        <f aca="false">IF(L748&gt;=5,"YES","no - dead move")</f>
        <v>no - dead move</v>
      </c>
    </row>
    <row r="749" customFormat="false" ht="15" hidden="false" customHeight="false" outlineLevel="0" collapsed="false">
      <c r="A749" s="17" t="n">
        <v>745</v>
      </c>
      <c r="B749" s="17" t="s">
        <v>40</v>
      </c>
      <c r="C749" s="17" t="s">
        <v>41</v>
      </c>
      <c r="D749" s="17" t="s">
        <v>42</v>
      </c>
      <c r="E749" s="17" t="s">
        <v>50</v>
      </c>
      <c r="F749" s="25" t="n">
        <f aca="false">SUMPRODUCT(--((('Yellow Bosses'!$H$5:$H$53&gt;=2)+('Yellow Bosses'!$I$5:$I$53&gt;=2)+('Yellow Bosses'!$J$5:$J$53&gt;=2)+('Yellow Bosses'!$R$5:$R$53&gt;=2))&gt;0))</f>
        <v>31</v>
      </c>
      <c r="G749" s="26" t="n">
        <f aca="false">F749/49</f>
        <v>0.63265306122449</v>
      </c>
      <c r="H749" s="25" t="n">
        <f aca="false">49-SUMPRODUCT(--((('Yellow Bosses'!$H$5:$H$53&gt;=1)+('Yellow Bosses'!$I$5:$I$53&gt;=1)+('Yellow Bosses'!$J$5:$J$53&gt;=1)+('Yellow Bosses'!$R$5:$R$53&gt;=1))&gt;0))</f>
        <v>0</v>
      </c>
      <c r="I749" s="25" t="n">
        <f aca="false">SUMPRODUCT(--((('Yellow Bosses'!$H$5:$H$53&gt;0)+('Yellow Bosses'!$I$5:$I$53&gt;0)+('Yellow Bosses'!$J$5:$J$53&gt;0)+('Yellow Bosses'!$R$5:$R$53&gt;0))=0))</f>
        <v>0</v>
      </c>
      <c r="J749" s="25" t="n">
        <f aca="false">SUMPRODUCT(--(((Effectiveness!$E$5:$E$155&gt;=2)+(Effectiveness!$F$5:$F$155&gt;=2)+(Effectiveness!$G$5:$G$155&gt;=2)+(Effectiveness!$O$5:$O$155&gt;=2))&gt;0))</f>
        <v>78</v>
      </c>
      <c r="K749" s="26" t="n">
        <f aca="false">J749/151</f>
        <v>0.516556291390729</v>
      </c>
      <c r="L749" s="25" t="n">
        <f aca="false">MIN(INDEX('Move Reality'!$F$5:$F$19,MATCH(B749,'Move Reality'!$A$5:$A$19,0)),INDEX('Move Reality'!$F$5:$F$19,MATCH(C749,'Move Reality'!$A$5:$A$19,0)),INDEX('Move Reality'!$F$5:$F$19,MATCH(D749,'Move Reality'!$A$5:$A$19,0)),INDEX('Move Reality'!$F$5:$F$19,MATCH(E749,'Move Reality'!$A$5:$A$19,0)))</f>
        <v>7</v>
      </c>
      <c r="M749" s="28" t="str">
        <f aca="false">IF(L749&gt;=5,"YES","no - dead move")</f>
        <v>YES</v>
      </c>
    </row>
    <row r="750" customFormat="false" ht="15" hidden="false" customHeight="false" outlineLevel="0" collapsed="false">
      <c r="A750" s="17" t="n">
        <v>746</v>
      </c>
      <c r="B750" s="17" t="s">
        <v>41</v>
      </c>
      <c r="C750" s="17" t="s">
        <v>42</v>
      </c>
      <c r="D750" s="17" t="s">
        <v>47</v>
      </c>
      <c r="E750" s="17" t="s">
        <v>50</v>
      </c>
      <c r="F750" s="25" t="n">
        <f aca="false">SUMPRODUCT(--((('Yellow Bosses'!$I$5:$I$53&gt;=2)+('Yellow Bosses'!$J$5:$J$53&gt;=2)+('Yellow Bosses'!$O$5:$O$53&gt;=2)+('Yellow Bosses'!$R$5:$R$53&gt;=2))&gt;0))</f>
        <v>31</v>
      </c>
      <c r="G750" s="26" t="n">
        <f aca="false">F750/49</f>
        <v>0.63265306122449</v>
      </c>
      <c r="H750" s="25" t="n">
        <f aca="false">49-SUMPRODUCT(--((('Yellow Bosses'!$I$5:$I$53&gt;=1)+('Yellow Bosses'!$J$5:$J$53&gt;=1)+('Yellow Bosses'!$O$5:$O$53&gt;=1)+('Yellow Bosses'!$R$5:$R$53&gt;=1))&gt;0))</f>
        <v>0</v>
      </c>
      <c r="I750" s="25" t="n">
        <f aca="false">SUMPRODUCT(--((('Yellow Bosses'!$I$5:$I$53&gt;0)+('Yellow Bosses'!$J$5:$J$53&gt;0)+('Yellow Bosses'!$O$5:$O$53&gt;0)+('Yellow Bosses'!$R$5:$R$53&gt;0))=0))</f>
        <v>0</v>
      </c>
      <c r="J750" s="25" t="n">
        <f aca="false">SUMPRODUCT(--(((Effectiveness!$F$5:$F$155&gt;=2)+(Effectiveness!$G$5:$G$155&gt;=2)+(Effectiveness!$L$5:$L$155&gt;=2)+(Effectiveness!$O$5:$O$155&gt;=2))&gt;0))</f>
        <v>78</v>
      </c>
      <c r="K750" s="26" t="n">
        <f aca="false">J750/151</f>
        <v>0.516556291390729</v>
      </c>
      <c r="L750" s="25" t="n">
        <f aca="false">MIN(INDEX('Move Reality'!$F$5:$F$19,MATCH(B750,'Move Reality'!$A$5:$A$19,0)),INDEX('Move Reality'!$F$5:$F$19,MATCH(C750,'Move Reality'!$A$5:$A$19,0)),INDEX('Move Reality'!$F$5:$F$19,MATCH(D750,'Move Reality'!$A$5:$A$19,0)),INDEX('Move Reality'!$F$5:$F$19,MATCH(E750,'Move Reality'!$A$5:$A$19,0)))</f>
        <v>2</v>
      </c>
      <c r="M750" s="28" t="str">
        <f aca="false">IF(L750&gt;=5,"YES","no - dead move")</f>
        <v>no - dead move</v>
      </c>
    </row>
    <row r="751" customFormat="false" ht="15" hidden="false" customHeight="false" outlineLevel="0" collapsed="false">
      <c r="A751" s="17" t="n">
        <v>747</v>
      </c>
      <c r="B751" s="17" t="s">
        <v>41</v>
      </c>
      <c r="C751" s="17" t="s">
        <v>42</v>
      </c>
      <c r="D751" s="17" t="s">
        <v>49</v>
      </c>
      <c r="E751" s="17" t="s">
        <v>50</v>
      </c>
      <c r="F751" s="25" t="n">
        <f aca="false">SUMPRODUCT(--((('Yellow Bosses'!$I$5:$I$53&gt;=2)+('Yellow Bosses'!$J$5:$J$53&gt;=2)+('Yellow Bosses'!$Q$5:$Q$53&gt;=2)+('Yellow Bosses'!$R$5:$R$53&gt;=2))&gt;0))</f>
        <v>31</v>
      </c>
      <c r="G751" s="26" t="n">
        <f aca="false">F751/49</f>
        <v>0.63265306122449</v>
      </c>
      <c r="H751" s="25" t="n">
        <f aca="false">49-SUMPRODUCT(--((('Yellow Bosses'!$I$5:$I$53&gt;=1)+('Yellow Bosses'!$J$5:$J$53&gt;=1)+('Yellow Bosses'!$Q$5:$Q$53&gt;=1)+('Yellow Bosses'!$R$5:$R$53&gt;=1))&gt;0))</f>
        <v>0</v>
      </c>
      <c r="I751" s="25" t="n">
        <f aca="false">SUMPRODUCT(--((('Yellow Bosses'!$I$5:$I$53&gt;0)+('Yellow Bosses'!$J$5:$J$53&gt;0)+('Yellow Bosses'!$Q$5:$Q$53&gt;0)+('Yellow Bosses'!$R$5:$R$53&gt;0))=0))</f>
        <v>0</v>
      </c>
      <c r="J751" s="25" t="n">
        <f aca="false">SUMPRODUCT(--(((Effectiveness!$F$5:$F$155&gt;=2)+(Effectiveness!$G$5:$G$155&gt;=2)+(Effectiveness!$N$5:$N$155&gt;=2)+(Effectiveness!$O$5:$O$155&gt;=2))&gt;0))</f>
        <v>78</v>
      </c>
      <c r="K751" s="26" t="n">
        <f aca="false">J751/151</f>
        <v>0.516556291390729</v>
      </c>
      <c r="L751" s="25" t="n">
        <f aca="false">MIN(INDEX('Move Reality'!$F$5:$F$19,MATCH(B751,'Move Reality'!$A$5:$A$19,0)),INDEX('Move Reality'!$F$5:$F$19,MATCH(C751,'Move Reality'!$A$5:$A$19,0)),INDEX('Move Reality'!$F$5:$F$19,MATCH(D751,'Move Reality'!$A$5:$A$19,0)),INDEX('Move Reality'!$F$5:$F$19,MATCH(E751,'Move Reality'!$A$5:$A$19,0)))</f>
        <v>5</v>
      </c>
      <c r="M751" s="28" t="str">
        <f aca="false">IF(L751&gt;=5,"YES","no - dead move")</f>
        <v>YES</v>
      </c>
    </row>
    <row r="752" customFormat="false" ht="15" hidden="false" customHeight="false" outlineLevel="0" collapsed="false">
      <c r="A752" s="17" t="n">
        <v>748</v>
      </c>
      <c r="B752" s="17" t="s">
        <v>41</v>
      </c>
      <c r="C752" s="17" t="s">
        <v>42</v>
      </c>
      <c r="D752" s="17" t="s">
        <v>50</v>
      </c>
      <c r="E752" s="17" t="s">
        <v>53</v>
      </c>
      <c r="F752" s="25" t="n">
        <f aca="false">SUMPRODUCT(--((('Yellow Bosses'!$I$5:$I$53&gt;=2)+('Yellow Bosses'!$J$5:$J$53&gt;=2)+('Yellow Bosses'!$R$5:$R$53&gt;=2)+('Yellow Bosses'!$U$5:$U$53&gt;=2))&gt;0))</f>
        <v>31</v>
      </c>
      <c r="G752" s="26" t="n">
        <f aca="false">F752/49</f>
        <v>0.63265306122449</v>
      </c>
      <c r="H752" s="25" t="n">
        <f aca="false">49-SUMPRODUCT(--((('Yellow Bosses'!$I$5:$I$53&gt;=1)+('Yellow Bosses'!$J$5:$J$53&gt;=1)+('Yellow Bosses'!$R$5:$R$53&gt;=1)+('Yellow Bosses'!$U$5:$U$53&gt;=1))&gt;0))</f>
        <v>2</v>
      </c>
      <c r="I752" s="25" t="n">
        <f aca="false">SUMPRODUCT(--((('Yellow Bosses'!$I$5:$I$53&gt;0)+('Yellow Bosses'!$J$5:$J$53&gt;0)+('Yellow Bosses'!$R$5:$R$53&gt;0)+('Yellow Bosses'!$U$5:$U$53&gt;0))=0))</f>
        <v>0</v>
      </c>
      <c r="J752" s="25" t="n">
        <f aca="false">SUMPRODUCT(--(((Effectiveness!$F$5:$F$155&gt;=2)+(Effectiveness!$G$5:$G$155&gt;=2)+(Effectiveness!$O$5:$O$155&gt;=2)+(Effectiveness!$R$5:$R$155&gt;=2))&gt;0))</f>
        <v>78</v>
      </c>
      <c r="K752" s="26" t="n">
        <f aca="false">J752/151</f>
        <v>0.516556291390729</v>
      </c>
      <c r="L752" s="25" t="n">
        <f aca="false">MIN(INDEX('Move Reality'!$F$5:$F$19,MATCH(B752,'Move Reality'!$A$5:$A$19,0)),INDEX('Move Reality'!$F$5:$F$19,MATCH(C752,'Move Reality'!$A$5:$A$19,0)),INDEX('Move Reality'!$F$5:$F$19,MATCH(D752,'Move Reality'!$A$5:$A$19,0)),INDEX('Move Reality'!$F$5:$F$19,MATCH(E752,'Move Reality'!$A$5:$A$19,0)))</f>
        <v>1</v>
      </c>
      <c r="M752" s="28" t="str">
        <f aca="false">IF(L752&gt;=5,"YES","no - dead move")</f>
        <v>no - dead move</v>
      </c>
    </row>
    <row r="753" customFormat="false" ht="15" hidden="false" customHeight="false" outlineLevel="0" collapsed="false">
      <c r="A753" s="17" t="n">
        <v>749</v>
      </c>
      <c r="B753" s="17" t="s">
        <v>44</v>
      </c>
      <c r="C753" s="17" t="s">
        <v>49</v>
      </c>
      <c r="D753" s="17" t="s">
        <v>53</v>
      </c>
      <c r="E753" s="17" t="s">
        <v>54</v>
      </c>
      <c r="F753" s="25" t="n">
        <f aca="false">SUMPRODUCT(--((('Yellow Bosses'!$L$5:$L$53&gt;=2)+('Yellow Bosses'!$Q$5:$Q$53&gt;=2)+('Yellow Bosses'!$U$5:$U$53&gt;=2)+('Yellow Bosses'!$V$5:$V$53&gt;=2))&gt;0))</f>
        <v>31</v>
      </c>
      <c r="G753" s="26" t="n">
        <f aca="false">F753/49</f>
        <v>0.63265306122449</v>
      </c>
      <c r="H753" s="25" t="n">
        <f aca="false">49-SUMPRODUCT(--((('Yellow Bosses'!$L$5:$L$53&gt;=1)+('Yellow Bosses'!$Q$5:$Q$53&gt;=1)+('Yellow Bosses'!$U$5:$U$53&gt;=1)+('Yellow Bosses'!$V$5:$V$53&gt;=1))&gt;0))</f>
        <v>0</v>
      </c>
      <c r="I753" s="25" t="n">
        <f aca="false">SUMPRODUCT(--((('Yellow Bosses'!$L$5:$L$53&gt;0)+('Yellow Bosses'!$Q$5:$Q$53&gt;0)+('Yellow Bosses'!$U$5:$U$53&gt;0)+('Yellow Bosses'!$V$5:$V$53&gt;0))=0))</f>
        <v>0</v>
      </c>
      <c r="J753" s="25" t="n">
        <f aca="false">SUMPRODUCT(--(((Effectiveness!$I$5:$I$155&gt;=2)+(Effectiveness!$N$5:$N$155&gt;=2)+(Effectiveness!$R$5:$R$155&gt;=2)+(Effectiveness!$S$5:$S$155&gt;=2))&gt;0))</f>
        <v>78</v>
      </c>
      <c r="K753" s="26" t="n">
        <f aca="false">J753/151</f>
        <v>0.516556291390729</v>
      </c>
      <c r="L753" s="25" t="n">
        <f aca="false">MIN(INDEX('Move Reality'!$F$5:$F$19,MATCH(B753,'Move Reality'!$A$5:$A$19,0)),INDEX('Move Reality'!$F$5:$F$19,MATCH(C753,'Move Reality'!$A$5:$A$19,0)),INDEX('Move Reality'!$F$5:$F$19,MATCH(D753,'Move Reality'!$A$5:$A$19,0)),INDEX('Move Reality'!$F$5:$F$19,MATCH(E753,'Move Reality'!$A$5:$A$19,0)))</f>
        <v>1</v>
      </c>
      <c r="M753" s="28" t="str">
        <f aca="false">IF(L753&gt;=5,"YES","no - dead move")</f>
        <v>no - dead move</v>
      </c>
    </row>
    <row r="754" customFormat="false" ht="15" hidden="false" customHeight="false" outlineLevel="0" collapsed="false">
      <c r="A754" s="17" t="n">
        <v>750</v>
      </c>
      <c r="B754" s="17" t="s">
        <v>40</v>
      </c>
      <c r="C754" s="17" t="s">
        <v>41</v>
      </c>
      <c r="D754" s="17" t="s">
        <v>45</v>
      </c>
      <c r="E754" s="17" t="s">
        <v>52</v>
      </c>
      <c r="F754" s="25" t="n">
        <f aca="false">SUMPRODUCT(--((('Yellow Bosses'!$H$5:$H$53&gt;=2)+('Yellow Bosses'!$I$5:$I$53&gt;=2)+('Yellow Bosses'!$M$5:$M$53&gt;=2)+('Yellow Bosses'!$T$5:$T$53&gt;=2))&gt;0))</f>
        <v>31</v>
      </c>
      <c r="G754" s="26" t="n">
        <f aca="false">F754/49</f>
        <v>0.63265306122449</v>
      </c>
      <c r="H754" s="25" t="n">
        <f aca="false">49-SUMPRODUCT(--((('Yellow Bosses'!$H$5:$H$53&gt;=1)+('Yellow Bosses'!$I$5:$I$53&gt;=1)+('Yellow Bosses'!$M$5:$M$53&gt;=1)+('Yellow Bosses'!$T$5:$T$53&gt;=1))&gt;0))</f>
        <v>0</v>
      </c>
      <c r="I754" s="25" t="n">
        <f aca="false">SUMPRODUCT(--((('Yellow Bosses'!$H$5:$H$53&gt;0)+('Yellow Bosses'!$I$5:$I$53&gt;0)+('Yellow Bosses'!$M$5:$M$53&gt;0)+('Yellow Bosses'!$T$5:$T$53&gt;0))=0))</f>
        <v>0</v>
      </c>
      <c r="J754" s="25" t="n">
        <f aca="false">SUMPRODUCT(--(((Effectiveness!$E$5:$E$155&gt;=2)+(Effectiveness!$F$5:$F$155&gt;=2)+(Effectiveness!$J$5:$J$155&gt;=2)+(Effectiveness!$Q$5:$Q$155&gt;=2))&gt;0))</f>
        <v>71</v>
      </c>
      <c r="K754" s="26" t="n">
        <f aca="false">J754/151</f>
        <v>0.470198675496689</v>
      </c>
      <c r="L754" s="25" t="n">
        <f aca="false">MIN(INDEX('Move Reality'!$F$5:$F$19,MATCH(B754,'Move Reality'!$A$5:$A$19,0)),INDEX('Move Reality'!$F$5:$F$19,MATCH(C754,'Move Reality'!$A$5:$A$19,0)),INDEX('Move Reality'!$F$5:$F$19,MATCH(D754,'Move Reality'!$A$5:$A$19,0)),INDEX('Move Reality'!$F$5:$F$19,MATCH(E754,'Move Reality'!$A$5:$A$19,0)))</f>
        <v>6</v>
      </c>
      <c r="M754" s="28" t="str">
        <f aca="false">IF(L754&gt;=5,"YES","no - dead move")</f>
        <v>YES</v>
      </c>
    </row>
    <row r="755" customFormat="false" ht="15" hidden="false" customHeight="false" outlineLevel="0" collapsed="false">
      <c r="A755" s="17" t="n">
        <v>751</v>
      </c>
      <c r="B755" s="17" t="s">
        <v>40</v>
      </c>
      <c r="C755" s="17" t="s">
        <v>42</v>
      </c>
      <c r="D755" s="17" t="s">
        <v>45</v>
      </c>
      <c r="E755" s="17" t="s">
        <v>52</v>
      </c>
      <c r="F755" s="25" t="n">
        <f aca="false">SUMPRODUCT(--((('Yellow Bosses'!$H$5:$H$53&gt;=2)+('Yellow Bosses'!$J$5:$J$53&gt;=2)+('Yellow Bosses'!$M$5:$M$53&gt;=2)+('Yellow Bosses'!$T$5:$T$53&gt;=2))&gt;0))</f>
        <v>31</v>
      </c>
      <c r="G755" s="26" t="n">
        <f aca="false">F755/49</f>
        <v>0.63265306122449</v>
      </c>
      <c r="H755" s="25" t="n">
        <f aca="false">49-SUMPRODUCT(--((('Yellow Bosses'!$H$5:$H$53&gt;=1)+('Yellow Bosses'!$J$5:$J$53&gt;=1)+('Yellow Bosses'!$M$5:$M$53&gt;=1)+('Yellow Bosses'!$T$5:$T$53&gt;=1))&gt;0))</f>
        <v>0</v>
      </c>
      <c r="I755" s="25" t="n">
        <f aca="false">SUMPRODUCT(--((('Yellow Bosses'!$H$5:$H$53&gt;0)+('Yellow Bosses'!$J$5:$J$53&gt;0)+('Yellow Bosses'!$M$5:$M$53&gt;0)+('Yellow Bosses'!$T$5:$T$53&gt;0))=0))</f>
        <v>0</v>
      </c>
      <c r="J755" s="25" t="n">
        <f aca="false">SUMPRODUCT(--(((Effectiveness!$E$5:$E$155&gt;=2)+(Effectiveness!$G$5:$G$155&gt;=2)+(Effectiveness!$J$5:$J$155&gt;=2)+(Effectiveness!$Q$5:$Q$155&gt;=2))&gt;0))</f>
        <v>71</v>
      </c>
      <c r="K755" s="26" t="n">
        <f aca="false">J755/151</f>
        <v>0.470198675496689</v>
      </c>
      <c r="L755" s="25" t="n">
        <f aca="false">MIN(INDEX('Move Reality'!$F$5:$F$19,MATCH(B755,'Move Reality'!$A$5:$A$19,0)),INDEX('Move Reality'!$F$5:$F$19,MATCH(C755,'Move Reality'!$A$5:$A$19,0)),INDEX('Move Reality'!$F$5:$F$19,MATCH(D755,'Move Reality'!$A$5:$A$19,0)),INDEX('Move Reality'!$F$5:$F$19,MATCH(E755,'Move Reality'!$A$5:$A$19,0)))</f>
        <v>6</v>
      </c>
      <c r="M755" s="28" t="str">
        <f aca="false">IF(L755&gt;=5,"YES","no - dead move")</f>
        <v>YES</v>
      </c>
    </row>
    <row r="756" customFormat="false" ht="15" hidden="false" customHeight="false" outlineLevel="0" collapsed="false">
      <c r="A756" s="17" t="n">
        <v>752</v>
      </c>
      <c r="B756" s="17" t="s">
        <v>40</v>
      </c>
      <c r="C756" s="17" t="s">
        <v>45</v>
      </c>
      <c r="D756" s="17" t="s">
        <v>47</v>
      </c>
      <c r="E756" s="17" t="s">
        <v>52</v>
      </c>
      <c r="F756" s="25" t="n">
        <f aca="false">SUMPRODUCT(--((('Yellow Bosses'!$H$5:$H$53&gt;=2)+('Yellow Bosses'!$M$5:$M$53&gt;=2)+('Yellow Bosses'!$O$5:$O$53&gt;=2)+('Yellow Bosses'!$T$5:$T$53&gt;=2))&gt;0))</f>
        <v>31</v>
      </c>
      <c r="G756" s="26" t="n">
        <f aca="false">F756/49</f>
        <v>0.63265306122449</v>
      </c>
      <c r="H756" s="25" t="n">
        <f aca="false">49-SUMPRODUCT(--((('Yellow Bosses'!$H$5:$H$53&gt;=1)+('Yellow Bosses'!$M$5:$M$53&gt;=1)+('Yellow Bosses'!$O$5:$O$53&gt;=1)+('Yellow Bosses'!$T$5:$T$53&gt;=1))&gt;0))</f>
        <v>0</v>
      </c>
      <c r="I756" s="25" t="n">
        <f aca="false">SUMPRODUCT(--((('Yellow Bosses'!$H$5:$H$53&gt;0)+('Yellow Bosses'!$M$5:$M$53&gt;0)+('Yellow Bosses'!$O$5:$O$53&gt;0)+('Yellow Bosses'!$T$5:$T$53&gt;0))=0))</f>
        <v>0</v>
      </c>
      <c r="J756" s="25" t="n">
        <f aca="false">SUMPRODUCT(--(((Effectiveness!$E$5:$E$155&gt;=2)+(Effectiveness!$J$5:$J$155&gt;=2)+(Effectiveness!$L$5:$L$155&gt;=2)+(Effectiveness!$Q$5:$Q$155&gt;=2))&gt;0))</f>
        <v>71</v>
      </c>
      <c r="K756" s="26" t="n">
        <f aca="false">J756/151</f>
        <v>0.470198675496689</v>
      </c>
      <c r="L756" s="25" t="n">
        <f aca="false">MIN(INDEX('Move Reality'!$F$5:$F$19,MATCH(B756,'Move Reality'!$A$5:$A$19,0)),INDEX('Move Reality'!$F$5:$F$19,MATCH(C756,'Move Reality'!$A$5:$A$19,0)),INDEX('Move Reality'!$F$5:$F$19,MATCH(D756,'Move Reality'!$A$5:$A$19,0)),INDEX('Move Reality'!$F$5:$F$19,MATCH(E756,'Move Reality'!$A$5:$A$19,0)))</f>
        <v>2</v>
      </c>
      <c r="M756" s="28" t="str">
        <f aca="false">IF(L756&gt;=5,"YES","no - dead move")</f>
        <v>no - dead move</v>
      </c>
    </row>
    <row r="757" customFormat="false" ht="15" hidden="false" customHeight="false" outlineLevel="0" collapsed="false">
      <c r="A757" s="17" t="n">
        <v>753</v>
      </c>
      <c r="B757" s="17" t="s">
        <v>40</v>
      </c>
      <c r="C757" s="17" t="s">
        <v>45</v>
      </c>
      <c r="D757" s="17" t="s">
        <v>52</v>
      </c>
      <c r="E757" s="17" t="s">
        <v>54</v>
      </c>
      <c r="F757" s="25" t="n">
        <f aca="false">SUMPRODUCT(--((('Yellow Bosses'!$H$5:$H$53&gt;=2)+('Yellow Bosses'!$M$5:$M$53&gt;=2)+('Yellow Bosses'!$T$5:$T$53&gt;=2)+('Yellow Bosses'!$V$5:$V$53&gt;=2))&gt;0))</f>
        <v>31</v>
      </c>
      <c r="G757" s="26" t="n">
        <f aca="false">F757/49</f>
        <v>0.63265306122449</v>
      </c>
      <c r="H757" s="25" t="n">
        <f aca="false">49-SUMPRODUCT(--((('Yellow Bosses'!$H$5:$H$53&gt;=1)+('Yellow Bosses'!$M$5:$M$53&gt;=1)+('Yellow Bosses'!$T$5:$T$53&gt;=1)+('Yellow Bosses'!$V$5:$V$53&gt;=1))&gt;0))</f>
        <v>0</v>
      </c>
      <c r="I757" s="25" t="n">
        <f aca="false">SUMPRODUCT(--((('Yellow Bosses'!$H$5:$H$53&gt;0)+('Yellow Bosses'!$M$5:$M$53&gt;0)+('Yellow Bosses'!$T$5:$T$53&gt;0)+('Yellow Bosses'!$V$5:$V$53&gt;0))=0))</f>
        <v>0</v>
      </c>
      <c r="J757" s="25" t="n">
        <f aca="false">SUMPRODUCT(--(((Effectiveness!$E$5:$E$155&gt;=2)+(Effectiveness!$J$5:$J$155&gt;=2)+(Effectiveness!$Q$5:$Q$155&gt;=2)+(Effectiveness!$S$5:$S$155&gt;=2))&gt;0))</f>
        <v>71</v>
      </c>
      <c r="K757" s="26" t="n">
        <f aca="false">J757/151</f>
        <v>0.470198675496689</v>
      </c>
      <c r="L757" s="25" t="n">
        <f aca="false">MIN(INDEX('Move Reality'!$F$5:$F$19,MATCH(B757,'Move Reality'!$A$5:$A$19,0)),INDEX('Move Reality'!$F$5:$F$19,MATCH(C757,'Move Reality'!$A$5:$A$19,0)),INDEX('Move Reality'!$F$5:$F$19,MATCH(D757,'Move Reality'!$A$5:$A$19,0)),INDEX('Move Reality'!$F$5:$F$19,MATCH(E757,'Move Reality'!$A$5:$A$19,0)))</f>
        <v>1</v>
      </c>
      <c r="M757" s="28" t="str">
        <f aca="false">IF(L757&gt;=5,"YES","no - dead move")</f>
        <v>no - dead move</v>
      </c>
    </row>
    <row r="758" customFormat="false" ht="15" hidden="false" customHeight="false" outlineLevel="0" collapsed="false">
      <c r="A758" s="17" t="n">
        <v>754</v>
      </c>
      <c r="B758" s="17" t="s">
        <v>41</v>
      </c>
      <c r="C758" s="17" t="s">
        <v>42</v>
      </c>
      <c r="D758" s="17" t="s">
        <v>45</v>
      </c>
      <c r="E758" s="17" t="s">
        <v>52</v>
      </c>
      <c r="F758" s="25" t="n">
        <f aca="false">SUMPRODUCT(--((('Yellow Bosses'!$I$5:$I$53&gt;=2)+('Yellow Bosses'!$J$5:$J$53&gt;=2)+('Yellow Bosses'!$M$5:$M$53&gt;=2)+('Yellow Bosses'!$T$5:$T$53&gt;=2))&gt;0))</f>
        <v>31</v>
      </c>
      <c r="G758" s="26" t="n">
        <f aca="false">F758/49</f>
        <v>0.63265306122449</v>
      </c>
      <c r="H758" s="25" t="n">
        <f aca="false">49-SUMPRODUCT(--((('Yellow Bosses'!$I$5:$I$53&gt;=1)+('Yellow Bosses'!$J$5:$J$53&gt;=1)+('Yellow Bosses'!$M$5:$M$53&gt;=1)+('Yellow Bosses'!$T$5:$T$53&gt;=1))&gt;0))</f>
        <v>0</v>
      </c>
      <c r="I758" s="25" t="n">
        <f aca="false">SUMPRODUCT(--((('Yellow Bosses'!$I$5:$I$53&gt;0)+('Yellow Bosses'!$J$5:$J$53&gt;0)+('Yellow Bosses'!$M$5:$M$53&gt;0)+('Yellow Bosses'!$T$5:$T$53&gt;0))=0))</f>
        <v>0</v>
      </c>
      <c r="J758" s="25" t="n">
        <f aca="false">SUMPRODUCT(--(((Effectiveness!$F$5:$F$155&gt;=2)+(Effectiveness!$G$5:$G$155&gt;=2)+(Effectiveness!$J$5:$J$155&gt;=2)+(Effectiveness!$Q$5:$Q$155&gt;=2))&gt;0))</f>
        <v>71</v>
      </c>
      <c r="K758" s="26" t="n">
        <f aca="false">J758/151</f>
        <v>0.470198675496689</v>
      </c>
      <c r="L758" s="25" t="n">
        <f aca="false">MIN(INDEX('Move Reality'!$F$5:$F$19,MATCH(B758,'Move Reality'!$A$5:$A$19,0)),INDEX('Move Reality'!$F$5:$F$19,MATCH(C758,'Move Reality'!$A$5:$A$19,0)),INDEX('Move Reality'!$F$5:$F$19,MATCH(D758,'Move Reality'!$A$5:$A$19,0)),INDEX('Move Reality'!$F$5:$F$19,MATCH(E758,'Move Reality'!$A$5:$A$19,0)))</f>
        <v>6</v>
      </c>
      <c r="M758" s="28" t="str">
        <f aca="false">IF(L758&gt;=5,"YES","no - dead move")</f>
        <v>YES</v>
      </c>
    </row>
    <row r="759" customFormat="false" ht="15" hidden="false" customHeight="false" outlineLevel="0" collapsed="false">
      <c r="A759" s="17" t="n">
        <v>755</v>
      </c>
      <c r="B759" s="17" t="s">
        <v>41</v>
      </c>
      <c r="C759" s="17" t="s">
        <v>42</v>
      </c>
      <c r="D759" s="17" t="s">
        <v>52</v>
      </c>
      <c r="E759" s="17" t="s">
        <v>54</v>
      </c>
      <c r="F759" s="25" t="n">
        <f aca="false">SUMPRODUCT(--((('Yellow Bosses'!$I$5:$I$53&gt;=2)+('Yellow Bosses'!$J$5:$J$53&gt;=2)+('Yellow Bosses'!$T$5:$T$53&gt;=2)+('Yellow Bosses'!$V$5:$V$53&gt;=2))&gt;0))</f>
        <v>31</v>
      </c>
      <c r="G759" s="26" t="n">
        <f aca="false">F759/49</f>
        <v>0.63265306122449</v>
      </c>
      <c r="H759" s="25" t="n">
        <f aca="false">49-SUMPRODUCT(--((('Yellow Bosses'!$I$5:$I$53&gt;=1)+('Yellow Bosses'!$J$5:$J$53&gt;=1)+('Yellow Bosses'!$T$5:$T$53&gt;=1)+('Yellow Bosses'!$V$5:$V$53&gt;=1))&gt;0))</f>
        <v>0</v>
      </c>
      <c r="I759" s="25" t="n">
        <f aca="false">SUMPRODUCT(--((('Yellow Bosses'!$I$5:$I$53&gt;0)+('Yellow Bosses'!$J$5:$J$53&gt;0)+('Yellow Bosses'!$T$5:$T$53&gt;0)+('Yellow Bosses'!$V$5:$V$53&gt;0))=0))</f>
        <v>0</v>
      </c>
      <c r="J759" s="25" t="n">
        <f aca="false">SUMPRODUCT(--(((Effectiveness!$F$5:$F$155&gt;=2)+(Effectiveness!$G$5:$G$155&gt;=2)+(Effectiveness!$Q$5:$Q$155&gt;=2)+(Effectiveness!$S$5:$S$155&gt;=2))&gt;0))</f>
        <v>71</v>
      </c>
      <c r="K759" s="26" t="n">
        <f aca="false">J759/151</f>
        <v>0.470198675496689</v>
      </c>
      <c r="L759" s="25" t="n">
        <f aca="false">MIN(INDEX('Move Reality'!$F$5:$F$19,MATCH(B759,'Move Reality'!$A$5:$A$19,0)),INDEX('Move Reality'!$F$5:$F$19,MATCH(C759,'Move Reality'!$A$5:$A$19,0)),INDEX('Move Reality'!$F$5:$F$19,MATCH(D759,'Move Reality'!$A$5:$A$19,0)),INDEX('Move Reality'!$F$5:$F$19,MATCH(E759,'Move Reality'!$A$5:$A$19,0)))</f>
        <v>1</v>
      </c>
      <c r="M759" s="28" t="str">
        <f aca="false">IF(L759&gt;=5,"YES","no - dead move")</f>
        <v>no - dead move</v>
      </c>
    </row>
    <row r="760" customFormat="false" ht="15" hidden="false" customHeight="false" outlineLevel="0" collapsed="false">
      <c r="A760" s="17" t="n">
        <v>756</v>
      </c>
      <c r="B760" s="17" t="s">
        <v>41</v>
      </c>
      <c r="C760" s="17" t="s">
        <v>45</v>
      </c>
      <c r="D760" s="17" t="s">
        <v>47</v>
      </c>
      <c r="E760" s="17" t="s">
        <v>52</v>
      </c>
      <c r="F760" s="25" t="n">
        <f aca="false">SUMPRODUCT(--((('Yellow Bosses'!$I$5:$I$53&gt;=2)+('Yellow Bosses'!$M$5:$M$53&gt;=2)+('Yellow Bosses'!$O$5:$O$53&gt;=2)+('Yellow Bosses'!$T$5:$T$53&gt;=2))&gt;0))</f>
        <v>31</v>
      </c>
      <c r="G760" s="26" t="n">
        <f aca="false">F760/49</f>
        <v>0.63265306122449</v>
      </c>
      <c r="H760" s="25" t="n">
        <f aca="false">49-SUMPRODUCT(--((('Yellow Bosses'!$I$5:$I$53&gt;=1)+('Yellow Bosses'!$M$5:$M$53&gt;=1)+('Yellow Bosses'!$O$5:$O$53&gt;=1)+('Yellow Bosses'!$T$5:$T$53&gt;=1))&gt;0))</f>
        <v>0</v>
      </c>
      <c r="I760" s="25" t="n">
        <f aca="false">SUMPRODUCT(--((('Yellow Bosses'!$I$5:$I$53&gt;0)+('Yellow Bosses'!$M$5:$M$53&gt;0)+('Yellow Bosses'!$O$5:$O$53&gt;0)+('Yellow Bosses'!$T$5:$T$53&gt;0))=0))</f>
        <v>0</v>
      </c>
      <c r="J760" s="25" t="n">
        <f aca="false">SUMPRODUCT(--(((Effectiveness!$F$5:$F$155&gt;=2)+(Effectiveness!$J$5:$J$155&gt;=2)+(Effectiveness!$L$5:$L$155&gt;=2)+(Effectiveness!$Q$5:$Q$155&gt;=2))&gt;0))</f>
        <v>71</v>
      </c>
      <c r="K760" s="26" t="n">
        <f aca="false">J760/151</f>
        <v>0.470198675496689</v>
      </c>
      <c r="L760" s="25" t="n">
        <f aca="false">MIN(INDEX('Move Reality'!$F$5:$F$19,MATCH(B760,'Move Reality'!$A$5:$A$19,0)),INDEX('Move Reality'!$F$5:$F$19,MATCH(C760,'Move Reality'!$A$5:$A$19,0)),INDEX('Move Reality'!$F$5:$F$19,MATCH(D760,'Move Reality'!$A$5:$A$19,0)),INDEX('Move Reality'!$F$5:$F$19,MATCH(E760,'Move Reality'!$A$5:$A$19,0)))</f>
        <v>2</v>
      </c>
      <c r="M760" s="28" t="str">
        <f aca="false">IF(L760&gt;=5,"YES","no - dead move")</f>
        <v>no - dead move</v>
      </c>
    </row>
    <row r="761" customFormat="false" ht="15" hidden="false" customHeight="false" outlineLevel="0" collapsed="false">
      <c r="A761" s="17" t="n">
        <v>757</v>
      </c>
      <c r="B761" s="17" t="s">
        <v>41</v>
      </c>
      <c r="C761" s="17" t="s">
        <v>45</v>
      </c>
      <c r="D761" s="17" t="s">
        <v>52</v>
      </c>
      <c r="E761" s="17" t="s">
        <v>54</v>
      </c>
      <c r="F761" s="25" t="n">
        <f aca="false">SUMPRODUCT(--((('Yellow Bosses'!$I$5:$I$53&gt;=2)+('Yellow Bosses'!$M$5:$M$53&gt;=2)+('Yellow Bosses'!$T$5:$T$53&gt;=2)+('Yellow Bosses'!$V$5:$V$53&gt;=2))&gt;0))</f>
        <v>31</v>
      </c>
      <c r="G761" s="26" t="n">
        <f aca="false">F761/49</f>
        <v>0.63265306122449</v>
      </c>
      <c r="H761" s="25" t="n">
        <f aca="false">49-SUMPRODUCT(--((('Yellow Bosses'!$I$5:$I$53&gt;=1)+('Yellow Bosses'!$M$5:$M$53&gt;=1)+('Yellow Bosses'!$T$5:$T$53&gt;=1)+('Yellow Bosses'!$V$5:$V$53&gt;=1))&gt;0))</f>
        <v>0</v>
      </c>
      <c r="I761" s="25" t="n">
        <f aca="false">SUMPRODUCT(--((('Yellow Bosses'!$I$5:$I$53&gt;0)+('Yellow Bosses'!$M$5:$M$53&gt;0)+('Yellow Bosses'!$T$5:$T$53&gt;0)+('Yellow Bosses'!$V$5:$V$53&gt;0))=0))</f>
        <v>0</v>
      </c>
      <c r="J761" s="25" t="n">
        <f aca="false">SUMPRODUCT(--(((Effectiveness!$F$5:$F$155&gt;=2)+(Effectiveness!$J$5:$J$155&gt;=2)+(Effectiveness!$Q$5:$Q$155&gt;=2)+(Effectiveness!$S$5:$S$155&gt;=2))&gt;0))</f>
        <v>71</v>
      </c>
      <c r="K761" s="26" t="n">
        <f aca="false">J761/151</f>
        <v>0.470198675496689</v>
      </c>
      <c r="L761" s="25" t="n">
        <f aca="false">MIN(INDEX('Move Reality'!$F$5:$F$19,MATCH(B761,'Move Reality'!$A$5:$A$19,0)),INDEX('Move Reality'!$F$5:$F$19,MATCH(C761,'Move Reality'!$A$5:$A$19,0)),INDEX('Move Reality'!$F$5:$F$19,MATCH(D761,'Move Reality'!$A$5:$A$19,0)),INDEX('Move Reality'!$F$5:$F$19,MATCH(E761,'Move Reality'!$A$5:$A$19,0)))</f>
        <v>1</v>
      </c>
      <c r="M761" s="28" t="str">
        <f aca="false">IF(L761&gt;=5,"YES","no - dead move")</f>
        <v>no - dead move</v>
      </c>
    </row>
    <row r="762" customFormat="false" ht="15" hidden="false" customHeight="false" outlineLevel="0" collapsed="false">
      <c r="A762" s="17" t="n">
        <v>758</v>
      </c>
      <c r="B762" s="17" t="s">
        <v>42</v>
      </c>
      <c r="C762" s="17" t="s">
        <v>45</v>
      </c>
      <c r="D762" s="17" t="s">
        <v>47</v>
      </c>
      <c r="E762" s="17" t="s">
        <v>52</v>
      </c>
      <c r="F762" s="25" t="n">
        <f aca="false">SUMPRODUCT(--((('Yellow Bosses'!$J$5:$J$53&gt;=2)+('Yellow Bosses'!$M$5:$M$53&gt;=2)+('Yellow Bosses'!$O$5:$O$53&gt;=2)+('Yellow Bosses'!$T$5:$T$53&gt;=2))&gt;0))</f>
        <v>31</v>
      </c>
      <c r="G762" s="26" t="n">
        <f aca="false">F762/49</f>
        <v>0.63265306122449</v>
      </c>
      <c r="H762" s="25" t="n">
        <f aca="false">49-SUMPRODUCT(--((('Yellow Bosses'!$J$5:$J$53&gt;=1)+('Yellow Bosses'!$M$5:$M$53&gt;=1)+('Yellow Bosses'!$O$5:$O$53&gt;=1)+('Yellow Bosses'!$T$5:$T$53&gt;=1))&gt;0))</f>
        <v>0</v>
      </c>
      <c r="I762" s="25" t="n">
        <f aca="false">SUMPRODUCT(--((('Yellow Bosses'!$J$5:$J$53&gt;0)+('Yellow Bosses'!$M$5:$M$53&gt;0)+('Yellow Bosses'!$O$5:$O$53&gt;0)+('Yellow Bosses'!$T$5:$T$53&gt;0))=0))</f>
        <v>0</v>
      </c>
      <c r="J762" s="25" t="n">
        <f aca="false">SUMPRODUCT(--(((Effectiveness!$G$5:$G$155&gt;=2)+(Effectiveness!$J$5:$J$155&gt;=2)+(Effectiveness!$L$5:$L$155&gt;=2)+(Effectiveness!$Q$5:$Q$155&gt;=2))&gt;0))</f>
        <v>71</v>
      </c>
      <c r="K762" s="26" t="n">
        <f aca="false">J762/151</f>
        <v>0.470198675496689</v>
      </c>
      <c r="L762" s="25" t="n">
        <f aca="false">MIN(INDEX('Move Reality'!$F$5:$F$19,MATCH(B762,'Move Reality'!$A$5:$A$19,0)),INDEX('Move Reality'!$F$5:$F$19,MATCH(C762,'Move Reality'!$A$5:$A$19,0)),INDEX('Move Reality'!$F$5:$F$19,MATCH(D762,'Move Reality'!$A$5:$A$19,0)),INDEX('Move Reality'!$F$5:$F$19,MATCH(E762,'Move Reality'!$A$5:$A$19,0)))</f>
        <v>2</v>
      </c>
      <c r="M762" s="28" t="str">
        <f aca="false">IF(L762&gt;=5,"YES","no - dead move")</f>
        <v>no - dead move</v>
      </c>
    </row>
    <row r="763" customFormat="false" ht="15" hidden="false" customHeight="false" outlineLevel="0" collapsed="false">
      <c r="A763" s="17" t="n">
        <v>759</v>
      </c>
      <c r="B763" s="17" t="s">
        <v>42</v>
      </c>
      <c r="C763" s="17" t="s">
        <v>45</v>
      </c>
      <c r="D763" s="17" t="s">
        <v>52</v>
      </c>
      <c r="E763" s="17" t="s">
        <v>54</v>
      </c>
      <c r="F763" s="25" t="n">
        <f aca="false">SUMPRODUCT(--((('Yellow Bosses'!$J$5:$J$53&gt;=2)+('Yellow Bosses'!$M$5:$M$53&gt;=2)+('Yellow Bosses'!$T$5:$T$53&gt;=2)+('Yellow Bosses'!$V$5:$V$53&gt;=2))&gt;0))</f>
        <v>31</v>
      </c>
      <c r="G763" s="26" t="n">
        <f aca="false">F763/49</f>
        <v>0.63265306122449</v>
      </c>
      <c r="H763" s="25" t="n">
        <f aca="false">49-SUMPRODUCT(--((('Yellow Bosses'!$J$5:$J$53&gt;=1)+('Yellow Bosses'!$M$5:$M$53&gt;=1)+('Yellow Bosses'!$T$5:$T$53&gt;=1)+('Yellow Bosses'!$V$5:$V$53&gt;=1))&gt;0))</f>
        <v>0</v>
      </c>
      <c r="I763" s="25" t="n">
        <f aca="false">SUMPRODUCT(--((('Yellow Bosses'!$J$5:$J$53&gt;0)+('Yellow Bosses'!$M$5:$M$53&gt;0)+('Yellow Bosses'!$T$5:$T$53&gt;0)+('Yellow Bosses'!$V$5:$V$53&gt;0))=0))</f>
        <v>0</v>
      </c>
      <c r="J763" s="25" t="n">
        <f aca="false">SUMPRODUCT(--(((Effectiveness!$G$5:$G$155&gt;=2)+(Effectiveness!$J$5:$J$155&gt;=2)+(Effectiveness!$Q$5:$Q$155&gt;=2)+(Effectiveness!$S$5:$S$155&gt;=2))&gt;0))</f>
        <v>71</v>
      </c>
      <c r="K763" s="26" t="n">
        <f aca="false">J763/151</f>
        <v>0.470198675496689</v>
      </c>
      <c r="L763" s="25" t="n">
        <f aca="false">MIN(INDEX('Move Reality'!$F$5:$F$19,MATCH(B763,'Move Reality'!$A$5:$A$19,0)),INDEX('Move Reality'!$F$5:$F$19,MATCH(C763,'Move Reality'!$A$5:$A$19,0)),INDEX('Move Reality'!$F$5:$F$19,MATCH(D763,'Move Reality'!$A$5:$A$19,0)),INDEX('Move Reality'!$F$5:$F$19,MATCH(E763,'Move Reality'!$A$5:$A$19,0)))</f>
        <v>1</v>
      </c>
      <c r="M763" s="28" t="str">
        <f aca="false">IF(L763&gt;=5,"YES","no - dead move")</f>
        <v>no - dead move</v>
      </c>
    </row>
    <row r="764" customFormat="false" ht="15" hidden="false" customHeight="false" outlineLevel="0" collapsed="false">
      <c r="A764" s="17" t="n">
        <v>760</v>
      </c>
      <c r="B764" s="17" t="s">
        <v>45</v>
      </c>
      <c r="C764" s="17" t="s">
        <v>47</v>
      </c>
      <c r="D764" s="17" t="s">
        <v>52</v>
      </c>
      <c r="E764" s="17" t="s">
        <v>54</v>
      </c>
      <c r="F764" s="25" t="n">
        <f aca="false">SUMPRODUCT(--((('Yellow Bosses'!$M$5:$M$53&gt;=2)+('Yellow Bosses'!$O$5:$O$53&gt;=2)+('Yellow Bosses'!$T$5:$T$53&gt;=2)+('Yellow Bosses'!$V$5:$V$53&gt;=2))&gt;0))</f>
        <v>31</v>
      </c>
      <c r="G764" s="26" t="n">
        <f aca="false">F764/49</f>
        <v>0.63265306122449</v>
      </c>
      <c r="H764" s="25" t="n">
        <f aca="false">49-SUMPRODUCT(--((('Yellow Bosses'!$M$5:$M$53&gt;=1)+('Yellow Bosses'!$O$5:$O$53&gt;=1)+('Yellow Bosses'!$T$5:$T$53&gt;=1)+('Yellow Bosses'!$V$5:$V$53&gt;=1))&gt;0))</f>
        <v>0</v>
      </c>
      <c r="I764" s="25" t="n">
        <f aca="false">SUMPRODUCT(--((('Yellow Bosses'!$M$5:$M$53&gt;0)+('Yellow Bosses'!$O$5:$O$53&gt;0)+('Yellow Bosses'!$T$5:$T$53&gt;0)+('Yellow Bosses'!$V$5:$V$53&gt;0))=0))</f>
        <v>0</v>
      </c>
      <c r="J764" s="25" t="n">
        <f aca="false">SUMPRODUCT(--(((Effectiveness!$J$5:$J$155&gt;=2)+(Effectiveness!$L$5:$L$155&gt;=2)+(Effectiveness!$Q$5:$Q$155&gt;=2)+(Effectiveness!$S$5:$S$155&gt;=2))&gt;0))</f>
        <v>71</v>
      </c>
      <c r="K764" s="26" t="n">
        <f aca="false">J764/151</f>
        <v>0.470198675496689</v>
      </c>
      <c r="L764" s="25" t="n">
        <f aca="false">MIN(INDEX('Move Reality'!$F$5:$F$19,MATCH(B764,'Move Reality'!$A$5:$A$19,0)),INDEX('Move Reality'!$F$5:$F$19,MATCH(C764,'Move Reality'!$A$5:$A$19,0)),INDEX('Move Reality'!$F$5:$F$19,MATCH(D764,'Move Reality'!$A$5:$A$19,0)),INDEX('Move Reality'!$F$5:$F$19,MATCH(E764,'Move Reality'!$A$5:$A$19,0)))</f>
        <v>1</v>
      </c>
      <c r="M764" s="28" t="str">
        <f aca="false">IF(L764&gt;=5,"YES","no - dead move")</f>
        <v>no - dead move</v>
      </c>
    </row>
    <row r="765" customFormat="false" ht="15" hidden="false" customHeight="false" outlineLevel="0" collapsed="false">
      <c r="A765" s="17" t="n">
        <v>761</v>
      </c>
      <c r="B765" s="17" t="s">
        <v>40</v>
      </c>
      <c r="C765" s="17" t="s">
        <v>42</v>
      </c>
      <c r="D765" s="17" t="s">
        <v>50</v>
      </c>
      <c r="E765" s="17" t="s">
        <v>54</v>
      </c>
      <c r="F765" s="25" t="n">
        <f aca="false">SUMPRODUCT(--((('Yellow Bosses'!$H$5:$H$53&gt;=2)+('Yellow Bosses'!$J$5:$J$53&gt;=2)+('Yellow Bosses'!$R$5:$R$53&gt;=2)+('Yellow Bosses'!$V$5:$V$53&gt;=2))&gt;0))</f>
        <v>31</v>
      </c>
      <c r="G765" s="26" t="n">
        <f aca="false">F765/49</f>
        <v>0.63265306122449</v>
      </c>
      <c r="H765" s="25" t="n">
        <f aca="false">49-SUMPRODUCT(--((('Yellow Bosses'!$H$5:$H$53&gt;=1)+('Yellow Bosses'!$J$5:$J$53&gt;=1)+('Yellow Bosses'!$R$5:$R$53&gt;=1)+('Yellow Bosses'!$V$5:$V$53&gt;=1))&gt;0))</f>
        <v>0</v>
      </c>
      <c r="I765" s="25" t="n">
        <f aca="false">SUMPRODUCT(--((('Yellow Bosses'!$H$5:$H$53&gt;0)+('Yellow Bosses'!$J$5:$J$53&gt;0)+('Yellow Bosses'!$R$5:$R$53&gt;0)+('Yellow Bosses'!$V$5:$V$53&gt;0))=0))</f>
        <v>0</v>
      </c>
      <c r="J765" s="25" t="n">
        <f aca="false">SUMPRODUCT(--(((Effectiveness!$E$5:$E$155&gt;=2)+(Effectiveness!$G$5:$G$155&gt;=2)+(Effectiveness!$O$5:$O$155&gt;=2)+(Effectiveness!$S$5:$S$155&gt;=2))&gt;0))</f>
        <v>69</v>
      </c>
      <c r="K765" s="26" t="n">
        <f aca="false">J765/151</f>
        <v>0.456953642384106</v>
      </c>
      <c r="L765" s="25" t="n">
        <f aca="false">MIN(INDEX('Move Reality'!$F$5:$F$19,MATCH(B765,'Move Reality'!$A$5:$A$19,0)),INDEX('Move Reality'!$F$5:$F$19,MATCH(C765,'Move Reality'!$A$5:$A$19,0)),INDEX('Move Reality'!$F$5:$F$19,MATCH(D765,'Move Reality'!$A$5:$A$19,0)),INDEX('Move Reality'!$F$5:$F$19,MATCH(E765,'Move Reality'!$A$5:$A$19,0)))</f>
        <v>1</v>
      </c>
      <c r="M765" s="28" t="str">
        <f aca="false">IF(L765&gt;=5,"YES","no - dead move")</f>
        <v>no - dead move</v>
      </c>
    </row>
    <row r="766" customFormat="false" ht="15" hidden="false" customHeight="false" outlineLevel="0" collapsed="false">
      <c r="A766" s="17" t="n">
        <v>762</v>
      </c>
      <c r="B766" s="17" t="s">
        <v>42</v>
      </c>
      <c r="C766" s="17" t="s">
        <v>50</v>
      </c>
      <c r="D766" s="17" t="s">
        <v>53</v>
      </c>
      <c r="E766" s="17" t="s">
        <v>54</v>
      </c>
      <c r="F766" s="25" t="n">
        <f aca="false">SUMPRODUCT(--((('Yellow Bosses'!$J$5:$J$53&gt;=2)+('Yellow Bosses'!$R$5:$R$53&gt;=2)+('Yellow Bosses'!$U$5:$U$53&gt;=2)+('Yellow Bosses'!$V$5:$V$53&gt;=2))&gt;0))</f>
        <v>31</v>
      </c>
      <c r="G766" s="26" t="n">
        <f aca="false">F766/49</f>
        <v>0.63265306122449</v>
      </c>
      <c r="H766" s="25" t="n">
        <f aca="false">49-SUMPRODUCT(--((('Yellow Bosses'!$J$5:$J$53&gt;=1)+('Yellow Bosses'!$R$5:$R$53&gt;=1)+('Yellow Bosses'!$U$5:$U$53&gt;=1)+('Yellow Bosses'!$V$5:$V$53&gt;=1))&gt;0))</f>
        <v>0</v>
      </c>
      <c r="I766" s="25" t="n">
        <f aca="false">SUMPRODUCT(--((('Yellow Bosses'!$J$5:$J$53&gt;0)+('Yellow Bosses'!$R$5:$R$53&gt;0)+('Yellow Bosses'!$U$5:$U$53&gt;0)+('Yellow Bosses'!$V$5:$V$53&gt;0))=0))</f>
        <v>0</v>
      </c>
      <c r="J766" s="25" t="n">
        <f aca="false">SUMPRODUCT(--(((Effectiveness!$G$5:$G$155&gt;=2)+(Effectiveness!$O$5:$O$155&gt;=2)+(Effectiveness!$R$5:$R$155&gt;=2)+(Effectiveness!$S$5:$S$155&gt;=2))&gt;0))</f>
        <v>69</v>
      </c>
      <c r="K766" s="26" t="n">
        <f aca="false">J766/151</f>
        <v>0.456953642384106</v>
      </c>
      <c r="L766" s="25" t="n">
        <f aca="false">MIN(INDEX('Move Reality'!$F$5:$F$19,MATCH(B766,'Move Reality'!$A$5:$A$19,0)),INDEX('Move Reality'!$F$5:$F$19,MATCH(C766,'Move Reality'!$A$5:$A$19,0)),INDEX('Move Reality'!$F$5:$F$19,MATCH(D766,'Move Reality'!$A$5:$A$19,0)),INDEX('Move Reality'!$F$5:$F$19,MATCH(E766,'Move Reality'!$A$5:$A$19,0)))</f>
        <v>1</v>
      </c>
      <c r="M766" s="28" t="str">
        <f aca="false">IF(L766&gt;=5,"YES","no - dead move")</f>
        <v>no - dead move</v>
      </c>
    </row>
    <row r="767" customFormat="false" ht="15" hidden="false" customHeight="false" outlineLevel="0" collapsed="false">
      <c r="A767" s="17" t="n">
        <v>763</v>
      </c>
      <c r="B767" s="17" t="s">
        <v>42</v>
      </c>
      <c r="C767" s="17" t="s">
        <v>49</v>
      </c>
      <c r="D767" s="17" t="s">
        <v>53</v>
      </c>
      <c r="E767" s="17" t="s">
        <v>54</v>
      </c>
      <c r="F767" s="25" t="n">
        <f aca="false">SUMPRODUCT(--((('Yellow Bosses'!$J$5:$J$53&gt;=2)+('Yellow Bosses'!$Q$5:$Q$53&gt;=2)+('Yellow Bosses'!$U$5:$U$53&gt;=2)+('Yellow Bosses'!$V$5:$V$53&gt;=2))&gt;0))</f>
        <v>31</v>
      </c>
      <c r="G767" s="26" t="n">
        <f aca="false">F767/49</f>
        <v>0.63265306122449</v>
      </c>
      <c r="H767" s="25" t="n">
        <f aca="false">49-SUMPRODUCT(--((('Yellow Bosses'!$J$5:$J$53&gt;=1)+('Yellow Bosses'!$Q$5:$Q$53&gt;=1)+('Yellow Bosses'!$U$5:$U$53&gt;=1)+('Yellow Bosses'!$V$5:$V$53&gt;=1))&gt;0))</f>
        <v>0</v>
      </c>
      <c r="I767" s="25" t="n">
        <f aca="false">SUMPRODUCT(--((('Yellow Bosses'!$J$5:$J$53&gt;0)+('Yellow Bosses'!$Q$5:$Q$53&gt;0)+('Yellow Bosses'!$U$5:$U$53&gt;0)+('Yellow Bosses'!$V$5:$V$53&gt;0))=0))</f>
        <v>0</v>
      </c>
      <c r="J767" s="25" t="n">
        <f aca="false">SUMPRODUCT(--(((Effectiveness!$G$5:$G$155&gt;=2)+(Effectiveness!$N$5:$N$155&gt;=2)+(Effectiveness!$R$5:$R$155&gt;=2)+(Effectiveness!$S$5:$S$155&gt;=2))&gt;0))</f>
        <v>65</v>
      </c>
      <c r="K767" s="26" t="n">
        <f aca="false">J767/151</f>
        <v>0.43046357615894</v>
      </c>
      <c r="L767" s="25" t="n">
        <f aca="false">MIN(INDEX('Move Reality'!$F$5:$F$19,MATCH(B767,'Move Reality'!$A$5:$A$19,0)),INDEX('Move Reality'!$F$5:$F$19,MATCH(C767,'Move Reality'!$A$5:$A$19,0)),INDEX('Move Reality'!$F$5:$F$19,MATCH(D767,'Move Reality'!$A$5:$A$19,0)),INDEX('Move Reality'!$F$5:$F$19,MATCH(E767,'Move Reality'!$A$5:$A$19,0)))</f>
        <v>1</v>
      </c>
      <c r="M767" s="28" t="str">
        <f aca="false">IF(L767&gt;=5,"YES","no - dead move")</f>
        <v>no - dead move</v>
      </c>
    </row>
    <row r="768" customFormat="false" ht="15" hidden="false" customHeight="false" outlineLevel="0" collapsed="false">
      <c r="A768" s="17" t="n">
        <v>764</v>
      </c>
      <c r="B768" s="17" t="s">
        <v>43</v>
      </c>
      <c r="C768" s="17" t="s">
        <v>46</v>
      </c>
      <c r="D768" s="17" t="s">
        <v>47</v>
      </c>
      <c r="E768" s="17" t="s">
        <v>48</v>
      </c>
      <c r="F768" s="25" t="n">
        <f aca="false">SUMPRODUCT(--((('Yellow Bosses'!$K$5:$K$53&gt;=2)+('Yellow Bosses'!$N$5:$N$53&gt;=2)+('Yellow Bosses'!$O$5:$O$53&gt;=2)+('Yellow Bosses'!$P$5:$P$53&gt;=2))&gt;0))</f>
        <v>30</v>
      </c>
      <c r="G768" s="26" t="n">
        <f aca="false">F768/49</f>
        <v>0.612244897959184</v>
      </c>
      <c r="H768" s="25" t="n">
        <f aca="false">49-SUMPRODUCT(--((('Yellow Bosses'!$K$5:$K$53&gt;=1)+('Yellow Bosses'!$N$5:$N$53&gt;=1)+('Yellow Bosses'!$O$5:$O$53&gt;=1)+('Yellow Bosses'!$P$5:$P$53&gt;=1))&gt;0))</f>
        <v>0</v>
      </c>
      <c r="I768" s="25" t="n">
        <f aca="false">SUMPRODUCT(--((('Yellow Bosses'!$K$5:$K$53&gt;0)+('Yellow Bosses'!$N$5:$N$53&gt;0)+('Yellow Bosses'!$O$5:$O$53&gt;0)+('Yellow Bosses'!$P$5:$P$53&gt;0))=0))</f>
        <v>0</v>
      </c>
      <c r="J768" s="25" t="n">
        <f aca="false">SUMPRODUCT(--(((Effectiveness!$H$5:$H$155&gt;=2)+(Effectiveness!$K$5:$K$155&gt;=2)+(Effectiveness!$L$5:$L$155&gt;=2)+(Effectiveness!$M$5:$M$155&gt;=2))&gt;0))</f>
        <v>111</v>
      </c>
      <c r="K768" s="26" t="n">
        <f aca="false">J768/151</f>
        <v>0.735099337748344</v>
      </c>
      <c r="L768" s="25" t="n">
        <f aca="false">MIN(INDEX('Move Reality'!$F$5:$F$19,MATCH(B768,'Move Reality'!$A$5:$A$19,0)),INDEX('Move Reality'!$F$5:$F$19,MATCH(C768,'Move Reality'!$A$5:$A$19,0)),INDEX('Move Reality'!$F$5:$F$19,MATCH(D768,'Move Reality'!$A$5:$A$19,0)),INDEX('Move Reality'!$F$5:$F$19,MATCH(E768,'Move Reality'!$A$5:$A$19,0)))</f>
        <v>2</v>
      </c>
      <c r="M768" s="28" t="str">
        <f aca="false">IF(L768&gt;=5,"YES","no - dead move")</f>
        <v>no - dead move</v>
      </c>
    </row>
    <row r="769" customFormat="false" ht="15" hidden="false" customHeight="false" outlineLevel="0" collapsed="false">
      <c r="A769" s="17" t="n">
        <v>765</v>
      </c>
      <c r="B769" s="17" t="s">
        <v>42</v>
      </c>
      <c r="C769" s="17" t="s">
        <v>43</v>
      </c>
      <c r="D769" s="17" t="s">
        <v>46</v>
      </c>
      <c r="E769" s="17" t="s">
        <v>48</v>
      </c>
      <c r="F769" s="25" t="n">
        <f aca="false">SUMPRODUCT(--((('Yellow Bosses'!$J$5:$J$53&gt;=2)+('Yellow Bosses'!$K$5:$K$53&gt;=2)+('Yellow Bosses'!$N$5:$N$53&gt;=2)+('Yellow Bosses'!$P$5:$P$53&gt;=2))&gt;0))</f>
        <v>30</v>
      </c>
      <c r="G769" s="26" t="n">
        <f aca="false">F769/49</f>
        <v>0.612244897959184</v>
      </c>
      <c r="H769" s="25" t="n">
        <f aca="false">49-SUMPRODUCT(--((('Yellow Bosses'!$J$5:$J$53&gt;=1)+('Yellow Bosses'!$K$5:$K$53&gt;=1)+('Yellow Bosses'!$N$5:$N$53&gt;=1)+('Yellow Bosses'!$P$5:$P$53&gt;=1))&gt;0))</f>
        <v>1</v>
      </c>
      <c r="I769" s="25" t="n">
        <f aca="false">SUMPRODUCT(--((('Yellow Bosses'!$J$5:$J$53&gt;0)+('Yellow Bosses'!$K$5:$K$53&gt;0)+('Yellow Bosses'!$N$5:$N$53&gt;0)+('Yellow Bosses'!$P$5:$P$53&gt;0))=0))</f>
        <v>0</v>
      </c>
      <c r="J769" s="25" t="n">
        <f aca="false">SUMPRODUCT(--(((Effectiveness!$G$5:$G$155&gt;=2)+(Effectiveness!$H$5:$H$155&gt;=2)+(Effectiveness!$K$5:$K$155&gt;=2)+(Effectiveness!$M$5:$M$155&gt;=2))&gt;0))</f>
        <v>109</v>
      </c>
      <c r="K769" s="26" t="n">
        <f aca="false">J769/151</f>
        <v>0.721854304635762</v>
      </c>
      <c r="L769" s="25" t="n">
        <f aca="false">MIN(INDEX('Move Reality'!$F$5:$F$19,MATCH(B769,'Move Reality'!$A$5:$A$19,0)),INDEX('Move Reality'!$F$5:$F$19,MATCH(C769,'Move Reality'!$A$5:$A$19,0)),INDEX('Move Reality'!$F$5:$F$19,MATCH(D769,'Move Reality'!$A$5:$A$19,0)),INDEX('Move Reality'!$F$5:$F$19,MATCH(E769,'Move Reality'!$A$5:$A$19,0)))</f>
        <v>5</v>
      </c>
      <c r="M769" s="28" t="str">
        <f aca="false">IF(L769&gt;=5,"YES","no - dead move")</f>
        <v>YES</v>
      </c>
    </row>
    <row r="770" customFormat="false" ht="15" hidden="false" customHeight="false" outlineLevel="0" collapsed="false">
      <c r="A770" s="17" t="n">
        <v>766</v>
      </c>
      <c r="B770" s="17" t="s">
        <v>43</v>
      </c>
      <c r="C770" s="17" t="s">
        <v>44</v>
      </c>
      <c r="D770" s="17" t="s">
        <v>46</v>
      </c>
      <c r="E770" s="17" t="s">
        <v>48</v>
      </c>
      <c r="F770" s="25" t="n">
        <f aca="false">SUMPRODUCT(--((('Yellow Bosses'!$K$5:$K$53&gt;=2)+('Yellow Bosses'!$L$5:$L$53&gt;=2)+('Yellow Bosses'!$N$5:$N$53&gt;=2)+('Yellow Bosses'!$P$5:$P$53&gt;=2))&gt;0))</f>
        <v>30</v>
      </c>
      <c r="G770" s="26" t="n">
        <f aca="false">F770/49</f>
        <v>0.612244897959184</v>
      </c>
      <c r="H770" s="25" t="n">
        <f aca="false">49-SUMPRODUCT(--((('Yellow Bosses'!$K$5:$K$53&gt;=1)+('Yellow Bosses'!$L$5:$L$53&gt;=1)+('Yellow Bosses'!$N$5:$N$53&gt;=1)+('Yellow Bosses'!$P$5:$P$53&gt;=1))&gt;0))</f>
        <v>1</v>
      </c>
      <c r="I770" s="25" t="n">
        <f aca="false">SUMPRODUCT(--((('Yellow Bosses'!$K$5:$K$53&gt;0)+('Yellow Bosses'!$L$5:$L$53&gt;0)+('Yellow Bosses'!$N$5:$N$53&gt;0)+('Yellow Bosses'!$P$5:$P$53&gt;0))=0))</f>
        <v>0</v>
      </c>
      <c r="J770" s="25" t="n">
        <f aca="false">SUMPRODUCT(--(((Effectiveness!$H$5:$H$155&gt;=2)+(Effectiveness!$I$5:$I$155&gt;=2)+(Effectiveness!$K$5:$K$155&gt;=2)+(Effectiveness!$M$5:$M$155&gt;=2))&gt;0))</f>
        <v>109</v>
      </c>
      <c r="K770" s="26" t="n">
        <f aca="false">J770/151</f>
        <v>0.721854304635762</v>
      </c>
      <c r="L770" s="25" t="n">
        <f aca="false">MIN(INDEX('Move Reality'!$F$5:$F$19,MATCH(B770,'Move Reality'!$A$5:$A$19,0)),INDEX('Move Reality'!$F$5:$F$19,MATCH(C770,'Move Reality'!$A$5:$A$19,0)),INDEX('Move Reality'!$F$5:$F$19,MATCH(D770,'Move Reality'!$A$5:$A$19,0)),INDEX('Move Reality'!$F$5:$F$19,MATCH(E770,'Move Reality'!$A$5:$A$19,0)))</f>
        <v>4</v>
      </c>
      <c r="M770" s="28" t="str">
        <f aca="false">IF(L770&gt;=5,"YES","no - dead move")</f>
        <v>no - dead move</v>
      </c>
    </row>
    <row r="771" customFormat="false" ht="15" hidden="false" customHeight="false" outlineLevel="0" collapsed="false">
      <c r="A771" s="17" t="n">
        <v>767</v>
      </c>
      <c r="B771" s="17" t="s">
        <v>41</v>
      </c>
      <c r="C771" s="17" t="s">
        <v>43</v>
      </c>
      <c r="D771" s="17" t="s">
        <v>46</v>
      </c>
      <c r="E771" s="17" t="s">
        <v>52</v>
      </c>
      <c r="F771" s="25" t="n">
        <f aca="false">SUMPRODUCT(--((('Yellow Bosses'!$I$5:$I$53&gt;=2)+('Yellow Bosses'!$K$5:$K$53&gt;=2)+('Yellow Bosses'!$N$5:$N$53&gt;=2)+('Yellow Bosses'!$T$5:$T$53&gt;=2))&gt;0))</f>
        <v>30</v>
      </c>
      <c r="G771" s="26" t="n">
        <f aca="false">F771/49</f>
        <v>0.612244897959184</v>
      </c>
      <c r="H771" s="25" t="n">
        <f aca="false">49-SUMPRODUCT(--((('Yellow Bosses'!$I$5:$I$53&gt;=1)+('Yellow Bosses'!$K$5:$K$53&gt;=1)+('Yellow Bosses'!$N$5:$N$53&gt;=1)+('Yellow Bosses'!$T$5:$T$53&gt;=1))&gt;0))</f>
        <v>0</v>
      </c>
      <c r="I771" s="25" t="n">
        <f aca="false">SUMPRODUCT(--((('Yellow Bosses'!$I$5:$I$53&gt;0)+('Yellow Bosses'!$K$5:$K$53&gt;0)+('Yellow Bosses'!$N$5:$N$53&gt;0)+('Yellow Bosses'!$T$5:$T$53&gt;0))=0))</f>
        <v>0</v>
      </c>
      <c r="J771" s="25" t="n">
        <f aca="false">SUMPRODUCT(--(((Effectiveness!$F$5:$F$155&gt;=2)+(Effectiveness!$H$5:$H$155&gt;=2)+(Effectiveness!$K$5:$K$155&gt;=2)+(Effectiveness!$Q$5:$Q$155&gt;=2))&gt;0))</f>
        <v>105</v>
      </c>
      <c r="K771" s="26" t="n">
        <f aca="false">J771/151</f>
        <v>0.695364238410596</v>
      </c>
      <c r="L771" s="25" t="n">
        <f aca="false">MIN(INDEX('Move Reality'!$F$5:$F$19,MATCH(B771,'Move Reality'!$A$5:$A$19,0)),INDEX('Move Reality'!$F$5:$F$19,MATCH(C771,'Move Reality'!$A$5:$A$19,0)),INDEX('Move Reality'!$F$5:$F$19,MATCH(D771,'Move Reality'!$A$5:$A$19,0)),INDEX('Move Reality'!$F$5:$F$19,MATCH(E771,'Move Reality'!$A$5:$A$19,0)))</f>
        <v>5</v>
      </c>
      <c r="M771" s="28" t="str">
        <f aca="false">IF(L771&gt;=5,"YES","no - dead move")</f>
        <v>YES</v>
      </c>
    </row>
    <row r="772" customFormat="false" ht="15" hidden="false" customHeight="false" outlineLevel="0" collapsed="false">
      <c r="A772" s="17" t="n">
        <v>768</v>
      </c>
      <c r="B772" s="17" t="s">
        <v>42</v>
      </c>
      <c r="C772" s="17" t="s">
        <v>44</v>
      </c>
      <c r="D772" s="17" t="s">
        <v>45</v>
      </c>
      <c r="E772" s="17" t="s">
        <v>46</v>
      </c>
      <c r="F772" s="25" t="n">
        <f aca="false">SUMPRODUCT(--((('Yellow Bosses'!$J$5:$J$53&gt;=2)+('Yellow Bosses'!$L$5:$L$53&gt;=2)+('Yellow Bosses'!$M$5:$M$53&gt;=2)+('Yellow Bosses'!$N$5:$N$53&gt;=2))&gt;0))</f>
        <v>30</v>
      </c>
      <c r="G772" s="26" t="n">
        <f aca="false">F772/49</f>
        <v>0.612244897959184</v>
      </c>
      <c r="H772" s="25" t="n">
        <f aca="false">49-SUMPRODUCT(--((('Yellow Bosses'!$J$5:$J$53&gt;=1)+('Yellow Bosses'!$L$5:$L$53&gt;=1)+('Yellow Bosses'!$M$5:$M$53&gt;=1)+('Yellow Bosses'!$N$5:$N$53&gt;=1))&gt;0))</f>
        <v>0</v>
      </c>
      <c r="I772" s="25" t="n">
        <f aca="false">SUMPRODUCT(--((('Yellow Bosses'!$J$5:$J$53&gt;0)+('Yellow Bosses'!$L$5:$L$53&gt;0)+('Yellow Bosses'!$M$5:$M$53&gt;0)+('Yellow Bosses'!$N$5:$N$53&gt;0))=0))</f>
        <v>0</v>
      </c>
      <c r="J772" s="25" t="n">
        <f aca="false">SUMPRODUCT(--(((Effectiveness!$G$5:$G$155&gt;=2)+(Effectiveness!$I$5:$I$155&gt;=2)+(Effectiveness!$J$5:$J$155&gt;=2)+(Effectiveness!$K$5:$K$155&gt;=2))&gt;0))</f>
        <v>102</v>
      </c>
      <c r="K772" s="26" t="n">
        <f aca="false">J772/151</f>
        <v>0.675496688741722</v>
      </c>
      <c r="L772" s="25" t="n">
        <f aca="false">MIN(INDEX('Move Reality'!$F$5:$F$19,MATCH(B772,'Move Reality'!$A$5:$A$19,0)),INDEX('Move Reality'!$F$5:$F$19,MATCH(C772,'Move Reality'!$A$5:$A$19,0)),INDEX('Move Reality'!$F$5:$F$19,MATCH(D772,'Move Reality'!$A$5:$A$19,0)),INDEX('Move Reality'!$F$5:$F$19,MATCH(E772,'Move Reality'!$A$5:$A$19,0)))</f>
        <v>4</v>
      </c>
      <c r="M772" s="28" t="str">
        <f aca="false">IF(L772&gt;=5,"YES","no - dead move")</f>
        <v>no - dead move</v>
      </c>
    </row>
    <row r="773" customFormat="false" ht="15" hidden="false" customHeight="false" outlineLevel="0" collapsed="false">
      <c r="A773" s="17" t="n">
        <v>769</v>
      </c>
      <c r="B773" s="17" t="s">
        <v>43</v>
      </c>
      <c r="C773" s="17" t="s">
        <v>46</v>
      </c>
      <c r="D773" s="17" t="s">
        <v>49</v>
      </c>
      <c r="E773" s="17" t="s">
        <v>53</v>
      </c>
      <c r="F773" s="25" t="n">
        <f aca="false">SUMPRODUCT(--((('Yellow Bosses'!$K$5:$K$53&gt;=2)+('Yellow Bosses'!$N$5:$N$53&gt;=2)+('Yellow Bosses'!$Q$5:$Q$53&gt;=2)+('Yellow Bosses'!$U$5:$U$53&gt;=2))&gt;0))</f>
        <v>30</v>
      </c>
      <c r="G773" s="26" t="n">
        <f aca="false">F773/49</f>
        <v>0.612244897959184</v>
      </c>
      <c r="H773" s="25" t="n">
        <f aca="false">49-SUMPRODUCT(--((('Yellow Bosses'!$K$5:$K$53&gt;=1)+('Yellow Bosses'!$N$5:$N$53&gt;=1)+('Yellow Bosses'!$Q$5:$Q$53&gt;=1)+('Yellow Bosses'!$U$5:$U$53&gt;=1))&gt;0))</f>
        <v>0</v>
      </c>
      <c r="I773" s="25" t="n">
        <f aca="false">SUMPRODUCT(--((('Yellow Bosses'!$K$5:$K$53&gt;0)+('Yellow Bosses'!$N$5:$N$53&gt;0)+('Yellow Bosses'!$Q$5:$Q$53&gt;0)+('Yellow Bosses'!$U$5:$U$53&gt;0))=0))</f>
        <v>0</v>
      </c>
      <c r="J773" s="25" t="n">
        <f aca="false">SUMPRODUCT(--(((Effectiveness!$H$5:$H$155&gt;=2)+(Effectiveness!$K$5:$K$155&gt;=2)+(Effectiveness!$N$5:$N$155&gt;=2)+(Effectiveness!$R$5:$R$155&gt;=2))&gt;0))</f>
        <v>102</v>
      </c>
      <c r="K773" s="26" t="n">
        <f aca="false">J773/151</f>
        <v>0.675496688741722</v>
      </c>
      <c r="L773" s="25" t="n">
        <f aca="false">MIN(INDEX('Move Reality'!$F$5:$F$19,MATCH(B773,'Move Reality'!$A$5:$A$19,0)),INDEX('Move Reality'!$F$5:$F$19,MATCH(C773,'Move Reality'!$A$5:$A$19,0)),INDEX('Move Reality'!$F$5:$F$19,MATCH(D773,'Move Reality'!$A$5:$A$19,0)),INDEX('Move Reality'!$F$5:$F$19,MATCH(E773,'Move Reality'!$A$5:$A$19,0)))</f>
        <v>1</v>
      </c>
      <c r="M773" s="28" t="str">
        <f aca="false">IF(L773&gt;=5,"YES","no - dead move")</f>
        <v>no - dead move</v>
      </c>
    </row>
    <row r="774" customFormat="false" ht="15" hidden="false" customHeight="false" outlineLevel="0" collapsed="false">
      <c r="A774" s="17" t="n">
        <v>770</v>
      </c>
      <c r="B774" s="17" t="s">
        <v>43</v>
      </c>
      <c r="C774" s="17" t="s">
        <v>46</v>
      </c>
      <c r="D774" s="17" t="s">
        <v>49</v>
      </c>
      <c r="E774" s="17" t="s">
        <v>54</v>
      </c>
      <c r="F774" s="25" t="n">
        <f aca="false">SUMPRODUCT(--((('Yellow Bosses'!$K$5:$K$53&gt;=2)+('Yellow Bosses'!$N$5:$N$53&gt;=2)+('Yellow Bosses'!$Q$5:$Q$53&gt;=2)+('Yellow Bosses'!$V$5:$V$53&gt;=2))&gt;0))</f>
        <v>30</v>
      </c>
      <c r="G774" s="26" t="n">
        <f aca="false">F774/49</f>
        <v>0.612244897959184</v>
      </c>
      <c r="H774" s="25" t="n">
        <f aca="false">49-SUMPRODUCT(--((('Yellow Bosses'!$K$5:$K$53&gt;=1)+('Yellow Bosses'!$N$5:$N$53&gt;=1)+('Yellow Bosses'!$Q$5:$Q$53&gt;=1)+('Yellow Bosses'!$V$5:$V$53&gt;=1))&gt;0))</f>
        <v>0</v>
      </c>
      <c r="I774" s="25" t="n">
        <f aca="false">SUMPRODUCT(--((('Yellow Bosses'!$K$5:$K$53&gt;0)+('Yellow Bosses'!$N$5:$N$53&gt;0)+('Yellow Bosses'!$Q$5:$Q$53&gt;0)+('Yellow Bosses'!$V$5:$V$53&gt;0))=0))</f>
        <v>0</v>
      </c>
      <c r="J774" s="25" t="n">
        <f aca="false">SUMPRODUCT(--(((Effectiveness!$H$5:$H$155&gt;=2)+(Effectiveness!$K$5:$K$155&gt;=2)+(Effectiveness!$N$5:$N$155&gt;=2)+(Effectiveness!$S$5:$S$155&gt;=2))&gt;0))</f>
        <v>102</v>
      </c>
      <c r="K774" s="26" t="n">
        <f aca="false">J774/151</f>
        <v>0.675496688741722</v>
      </c>
      <c r="L774" s="25" t="n">
        <f aca="false">MIN(INDEX('Move Reality'!$F$5:$F$19,MATCH(B774,'Move Reality'!$A$5:$A$19,0)),INDEX('Move Reality'!$F$5:$F$19,MATCH(C774,'Move Reality'!$A$5:$A$19,0)),INDEX('Move Reality'!$F$5:$F$19,MATCH(D774,'Move Reality'!$A$5:$A$19,0)),INDEX('Move Reality'!$F$5:$F$19,MATCH(E774,'Move Reality'!$A$5:$A$19,0)))</f>
        <v>1</v>
      </c>
      <c r="M774" s="28" t="str">
        <f aca="false">IF(L774&gt;=5,"YES","no - dead move")</f>
        <v>no - dead move</v>
      </c>
    </row>
    <row r="775" customFormat="false" ht="15" hidden="false" customHeight="false" outlineLevel="0" collapsed="false">
      <c r="A775" s="17" t="n">
        <v>771</v>
      </c>
      <c r="B775" s="17" t="s">
        <v>42</v>
      </c>
      <c r="C775" s="17" t="s">
        <v>43</v>
      </c>
      <c r="D775" s="17" t="s">
        <v>46</v>
      </c>
      <c r="E775" s="17" t="s">
        <v>52</v>
      </c>
      <c r="F775" s="25" t="n">
        <f aca="false">SUMPRODUCT(--((('Yellow Bosses'!$J$5:$J$53&gt;=2)+('Yellow Bosses'!$K$5:$K$53&gt;=2)+('Yellow Bosses'!$N$5:$N$53&gt;=2)+('Yellow Bosses'!$T$5:$T$53&gt;=2))&gt;0))</f>
        <v>30</v>
      </c>
      <c r="G775" s="26" t="n">
        <f aca="false">F775/49</f>
        <v>0.612244897959184</v>
      </c>
      <c r="H775" s="25" t="n">
        <f aca="false">49-SUMPRODUCT(--((('Yellow Bosses'!$J$5:$J$53&gt;=1)+('Yellow Bosses'!$K$5:$K$53&gt;=1)+('Yellow Bosses'!$N$5:$N$53&gt;=1)+('Yellow Bosses'!$T$5:$T$53&gt;=1))&gt;0))</f>
        <v>0</v>
      </c>
      <c r="I775" s="25" t="n">
        <f aca="false">SUMPRODUCT(--((('Yellow Bosses'!$J$5:$J$53&gt;0)+('Yellow Bosses'!$K$5:$K$53&gt;0)+('Yellow Bosses'!$N$5:$N$53&gt;0)+('Yellow Bosses'!$T$5:$T$53&gt;0))=0))</f>
        <v>0</v>
      </c>
      <c r="J775" s="25" t="n">
        <f aca="false">SUMPRODUCT(--(((Effectiveness!$G$5:$G$155&gt;=2)+(Effectiveness!$H$5:$H$155&gt;=2)+(Effectiveness!$K$5:$K$155&gt;=2)+(Effectiveness!$Q$5:$Q$155&gt;=2))&gt;0))</f>
        <v>101</v>
      </c>
      <c r="K775" s="26" t="n">
        <f aca="false">J775/151</f>
        <v>0.66887417218543</v>
      </c>
      <c r="L775" s="25" t="n">
        <f aca="false">MIN(INDEX('Move Reality'!$F$5:$F$19,MATCH(B775,'Move Reality'!$A$5:$A$19,0)),INDEX('Move Reality'!$F$5:$F$19,MATCH(C775,'Move Reality'!$A$5:$A$19,0)),INDEX('Move Reality'!$F$5:$F$19,MATCH(D775,'Move Reality'!$A$5:$A$19,0)),INDEX('Move Reality'!$F$5:$F$19,MATCH(E775,'Move Reality'!$A$5:$A$19,0)))</f>
        <v>5</v>
      </c>
      <c r="M775" s="28" t="str">
        <f aca="false">IF(L775&gt;=5,"YES","no - dead move")</f>
        <v>YES</v>
      </c>
    </row>
    <row r="776" customFormat="false" ht="15" hidden="false" customHeight="false" outlineLevel="0" collapsed="false">
      <c r="A776" s="17" t="n">
        <v>772</v>
      </c>
      <c r="B776" s="17" t="s">
        <v>44</v>
      </c>
      <c r="C776" s="17" t="s">
        <v>46</v>
      </c>
      <c r="D776" s="17" t="s">
        <v>47</v>
      </c>
      <c r="E776" s="17" t="s">
        <v>52</v>
      </c>
      <c r="F776" s="25" t="n">
        <f aca="false">SUMPRODUCT(--((('Yellow Bosses'!$L$5:$L$53&gt;=2)+('Yellow Bosses'!$N$5:$N$53&gt;=2)+('Yellow Bosses'!$O$5:$O$53&gt;=2)+('Yellow Bosses'!$T$5:$T$53&gt;=2))&gt;0))</f>
        <v>30</v>
      </c>
      <c r="G776" s="26" t="n">
        <f aca="false">F776/49</f>
        <v>0.612244897959184</v>
      </c>
      <c r="H776" s="25" t="n">
        <f aca="false">49-SUMPRODUCT(--((('Yellow Bosses'!$L$5:$L$53&gt;=1)+('Yellow Bosses'!$N$5:$N$53&gt;=1)+('Yellow Bosses'!$O$5:$O$53&gt;=1)+('Yellow Bosses'!$T$5:$T$53&gt;=1))&gt;0))</f>
        <v>0</v>
      </c>
      <c r="I776" s="25" t="n">
        <f aca="false">SUMPRODUCT(--((('Yellow Bosses'!$L$5:$L$53&gt;0)+('Yellow Bosses'!$N$5:$N$53&gt;0)+('Yellow Bosses'!$O$5:$O$53&gt;0)+('Yellow Bosses'!$T$5:$T$53&gt;0))=0))</f>
        <v>0</v>
      </c>
      <c r="J776" s="25" t="n">
        <f aca="false">SUMPRODUCT(--(((Effectiveness!$I$5:$I$155&gt;=2)+(Effectiveness!$K$5:$K$155&gt;=2)+(Effectiveness!$L$5:$L$155&gt;=2)+(Effectiveness!$Q$5:$Q$155&gt;=2))&gt;0))</f>
        <v>100</v>
      </c>
      <c r="K776" s="26" t="n">
        <f aca="false">J776/151</f>
        <v>0.662251655629139</v>
      </c>
      <c r="L776" s="25" t="n">
        <f aca="false">MIN(INDEX('Move Reality'!$F$5:$F$19,MATCH(B776,'Move Reality'!$A$5:$A$19,0)),INDEX('Move Reality'!$F$5:$F$19,MATCH(C776,'Move Reality'!$A$5:$A$19,0)),INDEX('Move Reality'!$F$5:$F$19,MATCH(D776,'Move Reality'!$A$5:$A$19,0)),INDEX('Move Reality'!$F$5:$F$19,MATCH(E776,'Move Reality'!$A$5:$A$19,0)))</f>
        <v>2</v>
      </c>
      <c r="M776" s="28" t="str">
        <f aca="false">IF(L776&gt;=5,"YES","no - dead move")</f>
        <v>no - dead move</v>
      </c>
    </row>
    <row r="777" customFormat="false" ht="15" hidden="false" customHeight="false" outlineLevel="0" collapsed="false">
      <c r="A777" s="17" t="n">
        <v>773</v>
      </c>
      <c r="B777" s="17" t="s">
        <v>42</v>
      </c>
      <c r="C777" s="17" t="s">
        <v>44</v>
      </c>
      <c r="D777" s="17" t="s">
        <v>46</v>
      </c>
      <c r="E777" s="17" t="s">
        <v>52</v>
      </c>
      <c r="F777" s="25" t="n">
        <f aca="false">SUMPRODUCT(--((('Yellow Bosses'!$J$5:$J$53&gt;=2)+('Yellow Bosses'!$L$5:$L$53&gt;=2)+('Yellow Bosses'!$N$5:$N$53&gt;=2)+('Yellow Bosses'!$T$5:$T$53&gt;=2))&gt;0))</f>
        <v>30</v>
      </c>
      <c r="G777" s="26" t="n">
        <f aca="false">F777/49</f>
        <v>0.612244897959184</v>
      </c>
      <c r="H777" s="25" t="n">
        <f aca="false">49-SUMPRODUCT(--((('Yellow Bosses'!$J$5:$J$53&gt;=1)+('Yellow Bosses'!$L$5:$L$53&gt;=1)+('Yellow Bosses'!$N$5:$N$53&gt;=1)+('Yellow Bosses'!$T$5:$T$53&gt;=1))&gt;0))</f>
        <v>0</v>
      </c>
      <c r="I777" s="25" t="n">
        <f aca="false">SUMPRODUCT(--((('Yellow Bosses'!$J$5:$J$53&gt;0)+('Yellow Bosses'!$L$5:$L$53&gt;0)+('Yellow Bosses'!$N$5:$N$53&gt;0)+('Yellow Bosses'!$T$5:$T$53&gt;0))=0))</f>
        <v>0</v>
      </c>
      <c r="J777" s="25" t="n">
        <f aca="false">SUMPRODUCT(--(((Effectiveness!$G$5:$G$155&gt;=2)+(Effectiveness!$I$5:$I$155&gt;=2)+(Effectiveness!$K$5:$K$155&gt;=2)+(Effectiveness!$Q$5:$Q$155&gt;=2))&gt;0))</f>
        <v>99</v>
      </c>
      <c r="K777" s="26" t="n">
        <f aca="false">J777/151</f>
        <v>0.655629139072848</v>
      </c>
      <c r="L777" s="25" t="n">
        <f aca="false">MIN(INDEX('Move Reality'!$F$5:$F$19,MATCH(B777,'Move Reality'!$A$5:$A$19,0)),INDEX('Move Reality'!$F$5:$F$19,MATCH(C777,'Move Reality'!$A$5:$A$19,0)),INDEX('Move Reality'!$F$5:$F$19,MATCH(D777,'Move Reality'!$A$5:$A$19,0)),INDEX('Move Reality'!$F$5:$F$19,MATCH(E777,'Move Reality'!$A$5:$A$19,0)))</f>
        <v>4</v>
      </c>
      <c r="M777" s="28" t="str">
        <f aca="false">IF(L777&gt;=5,"YES","no - dead move")</f>
        <v>no - dead move</v>
      </c>
    </row>
    <row r="778" customFormat="false" ht="15" hidden="false" customHeight="false" outlineLevel="0" collapsed="false">
      <c r="A778" s="17" t="n">
        <v>774</v>
      </c>
      <c r="B778" s="17" t="s">
        <v>43</v>
      </c>
      <c r="C778" s="17" t="s">
        <v>45</v>
      </c>
      <c r="D778" s="17" t="s">
        <v>46</v>
      </c>
      <c r="E778" s="17" t="s">
        <v>53</v>
      </c>
      <c r="F778" s="25" t="n">
        <f aca="false">SUMPRODUCT(--((('Yellow Bosses'!$K$5:$K$53&gt;=2)+('Yellow Bosses'!$M$5:$M$53&gt;=2)+('Yellow Bosses'!$N$5:$N$53&gt;=2)+('Yellow Bosses'!$U$5:$U$53&gt;=2))&gt;0))</f>
        <v>30</v>
      </c>
      <c r="G778" s="26" t="n">
        <f aca="false">F778/49</f>
        <v>0.612244897959184</v>
      </c>
      <c r="H778" s="25" t="n">
        <f aca="false">49-SUMPRODUCT(--((('Yellow Bosses'!$K$5:$K$53&gt;=1)+('Yellow Bosses'!$M$5:$M$53&gt;=1)+('Yellow Bosses'!$N$5:$N$53&gt;=1)+('Yellow Bosses'!$U$5:$U$53&gt;=1))&gt;0))</f>
        <v>0</v>
      </c>
      <c r="I778" s="25" t="n">
        <f aca="false">SUMPRODUCT(--((('Yellow Bosses'!$K$5:$K$53&gt;0)+('Yellow Bosses'!$M$5:$M$53&gt;0)+('Yellow Bosses'!$N$5:$N$53&gt;0)+('Yellow Bosses'!$U$5:$U$53&gt;0))=0))</f>
        <v>0</v>
      </c>
      <c r="J778" s="25" t="n">
        <f aca="false">SUMPRODUCT(--(((Effectiveness!$H$5:$H$155&gt;=2)+(Effectiveness!$J$5:$J$155&gt;=2)+(Effectiveness!$K$5:$K$155&gt;=2)+(Effectiveness!$R$5:$R$155&gt;=2))&gt;0))</f>
        <v>99</v>
      </c>
      <c r="K778" s="26" t="n">
        <f aca="false">J778/151</f>
        <v>0.655629139072848</v>
      </c>
      <c r="L778" s="25" t="n">
        <f aca="false">MIN(INDEX('Move Reality'!$F$5:$F$19,MATCH(B778,'Move Reality'!$A$5:$A$19,0)),INDEX('Move Reality'!$F$5:$F$19,MATCH(C778,'Move Reality'!$A$5:$A$19,0)),INDEX('Move Reality'!$F$5:$F$19,MATCH(D778,'Move Reality'!$A$5:$A$19,0)),INDEX('Move Reality'!$F$5:$F$19,MATCH(E778,'Move Reality'!$A$5:$A$19,0)))</f>
        <v>1</v>
      </c>
      <c r="M778" s="28" t="str">
        <f aca="false">IF(L778&gt;=5,"YES","no - dead move")</f>
        <v>no - dead move</v>
      </c>
    </row>
    <row r="779" customFormat="false" ht="15" hidden="false" customHeight="false" outlineLevel="0" collapsed="false">
      <c r="A779" s="17" t="n">
        <v>775</v>
      </c>
      <c r="B779" s="17" t="s">
        <v>44</v>
      </c>
      <c r="C779" s="17" t="s">
        <v>46</v>
      </c>
      <c r="D779" s="17" t="s">
        <v>52</v>
      </c>
      <c r="E779" s="17" t="s">
        <v>54</v>
      </c>
      <c r="F779" s="25" t="n">
        <f aca="false">SUMPRODUCT(--((('Yellow Bosses'!$L$5:$L$53&gt;=2)+('Yellow Bosses'!$N$5:$N$53&gt;=2)+('Yellow Bosses'!$T$5:$T$53&gt;=2)+('Yellow Bosses'!$V$5:$V$53&gt;=2))&gt;0))</f>
        <v>30</v>
      </c>
      <c r="G779" s="26" t="n">
        <f aca="false">F779/49</f>
        <v>0.612244897959184</v>
      </c>
      <c r="H779" s="25" t="n">
        <f aca="false">49-SUMPRODUCT(--((('Yellow Bosses'!$L$5:$L$53&gt;=1)+('Yellow Bosses'!$N$5:$N$53&gt;=1)+('Yellow Bosses'!$T$5:$T$53&gt;=1)+('Yellow Bosses'!$V$5:$V$53&gt;=1))&gt;0))</f>
        <v>0</v>
      </c>
      <c r="I779" s="25" t="n">
        <f aca="false">SUMPRODUCT(--((('Yellow Bosses'!$L$5:$L$53&gt;0)+('Yellow Bosses'!$N$5:$N$53&gt;0)+('Yellow Bosses'!$T$5:$T$53&gt;0)+('Yellow Bosses'!$V$5:$V$53&gt;0))=0))</f>
        <v>0</v>
      </c>
      <c r="J779" s="25" t="n">
        <f aca="false">SUMPRODUCT(--(((Effectiveness!$I$5:$I$155&gt;=2)+(Effectiveness!$K$5:$K$155&gt;=2)+(Effectiveness!$Q$5:$Q$155&gt;=2)+(Effectiveness!$S$5:$S$155&gt;=2))&gt;0))</f>
        <v>99</v>
      </c>
      <c r="K779" s="26" t="n">
        <f aca="false">J779/151</f>
        <v>0.655629139072848</v>
      </c>
      <c r="L779" s="25" t="n">
        <f aca="false">MIN(INDEX('Move Reality'!$F$5:$F$19,MATCH(B779,'Move Reality'!$A$5:$A$19,0)),INDEX('Move Reality'!$F$5:$F$19,MATCH(C779,'Move Reality'!$A$5:$A$19,0)),INDEX('Move Reality'!$F$5:$F$19,MATCH(D779,'Move Reality'!$A$5:$A$19,0)),INDEX('Move Reality'!$F$5:$F$19,MATCH(E779,'Move Reality'!$A$5:$A$19,0)))</f>
        <v>1</v>
      </c>
      <c r="M779" s="28" t="str">
        <f aca="false">IF(L779&gt;=5,"YES","no - dead move")</f>
        <v>no - dead move</v>
      </c>
    </row>
    <row r="780" customFormat="false" ht="15" hidden="false" customHeight="false" outlineLevel="0" collapsed="false">
      <c r="A780" s="17" t="n">
        <v>776</v>
      </c>
      <c r="B780" s="17" t="s">
        <v>43</v>
      </c>
      <c r="C780" s="17" t="s">
        <v>47</v>
      </c>
      <c r="D780" s="17" t="s">
        <v>50</v>
      </c>
      <c r="E780" s="17" t="s">
        <v>54</v>
      </c>
      <c r="F780" s="25" t="n">
        <f aca="false">SUMPRODUCT(--((('Yellow Bosses'!$K$5:$K$53&gt;=2)+('Yellow Bosses'!$O$5:$O$53&gt;=2)+('Yellow Bosses'!$R$5:$R$53&gt;=2)+('Yellow Bosses'!$V$5:$V$53&gt;=2))&gt;0))</f>
        <v>30</v>
      </c>
      <c r="G780" s="26" t="n">
        <f aca="false">F780/49</f>
        <v>0.612244897959184</v>
      </c>
      <c r="H780" s="25" t="n">
        <f aca="false">49-SUMPRODUCT(--((('Yellow Bosses'!$K$5:$K$53&gt;=1)+('Yellow Bosses'!$O$5:$O$53&gt;=1)+('Yellow Bosses'!$R$5:$R$53&gt;=1)+('Yellow Bosses'!$V$5:$V$53&gt;=1))&gt;0))</f>
        <v>0</v>
      </c>
      <c r="I780" s="25" t="n">
        <f aca="false">SUMPRODUCT(--((('Yellow Bosses'!$K$5:$K$53&gt;0)+('Yellow Bosses'!$O$5:$O$53&gt;0)+('Yellow Bosses'!$R$5:$R$53&gt;0)+('Yellow Bosses'!$V$5:$V$53&gt;0))=0))</f>
        <v>0</v>
      </c>
      <c r="J780" s="25" t="n">
        <f aca="false">SUMPRODUCT(--(((Effectiveness!$H$5:$H$155&gt;=2)+(Effectiveness!$L$5:$L$155&gt;=2)+(Effectiveness!$O$5:$O$155&gt;=2)+(Effectiveness!$S$5:$S$155&gt;=2))&gt;0))</f>
        <v>95</v>
      </c>
      <c r="K780" s="26" t="n">
        <f aca="false">J780/151</f>
        <v>0.629139072847682</v>
      </c>
      <c r="L780" s="25" t="n">
        <f aca="false">MIN(INDEX('Move Reality'!$F$5:$F$19,MATCH(B780,'Move Reality'!$A$5:$A$19,0)),INDEX('Move Reality'!$F$5:$F$19,MATCH(C780,'Move Reality'!$A$5:$A$19,0)),INDEX('Move Reality'!$F$5:$F$19,MATCH(D780,'Move Reality'!$A$5:$A$19,0)),INDEX('Move Reality'!$F$5:$F$19,MATCH(E780,'Move Reality'!$A$5:$A$19,0)))</f>
        <v>1</v>
      </c>
      <c r="M780" s="28" t="str">
        <f aca="false">IF(L780&gt;=5,"YES","no - dead move")</f>
        <v>no - dead move</v>
      </c>
    </row>
    <row r="781" customFormat="false" ht="15" hidden="false" customHeight="false" outlineLevel="0" collapsed="false">
      <c r="A781" s="17" t="n">
        <v>777</v>
      </c>
      <c r="B781" s="17" t="s">
        <v>43</v>
      </c>
      <c r="C781" s="17" t="s">
        <v>49</v>
      </c>
      <c r="D781" s="17" t="s">
        <v>50</v>
      </c>
      <c r="E781" s="17" t="s">
        <v>54</v>
      </c>
      <c r="F781" s="25" t="n">
        <f aca="false">SUMPRODUCT(--((('Yellow Bosses'!$K$5:$K$53&gt;=2)+('Yellow Bosses'!$Q$5:$Q$53&gt;=2)+('Yellow Bosses'!$R$5:$R$53&gt;=2)+('Yellow Bosses'!$V$5:$V$53&gt;=2))&gt;0))</f>
        <v>30</v>
      </c>
      <c r="G781" s="26" t="n">
        <f aca="false">F781/49</f>
        <v>0.612244897959184</v>
      </c>
      <c r="H781" s="25" t="n">
        <f aca="false">49-SUMPRODUCT(--((('Yellow Bosses'!$K$5:$K$53&gt;=1)+('Yellow Bosses'!$Q$5:$Q$53&gt;=1)+('Yellow Bosses'!$R$5:$R$53&gt;=1)+('Yellow Bosses'!$V$5:$V$53&gt;=1))&gt;0))</f>
        <v>0</v>
      </c>
      <c r="I781" s="25" t="n">
        <f aca="false">SUMPRODUCT(--((('Yellow Bosses'!$K$5:$K$53&gt;0)+('Yellow Bosses'!$Q$5:$Q$53&gt;0)+('Yellow Bosses'!$R$5:$R$53&gt;0)+('Yellow Bosses'!$V$5:$V$53&gt;0))=0))</f>
        <v>0</v>
      </c>
      <c r="J781" s="25" t="n">
        <f aca="false">SUMPRODUCT(--(((Effectiveness!$H$5:$H$155&gt;=2)+(Effectiveness!$N$5:$N$155&gt;=2)+(Effectiveness!$O$5:$O$155&gt;=2)+(Effectiveness!$S$5:$S$155&gt;=2))&gt;0))</f>
        <v>95</v>
      </c>
      <c r="K781" s="26" t="n">
        <f aca="false">J781/151</f>
        <v>0.629139072847682</v>
      </c>
      <c r="L781" s="25" t="n">
        <f aca="false">MIN(INDEX('Move Reality'!$F$5:$F$19,MATCH(B781,'Move Reality'!$A$5:$A$19,0)),INDEX('Move Reality'!$F$5:$F$19,MATCH(C781,'Move Reality'!$A$5:$A$19,0)),INDEX('Move Reality'!$F$5:$F$19,MATCH(D781,'Move Reality'!$A$5:$A$19,0)),INDEX('Move Reality'!$F$5:$F$19,MATCH(E781,'Move Reality'!$A$5:$A$19,0)))</f>
        <v>1</v>
      </c>
      <c r="M781" s="28" t="str">
        <f aca="false">IF(L781&gt;=5,"YES","no - dead move")</f>
        <v>no - dead move</v>
      </c>
    </row>
    <row r="782" customFormat="false" ht="15" hidden="false" customHeight="false" outlineLevel="0" collapsed="false">
      <c r="A782" s="17" t="n">
        <v>778</v>
      </c>
      <c r="B782" s="17" t="s">
        <v>44</v>
      </c>
      <c r="C782" s="17" t="s">
        <v>46</v>
      </c>
      <c r="D782" s="17" t="s">
        <v>48</v>
      </c>
      <c r="E782" s="17" t="s">
        <v>54</v>
      </c>
      <c r="F782" s="25" t="n">
        <f aca="false">SUMPRODUCT(--((('Yellow Bosses'!$L$5:$L$53&gt;=2)+('Yellow Bosses'!$N$5:$N$53&gt;=2)+('Yellow Bosses'!$P$5:$P$53&gt;=2)+('Yellow Bosses'!$V$5:$V$53&gt;=2))&gt;0))</f>
        <v>30</v>
      </c>
      <c r="G782" s="26" t="n">
        <f aca="false">F782/49</f>
        <v>0.612244897959184</v>
      </c>
      <c r="H782" s="25" t="n">
        <f aca="false">49-SUMPRODUCT(--((('Yellow Bosses'!$L$5:$L$53&gt;=1)+('Yellow Bosses'!$N$5:$N$53&gt;=1)+('Yellow Bosses'!$P$5:$P$53&gt;=1)+('Yellow Bosses'!$V$5:$V$53&gt;=1))&gt;0))</f>
        <v>0</v>
      </c>
      <c r="I782" s="25" t="n">
        <f aca="false">SUMPRODUCT(--((('Yellow Bosses'!$L$5:$L$53&gt;0)+('Yellow Bosses'!$N$5:$N$53&gt;0)+('Yellow Bosses'!$P$5:$P$53&gt;0)+('Yellow Bosses'!$V$5:$V$53&gt;0))=0))</f>
        <v>0</v>
      </c>
      <c r="J782" s="25" t="n">
        <f aca="false">SUMPRODUCT(--(((Effectiveness!$I$5:$I$155&gt;=2)+(Effectiveness!$K$5:$K$155&gt;=2)+(Effectiveness!$M$5:$M$155&gt;=2)+(Effectiveness!$S$5:$S$155&gt;=2))&gt;0))</f>
        <v>95</v>
      </c>
      <c r="K782" s="26" t="n">
        <f aca="false">J782/151</f>
        <v>0.629139072847682</v>
      </c>
      <c r="L782" s="25" t="n">
        <f aca="false">MIN(INDEX('Move Reality'!$F$5:$F$19,MATCH(B782,'Move Reality'!$A$5:$A$19,0)),INDEX('Move Reality'!$F$5:$F$19,MATCH(C782,'Move Reality'!$A$5:$A$19,0)),INDEX('Move Reality'!$F$5:$F$19,MATCH(D782,'Move Reality'!$A$5:$A$19,0)),INDEX('Move Reality'!$F$5:$F$19,MATCH(E782,'Move Reality'!$A$5:$A$19,0)))</f>
        <v>1</v>
      </c>
      <c r="M782" s="28" t="str">
        <f aca="false">IF(L782&gt;=5,"YES","no - dead move")</f>
        <v>no - dead move</v>
      </c>
    </row>
    <row r="783" customFormat="false" ht="15" hidden="false" customHeight="false" outlineLevel="0" collapsed="false">
      <c r="A783" s="17" t="n">
        <v>779</v>
      </c>
      <c r="B783" s="17" t="s">
        <v>40</v>
      </c>
      <c r="C783" s="17" t="s">
        <v>46</v>
      </c>
      <c r="D783" s="17" t="s">
        <v>48</v>
      </c>
      <c r="E783" s="17" t="s">
        <v>52</v>
      </c>
      <c r="F783" s="25" t="n">
        <f aca="false">SUMPRODUCT(--((('Yellow Bosses'!$H$5:$H$53&gt;=2)+('Yellow Bosses'!$N$5:$N$53&gt;=2)+('Yellow Bosses'!$P$5:$P$53&gt;=2)+('Yellow Bosses'!$T$5:$T$53&gt;=2))&gt;0))</f>
        <v>30</v>
      </c>
      <c r="G783" s="26" t="n">
        <f aca="false">F783/49</f>
        <v>0.612244897959184</v>
      </c>
      <c r="H783" s="25" t="n">
        <f aca="false">49-SUMPRODUCT(--((('Yellow Bosses'!$H$5:$H$53&gt;=1)+('Yellow Bosses'!$N$5:$N$53&gt;=1)+('Yellow Bosses'!$P$5:$P$53&gt;=1)+('Yellow Bosses'!$T$5:$T$53&gt;=1))&gt;0))</f>
        <v>0</v>
      </c>
      <c r="I783" s="25" t="n">
        <f aca="false">SUMPRODUCT(--((('Yellow Bosses'!$H$5:$H$53&gt;0)+('Yellow Bosses'!$N$5:$N$53&gt;0)+('Yellow Bosses'!$P$5:$P$53&gt;0)+('Yellow Bosses'!$T$5:$T$53&gt;0))=0))</f>
        <v>0</v>
      </c>
      <c r="J783" s="25" t="n">
        <f aca="false">SUMPRODUCT(--(((Effectiveness!$E$5:$E$155&gt;=2)+(Effectiveness!$K$5:$K$155&gt;=2)+(Effectiveness!$M$5:$M$155&gt;=2)+(Effectiveness!$Q$5:$Q$155&gt;=2))&gt;0))</f>
        <v>94</v>
      </c>
      <c r="K783" s="26" t="n">
        <f aca="false">J783/151</f>
        <v>0.622516556291391</v>
      </c>
      <c r="L783" s="25" t="n">
        <f aca="false">MIN(INDEX('Move Reality'!$F$5:$F$19,MATCH(B783,'Move Reality'!$A$5:$A$19,0)),INDEX('Move Reality'!$F$5:$F$19,MATCH(C783,'Move Reality'!$A$5:$A$19,0)),INDEX('Move Reality'!$F$5:$F$19,MATCH(D783,'Move Reality'!$A$5:$A$19,0)),INDEX('Move Reality'!$F$5:$F$19,MATCH(E783,'Move Reality'!$A$5:$A$19,0)))</f>
        <v>5</v>
      </c>
      <c r="M783" s="28" t="str">
        <f aca="false">IF(L783&gt;=5,"YES","no - dead move")</f>
        <v>YES</v>
      </c>
    </row>
    <row r="784" customFormat="false" ht="15" hidden="false" customHeight="false" outlineLevel="0" collapsed="false">
      <c r="A784" s="17" t="n">
        <v>780</v>
      </c>
      <c r="B784" s="17" t="s">
        <v>46</v>
      </c>
      <c r="C784" s="17" t="s">
        <v>48</v>
      </c>
      <c r="D784" s="17" t="s">
        <v>52</v>
      </c>
      <c r="E784" s="17" t="s">
        <v>53</v>
      </c>
      <c r="F784" s="25" t="n">
        <f aca="false">SUMPRODUCT(--((('Yellow Bosses'!$N$5:$N$53&gt;=2)+('Yellow Bosses'!$P$5:$P$53&gt;=2)+('Yellow Bosses'!$T$5:$T$53&gt;=2)+('Yellow Bosses'!$U$5:$U$53&gt;=2))&gt;0))</f>
        <v>30</v>
      </c>
      <c r="G784" s="26" t="n">
        <f aca="false">F784/49</f>
        <v>0.612244897959184</v>
      </c>
      <c r="H784" s="25" t="n">
        <f aca="false">49-SUMPRODUCT(--((('Yellow Bosses'!$N$5:$N$53&gt;=1)+('Yellow Bosses'!$P$5:$P$53&gt;=1)+('Yellow Bosses'!$T$5:$T$53&gt;=1)+('Yellow Bosses'!$U$5:$U$53&gt;=1))&gt;0))</f>
        <v>0</v>
      </c>
      <c r="I784" s="25" t="n">
        <f aca="false">SUMPRODUCT(--((('Yellow Bosses'!$N$5:$N$53&gt;0)+('Yellow Bosses'!$P$5:$P$53&gt;0)+('Yellow Bosses'!$T$5:$T$53&gt;0)+('Yellow Bosses'!$U$5:$U$53&gt;0))=0))</f>
        <v>0</v>
      </c>
      <c r="J784" s="25" t="n">
        <f aca="false">SUMPRODUCT(--(((Effectiveness!$K$5:$K$155&gt;=2)+(Effectiveness!$M$5:$M$155&gt;=2)+(Effectiveness!$Q$5:$Q$155&gt;=2)+(Effectiveness!$R$5:$R$155&gt;=2))&gt;0))</f>
        <v>94</v>
      </c>
      <c r="K784" s="26" t="n">
        <f aca="false">J784/151</f>
        <v>0.622516556291391</v>
      </c>
      <c r="L784" s="25" t="n">
        <f aca="false">MIN(INDEX('Move Reality'!$F$5:$F$19,MATCH(B784,'Move Reality'!$A$5:$A$19,0)),INDEX('Move Reality'!$F$5:$F$19,MATCH(C784,'Move Reality'!$A$5:$A$19,0)),INDEX('Move Reality'!$F$5:$F$19,MATCH(D784,'Move Reality'!$A$5:$A$19,0)),INDEX('Move Reality'!$F$5:$F$19,MATCH(E784,'Move Reality'!$A$5:$A$19,0)))</f>
        <v>1</v>
      </c>
      <c r="M784" s="28" t="str">
        <f aca="false">IF(L784&gt;=5,"YES","no - dead move")</f>
        <v>no - dead move</v>
      </c>
    </row>
    <row r="785" customFormat="false" ht="15" hidden="false" customHeight="false" outlineLevel="0" collapsed="false">
      <c r="A785" s="17" t="n">
        <v>781</v>
      </c>
      <c r="B785" s="17" t="s">
        <v>42</v>
      </c>
      <c r="C785" s="17" t="s">
        <v>43</v>
      </c>
      <c r="D785" s="17" t="s">
        <v>45</v>
      </c>
      <c r="E785" s="17" t="s">
        <v>47</v>
      </c>
      <c r="F785" s="25" t="n">
        <f aca="false">SUMPRODUCT(--((('Yellow Bosses'!$J$5:$J$53&gt;=2)+('Yellow Bosses'!$K$5:$K$53&gt;=2)+('Yellow Bosses'!$M$5:$M$53&gt;=2)+('Yellow Bosses'!$O$5:$O$53&gt;=2))&gt;0))</f>
        <v>30</v>
      </c>
      <c r="G785" s="26" t="n">
        <f aca="false">F785/49</f>
        <v>0.612244897959184</v>
      </c>
      <c r="H785" s="25" t="n">
        <f aca="false">49-SUMPRODUCT(--((('Yellow Bosses'!$J$5:$J$53&gt;=1)+('Yellow Bosses'!$K$5:$K$53&gt;=1)+('Yellow Bosses'!$M$5:$M$53&gt;=1)+('Yellow Bosses'!$O$5:$O$53&gt;=1))&gt;0))</f>
        <v>0</v>
      </c>
      <c r="I785" s="25" t="n">
        <f aca="false">SUMPRODUCT(--((('Yellow Bosses'!$J$5:$J$53&gt;0)+('Yellow Bosses'!$K$5:$K$53&gt;0)+('Yellow Bosses'!$M$5:$M$53&gt;0)+('Yellow Bosses'!$O$5:$O$53&gt;0))=0))</f>
        <v>0</v>
      </c>
      <c r="J785" s="25" t="n">
        <f aca="false">SUMPRODUCT(--(((Effectiveness!$G$5:$G$155&gt;=2)+(Effectiveness!$H$5:$H$155&gt;=2)+(Effectiveness!$J$5:$J$155&gt;=2)+(Effectiveness!$L$5:$L$155&gt;=2))&gt;0))</f>
        <v>93</v>
      </c>
      <c r="K785" s="26" t="n">
        <f aca="false">J785/151</f>
        <v>0.615894039735099</v>
      </c>
      <c r="L785" s="25" t="n">
        <f aca="false">MIN(INDEX('Move Reality'!$F$5:$F$19,MATCH(B785,'Move Reality'!$A$5:$A$19,0)),INDEX('Move Reality'!$F$5:$F$19,MATCH(C785,'Move Reality'!$A$5:$A$19,0)),INDEX('Move Reality'!$F$5:$F$19,MATCH(D785,'Move Reality'!$A$5:$A$19,0)),INDEX('Move Reality'!$F$5:$F$19,MATCH(E785,'Move Reality'!$A$5:$A$19,0)))</f>
        <v>2</v>
      </c>
      <c r="M785" s="28" t="str">
        <f aca="false">IF(L785&gt;=5,"YES","no - dead move")</f>
        <v>no - dead move</v>
      </c>
    </row>
    <row r="786" customFormat="false" ht="15" hidden="false" customHeight="false" outlineLevel="0" collapsed="false">
      <c r="A786" s="17" t="n">
        <v>782</v>
      </c>
      <c r="B786" s="17" t="s">
        <v>43</v>
      </c>
      <c r="C786" s="17" t="s">
        <v>49</v>
      </c>
      <c r="D786" s="17" t="s">
        <v>52</v>
      </c>
      <c r="E786" s="17" t="s">
        <v>53</v>
      </c>
      <c r="F786" s="25" t="n">
        <f aca="false">SUMPRODUCT(--((('Yellow Bosses'!$K$5:$K$53&gt;=2)+('Yellow Bosses'!$Q$5:$Q$53&gt;=2)+('Yellow Bosses'!$T$5:$T$53&gt;=2)+('Yellow Bosses'!$U$5:$U$53&gt;=2))&gt;0))</f>
        <v>30</v>
      </c>
      <c r="G786" s="26" t="n">
        <f aca="false">F786/49</f>
        <v>0.612244897959184</v>
      </c>
      <c r="H786" s="25" t="n">
        <f aca="false">49-SUMPRODUCT(--((('Yellow Bosses'!$K$5:$K$53&gt;=1)+('Yellow Bosses'!$Q$5:$Q$53&gt;=1)+('Yellow Bosses'!$T$5:$T$53&gt;=1)+('Yellow Bosses'!$U$5:$U$53&gt;=1))&gt;0))</f>
        <v>0</v>
      </c>
      <c r="I786" s="25" t="n">
        <f aca="false">SUMPRODUCT(--((('Yellow Bosses'!$K$5:$K$53&gt;0)+('Yellow Bosses'!$Q$5:$Q$53&gt;0)+('Yellow Bosses'!$T$5:$T$53&gt;0)+('Yellow Bosses'!$U$5:$U$53&gt;0))=0))</f>
        <v>0</v>
      </c>
      <c r="J786" s="25" t="n">
        <f aca="false">SUMPRODUCT(--(((Effectiveness!$H$5:$H$155&gt;=2)+(Effectiveness!$N$5:$N$155&gt;=2)+(Effectiveness!$Q$5:$Q$155&gt;=2)+(Effectiveness!$R$5:$R$155&gt;=2))&gt;0))</f>
        <v>93</v>
      </c>
      <c r="K786" s="26" t="n">
        <f aca="false">J786/151</f>
        <v>0.615894039735099</v>
      </c>
      <c r="L786" s="25" t="n">
        <f aca="false">MIN(INDEX('Move Reality'!$F$5:$F$19,MATCH(B786,'Move Reality'!$A$5:$A$19,0)),INDEX('Move Reality'!$F$5:$F$19,MATCH(C786,'Move Reality'!$A$5:$A$19,0)),INDEX('Move Reality'!$F$5:$F$19,MATCH(D786,'Move Reality'!$A$5:$A$19,0)),INDEX('Move Reality'!$F$5:$F$19,MATCH(E786,'Move Reality'!$A$5:$A$19,0)))</f>
        <v>1</v>
      </c>
      <c r="M786" s="28" t="str">
        <f aca="false">IF(L786&gt;=5,"YES","no - dead move")</f>
        <v>no - dead move</v>
      </c>
    </row>
    <row r="787" customFormat="false" ht="15" hidden="false" customHeight="false" outlineLevel="0" collapsed="false">
      <c r="A787" s="17" t="n">
        <v>783</v>
      </c>
      <c r="B787" s="17" t="s">
        <v>40</v>
      </c>
      <c r="C787" s="17" t="s">
        <v>41</v>
      </c>
      <c r="D787" s="17" t="s">
        <v>46</v>
      </c>
      <c r="E787" s="17" t="s">
        <v>48</v>
      </c>
      <c r="F787" s="25" t="n">
        <f aca="false">SUMPRODUCT(--((('Yellow Bosses'!$H$5:$H$53&gt;=2)+('Yellow Bosses'!$I$5:$I$53&gt;=2)+('Yellow Bosses'!$N$5:$N$53&gt;=2)+('Yellow Bosses'!$P$5:$P$53&gt;=2))&gt;0))</f>
        <v>30</v>
      </c>
      <c r="G787" s="26" t="n">
        <f aca="false">F787/49</f>
        <v>0.612244897959184</v>
      </c>
      <c r="H787" s="25" t="n">
        <f aca="false">49-SUMPRODUCT(--((('Yellow Bosses'!$H$5:$H$53&gt;=1)+('Yellow Bosses'!$I$5:$I$53&gt;=1)+('Yellow Bosses'!$N$5:$N$53&gt;=1)+('Yellow Bosses'!$P$5:$P$53&gt;=1))&gt;0))</f>
        <v>0</v>
      </c>
      <c r="I787" s="25" t="n">
        <f aca="false">SUMPRODUCT(--((('Yellow Bosses'!$H$5:$H$53&gt;0)+('Yellow Bosses'!$I$5:$I$53&gt;0)+('Yellow Bosses'!$N$5:$N$53&gt;0)+('Yellow Bosses'!$P$5:$P$53&gt;0))=0))</f>
        <v>0</v>
      </c>
      <c r="J787" s="25" t="n">
        <f aca="false">SUMPRODUCT(--(((Effectiveness!$E$5:$E$155&gt;=2)+(Effectiveness!$F$5:$F$155&gt;=2)+(Effectiveness!$K$5:$K$155&gt;=2)+(Effectiveness!$M$5:$M$155&gt;=2))&gt;0))</f>
        <v>90</v>
      </c>
      <c r="K787" s="26" t="n">
        <f aca="false">J787/151</f>
        <v>0.596026490066225</v>
      </c>
      <c r="L787" s="25" t="n">
        <f aca="false">MIN(INDEX('Move Reality'!$F$5:$F$19,MATCH(B787,'Move Reality'!$A$5:$A$19,0)),INDEX('Move Reality'!$F$5:$F$19,MATCH(C787,'Move Reality'!$A$5:$A$19,0)),INDEX('Move Reality'!$F$5:$F$19,MATCH(D787,'Move Reality'!$A$5:$A$19,0)),INDEX('Move Reality'!$F$5:$F$19,MATCH(E787,'Move Reality'!$A$5:$A$19,0)))</f>
        <v>5</v>
      </c>
      <c r="M787" s="28" t="str">
        <f aca="false">IF(L787&gt;=5,"YES","no - dead move")</f>
        <v>YES</v>
      </c>
    </row>
    <row r="788" customFormat="false" ht="15" hidden="false" customHeight="false" outlineLevel="0" collapsed="false">
      <c r="A788" s="17" t="n">
        <v>784</v>
      </c>
      <c r="B788" s="17" t="s">
        <v>40</v>
      </c>
      <c r="C788" s="17" t="s">
        <v>42</v>
      </c>
      <c r="D788" s="17" t="s">
        <v>43</v>
      </c>
      <c r="E788" s="17" t="s">
        <v>45</v>
      </c>
      <c r="F788" s="25" t="n">
        <f aca="false">SUMPRODUCT(--((('Yellow Bosses'!$H$5:$H$53&gt;=2)+('Yellow Bosses'!$J$5:$J$53&gt;=2)+('Yellow Bosses'!$K$5:$K$53&gt;=2)+('Yellow Bosses'!$M$5:$M$53&gt;=2))&gt;0))</f>
        <v>30</v>
      </c>
      <c r="G788" s="26" t="n">
        <f aca="false">F788/49</f>
        <v>0.612244897959184</v>
      </c>
      <c r="H788" s="25" t="n">
        <f aca="false">49-SUMPRODUCT(--((('Yellow Bosses'!$H$5:$H$53&gt;=1)+('Yellow Bosses'!$J$5:$J$53&gt;=1)+('Yellow Bosses'!$K$5:$K$53&gt;=1)+('Yellow Bosses'!$M$5:$M$53&gt;=1))&gt;0))</f>
        <v>0</v>
      </c>
      <c r="I788" s="25" t="n">
        <f aca="false">SUMPRODUCT(--((('Yellow Bosses'!$H$5:$H$53&gt;0)+('Yellow Bosses'!$J$5:$J$53&gt;0)+('Yellow Bosses'!$K$5:$K$53&gt;0)+('Yellow Bosses'!$M$5:$M$53&gt;0))=0))</f>
        <v>0</v>
      </c>
      <c r="J788" s="25" t="n">
        <f aca="false">SUMPRODUCT(--(((Effectiveness!$E$5:$E$155&gt;=2)+(Effectiveness!$G$5:$G$155&gt;=2)+(Effectiveness!$H$5:$H$155&gt;=2)+(Effectiveness!$J$5:$J$155&gt;=2))&gt;0))</f>
        <v>90</v>
      </c>
      <c r="K788" s="26" t="n">
        <f aca="false">J788/151</f>
        <v>0.596026490066225</v>
      </c>
      <c r="L788" s="25" t="n">
        <f aca="false">MIN(INDEX('Move Reality'!$F$5:$F$19,MATCH(B788,'Move Reality'!$A$5:$A$19,0)),INDEX('Move Reality'!$F$5:$F$19,MATCH(C788,'Move Reality'!$A$5:$A$19,0)),INDEX('Move Reality'!$F$5:$F$19,MATCH(D788,'Move Reality'!$A$5:$A$19,0)),INDEX('Move Reality'!$F$5:$F$19,MATCH(E788,'Move Reality'!$A$5:$A$19,0)))</f>
        <v>9</v>
      </c>
      <c r="M788" s="28" t="str">
        <f aca="false">IF(L788&gt;=5,"YES","no - dead move")</f>
        <v>YES</v>
      </c>
    </row>
    <row r="789" customFormat="false" ht="15" hidden="false" customHeight="false" outlineLevel="0" collapsed="false">
      <c r="A789" s="17" t="n">
        <v>785</v>
      </c>
      <c r="B789" s="17" t="s">
        <v>40</v>
      </c>
      <c r="C789" s="17" t="s">
        <v>43</v>
      </c>
      <c r="D789" s="17" t="s">
        <v>48</v>
      </c>
      <c r="E789" s="17" t="s">
        <v>54</v>
      </c>
      <c r="F789" s="25" t="n">
        <f aca="false">SUMPRODUCT(--((('Yellow Bosses'!$H$5:$H$53&gt;=2)+('Yellow Bosses'!$K$5:$K$53&gt;=2)+('Yellow Bosses'!$P$5:$P$53&gt;=2)+('Yellow Bosses'!$V$5:$V$53&gt;=2))&gt;0))</f>
        <v>30</v>
      </c>
      <c r="G789" s="26" t="n">
        <f aca="false">F789/49</f>
        <v>0.612244897959184</v>
      </c>
      <c r="H789" s="25" t="n">
        <f aca="false">49-SUMPRODUCT(--((('Yellow Bosses'!$H$5:$H$53&gt;=1)+('Yellow Bosses'!$K$5:$K$53&gt;=1)+('Yellow Bosses'!$P$5:$P$53&gt;=1)+('Yellow Bosses'!$V$5:$V$53&gt;=1))&gt;0))</f>
        <v>0</v>
      </c>
      <c r="I789" s="25" t="n">
        <f aca="false">SUMPRODUCT(--((('Yellow Bosses'!$H$5:$H$53&gt;0)+('Yellow Bosses'!$K$5:$K$53&gt;0)+('Yellow Bosses'!$P$5:$P$53&gt;0)+('Yellow Bosses'!$V$5:$V$53&gt;0))=0))</f>
        <v>0</v>
      </c>
      <c r="J789" s="25" t="n">
        <f aca="false">SUMPRODUCT(--(((Effectiveness!$E$5:$E$155&gt;=2)+(Effectiveness!$H$5:$H$155&gt;=2)+(Effectiveness!$M$5:$M$155&gt;=2)+(Effectiveness!$S$5:$S$155&gt;=2))&gt;0))</f>
        <v>90</v>
      </c>
      <c r="K789" s="26" t="n">
        <f aca="false">J789/151</f>
        <v>0.596026490066225</v>
      </c>
      <c r="L789" s="25" t="n">
        <f aca="false">MIN(INDEX('Move Reality'!$F$5:$F$19,MATCH(B789,'Move Reality'!$A$5:$A$19,0)),INDEX('Move Reality'!$F$5:$F$19,MATCH(C789,'Move Reality'!$A$5:$A$19,0)),INDEX('Move Reality'!$F$5:$F$19,MATCH(D789,'Move Reality'!$A$5:$A$19,0)),INDEX('Move Reality'!$F$5:$F$19,MATCH(E789,'Move Reality'!$A$5:$A$19,0)))</f>
        <v>1</v>
      </c>
      <c r="M789" s="28" t="str">
        <f aca="false">IF(L789&gt;=5,"YES","no - dead move")</f>
        <v>no - dead move</v>
      </c>
    </row>
    <row r="790" customFormat="false" ht="15" hidden="false" customHeight="false" outlineLevel="0" collapsed="false">
      <c r="A790" s="17" t="n">
        <v>786</v>
      </c>
      <c r="B790" s="17" t="s">
        <v>41</v>
      </c>
      <c r="C790" s="17" t="s">
        <v>46</v>
      </c>
      <c r="D790" s="17" t="s">
        <v>47</v>
      </c>
      <c r="E790" s="17" t="s">
        <v>48</v>
      </c>
      <c r="F790" s="25" t="n">
        <f aca="false">SUMPRODUCT(--((('Yellow Bosses'!$I$5:$I$53&gt;=2)+('Yellow Bosses'!$N$5:$N$53&gt;=2)+('Yellow Bosses'!$O$5:$O$53&gt;=2)+('Yellow Bosses'!$P$5:$P$53&gt;=2))&gt;0))</f>
        <v>30</v>
      </c>
      <c r="G790" s="26" t="n">
        <f aca="false">F790/49</f>
        <v>0.612244897959184</v>
      </c>
      <c r="H790" s="25" t="n">
        <f aca="false">49-SUMPRODUCT(--((('Yellow Bosses'!$I$5:$I$53&gt;=1)+('Yellow Bosses'!$N$5:$N$53&gt;=1)+('Yellow Bosses'!$O$5:$O$53&gt;=1)+('Yellow Bosses'!$P$5:$P$53&gt;=1))&gt;0))</f>
        <v>0</v>
      </c>
      <c r="I790" s="25" t="n">
        <f aca="false">SUMPRODUCT(--((('Yellow Bosses'!$I$5:$I$53&gt;0)+('Yellow Bosses'!$N$5:$N$53&gt;0)+('Yellow Bosses'!$O$5:$O$53&gt;0)+('Yellow Bosses'!$P$5:$P$53&gt;0))=0))</f>
        <v>0</v>
      </c>
      <c r="J790" s="25" t="n">
        <f aca="false">SUMPRODUCT(--(((Effectiveness!$F$5:$F$155&gt;=2)+(Effectiveness!$K$5:$K$155&gt;=2)+(Effectiveness!$L$5:$L$155&gt;=2)+(Effectiveness!$M$5:$M$155&gt;=2))&gt;0))</f>
        <v>90</v>
      </c>
      <c r="K790" s="26" t="n">
        <f aca="false">J790/151</f>
        <v>0.596026490066225</v>
      </c>
      <c r="L790" s="25" t="n">
        <f aca="false">MIN(INDEX('Move Reality'!$F$5:$F$19,MATCH(B790,'Move Reality'!$A$5:$A$19,0)),INDEX('Move Reality'!$F$5:$F$19,MATCH(C790,'Move Reality'!$A$5:$A$19,0)),INDEX('Move Reality'!$F$5:$F$19,MATCH(D790,'Move Reality'!$A$5:$A$19,0)),INDEX('Move Reality'!$F$5:$F$19,MATCH(E790,'Move Reality'!$A$5:$A$19,0)))</f>
        <v>2</v>
      </c>
      <c r="M790" s="28" t="str">
        <f aca="false">IF(L790&gt;=5,"YES","no - dead move")</f>
        <v>no - dead move</v>
      </c>
    </row>
    <row r="791" customFormat="false" ht="15" hidden="false" customHeight="false" outlineLevel="0" collapsed="false">
      <c r="A791" s="17" t="n">
        <v>787</v>
      </c>
      <c r="B791" s="17" t="s">
        <v>41</v>
      </c>
      <c r="C791" s="17" t="s">
        <v>46</v>
      </c>
      <c r="D791" s="17" t="s">
        <v>48</v>
      </c>
      <c r="E791" s="17" t="s">
        <v>53</v>
      </c>
      <c r="F791" s="25" t="n">
        <f aca="false">SUMPRODUCT(--((('Yellow Bosses'!$I$5:$I$53&gt;=2)+('Yellow Bosses'!$N$5:$N$53&gt;=2)+('Yellow Bosses'!$P$5:$P$53&gt;=2)+('Yellow Bosses'!$U$5:$U$53&gt;=2))&gt;0))</f>
        <v>30</v>
      </c>
      <c r="G791" s="26" t="n">
        <f aca="false">F791/49</f>
        <v>0.612244897959184</v>
      </c>
      <c r="H791" s="25" t="n">
        <f aca="false">49-SUMPRODUCT(--((('Yellow Bosses'!$I$5:$I$53&gt;=1)+('Yellow Bosses'!$N$5:$N$53&gt;=1)+('Yellow Bosses'!$P$5:$P$53&gt;=1)+('Yellow Bosses'!$U$5:$U$53&gt;=1))&gt;0))</f>
        <v>0</v>
      </c>
      <c r="I791" s="25" t="n">
        <f aca="false">SUMPRODUCT(--((('Yellow Bosses'!$I$5:$I$53&gt;0)+('Yellow Bosses'!$N$5:$N$53&gt;0)+('Yellow Bosses'!$P$5:$P$53&gt;0)+('Yellow Bosses'!$U$5:$U$53&gt;0))=0))</f>
        <v>0</v>
      </c>
      <c r="J791" s="25" t="n">
        <f aca="false">SUMPRODUCT(--(((Effectiveness!$F$5:$F$155&gt;=2)+(Effectiveness!$K$5:$K$155&gt;=2)+(Effectiveness!$M$5:$M$155&gt;=2)+(Effectiveness!$R$5:$R$155&gt;=2))&gt;0))</f>
        <v>90</v>
      </c>
      <c r="K791" s="26" t="n">
        <f aca="false">J791/151</f>
        <v>0.596026490066225</v>
      </c>
      <c r="L791" s="25" t="n">
        <f aca="false">MIN(INDEX('Move Reality'!$F$5:$F$19,MATCH(B791,'Move Reality'!$A$5:$A$19,0)),INDEX('Move Reality'!$F$5:$F$19,MATCH(C791,'Move Reality'!$A$5:$A$19,0)),INDEX('Move Reality'!$F$5:$F$19,MATCH(D791,'Move Reality'!$A$5:$A$19,0)),INDEX('Move Reality'!$F$5:$F$19,MATCH(E791,'Move Reality'!$A$5:$A$19,0)))</f>
        <v>1</v>
      </c>
      <c r="M791" s="28" t="str">
        <f aca="false">IF(L791&gt;=5,"YES","no - dead move")</f>
        <v>no - dead move</v>
      </c>
    </row>
    <row r="792" customFormat="false" ht="15" hidden="false" customHeight="false" outlineLevel="0" collapsed="false">
      <c r="A792" s="17" t="n">
        <v>788</v>
      </c>
      <c r="B792" s="17" t="s">
        <v>42</v>
      </c>
      <c r="C792" s="17" t="s">
        <v>43</v>
      </c>
      <c r="D792" s="17" t="s">
        <v>44</v>
      </c>
      <c r="E792" s="17" t="s">
        <v>45</v>
      </c>
      <c r="F792" s="25" t="n">
        <f aca="false">SUMPRODUCT(--((('Yellow Bosses'!$J$5:$J$53&gt;=2)+('Yellow Bosses'!$K$5:$K$53&gt;=2)+('Yellow Bosses'!$L$5:$L$53&gt;=2)+('Yellow Bosses'!$M$5:$M$53&gt;=2))&gt;0))</f>
        <v>30</v>
      </c>
      <c r="G792" s="26" t="n">
        <f aca="false">F792/49</f>
        <v>0.612244897959184</v>
      </c>
      <c r="H792" s="25" t="n">
        <f aca="false">49-SUMPRODUCT(--((('Yellow Bosses'!$J$5:$J$53&gt;=1)+('Yellow Bosses'!$K$5:$K$53&gt;=1)+('Yellow Bosses'!$L$5:$L$53&gt;=1)+('Yellow Bosses'!$M$5:$M$53&gt;=1))&gt;0))</f>
        <v>0</v>
      </c>
      <c r="I792" s="25" t="n">
        <f aca="false">SUMPRODUCT(--((('Yellow Bosses'!$J$5:$J$53&gt;0)+('Yellow Bosses'!$K$5:$K$53&gt;0)+('Yellow Bosses'!$L$5:$L$53&gt;0)+('Yellow Bosses'!$M$5:$M$53&gt;0))=0))</f>
        <v>0</v>
      </c>
      <c r="J792" s="25" t="n">
        <f aca="false">SUMPRODUCT(--(((Effectiveness!$G$5:$G$155&gt;=2)+(Effectiveness!$H$5:$H$155&gt;=2)+(Effectiveness!$I$5:$I$155&gt;=2)+(Effectiveness!$J$5:$J$155&gt;=2))&gt;0))</f>
        <v>90</v>
      </c>
      <c r="K792" s="26" t="n">
        <f aca="false">J792/151</f>
        <v>0.596026490066225</v>
      </c>
      <c r="L792" s="25" t="n">
        <f aca="false">MIN(INDEX('Move Reality'!$F$5:$F$19,MATCH(B792,'Move Reality'!$A$5:$A$19,0)),INDEX('Move Reality'!$F$5:$F$19,MATCH(C792,'Move Reality'!$A$5:$A$19,0)),INDEX('Move Reality'!$F$5:$F$19,MATCH(D792,'Move Reality'!$A$5:$A$19,0)),INDEX('Move Reality'!$F$5:$F$19,MATCH(E792,'Move Reality'!$A$5:$A$19,0)))</f>
        <v>4</v>
      </c>
      <c r="M792" s="28" t="str">
        <f aca="false">IF(L792&gt;=5,"YES","no - dead move")</f>
        <v>no - dead move</v>
      </c>
    </row>
    <row r="793" customFormat="false" ht="15" hidden="false" customHeight="false" outlineLevel="0" collapsed="false">
      <c r="A793" s="17" t="n">
        <v>789</v>
      </c>
      <c r="B793" s="17" t="s">
        <v>42</v>
      </c>
      <c r="C793" s="17" t="s">
        <v>43</v>
      </c>
      <c r="D793" s="17" t="s">
        <v>45</v>
      </c>
      <c r="E793" s="17" t="s">
        <v>54</v>
      </c>
      <c r="F793" s="25" t="n">
        <f aca="false">SUMPRODUCT(--((('Yellow Bosses'!$J$5:$J$53&gt;=2)+('Yellow Bosses'!$K$5:$K$53&gt;=2)+('Yellow Bosses'!$M$5:$M$53&gt;=2)+('Yellow Bosses'!$V$5:$V$53&gt;=2))&gt;0))</f>
        <v>30</v>
      </c>
      <c r="G793" s="26" t="n">
        <f aca="false">F793/49</f>
        <v>0.612244897959184</v>
      </c>
      <c r="H793" s="25" t="n">
        <f aca="false">49-SUMPRODUCT(--((('Yellow Bosses'!$J$5:$J$53&gt;=1)+('Yellow Bosses'!$K$5:$K$53&gt;=1)+('Yellow Bosses'!$M$5:$M$53&gt;=1)+('Yellow Bosses'!$V$5:$V$53&gt;=1))&gt;0))</f>
        <v>0</v>
      </c>
      <c r="I793" s="25" t="n">
        <f aca="false">SUMPRODUCT(--((('Yellow Bosses'!$J$5:$J$53&gt;0)+('Yellow Bosses'!$K$5:$K$53&gt;0)+('Yellow Bosses'!$M$5:$M$53&gt;0)+('Yellow Bosses'!$V$5:$V$53&gt;0))=0))</f>
        <v>0</v>
      </c>
      <c r="J793" s="25" t="n">
        <f aca="false">SUMPRODUCT(--(((Effectiveness!$G$5:$G$155&gt;=2)+(Effectiveness!$H$5:$H$155&gt;=2)+(Effectiveness!$J$5:$J$155&gt;=2)+(Effectiveness!$S$5:$S$155&gt;=2))&gt;0))</f>
        <v>90</v>
      </c>
      <c r="K793" s="26" t="n">
        <f aca="false">J793/151</f>
        <v>0.596026490066225</v>
      </c>
      <c r="L793" s="25" t="n">
        <f aca="false">MIN(INDEX('Move Reality'!$F$5:$F$19,MATCH(B793,'Move Reality'!$A$5:$A$19,0)),INDEX('Move Reality'!$F$5:$F$19,MATCH(C793,'Move Reality'!$A$5:$A$19,0)),INDEX('Move Reality'!$F$5:$F$19,MATCH(D793,'Move Reality'!$A$5:$A$19,0)),INDEX('Move Reality'!$F$5:$F$19,MATCH(E793,'Move Reality'!$A$5:$A$19,0)))</f>
        <v>1</v>
      </c>
      <c r="M793" s="28" t="str">
        <f aca="false">IF(L793&gt;=5,"YES","no - dead move")</f>
        <v>no - dead move</v>
      </c>
    </row>
    <row r="794" customFormat="false" ht="15" hidden="false" customHeight="false" outlineLevel="0" collapsed="false">
      <c r="A794" s="17" t="n">
        <v>790</v>
      </c>
      <c r="B794" s="17" t="s">
        <v>43</v>
      </c>
      <c r="C794" s="17" t="s">
        <v>48</v>
      </c>
      <c r="D794" s="17" t="s">
        <v>53</v>
      </c>
      <c r="E794" s="17" t="s">
        <v>54</v>
      </c>
      <c r="F794" s="25" t="n">
        <f aca="false">SUMPRODUCT(--((('Yellow Bosses'!$K$5:$K$53&gt;=2)+('Yellow Bosses'!$P$5:$P$53&gt;=2)+('Yellow Bosses'!$U$5:$U$53&gt;=2)+('Yellow Bosses'!$V$5:$V$53&gt;=2))&gt;0))</f>
        <v>30</v>
      </c>
      <c r="G794" s="26" t="n">
        <f aca="false">F794/49</f>
        <v>0.612244897959184</v>
      </c>
      <c r="H794" s="25" t="n">
        <f aca="false">49-SUMPRODUCT(--((('Yellow Bosses'!$K$5:$K$53&gt;=1)+('Yellow Bosses'!$P$5:$P$53&gt;=1)+('Yellow Bosses'!$U$5:$U$53&gt;=1)+('Yellow Bosses'!$V$5:$V$53&gt;=1))&gt;0))</f>
        <v>0</v>
      </c>
      <c r="I794" s="25" t="n">
        <f aca="false">SUMPRODUCT(--((('Yellow Bosses'!$K$5:$K$53&gt;0)+('Yellow Bosses'!$P$5:$P$53&gt;0)+('Yellow Bosses'!$U$5:$U$53&gt;0)+('Yellow Bosses'!$V$5:$V$53&gt;0))=0))</f>
        <v>0</v>
      </c>
      <c r="J794" s="25" t="n">
        <f aca="false">SUMPRODUCT(--(((Effectiveness!$H$5:$H$155&gt;=2)+(Effectiveness!$M$5:$M$155&gt;=2)+(Effectiveness!$R$5:$R$155&gt;=2)+(Effectiveness!$S$5:$S$155&gt;=2))&gt;0))</f>
        <v>90</v>
      </c>
      <c r="K794" s="26" t="n">
        <f aca="false">J794/151</f>
        <v>0.596026490066225</v>
      </c>
      <c r="L794" s="25" t="n">
        <f aca="false">MIN(INDEX('Move Reality'!$F$5:$F$19,MATCH(B794,'Move Reality'!$A$5:$A$19,0)),INDEX('Move Reality'!$F$5:$F$19,MATCH(C794,'Move Reality'!$A$5:$A$19,0)),INDEX('Move Reality'!$F$5:$F$19,MATCH(D794,'Move Reality'!$A$5:$A$19,0)),INDEX('Move Reality'!$F$5:$F$19,MATCH(E794,'Move Reality'!$A$5:$A$19,0)))</f>
        <v>1</v>
      </c>
      <c r="M794" s="28" t="str">
        <f aca="false">IF(L794&gt;=5,"YES","no - dead move")</f>
        <v>no - dead move</v>
      </c>
    </row>
    <row r="795" customFormat="false" ht="15" hidden="false" customHeight="false" outlineLevel="0" collapsed="false">
      <c r="A795" s="17" t="n">
        <v>791</v>
      </c>
      <c r="B795" s="17" t="s">
        <v>40</v>
      </c>
      <c r="C795" s="17" t="s">
        <v>41</v>
      </c>
      <c r="D795" s="17" t="s">
        <v>44</v>
      </c>
      <c r="E795" s="17" t="s">
        <v>51</v>
      </c>
      <c r="F795" s="25" t="n">
        <f aca="false">SUMPRODUCT(--((('Yellow Bosses'!$H$5:$H$53&gt;=2)+('Yellow Bosses'!$I$5:$I$53&gt;=2)+('Yellow Bosses'!$L$5:$L$53&gt;=2)+('Yellow Bosses'!$S$5:$S$53&gt;=2))&gt;0))</f>
        <v>30</v>
      </c>
      <c r="G795" s="26" t="n">
        <f aca="false">F795/49</f>
        <v>0.612244897959184</v>
      </c>
      <c r="H795" s="25" t="n">
        <f aca="false">49-SUMPRODUCT(--((('Yellow Bosses'!$H$5:$H$53&gt;=1)+('Yellow Bosses'!$I$5:$I$53&gt;=1)+('Yellow Bosses'!$L$5:$L$53&gt;=1)+('Yellow Bosses'!$S$5:$S$53&gt;=1))&gt;0))</f>
        <v>0</v>
      </c>
      <c r="I795" s="25" t="n">
        <f aca="false">SUMPRODUCT(--((('Yellow Bosses'!$H$5:$H$53&gt;0)+('Yellow Bosses'!$I$5:$I$53&gt;0)+('Yellow Bosses'!$L$5:$L$53&gt;0)+('Yellow Bosses'!$S$5:$S$53&gt;0))=0))</f>
        <v>0</v>
      </c>
      <c r="J795" s="25" t="n">
        <f aca="false">SUMPRODUCT(--(((Effectiveness!$E$5:$E$155&gt;=2)+(Effectiveness!$F$5:$F$155&gt;=2)+(Effectiveness!$I$5:$I$155&gt;=2)+(Effectiveness!$P$5:$P$155&gt;=2))&gt;0))</f>
        <v>89</v>
      </c>
      <c r="K795" s="26" t="n">
        <f aca="false">J795/151</f>
        <v>0.589403973509934</v>
      </c>
      <c r="L795" s="25" t="n">
        <f aca="false">MIN(INDEX('Move Reality'!$F$5:$F$19,MATCH(B795,'Move Reality'!$A$5:$A$19,0)),INDEX('Move Reality'!$F$5:$F$19,MATCH(C795,'Move Reality'!$A$5:$A$19,0)),INDEX('Move Reality'!$F$5:$F$19,MATCH(D795,'Move Reality'!$A$5:$A$19,0)),INDEX('Move Reality'!$F$5:$F$19,MATCH(E795,'Move Reality'!$A$5:$A$19,0)))</f>
        <v>1</v>
      </c>
      <c r="M795" s="28" t="str">
        <f aca="false">IF(L795&gt;=5,"YES","no - dead move")</f>
        <v>no - dead move</v>
      </c>
    </row>
    <row r="796" customFormat="false" ht="15" hidden="false" customHeight="false" outlineLevel="0" collapsed="false">
      <c r="A796" s="17" t="n">
        <v>792</v>
      </c>
      <c r="B796" s="17" t="s">
        <v>41</v>
      </c>
      <c r="C796" s="17" t="s">
        <v>42</v>
      </c>
      <c r="D796" s="17" t="s">
        <v>46</v>
      </c>
      <c r="E796" s="17" t="s">
        <v>52</v>
      </c>
      <c r="F796" s="25" t="n">
        <f aca="false">SUMPRODUCT(--((('Yellow Bosses'!$I$5:$I$53&gt;=2)+('Yellow Bosses'!$J$5:$J$53&gt;=2)+('Yellow Bosses'!$N$5:$N$53&gt;=2)+('Yellow Bosses'!$T$5:$T$53&gt;=2))&gt;0))</f>
        <v>30</v>
      </c>
      <c r="G796" s="26" t="n">
        <f aca="false">F796/49</f>
        <v>0.612244897959184</v>
      </c>
      <c r="H796" s="25" t="n">
        <f aca="false">49-SUMPRODUCT(--((('Yellow Bosses'!$I$5:$I$53&gt;=1)+('Yellow Bosses'!$J$5:$J$53&gt;=1)+('Yellow Bosses'!$N$5:$N$53&gt;=1)+('Yellow Bosses'!$T$5:$T$53&gt;=1))&gt;0))</f>
        <v>0</v>
      </c>
      <c r="I796" s="25" t="n">
        <f aca="false">SUMPRODUCT(--((('Yellow Bosses'!$I$5:$I$53&gt;0)+('Yellow Bosses'!$J$5:$J$53&gt;0)+('Yellow Bosses'!$N$5:$N$53&gt;0)+('Yellow Bosses'!$T$5:$T$53&gt;0))=0))</f>
        <v>0</v>
      </c>
      <c r="J796" s="25" t="n">
        <f aca="false">SUMPRODUCT(--(((Effectiveness!$F$5:$F$155&gt;=2)+(Effectiveness!$G$5:$G$155&gt;=2)+(Effectiveness!$K$5:$K$155&gt;=2)+(Effectiveness!$Q$5:$Q$155&gt;=2))&gt;0))</f>
        <v>89</v>
      </c>
      <c r="K796" s="26" t="n">
        <f aca="false">J796/151</f>
        <v>0.589403973509934</v>
      </c>
      <c r="L796" s="25" t="n">
        <f aca="false">MIN(INDEX('Move Reality'!$F$5:$F$19,MATCH(B796,'Move Reality'!$A$5:$A$19,0)),INDEX('Move Reality'!$F$5:$F$19,MATCH(C796,'Move Reality'!$A$5:$A$19,0)),INDEX('Move Reality'!$F$5:$F$19,MATCH(D796,'Move Reality'!$A$5:$A$19,0)),INDEX('Move Reality'!$F$5:$F$19,MATCH(E796,'Move Reality'!$A$5:$A$19,0)))</f>
        <v>5</v>
      </c>
      <c r="M796" s="28" t="str">
        <f aca="false">IF(L796&gt;=5,"YES","no - dead move")</f>
        <v>YES</v>
      </c>
    </row>
    <row r="797" customFormat="false" ht="15" hidden="false" customHeight="false" outlineLevel="0" collapsed="false">
      <c r="A797" s="17" t="n">
        <v>793</v>
      </c>
      <c r="B797" s="17" t="s">
        <v>41</v>
      </c>
      <c r="C797" s="17" t="s">
        <v>44</v>
      </c>
      <c r="D797" s="17" t="s">
        <v>47</v>
      </c>
      <c r="E797" s="17" t="s">
        <v>51</v>
      </c>
      <c r="F797" s="25" t="n">
        <f aca="false">SUMPRODUCT(--((('Yellow Bosses'!$I$5:$I$53&gt;=2)+('Yellow Bosses'!$L$5:$L$53&gt;=2)+('Yellow Bosses'!$O$5:$O$53&gt;=2)+('Yellow Bosses'!$S$5:$S$53&gt;=2))&gt;0))</f>
        <v>30</v>
      </c>
      <c r="G797" s="26" t="n">
        <f aca="false">F797/49</f>
        <v>0.612244897959184</v>
      </c>
      <c r="H797" s="25" t="n">
        <f aca="false">49-SUMPRODUCT(--((('Yellow Bosses'!$I$5:$I$53&gt;=1)+('Yellow Bosses'!$L$5:$L$53&gt;=1)+('Yellow Bosses'!$O$5:$O$53&gt;=1)+('Yellow Bosses'!$S$5:$S$53&gt;=1))&gt;0))</f>
        <v>0</v>
      </c>
      <c r="I797" s="25" t="n">
        <f aca="false">SUMPRODUCT(--((('Yellow Bosses'!$I$5:$I$53&gt;0)+('Yellow Bosses'!$L$5:$L$53&gt;0)+('Yellow Bosses'!$O$5:$O$53&gt;0)+('Yellow Bosses'!$S$5:$S$53&gt;0))=0))</f>
        <v>0</v>
      </c>
      <c r="J797" s="25" t="n">
        <f aca="false">SUMPRODUCT(--(((Effectiveness!$F$5:$F$155&gt;=2)+(Effectiveness!$I$5:$I$155&gt;=2)+(Effectiveness!$L$5:$L$155&gt;=2)+(Effectiveness!$P$5:$P$155&gt;=2))&gt;0))</f>
        <v>89</v>
      </c>
      <c r="K797" s="26" t="n">
        <f aca="false">J797/151</f>
        <v>0.589403973509934</v>
      </c>
      <c r="L797" s="25" t="n">
        <f aca="false">MIN(INDEX('Move Reality'!$F$5:$F$19,MATCH(B797,'Move Reality'!$A$5:$A$19,0)),INDEX('Move Reality'!$F$5:$F$19,MATCH(C797,'Move Reality'!$A$5:$A$19,0)),INDEX('Move Reality'!$F$5:$F$19,MATCH(D797,'Move Reality'!$A$5:$A$19,0)),INDEX('Move Reality'!$F$5:$F$19,MATCH(E797,'Move Reality'!$A$5:$A$19,0)))</f>
        <v>1</v>
      </c>
      <c r="M797" s="28" t="str">
        <f aca="false">IF(L797&gt;=5,"YES","no - dead move")</f>
        <v>no - dead move</v>
      </c>
    </row>
    <row r="798" customFormat="false" ht="15" hidden="false" customHeight="false" outlineLevel="0" collapsed="false">
      <c r="A798" s="17" t="n">
        <v>794</v>
      </c>
      <c r="B798" s="17" t="s">
        <v>40</v>
      </c>
      <c r="C798" s="17" t="s">
        <v>44</v>
      </c>
      <c r="D798" s="17" t="s">
        <v>47</v>
      </c>
      <c r="E798" s="17" t="s">
        <v>51</v>
      </c>
      <c r="F798" s="25" t="n">
        <f aca="false">SUMPRODUCT(--((('Yellow Bosses'!$H$5:$H$53&gt;=2)+('Yellow Bosses'!$L$5:$L$53&gt;=2)+('Yellow Bosses'!$O$5:$O$53&gt;=2)+('Yellow Bosses'!$S$5:$S$53&gt;=2))&gt;0))</f>
        <v>30</v>
      </c>
      <c r="G798" s="26" t="n">
        <f aca="false">F798/49</f>
        <v>0.612244897959184</v>
      </c>
      <c r="H798" s="25" t="n">
        <f aca="false">49-SUMPRODUCT(--((('Yellow Bosses'!$H$5:$H$53&gt;=1)+('Yellow Bosses'!$L$5:$L$53&gt;=1)+('Yellow Bosses'!$O$5:$O$53&gt;=1)+('Yellow Bosses'!$S$5:$S$53&gt;=1))&gt;0))</f>
        <v>0</v>
      </c>
      <c r="I798" s="25" t="n">
        <f aca="false">SUMPRODUCT(--((('Yellow Bosses'!$H$5:$H$53&gt;0)+('Yellow Bosses'!$L$5:$L$53&gt;0)+('Yellow Bosses'!$O$5:$O$53&gt;0)+('Yellow Bosses'!$S$5:$S$53&gt;0))=0))</f>
        <v>0</v>
      </c>
      <c r="J798" s="25" t="n">
        <f aca="false">SUMPRODUCT(--(((Effectiveness!$E$5:$E$155&gt;=2)+(Effectiveness!$I$5:$I$155&gt;=2)+(Effectiveness!$L$5:$L$155&gt;=2)+(Effectiveness!$P$5:$P$155&gt;=2))&gt;0))</f>
        <v>88</v>
      </c>
      <c r="K798" s="26" t="n">
        <f aca="false">J798/151</f>
        <v>0.582781456953642</v>
      </c>
      <c r="L798" s="25" t="n">
        <f aca="false">MIN(INDEX('Move Reality'!$F$5:$F$19,MATCH(B798,'Move Reality'!$A$5:$A$19,0)),INDEX('Move Reality'!$F$5:$F$19,MATCH(C798,'Move Reality'!$A$5:$A$19,0)),INDEX('Move Reality'!$F$5:$F$19,MATCH(D798,'Move Reality'!$A$5:$A$19,0)),INDEX('Move Reality'!$F$5:$F$19,MATCH(E798,'Move Reality'!$A$5:$A$19,0)))</f>
        <v>1</v>
      </c>
      <c r="M798" s="28" t="str">
        <f aca="false">IF(L798&gt;=5,"YES","no - dead move")</f>
        <v>no - dead move</v>
      </c>
    </row>
    <row r="799" customFormat="false" ht="15" hidden="false" customHeight="false" outlineLevel="0" collapsed="false">
      <c r="A799" s="17" t="n">
        <v>795</v>
      </c>
      <c r="B799" s="17" t="s">
        <v>41</v>
      </c>
      <c r="C799" s="17" t="s">
        <v>45</v>
      </c>
      <c r="D799" s="17" t="s">
        <v>46</v>
      </c>
      <c r="E799" s="17" t="s">
        <v>49</v>
      </c>
      <c r="F799" s="25" t="n">
        <f aca="false">SUMPRODUCT(--((('Yellow Bosses'!$I$5:$I$53&gt;=2)+('Yellow Bosses'!$M$5:$M$53&gt;=2)+('Yellow Bosses'!$N$5:$N$53&gt;=2)+('Yellow Bosses'!$Q$5:$Q$53&gt;=2))&gt;0))</f>
        <v>30</v>
      </c>
      <c r="G799" s="26" t="n">
        <f aca="false">F799/49</f>
        <v>0.612244897959184</v>
      </c>
      <c r="H799" s="25" t="n">
        <f aca="false">49-SUMPRODUCT(--((('Yellow Bosses'!$I$5:$I$53&gt;=1)+('Yellow Bosses'!$M$5:$M$53&gt;=1)+('Yellow Bosses'!$N$5:$N$53&gt;=1)+('Yellow Bosses'!$Q$5:$Q$53&gt;=1))&gt;0))</f>
        <v>0</v>
      </c>
      <c r="I799" s="25" t="n">
        <f aca="false">SUMPRODUCT(--((('Yellow Bosses'!$I$5:$I$53&gt;0)+('Yellow Bosses'!$M$5:$M$53&gt;0)+('Yellow Bosses'!$N$5:$N$53&gt;0)+('Yellow Bosses'!$Q$5:$Q$53&gt;0))=0))</f>
        <v>0</v>
      </c>
      <c r="J799" s="25" t="n">
        <f aca="false">SUMPRODUCT(--(((Effectiveness!$F$5:$F$155&gt;=2)+(Effectiveness!$J$5:$J$155&gt;=2)+(Effectiveness!$K$5:$K$155&gt;=2)+(Effectiveness!$N$5:$N$155&gt;=2))&gt;0))</f>
        <v>88</v>
      </c>
      <c r="K799" s="26" t="n">
        <f aca="false">J799/151</f>
        <v>0.582781456953642</v>
      </c>
      <c r="L799" s="25" t="n">
        <f aca="false">MIN(INDEX('Move Reality'!$F$5:$F$19,MATCH(B799,'Move Reality'!$A$5:$A$19,0)),INDEX('Move Reality'!$F$5:$F$19,MATCH(C799,'Move Reality'!$A$5:$A$19,0)),INDEX('Move Reality'!$F$5:$F$19,MATCH(D799,'Move Reality'!$A$5:$A$19,0)),INDEX('Move Reality'!$F$5:$F$19,MATCH(E799,'Move Reality'!$A$5:$A$19,0)))</f>
        <v>5</v>
      </c>
      <c r="M799" s="28" t="str">
        <f aca="false">IF(L799&gt;=5,"YES","no - dead move")</f>
        <v>YES</v>
      </c>
    </row>
    <row r="800" customFormat="false" ht="15" hidden="false" customHeight="false" outlineLevel="0" collapsed="false">
      <c r="A800" s="17" t="n">
        <v>796</v>
      </c>
      <c r="B800" s="17" t="s">
        <v>41</v>
      </c>
      <c r="C800" s="17" t="s">
        <v>46</v>
      </c>
      <c r="D800" s="17" t="s">
        <v>49</v>
      </c>
      <c r="E800" s="17" t="s">
        <v>51</v>
      </c>
      <c r="F800" s="25" t="n">
        <f aca="false">SUMPRODUCT(--((('Yellow Bosses'!$I$5:$I$53&gt;=2)+('Yellow Bosses'!$N$5:$N$53&gt;=2)+('Yellow Bosses'!$Q$5:$Q$53&gt;=2)+('Yellow Bosses'!$S$5:$S$53&gt;=2))&gt;0))</f>
        <v>30</v>
      </c>
      <c r="G800" s="26" t="n">
        <f aca="false">F800/49</f>
        <v>0.612244897959184</v>
      </c>
      <c r="H800" s="25" t="n">
        <f aca="false">49-SUMPRODUCT(--((('Yellow Bosses'!$I$5:$I$53&gt;=1)+('Yellow Bosses'!$N$5:$N$53&gt;=1)+('Yellow Bosses'!$Q$5:$Q$53&gt;=1)+('Yellow Bosses'!$S$5:$S$53&gt;=1))&gt;0))</f>
        <v>0</v>
      </c>
      <c r="I800" s="25" t="n">
        <f aca="false">SUMPRODUCT(--((('Yellow Bosses'!$I$5:$I$53&gt;0)+('Yellow Bosses'!$N$5:$N$53&gt;0)+('Yellow Bosses'!$Q$5:$Q$53&gt;0)+('Yellow Bosses'!$S$5:$S$53&gt;0))=0))</f>
        <v>0</v>
      </c>
      <c r="J800" s="25" t="n">
        <f aca="false">SUMPRODUCT(--(((Effectiveness!$F$5:$F$155&gt;=2)+(Effectiveness!$K$5:$K$155&gt;=2)+(Effectiveness!$N$5:$N$155&gt;=2)+(Effectiveness!$P$5:$P$155&gt;=2))&gt;0))</f>
        <v>88</v>
      </c>
      <c r="K800" s="26" t="n">
        <f aca="false">J800/151</f>
        <v>0.582781456953642</v>
      </c>
      <c r="L800" s="25" t="n">
        <f aca="false">MIN(INDEX('Move Reality'!$F$5:$F$19,MATCH(B800,'Move Reality'!$A$5:$A$19,0)),INDEX('Move Reality'!$F$5:$F$19,MATCH(C800,'Move Reality'!$A$5:$A$19,0)),INDEX('Move Reality'!$F$5:$F$19,MATCH(D800,'Move Reality'!$A$5:$A$19,0)),INDEX('Move Reality'!$F$5:$F$19,MATCH(E800,'Move Reality'!$A$5:$A$19,0)))</f>
        <v>1</v>
      </c>
      <c r="M800" s="28" t="str">
        <f aca="false">IF(L800&gt;=5,"YES","no - dead move")</f>
        <v>no - dead move</v>
      </c>
    </row>
    <row r="801" customFormat="false" ht="15" hidden="false" customHeight="false" outlineLevel="0" collapsed="false">
      <c r="A801" s="17" t="n">
        <v>797</v>
      </c>
      <c r="B801" s="17" t="s">
        <v>40</v>
      </c>
      <c r="C801" s="17" t="s">
        <v>46</v>
      </c>
      <c r="D801" s="17" t="s">
        <v>49</v>
      </c>
      <c r="E801" s="17" t="s">
        <v>51</v>
      </c>
      <c r="F801" s="25" t="n">
        <f aca="false">SUMPRODUCT(--((('Yellow Bosses'!$H$5:$H$53&gt;=2)+('Yellow Bosses'!$N$5:$N$53&gt;=2)+('Yellow Bosses'!$Q$5:$Q$53&gt;=2)+('Yellow Bosses'!$S$5:$S$53&gt;=2))&gt;0))</f>
        <v>30</v>
      </c>
      <c r="G801" s="26" t="n">
        <f aca="false">F801/49</f>
        <v>0.612244897959184</v>
      </c>
      <c r="H801" s="25" t="n">
        <f aca="false">49-SUMPRODUCT(--((('Yellow Bosses'!$H$5:$H$53&gt;=1)+('Yellow Bosses'!$N$5:$N$53&gt;=1)+('Yellow Bosses'!$Q$5:$Q$53&gt;=1)+('Yellow Bosses'!$S$5:$S$53&gt;=1))&gt;0))</f>
        <v>0</v>
      </c>
      <c r="I801" s="25" t="n">
        <f aca="false">SUMPRODUCT(--((('Yellow Bosses'!$H$5:$H$53&gt;0)+('Yellow Bosses'!$N$5:$N$53&gt;0)+('Yellow Bosses'!$Q$5:$Q$53&gt;0)+('Yellow Bosses'!$S$5:$S$53&gt;0))=0))</f>
        <v>0</v>
      </c>
      <c r="J801" s="25" t="n">
        <f aca="false">SUMPRODUCT(--(((Effectiveness!$E$5:$E$155&gt;=2)+(Effectiveness!$K$5:$K$155&gt;=2)+(Effectiveness!$N$5:$N$155&gt;=2)+(Effectiveness!$P$5:$P$155&gt;=2))&gt;0))</f>
        <v>87</v>
      </c>
      <c r="K801" s="26" t="n">
        <f aca="false">J801/151</f>
        <v>0.576158940397351</v>
      </c>
      <c r="L801" s="25" t="n">
        <f aca="false">MIN(INDEX('Move Reality'!$F$5:$F$19,MATCH(B801,'Move Reality'!$A$5:$A$19,0)),INDEX('Move Reality'!$F$5:$F$19,MATCH(C801,'Move Reality'!$A$5:$A$19,0)),INDEX('Move Reality'!$F$5:$F$19,MATCH(D801,'Move Reality'!$A$5:$A$19,0)),INDEX('Move Reality'!$F$5:$F$19,MATCH(E801,'Move Reality'!$A$5:$A$19,0)))</f>
        <v>1</v>
      </c>
      <c r="M801" s="28" t="str">
        <f aca="false">IF(L801&gt;=5,"YES","no - dead move")</f>
        <v>no - dead move</v>
      </c>
    </row>
    <row r="802" customFormat="false" ht="15" hidden="false" customHeight="false" outlineLevel="0" collapsed="false">
      <c r="A802" s="17" t="n">
        <v>798</v>
      </c>
      <c r="B802" s="17" t="s">
        <v>46</v>
      </c>
      <c r="C802" s="17" t="s">
        <v>47</v>
      </c>
      <c r="D802" s="17" t="s">
        <v>49</v>
      </c>
      <c r="E802" s="17" t="s">
        <v>51</v>
      </c>
      <c r="F802" s="25" t="n">
        <f aca="false">SUMPRODUCT(--((('Yellow Bosses'!$N$5:$N$53&gt;=2)+('Yellow Bosses'!$O$5:$O$53&gt;=2)+('Yellow Bosses'!$Q$5:$Q$53&gt;=2)+('Yellow Bosses'!$S$5:$S$53&gt;=2))&gt;0))</f>
        <v>30</v>
      </c>
      <c r="G802" s="26" t="n">
        <f aca="false">F802/49</f>
        <v>0.612244897959184</v>
      </c>
      <c r="H802" s="25" t="n">
        <f aca="false">49-SUMPRODUCT(--((('Yellow Bosses'!$N$5:$N$53&gt;=1)+('Yellow Bosses'!$O$5:$O$53&gt;=1)+('Yellow Bosses'!$Q$5:$Q$53&gt;=1)+('Yellow Bosses'!$S$5:$S$53&gt;=1))&gt;0))</f>
        <v>0</v>
      </c>
      <c r="I802" s="25" t="n">
        <f aca="false">SUMPRODUCT(--((('Yellow Bosses'!$N$5:$N$53&gt;0)+('Yellow Bosses'!$O$5:$O$53&gt;0)+('Yellow Bosses'!$Q$5:$Q$53&gt;0)+('Yellow Bosses'!$S$5:$S$53&gt;0))=0))</f>
        <v>0</v>
      </c>
      <c r="J802" s="25" t="n">
        <f aca="false">SUMPRODUCT(--(((Effectiveness!$K$5:$K$155&gt;=2)+(Effectiveness!$L$5:$L$155&gt;=2)+(Effectiveness!$N$5:$N$155&gt;=2)+(Effectiveness!$P$5:$P$155&gt;=2))&gt;0))</f>
        <v>87</v>
      </c>
      <c r="K802" s="26" t="n">
        <f aca="false">J802/151</f>
        <v>0.576158940397351</v>
      </c>
      <c r="L802" s="25" t="n">
        <f aca="false">MIN(INDEX('Move Reality'!$F$5:$F$19,MATCH(B802,'Move Reality'!$A$5:$A$19,0)),INDEX('Move Reality'!$F$5:$F$19,MATCH(C802,'Move Reality'!$A$5:$A$19,0)),INDEX('Move Reality'!$F$5:$F$19,MATCH(D802,'Move Reality'!$A$5:$A$19,0)),INDEX('Move Reality'!$F$5:$F$19,MATCH(E802,'Move Reality'!$A$5:$A$19,0)))</f>
        <v>1</v>
      </c>
      <c r="M802" s="28" t="str">
        <f aca="false">IF(L802&gt;=5,"YES","no - dead move")</f>
        <v>no - dead move</v>
      </c>
    </row>
    <row r="803" customFormat="false" ht="15" hidden="false" customHeight="false" outlineLevel="0" collapsed="false">
      <c r="A803" s="17" t="n">
        <v>799</v>
      </c>
      <c r="B803" s="17" t="s">
        <v>40</v>
      </c>
      <c r="C803" s="17" t="s">
        <v>41</v>
      </c>
      <c r="D803" s="17" t="s">
        <v>44</v>
      </c>
      <c r="E803" s="17" t="s">
        <v>45</v>
      </c>
      <c r="F803" s="25" t="n">
        <f aca="false">SUMPRODUCT(--((('Yellow Bosses'!$H$5:$H$53&gt;=2)+('Yellow Bosses'!$I$5:$I$53&gt;=2)+('Yellow Bosses'!$L$5:$L$53&gt;=2)+('Yellow Bosses'!$M$5:$M$53&gt;=2))&gt;0))</f>
        <v>30</v>
      </c>
      <c r="G803" s="26" t="n">
        <f aca="false">F803/49</f>
        <v>0.612244897959184</v>
      </c>
      <c r="H803" s="25" t="n">
        <f aca="false">49-SUMPRODUCT(--((('Yellow Bosses'!$H$5:$H$53&gt;=1)+('Yellow Bosses'!$I$5:$I$53&gt;=1)+('Yellow Bosses'!$L$5:$L$53&gt;=1)+('Yellow Bosses'!$M$5:$M$53&gt;=1))&gt;0))</f>
        <v>0</v>
      </c>
      <c r="I803" s="25" t="n">
        <f aca="false">SUMPRODUCT(--((('Yellow Bosses'!$H$5:$H$53&gt;0)+('Yellow Bosses'!$I$5:$I$53&gt;0)+('Yellow Bosses'!$L$5:$L$53&gt;0)+('Yellow Bosses'!$M$5:$M$53&gt;0))=0))</f>
        <v>0</v>
      </c>
      <c r="J803" s="25" t="n">
        <f aca="false">SUMPRODUCT(--(((Effectiveness!$E$5:$E$155&gt;=2)+(Effectiveness!$F$5:$F$155&gt;=2)+(Effectiveness!$I$5:$I$155&gt;=2)+(Effectiveness!$J$5:$J$155&gt;=2))&gt;0))</f>
        <v>86</v>
      </c>
      <c r="K803" s="26" t="n">
        <f aca="false">J803/151</f>
        <v>0.56953642384106</v>
      </c>
      <c r="L803" s="25" t="n">
        <f aca="false">MIN(INDEX('Move Reality'!$F$5:$F$19,MATCH(B803,'Move Reality'!$A$5:$A$19,0)),INDEX('Move Reality'!$F$5:$F$19,MATCH(C803,'Move Reality'!$A$5:$A$19,0)),INDEX('Move Reality'!$F$5:$F$19,MATCH(D803,'Move Reality'!$A$5:$A$19,0)),INDEX('Move Reality'!$F$5:$F$19,MATCH(E803,'Move Reality'!$A$5:$A$19,0)))</f>
        <v>4</v>
      </c>
      <c r="M803" s="28" t="str">
        <f aca="false">IF(L803&gt;=5,"YES","no - dead move")</f>
        <v>no - dead move</v>
      </c>
    </row>
    <row r="804" customFormat="false" ht="15" hidden="false" customHeight="false" outlineLevel="0" collapsed="false">
      <c r="A804" s="17" t="n">
        <v>800</v>
      </c>
      <c r="B804" s="17" t="s">
        <v>41</v>
      </c>
      <c r="C804" s="17" t="s">
        <v>44</v>
      </c>
      <c r="D804" s="17" t="s">
        <v>45</v>
      </c>
      <c r="E804" s="17" t="s">
        <v>47</v>
      </c>
      <c r="F804" s="25" t="n">
        <f aca="false">SUMPRODUCT(--((('Yellow Bosses'!$I$5:$I$53&gt;=2)+('Yellow Bosses'!$L$5:$L$53&gt;=2)+('Yellow Bosses'!$M$5:$M$53&gt;=2)+('Yellow Bosses'!$O$5:$O$53&gt;=2))&gt;0))</f>
        <v>30</v>
      </c>
      <c r="G804" s="26" t="n">
        <f aca="false">F804/49</f>
        <v>0.612244897959184</v>
      </c>
      <c r="H804" s="25" t="n">
        <f aca="false">49-SUMPRODUCT(--((('Yellow Bosses'!$I$5:$I$53&gt;=1)+('Yellow Bosses'!$L$5:$L$53&gt;=1)+('Yellow Bosses'!$M$5:$M$53&gt;=1)+('Yellow Bosses'!$O$5:$O$53&gt;=1))&gt;0))</f>
        <v>0</v>
      </c>
      <c r="I804" s="25" t="n">
        <f aca="false">SUMPRODUCT(--((('Yellow Bosses'!$I$5:$I$53&gt;0)+('Yellow Bosses'!$L$5:$L$53&gt;0)+('Yellow Bosses'!$M$5:$M$53&gt;0)+('Yellow Bosses'!$O$5:$O$53&gt;0))=0))</f>
        <v>0</v>
      </c>
      <c r="J804" s="25" t="n">
        <f aca="false">SUMPRODUCT(--(((Effectiveness!$F$5:$F$155&gt;=2)+(Effectiveness!$I$5:$I$155&gt;=2)+(Effectiveness!$J$5:$J$155&gt;=2)+(Effectiveness!$L$5:$L$155&gt;=2))&gt;0))</f>
        <v>86</v>
      </c>
      <c r="K804" s="26" t="n">
        <f aca="false">J804/151</f>
        <v>0.56953642384106</v>
      </c>
      <c r="L804" s="25" t="n">
        <f aca="false">MIN(INDEX('Move Reality'!$F$5:$F$19,MATCH(B804,'Move Reality'!$A$5:$A$19,0)),INDEX('Move Reality'!$F$5:$F$19,MATCH(C804,'Move Reality'!$A$5:$A$19,0)),INDEX('Move Reality'!$F$5:$F$19,MATCH(D804,'Move Reality'!$A$5:$A$19,0)),INDEX('Move Reality'!$F$5:$F$19,MATCH(E804,'Move Reality'!$A$5:$A$19,0)))</f>
        <v>2</v>
      </c>
      <c r="M804" s="28" t="str">
        <f aca="false">IF(L804&gt;=5,"YES","no - dead move")</f>
        <v>no - dead move</v>
      </c>
    </row>
    <row r="805" customFormat="false" ht="15" hidden="false" customHeight="false" outlineLevel="0" collapsed="false">
      <c r="A805" s="17" t="n">
        <v>801</v>
      </c>
      <c r="B805" s="17" t="s">
        <v>41</v>
      </c>
      <c r="C805" s="17" t="s">
        <v>44</v>
      </c>
      <c r="D805" s="17" t="s">
        <v>45</v>
      </c>
      <c r="E805" s="17" t="s">
        <v>54</v>
      </c>
      <c r="F805" s="25" t="n">
        <f aca="false">SUMPRODUCT(--((('Yellow Bosses'!$I$5:$I$53&gt;=2)+('Yellow Bosses'!$L$5:$L$53&gt;=2)+('Yellow Bosses'!$M$5:$M$53&gt;=2)+('Yellow Bosses'!$V$5:$V$53&gt;=2))&gt;0))</f>
        <v>30</v>
      </c>
      <c r="G805" s="26" t="n">
        <f aca="false">F805/49</f>
        <v>0.612244897959184</v>
      </c>
      <c r="H805" s="25" t="n">
        <f aca="false">49-SUMPRODUCT(--((('Yellow Bosses'!$I$5:$I$53&gt;=1)+('Yellow Bosses'!$L$5:$L$53&gt;=1)+('Yellow Bosses'!$M$5:$M$53&gt;=1)+('Yellow Bosses'!$V$5:$V$53&gt;=1))&gt;0))</f>
        <v>0</v>
      </c>
      <c r="I805" s="25" t="n">
        <f aca="false">SUMPRODUCT(--((('Yellow Bosses'!$I$5:$I$53&gt;0)+('Yellow Bosses'!$L$5:$L$53&gt;0)+('Yellow Bosses'!$M$5:$M$53&gt;0)+('Yellow Bosses'!$V$5:$V$53&gt;0))=0))</f>
        <v>0</v>
      </c>
      <c r="J805" s="25" t="n">
        <f aca="false">SUMPRODUCT(--(((Effectiveness!$F$5:$F$155&gt;=2)+(Effectiveness!$I$5:$I$155&gt;=2)+(Effectiveness!$J$5:$J$155&gt;=2)+(Effectiveness!$S$5:$S$155&gt;=2))&gt;0))</f>
        <v>86</v>
      </c>
      <c r="K805" s="26" t="n">
        <f aca="false">J805/151</f>
        <v>0.56953642384106</v>
      </c>
      <c r="L805" s="25" t="n">
        <f aca="false">MIN(INDEX('Move Reality'!$F$5:$F$19,MATCH(B805,'Move Reality'!$A$5:$A$19,0)),INDEX('Move Reality'!$F$5:$F$19,MATCH(C805,'Move Reality'!$A$5:$A$19,0)),INDEX('Move Reality'!$F$5:$F$19,MATCH(D805,'Move Reality'!$A$5:$A$19,0)),INDEX('Move Reality'!$F$5:$F$19,MATCH(E805,'Move Reality'!$A$5:$A$19,0)))</f>
        <v>1</v>
      </c>
      <c r="M805" s="28" t="str">
        <f aca="false">IF(L805&gt;=5,"YES","no - dead move")</f>
        <v>no - dead move</v>
      </c>
    </row>
    <row r="806" customFormat="false" ht="15" hidden="false" customHeight="false" outlineLevel="0" collapsed="false">
      <c r="A806" s="17" t="n">
        <v>802</v>
      </c>
      <c r="B806" s="17" t="s">
        <v>43</v>
      </c>
      <c r="C806" s="17" t="s">
        <v>44</v>
      </c>
      <c r="D806" s="17" t="s">
        <v>52</v>
      </c>
      <c r="E806" s="17" t="s">
        <v>53</v>
      </c>
      <c r="F806" s="25" t="n">
        <f aca="false">SUMPRODUCT(--((('Yellow Bosses'!$K$5:$K$53&gt;=2)+('Yellow Bosses'!$L$5:$L$53&gt;=2)+('Yellow Bosses'!$T$5:$T$53&gt;=2)+('Yellow Bosses'!$U$5:$U$53&gt;=2))&gt;0))</f>
        <v>30</v>
      </c>
      <c r="G806" s="26" t="n">
        <f aca="false">F806/49</f>
        <v>0.612244897959184</v>
      </c>
      <c r="H806" s="25" t="n">
        <f aca="false">49-SUMPRODUCT(--((('Yellow Bosses'!$K$5:$K$53&gt;=1)+('Yellow Bosses'!$L$5:$L$53&gt;=1)+('Yellow Bosses'!$T$5:$T$53&gt;=1)+('Yellow Bosses'!$U$5:$U$53&gt;=1))&gt;0))</f>
        <v>0</v>
      </c>
      <c r="I806" s="25" t="n">
        <f aca="false">SUMPRODUCT(--((('Yellow Bosses'!$K$5:$K$53&gt;0)+('Yellow Bosses'!$L$5:$L$53&gt;0)+('Yellow Bosses'!$T$5:$T$53&gt;0)+('Yellow Bosses'!$U$5:$U$53&gt;0))=0))</f>
        <v>0</v>
      </c>
      <c r="J806" s="25" t="n">
        <f aca="false">SUMPRODUCT(--(((Effectiveness!$H$5:$H$155&gt;=2)+(Effectiveness!$I$5:$I$155&gt;=2)+(Effectiveness!$Q$5:$Q$155&gt;=2)+(Effectiveness!$R$5:$R$155&gt;=2))&gt;0))</f>
        <v>86</v>
      </c>
      <c r="K806" s="26" t="n">
        <f aca="false">J806/151</f>
        <v>0.56953642384106</v>
      </c>
      <c r="L806" s="25" t="n">
        <f aca="false">MIN(INDEX('Move Reality'!$F$5:$F$19,MATCH(B806,'Move Reality'!$A$5:$A$19,0)),INDEX('Move Reality'!$F$5:$F$19,MATCH(C806,'Move Reality'!$A$5:$A$19,0)),INDEX('Move Reality'!$F$5:$F$19,MATCH(D806,'Move Reality'!$A$5:$A$19,0)),INDEX('Move Reality'!$F$5:$F$19,MATCH(E806,'Move Reality'!$A$5:$A$19,0)))</f>
        <v>1</v>
      </c>
      <c r="M806" s="28" t="str">
        <f aca="false">IF(L806&gt;=5,"YES","no - dead move")</f>
        <v>no - dead move</v>
      </c>
    </row>
    <row r="807" customFormat="false" ht="15" hidden="false" customHeight="false" outlineLevel="0" collapsed="false">
      <c r="A807" s="17" t="n">
        <v>803</v>
      </c>
      <c r="B807" s="17" t="s">
        <v>40</v>
      </c>
      <c r="C807" s="17" t="s">
        <v>44</v>
      </c>
      <c r="D807" s="17" t="s">
        <v>52</v>
      </c>
      <c r="E807" s="17" t="s">
        <v>53</v>
      </c>
      <c r="F807" s="25" t="n">
        <f aca="false">SUMPRODUCT(--((('Yellow Bosses'!$H$5:$H$53&gt;=2)+('Yellow Bosses'!$L$5:$L$53&gt;=2)+('Yellow Bosses'!$T$5:$T$53&gt;=2)+('Yellow Bosses'!$U$5:$U$53&gt;=2))&gt;0))</f>
        <v>30</v>
      </c>
      <c r="G807" s="26" t="n">
        <f aca="false">F807/49</f>
        <v>0.612244897959184</v>
      </c>
      <c r="H807" s="25" t="n">
        <f aca="false">49-SUMPRODUCT(--((('Yellow Bosses'!$H$5:$H$53&gt;=1)+('Yellow Bosses'!$L$5:$L$53&gt;=1)+('Yellow Bosses'!$T$5:$T$53&gt;=1)+('Yellow Bosses'!$U$5:$U$53&gt;=1))&gt;0))</f>
        <v>0</v>
      </c>
      <c r="I807" s="25" t="n">
        <f aca="false">SUMPRODUCT(--((('Yellow Bosses'!$H$5:$H$53&gt;0)+('Yellow Bosses'!$L$5:$L$53&gt;0)+('Yellow Bosses'!$T$5:$T$53&gt;0)+('Yellow Bosses'!$U$5:$U$53&gt;0))=0))</f>
        <v>0</v>
      </c>
      <c r="J807" s="25" t="n">
        <f aca="false">SUMPRODUCT(--(((Effectiveness!$E$5:$E$155&gt;=2)+(Effectiveness!$I$5:$I$155&gt;=2)+(Effectiveness!$Q$5:$Q$155&gt;=2)+(Effectiveness!$R$5:$R$155&gt;=2))&gt;0))</f>
        <v>84</v>
      </c>
      <c r="K807" s="26" t="n">
        <f aca="false">J807/151</f>
        <v>0.556291390728477</v>
      </c>
      <c r="L807" s="25" t="n">
        <f aca="false">MIN(INDEX('Move Reality'!$F$5:$F$19,MATCH(B807,'Move Reality'!$A$5:$A$19,0)),INDEX('Move Reality'!$F$5:$F$19,MATCH(C807,'Move Reality'!$A$5:$A$19,0)),INDEX('Move Reality'!$F$5:$F$19,MATCH(D807,'Move Reality'!$A$5:$A$19,0)),INDEX('Move Reality'!$F$5:$F$19,MATCH(E807,'Move Reality'!$A$5:$A$19,0)))</f>
        <v>1</v>
      </c>
      <c r="M807" s="28" t="str">
        <f aca="false">IF(L807&gt;=5,"YES","no - dead move")</f>
        <v>no - dead move</v>
      </c>
    </row>
    <row r="808" customFormat="false" ht="15" hidden="false" customHeight="false" outlineLevel="0" collapsed="false">
      <c r="A808" s="17" t="n">
        <v>804</v>
      </c>
      <c r="B808" s="17" t="s">
        <v>41</v>
      </c>
      <c r="C808" s="17" t="s">
        <v>42</v>
      </c>
      <c r="D808" s="17" t="s">
        <v>46</v>
      </c>
      <c r="E808" s="17" t="s">
        <v>49</v>
      </c>
      <c r="F808" s="25" t="n">
        <f aca="false">SUMPRODUCT(--((('Yellow Bosses'!$I$5:$I$53&gt;=2)+('Yellow Bosses'!$J$5:$J$53&gt;=2)+('Yellow Bosses'!$N$5:$N$53&gt;=2)+('Yellow Bosses'!$Q$5:$Q$53&gt;=2))&gt;0))</f>
        <v>30</v>
      </c>
      <c r="G808" s="26" t="n">
        <f aca="false">F808/49</f>
        <v>0.612244897959184</v>
      </c>
      <c r="H808" s="25" t="n">
        <f aca="false">49-SUMPRODUCT(--((('Yellow Bosses'!$I$5:$I$53&gt;=1)+('Yellow Bosses'!$J$5:$J$53&gt;=1)+('Yellow Bosses'!$N$5:$N$53&gt;=1)+('Yellow Bosses'!$Q$5:$Q$53&gt;=1))&gt;0))</f>
        <v>0</v>
      </c>
      <c r="I808" s="25" t="n">
        <f aca="false">SUMPRODUCT(--((('Yellow Bosses'!$I$5:$I$53&gt;0)+('Yellow Bosses'!$J$5:$J$53&gt;0)+('Yellow Bosses'!$N$5:$N$53&gt;0)+('Yellow Bosses'!$Q$5:$Q$53&gt;0))=0))</f>
        <v>0</v>
      </c>
      <c r="J808" s="25" t="n">
        <f aca="false">SUMPRODUCT(--(((Effectiveness!$F$5:$F$155&gt;=2)+(Effectiveness!$G$5:$G$155&gt;=2)+(Effectiveness!$K$5:$K$155&gt;=2)+(Effectiveness!$N$5:$N$155&gt;=2))&gt;0))</f>
        <v>84</v>
      </c>
      <c r="K808" s="26" t="n">
        <f aca="false">J808/151</f>
        <v>0.556291390728477</v>
      </c>
      <c r="L808" s="25" t="n">
        <f aca="false">MIN(INDEX('Move Reality'!$F$5:$F$19,MATCH(B808,'Move Reality'!$A$5:$A$19,0)),INDEX('Move Reality'!$F$5:$F$19,MATCH(C808,'Move Reality'!$A$5:$A$19,0)),INDEX('Move Reality'!$F$5:$F$19,MATCH(D808,'Move Reality'!$A$5:$A$19,0)),INDEX('Move Reality'!$F$5:$F$19,MATCH(E808,'Move Reality'!$A$5:$A$19,0)))</f>
        <v>5</v>
      </c>
      <c r="M808" s="28" t="str">
        <f aca="false">IF(L808&gt;=5,"YES","no - dead move")</f>
        <v>YES</v>
      </c>
    </row>
    <row r="809" customFormat="false" ht="15" hidden="false" customHeight="false" outlineLevel="0" collapsed="false">
      <c r="A809" s="17" t="n">
        <v>805</v>
      </c>
      <c r="B809" s="17" t="s">
        <v>41</v>
      </c>
      <c r="C809" s="17" t="s">
        <v>45</v>
      </c>
      <c r="D809" s="17" t="s">
        <v>46</v>
      </c>
      <c r="E809" s="17" t="s">
        <v>53</v>
      </c>
      <c r="F809" s="25" t="n">
        <f aca="false">SUMPRODUCT(--((('Yellow Bosses'!$I$5:$I$53&gt;=2)+('Yellow Bosses'!$M$5:$M$53&gt;=2)+('Yellow Bosses'!$N$5:$N$53&gt;=2)+('Yellow Bosses'!$U$5:$U$53&gt;=2))&gt;0))</f>
        <v>30</v>
      </c>
      <c r="G809" s="26" t="n">
        <f aca="false">F809/49</f>
        <v>0.612244897959184</v>
      </c>
      <c r="H809" s="25" t="n">
        <f aca="false">49-SUMPRODUCT(--((('Yellow Bosses'!$I$5:$I$53&gt;=1)+('Yellow Bosses'!$M$5:$M$53&gt;=1)+('Yellow Bosses'!$N$5:$N$53&gt;=1)+('Yellow Bosses'!$U$5:$U$53&gt;=1))&gt;0))</f>
        <v>2</v>
      </c>
      <c r="I809" s="25" t="n">
        <f aca="false">SUMPRODUCT(--((('Yellow Bosses'!$I$5:$I$53&gt;0)+('Yellow Bosses'!$M$5:$M$53&gt;0)+('Yellow Bosses'!$N$5:$N$53&gt;0)+('Yellow Bosses'!$U$5:$U$53&gt;0))=0))</f>
        <v>0</v>
      </c>
      <c r="J809" s="25" t="n">
        <f aca="false">SUMPRODUCT(--(((Effectiveness!$F$5:$F$155&gt;=2)+(Effectiveness!$J$5:$J$155&gt;=2)+(Effectiveness!$K$5:$K$155&gt;=2)+(Effectiveness!$R$5:$R$155&gt;=2))&gt;0))</f>
        <v>83</v>
      </c>
      <c r="K809" s="26" t="n">
        <f aca="false">J809/151</f>
        <v>0.549668874172186</v>
      </c>
      <c r="L809" s="25" t="n">
        <f aca="false">MIN(INDEX('Move Reality'!$F$5:$F$19,MATCH(B809,'Move Reality'!$A$5:$A$19,0)),INDEX('Move Reality'!$F$5:$F$19,MATCH(C809,'Move Reality'!$A$5:$A$19,0)),INDEX('Move Reality'!$F$5:$F$19,MATCH(D809,'Move Reality'!$A$5:$A$19,0)),INDEX('Move Reality'!$F$5:$F$19,MATCH(E809,'Move Reality'!$A$5:$A$19,0)))</f>
        <v>1</v>
      </c>
      <c r="M809" s="28" t="str">
        <f aca="false">IF(L809&gt;=5,"YES","no - dead move")</f>
        <v>no - dead move</v>
      </c>
    </row>
    <row r="810" customFormat="false" ht="15" hidden="false" customHeight="false" outlineLevel="0" collapsed="false">
      <c r="A810" s="17" t="n">
        <v>806</v>
      </c>
      <c r="B810" s="17" t="s">
        <v>41</v>
      </c>
      <c r="C810" s="17" t="s">
        <v>46</v>
      </c>
      <c r="D810" s="17" t="s">
        <v>51</v>
      </c>
      <c r="E810" s="17" t="s">
        <v>53</v>
      </c>
      <c r="F810" s="25" t="n">
        <f aca="false">SUMPRODUCT(--((('Yellow Bosses'!$I$5:$I$53&gt;=2)+('Yellow Bosses'!$N$5:$N$53&gt;=2)+('Yellow Bosses'!$S$5:$S$53&gt;=2)+('Yellow Bosses'!$U$5:$U$53&gt;=2))&gt;0))</f>
        <v>30</v>
      </c>
      <c r="G810" s="26" t="n">
        <f aca="false">F810/49</f>
        <v>0.612244897959184</v>
      </c>
      <c r="H810" s="25" t="n">
        <f aca="false">49-SUMPRODUCT(--((('Yellow Bosses'!$I$5:$I$53&gt;=1)+('Yellow Bosses'!$N$5:$N$53&gt;=1)+('Yellow Bosses'!$S$5:$S$53&gt;=1)+('Yellow Bosses'!$U$5:$U$53&gt;=1))&gt;0))</f>
        <v>0</v>
      </c>
      <c r="I810" s="25" t="n">
        <f aca="false">SUMPRODUCT(--((('Yellow Bosses'!$I$5:$I$53&gt;0)+('Yellow Bosses'!$N$5:$N$53&gt;0)+('Yellow Bosses'!$S$5:$S$53&gt;0)+('Yellow Bosses'!$U$5:$U$53&gt;0))=0))</f>
        <v>0</v>
      </c>
      <c r="J810" s="25" t="n">
        <f aca="false">SUMPRODUCT(--(((Effectiveness!$F$5:$F$155&gt;=2)+(Effectiveness!$K$5:$K$155&gt;=2)+(Effectiveness!$P$5:$P$155&gt;=2)+(Effectiveness!$R$5:$R$155&gt;=2))&gt;0))</f>
        <v>83</v>
      </c>
      <c r="K810" s="26" t="n">
        <f aca="false">J810/151</f>
        <v>0.549668874172186</v>
      </c>
      <c r="L810" s="25" t="n">
        <f aca="false">MIN(INDEX('Move Reality'!$F$5:$F$19,MATCH(B810,'Move Reality'!$A$5:$A$19,0)),INDEX('Move Reality'!$F$5:$F$19,MATCH(C810,'Move Reality'!$A$5:$A$19,0)),INDEX('Move Reality'!$F$5:$F$19,MATCH(D810,'Move Reality'!$A$5:$A$19,0)),INDEX('Move Reality'!$F$5:$F$19,MATCH(E810,'Move Reality'!$A$5:$A$19,0)))</f>
        <v>1</v>
      </c>
      <c r="M810" s="28" t="str">
        <f aca="false">IF(L810&gt;=5,"YES","no - dead move")</f>
        <v>no - dead move</v>
      </c>
    </row>
    <row r="811" customFormat="false" ht="15" hidden="false" customHeight="false" outlineLevel="0" collapsed="false">
      <c r="A811" s="17" t="n">
        <v>807</v>
      </c>
      <c r="B811" s="17" t="s">
        <v>41</v>
      </c>
      <c r="C811" s="17" t="s">
        <v>46</v>
      </c>
      <c r="D811" s="17" t="s">
        <v>51</v>
      </c>
      <c r="E811" s="17" t="s">
        <v>54</v>
      </c>
      <c r="F811" s="25" t="n">
        <f aca="false">SUMPRODUCT(--((('Yellow Bosses'!$I$5:$I$53&gt;=2)+('Yellow Bosses'!$N$5:$N$53&gt;=2)+('Yellow Bosses'!$S$5:$S$53&gt;=2)+('Yellow Bosses'!$V$5:$V$53&gt;=2))&gt;0))</f>
        <v>30</v>
      </c>
      <c r="G811" s="26" t="n">
        <f aca="false">F811/49</f>
        <v>0.612244897959184</v>
      </c>
      <c r="H811" s="25" t="n">
        <f aca="false">49-SUMPRODUCT(--((('Yellow Bosses'!$I$5:$I$53&gt;=1)+('Yellow Bosses'!$N$5:$N$53&gt;=1)+('Yellow Bosses'!$S$5:$S$53&gt;=1)+('Yellow Bosses'!$V$5:$V$53&gt;=1))&gt;0))</f>
        <v>0</v>
      </c>
      <c r="I811" s="25" t="n">
        <f aca="false">SUMPRODUCT(--((('Yellow Bosses'!$I$5:$I$53&gt;0)+('Yellow Bosses'!$N$5:$N$53&gt;0)+('Yellow Bosses'!$S$5:$S$53&gt;0)+('Yellow Bosses'!$V$5:$V$53&gt;0))=0))</f>
        <v>0</v>
      </c>
      <c r="J811" s="25" t="n">
        <f aca="false">SUMPRODUCT(--(((Effectiveness!$F$5:$F$155&gt;=2)+(Effectiveness!$K$5:$K$155&gt;=2)+(Effectiveness!$P$5:$P$155&gt;=2)+(Effectiveness!$S$5:$S$155&gt;=2))&gt;0))</f>
        <v>83</v>
      </c>
      <c r="K811" s="26" t="n">
        <f aca="false">J811/151</f>
        <v>0.549668874172186</v>
      </c>
      <c r="L811" s="25" t="n">
        <f aca="false">MIN(INDEX('Move Reality'!$F$5:$F$19,MATCH(B811,'Move Reality'!$A$5:$A$19,0)),INDEX('Move Reality'!$F$5:$F$19,MATCH(C811,'Move Reality'!$A$5:$A$19,0)),INDEX('Move Reality'!$F$5:$F$19,MATCH(D811,'Move Reality'!$A$5:$A$19,0)),INDEX('Move Reality'!$F$5:$F$19,MATCH(E811,'Move Reality'!$A$5:$A$19,0)))</f>
        <v>1</v>
      </c>
      <c r="M811" s="28" t="str">
        <f aca="false">IF(L811&gt;=5,"YES","no - dead move")</f>
        <v>no - dead move</v>
      </c>
    </row>
    <row r="812" customFormat="false" ht="15" hidden="false" customHeight="false" outlineLevel="0" collapsed="false">
      <c r="A812" s="17" t="n">
        <v>808</v>
      </c>
      <c r="B812" s="17" t="s">
        <v>46</v>
      </c>
      <c r="C812" s="17" t="s">
        <v>47</v>
      </c>
      <c r="D812" s="17" t="s">
        <v>50</v>
      </c>
      <c r="E812" s="17" t="s">
        <v>54</v>
      </c>
      <c r="F812" s="25" t="n">
        <f aca="false">SUMPRODUCT(--((('Yellow Bosses'!$N$5:$N$53&gt;=2)+('Yellow Bosses'!$O$5:$O$53&gt;=2)+('Yellow Bosses'!$R$5:$R$53&gt;=2)+('Yellow Bosses'!$V$5:$V$53&gt;=2))&gt;0))</f>
        <v>30</v>
      </c>
      <c r="G812" s="26" t="n">
        <f aca="false">F812/49</f>
        <v>0.612244897959184</v>
      </c>
      <c r="H812" s="25" t="n">
        <f aca="false">49-SUMPRODUCT(--((('Yellow Bosses'!$N$5:$N$53&gt;=1)+('Yellow Bosses'!$O$5:$O$53&gt;=1)+('Yellow Bosses'!$R$5:$R$53&gt;=1)+('Yellow Bosses'!$V$5:$V$53&gt;=1))&gt;0))</f>
        <v>0</v>
      </c>
      <c r="I812" s="25" t="n">
        <f aca="false">SUMPRODUCT(--((('Yellow Bosses'!$N$5:$N$53&gt;0)+('Yellow Bosses'!$O$5:$O$53&gt;0)+('Yellow Bosses'!$R$5:$R$53&gt;0)+('Yellow Bosses'!$V$5:$V$53&gt;0))=0))</f>
        <v>0</v>
      </c>
      <c r="J812" s="25" t="n">
        <f aca="false">SUMPRODUCT(--(((Effectiveness!$K$5:$K$155&gt;=2)+(Effectiveness!$L$5:$L$155&gt;=2)+(Effectiveness!$O$5:$O$155&gt;=2)+(Effectiveness!$S$5:$S$155&gt;=2))&gt;0))</f>
        <v>83</v>
      </c>
      <c r="K812" s="26" t="n">
        <f aca="false">J812/151</f>
        <v>0.549668874172186</v>
      </c>
      <c r="L812" s="25" t="n">
        <f aca="false">MIN(INDEX('Move Reality'!$F$5:$F$19,MATCH(B812,'Move Reality'!$A$5:$A$19,0)),INDEX('Move Reality'!$F$5:$F$19,MATCH(C812,'Move Reality'!$A$5:$A$19,0)),INDEX('Move Reality'!$F$5:$F$19,MATCH(D812,'Move Reality'!$A$5:$A$19,0)),INDEX('Move Reality'!$F$5:$F$19,MATCH(E812,'Move Reality'!$A$5:$A$19,0)))</f>
        <v>1</v>
      </c>
      <c r="M812" s="28" t="str">
        <f aca="false">IF(L812&gt;=5,"YES","no - dead move")</f>
        <v>no - dead move</v>
      </c>
    </row>
    <row r="813" customFormat="false" ht="15" hidden="false" customHeight="false" outlineLevel="0" collapsed="false">
      <c r="A813" s="17" t="n">
        <v>809</v>
      </c>
      <c r="B813" s="17" t="s">
        <v>46</v>
      </c>
      <c r="C813" s="17" t="s">
        <v>49</v>
      </c>
      <c r="D813" s="17" t="s">
        <v>50</v>
      </c>
      <c r="E813" s="17" t="s">
        <v>54</v>
      </c>
      <c r="F813" s="25" t="n">
        <f aca="false">SUMPRODUCT(--((('Yellow Bosses'!$N$5:$N$53&gt;=2)+('Yellow Bosses'!$Q$5:$Q$53&gt;=2)+('Yellow Bosses'!$R$5:$R$53&gt;=2)+('Yellow Bosses'!$V$5:$V$53&gt;=2))&gt;0))</f>
        <v>30</v>
      </c>
      <c r="G813" s="26" t="n">
        <f aca="false">F813/49</f>
        <v>0.612244897959184</v>
      </c>
      <c r="H813" s="25" t="n">
        <f aca="false">49-SUMPRODUCT(--((('Yellow Bosses'!$N$5:$N$53&gt;=1)+('Yellow Bosses'!$Q$5:$Q$53&gt;=1)+('Yellow Bosses'!$R$5:$R$53&gt;=1)+('Yellow Bosses'!$V$5:$V$53&gt;=1))&gt;0))</f>
        <v>0</v>
      </c>
      <c r="I813" s="25" t="n">
        <f aca="false">SUMPRODUCT(--((('Yellow Bosses'!$N$5:$N$53&gt;0)+('Yellow Bosses'!$Q$5:$Q$53&gt;0)+('Yellow Bosses'!$R$5:$R$53&gt;0)+('Yellow Bosses'!$V$5:$V$53&gt;0))=0))</f>
        <v>0</v>
      </c>
      <c r="J813" s="25" t="n">
        <f aca="false">SUMPRODUCT(--(((Effectiveness!$K$5:$K$155&gt;=2)+(Effectiveness!$N$5:$N$155&gt;=2)+(Effectiveness!$O$5:$O$155&gt;=2)+(Effectiveness!$S$5:$S$155&gt;=2))&gt;0))</f>
        <v>83</v>
      </c>
      <c r="K813" s="26" t="n">
        <f aca="false">J813/151</f>
        <v>0.549668874172186</v>
      </c>
      <c r="L813" s="25" t="n">
        <f aca="false">MIN(INDEX('Move Reality'!$F$5:$F$19,MATCH(B813,'Move Reality'!$A$5:$A$19,0)),INDEX('Move Reality'!$F$5:$F$19,MATCH(C813,'Move Reality'!$A$5:$A$19,0)),INDEX('Move Reality'!$F$5:$F$19,MATCH(D813,'Move Reality'!$A$5:$A$19,0)),INDEX('Move Reality'!$F$5:$F$19,MATCH(E813,'Move Reality'!$A$5:$A$19,0)))</f>
        <v>1</v>
      </c>
      <c r="M813" s="28" t="str">
        <f aca="false">IF(L813&gt;=5,"YES","no - dead move")</f>
        <v>no - dead move</v>
      </c>
    </row>
    <row r="814" customFormat="false" ht="15" hidden="false" customHeight="false" outlineLevel="0" collapsed="false">
      <c r="A814" s="17" t="n">
        <v>810</v>
      </c>
      <c r="B814" s="17" t="s">
        <v>40</v>
      </c>
      <c r="C814" s="17" t="s">
        <v>41</v>
      </c>
      <c r="D814" s="17" t="s">
        <v>42</v>
      </c>
      <c r="E814" s="17" t="s">
        <v>44</v>
      </c>
      <c r="F814" s="25" t="n">
        <f aca="false">SUMPRODUCT(--((('Yellow Bosses'!$H$5:$H$53&gt;=2)+('Yellow Bosses'!$I$5:$I$53&gt;=2)+('Yellow Bosses'!$J$5:$J$53&gt;=2)+('Yellow Bosses'!$L$5:$L$53&gt;=2))&gt;0))</f>
        <v>30</v>
      </c>
      <c r="G814" s="26" t="n">
        <f aca="false">F814/49</f>
        <v>0.612244897959184</v>
      </c>
      <c r="H814" s="25" t="n">
        <f aca="false">49-SUMPRODUCT(--((('Yellow Bosses'!$H$5:$H$53&gt;=1)+('Yellow Bosses'!$I$5:$I$53&gt;=1)+('Yellow Bosses'!$J$5:$J$53&gt;=1)+('Yellow Bosses'!$L$5:$L$53&gt;=1))&gt;0))</f>
        <v>0</v>
      </c>
      <c r="I814" s="25" t="n">
        <f aca="false">SUMPRODUCT(--((('Yellow Bosses'!$H$5:$H$53&gt;0)+('Yellow Bosses'!$I$5:$I$53&gt;0)+('Yellow Bosses'!$J$5:$J$53&gt;0)+('Yellow Bosses'!$L$5:$L$53&gt;0))=0))</f>
        <v>0</v>
      </c>
      <c r="J814" s="25" t="n">
        <f aca="false">SUMPRODUCT(--(((Effectiveness!$E$5:$E$155&gt;=2)+(Effectiveness!$F$5:$F$155&gt;=2)+(Effectiveness!$G$5:$G$155&gt;=2)+(Effectiveness!$I$5:$I$155&gt;=2))&gt;0))</f>
        <v>82</v>
      </c>
      <c r="K814" s="26" t="n">
        <f aca="false">J814/151</f>
        <v>0.543046357615894</v>
      </c>
      <c r="L814" s="25" t="n">
        <f aca="false">MIN(INDEX('Move Reality'!$F$5:$F$19,MATCH(B814,'Move Reality'!$A$5:$A$19,0)),INDEX('Move Reality'!$F$5:$F$19,MATCH(C814,'Move Reality'!$A$5:$A$19,0)),INDEX('Move Reality'!$F$5:$F$19,MATCH(D814,'Move Reality'!$A$5:$A$19,0)),INDEX('Move Reality'!$F$5:$F$19,MATCH(E814,'Move Reality'!$A$5:$A$19,0)))</f>
        <v>4</v>
      </c>
      <c r="M814" s="28" t="str">
        <f aca="false">IF(L814&gt;=5,"YES","no - dead move")</f>
        <v>no - dead move</v>
      </c>
    </row>
    <row r="815" customFormat="false" ht="15" hidden="false" customHeight="false" outlineLevel="0" collapsed="false">
      <c r="A815" s="17" t="n">
        <v>811</v>
      </c>
      <c r="B815" s="17" t="s">
        <v>41</v>
      </c>
      <c r="C815" s="17" t="s">
        <v>42</v>
      </c>
      <c r="D815" s="17" t="s">
        <v>44</v>
      </c>
      <c r="E815" s="17" t="s">
        <v>47</v>
      </c>
      <c r="F815" s="25" t="n">
        <f aca="false">SUMPRODUCT(--((('Yellow Bosses'!$I$5:$I$53&gt;=2)+('Yellow Bosses'!$J$5:$J$53&gt;=2)+('Yellow Bosses'!$L$5:$L$53&gt;=2)+('Yellow Bosses'!$O$5:$O$53&gt;=2))&gt;0))</f>
        <v>30</v>
      </c>
      <c r="G815" s="26" t="n">
        <f aca="false">F815/49</f>
        <v>0.612244897959184</v>
      </c>
      <c r="H815" s="25" t="n">
        <f aca="false">49-SUMPRODUCT(--((('Yellow Bosses'!$I$5:$I$53&gt;=1)+('Yellow Bosses'!$J$5:$J$53&gt;=1)+('Yellow Bosses'!$L$5:$L$53&gt;=1)+('Yellow Bosses'!$O$5:$O$53&gt;=1))&gt;0))</f>
        <v>0</v>
      </c>
      <c r="I815" s="25" t="n">
        <f aca="false">SUMPRODUCT(--((('Yellow Bosses'!$I$5:$I$53&gt;0)+('Yellow Bosses'!$J$5:$J$53&gt;0)+('Yellow Bosses'!$L$5:$L$53&gt;0)+('Yellow Bosses'!$O$5:$O$53&gt;0))=0))</f>
        <v>0</v>
      </c>
      <c r="J815" s="25" t="n">
        <f aca="false">SUMPRODUCT(--(((Effectiveness!$F$5:$F$155&gt;=2)+(Effectiveness!$G$5:$G$155&gt;=2)+(Effectiveness!$I$5:$I$155&gt;=2)+(Effectiveness!$L$5:$L$155&gt;=2))&gt;0))</f>
        <v>82</v>
      </c>
      <c r="K815" s="26" t="n">
        <f aca="false">J815/151</f>
        <v>0.543046357615894</v>
      </c>
      <c r="L815" s="25" t="n">
        <f aca="false">MIN(INDEX('Move Reality'!$F$5:$F$19,MATCH(B815,'Move Reality'!$A$5:$A$19,0)),INDEX('Move Reality'!$F$5:$F$19,MATCH(C815,'Move Reality'!$A$5:$A$19,0)),INDEX('Move Reality'!$F$5:$F$19,MATCH(D815,'Move Reality'!$A$5:$A$19,0)),INDEX('Move Reality'!$F$5:$F$19,MATCH(E815,'Move Reality'!$A$5:$A$19,0)))</f>
        <v>2</v>
      </c>
      <c r="M815" s="28" t="str">
        <f aca="false">IF(L815&gt;=5,"YES","no - dead move")</f>
        <v>no - dead move</v>
      </c>
    </row>
    <row r="816" customFormat="false" ht="15" hidden="false" customHeight="false" outlineLevel="0" collapsed="false">
      <c r="A816" s="17" t="n">
        <v>812</v>
      </c>
      <c r="B816" s="17" t="s">
        <v>42</v>
      </c>
      <c r="C816" s="17" t="s">
        <v>44</v>
      </c>
      <c r="D816" s="17" t="s">
        <v>48</v>
      </c>
      <c r="E816" s="17" t="s">
        <v>54</v>
      </c>
      <c r="F816" s="25" t="n">
        <f aca="false">SUMPRODUCT(--((('Yellow Bosses'!$J$5:$J$53&gt;=2)+('Yellow Bosses'!$L$5:$L$53&gt;=2)+('Yellow Bosses'!$P$5:$P$53&gt;=2)+('Yellow Bosses'!$V$5:$V$53&gt;=2))&gt;0))</f>
        <v>30</v>
      </c>
      <c r="G816" s="26" t="n">
        <f aca="false">F816/49</f>
        <v>0.612244897959184</v>
      </c>
      <c r="H816" s="25" t="n">
        <f aca="false">49-SUMPRODUCT(--((('Yellow Bosses'!$J$5:$J$53&gt;=1)+('Yellow Bosses'!$L$5:$L$53&gt;=1)+('Yellow Bosses'!$P$5:$P$53&gt;=1)+('Yellow Bosses'!$V$5:$V$53&gt;=1))&gt;0))</f>
        <v>0</v>
      </c>
      <c r="I816" s="25" t="n">
        <f aca="false">SUMPRODUCT(--((('Yellow Bosses'!$J$5:$J$53&gt;0)+('Yellow Bosses'!$L$5:$L$53&gt;0)+('Yellow Bosses'!$P$5:$P$53&gt;0)+('Yellow Bosses'!$V$5:$V$53&gt;0))=0))</f>
        <v>0</v>
      </c>
      <c r="J816" s="25" t="n">
        <f aca="false">SUMPRODUCT(--(((Effectiveness!$G$5:$G$155&gt;=2)+(Effectiveness!$I$5:$I$155&gt;=2)+(Effectiveness!$M$5:$M$155&gt;=2)+(Effectiveness!$S$5:$S$155&gt;=2))&gt;0))</f>
        <v>82</v>
      </c>
      <c r="K816" s="26" t="n">
        <f aca="false">J816/151</f>
        <v>0.543046357615894</v>
      </c>
      <c r="L816" s="25" t="n">
        <f aca="false">MIN(INDEX('Move Reality'!$F$5:$F$19,MATCH(B816,'Move Reality'!$A$5:$A$19,0)),INDEX('Move Reality'!$F$5:$F$19,MATCH(C816,'Move Reality'!$A$5:$A$19,0)),INDEX('Move Reality'!$F$5:$F$19,MATCH(D816,'Move Reality'!$A$5:$A$19,0)),INDEX('Move Reality'!$F$5:$F$19,MATCH(E816,'Move Reality'!$A$5:$A$19,0)))</f>
        <v>1</v>
      </c>
      <c r="M816" s="28" t="str">
        <f aca="false">IF(L816&gt;=5,"YES","no - dead move")</f>
        <v>no - dead move</v>
      </c>
    </row>
    <row r="817" customFormat="false" ht="15" hidden="false" customHeight="false" outlineLevel="0" collapsed="false">
      <c r="A817" s="17" t="n">
        <v>813</v>
      </c>
      <c r="B817" s="17" t="s">
        <v>46</v>
      </c>
      <c r="C817" s="17" t="s">
        <v>47</v>
      </c>
      <c r="D817" s="17" t="s">
        <v>51</v>
      </c>
      <c r="E817" s="17" t="s">
        <v>53</v>
      </c>
      <c r="F817" s="25" t="n">
        <f aca="false">SUMPRODUCT(--((('Yellow Bosses'!$N$5:$N$53&gt;=2)+('Yellow Bosses'!$O$5:$O$53&gt;=2)+('Yellow Bosses'!$S$5:$S$53&gt;=2)+('Yellow Bosses'!$U$5:$U$53&gt;=2))&gt;0))</f>
        <v>30</v>
      </c>
      <c r="G817" s="26" t="n">
        <f aca="false">F817/49</f>
        <v>0.612244897959184</v>
      </c>
      <c r="H817" s="25" t="n">
        <f aca="false">49-SUMPRODUCT(--((('Yellow Bosses'!$N$5:$N$53&gt;=1)+('Yellow Bosses'!$O$5:$O$53&gt;=1)+('Yellow Bosses'!$S$5:$S$53&gt;=1)+('Yellow Bosses'!$U$5:$U$53&gt;=1))&gt;0))</f>
        <v>0</v>
      </c>
      <c r="I817" s="25" t="n">
        <f aca="false">SUMPRODUCT(--((('Yellow Bosses'!$N$5:$N$53&gt;0)+('Yellow Bosses'!$O$5:$O$53&gt;0)+('Yellow Bosses'!$S$5:$S$53&gt;0)+('Yellow Bosses'!$U$5:$U$53&gt;0))=0))</f>
        <v>0</v>
      </c>
      <c r="J817" s="25" t="n">
        <f aca="false">SUMPRODUCT(--(((Effectiveness!$K$5:$K$155&gt;=2)+(Effectiveness!$L$5:$L$155&gt;=2)+(Effectiveness!$P$5:$P$155&gt;=2)+(Effectiveness!$R$5:$R$155&gt;=2))&gt;0))</f>
        <v>82</v>
      </c>
      <c r="K817" s="26" t="n">
        <f aca="false">J817/151</f>
        <v>0.543046357615894</v>
      </c>
      <c r="L817" s="25" t="n">
        <f aca="false">MIN(INDEX('Move Reality'!$F$5:$F$19,MATCH(B817,'Move Reality'!$A$5:$A$19,0)),INDEX('Move Reality'!$F$5:$F$19,MATCH(C817,'Move Reality'!$A$5:$A$19,0)),INDEX('Move Reality'!$F$5:$F$19,MATCH(D817,'Move Reality'!$A$5:$A$19,0)),INDEX('Move Reality'!$F$5:$F$19,MATCH(E817,'Move Reality'!$A$5:$A$19,0)))</f>
        <v>1</v>
      </c>
      <c r="M817" s="28" t="str">
        <f aca="false">IF(L817&gt;=5,"YES","no - dead move")</f>
        <v>no - dead move</v>
      </c>
    </row>
    <row r="818" customFormat="false" ht="15" hidden="false" customHeight="false" outlineLevel="0" collapsed="false">
      <c r="A818" s="17" t="n">
        <v>814</v>
      </c>
      <c r="B818" s="17" t="s">
        <v>46</v>
      </c>
      <c r="C818" s="17" t="s">
        <v>47</v>
      </c>
      <c r="D818" s="17" t="s">
        <v>51</v>
      </c>
      <c r="E818" s="17" t="s">
        <v>54</v>
      </c>
      <c r="F818" s="25" t="n">
        <f aca="false">SUMPRODUCT(--((('Yellow Bosses'!$N$5:$N$53&gt;=2)+('Yellow Bosses'!$O$5:$O$53&gt;=2)+('Yellow Bosses'!$S$5:$S$53&gt;=2)+('Yellow Bosses'!$V$5:$V$53&gt;=2))&gt;0))</f>
        <v>30</v>
      </c>
      <c r="G818" s="26" t="n">
        <f aca="false">F818/49</f>
        <v>0.612244897959184</v>
      </c>
      <c r="H818" s="25" t="n">
        <f aca="false">49-SUMPRODUCT(--((('Yellow Bosses'!$N$5:$N$53&gt;=1)+('Yellow Bosses'!$O$5:$O$53&gt;=1)+('Yellow Bosses'!$S$5:$S$53&gt;=1)+('Yellow Bosses'!$V$5:$V$53&gt;=1))&gt;0))</f>
        <v>0</v>
      </c>
      <c r="I818" s="25" t="n">
        <f aca="false">SUMPRODUCT(--((('Yellow Bosses'!$N$5:$N$53&gt;0)+('Yellow Bosses'!$O$5:$O$53&gt;0)+('Yellow Bosses'!$S$5:$S$53&gt;0)+('Yellow Bosses'!$V$5:$V$53&gt;0))=0))</f>
        <v>0</v>
      </c>
      <c r="J818" s="25" t="n">
        <f aca="false">SUMPRODUCT(--(((Effectiveness!$K$5:$K$155&gt;=2)+(Effectiveness!$L$5:$L$155&gt;=2)+(Effectiveness!$P$5:$P$155&gt;=2)+(Effectiveness!$S$5:$S$155&gt;=2))&gt;0))</f>
        <v>82</v>
      </c>
      <c r="K818" s="26" t="n">
        <f aca="false">J818/151</f>
        <v>0.543046357615894</v>
      </c>
      <c r="L818" s="25" t="n">
        <f aca="false">MIN(INDEX('Move Reality'!$F$5:$F$19,MATCH(B818,'Move Reality'!$A$5:$A$19,0)),INDEX('Move Reality'!$F$5:$F$19,MATCH(C818,'Move Reality'!$A$5:$A$19,0)),INDEX('Move Reality'!$F$5:$F$19,MATCH(D818,'Move Reality'!$A$5:$A$19,0)),INDEX('Move Reality'!$F$5:$F$19,MATCH(E818,'Move Reality'!$A$5:$A$19,0)))</f>
        <v>1</v>
      </c>
      <c r="M818" s="28" t="str">
        <f aca="false">IF(L818&gt;=5,"YES","no - dead move")</f>
        <v>no - dead move</v>
      </c>
    </row>
    <row r="819" customFormat="false" ht="15" hidden="false" customHeight="false" outlineLevel="0" collapsed="false">
      <c r="A819" s="17" t="n">
        <v>815</v>
      </c>
      <c r="B819" s="17" t="s">
        <v>40</v>
      </c>
      <c r="C819" s="17" t="s">
        <v>41</v>
      </c>
      <c r="D819" s="17" t="s">
        <v>48</v>
      </c>
      <c r="E819" s="17" t="s">
        <v>50</v>
      </c>
      <c r="F819" s="25" t="n">
        <f aca="false">SUMPRODUCT(--((('Yellow Bosses'!$H$5:$H$53&gt;=2)+('Yellow Bosses'!$I$5:$I$53&gt;=2)+('Yellow Bosses'!$P$5:$P$53&gt;=2)+('Yellow Bosses'!$R$5:$R$53&gt;=2))&gt;0))</f>
        <v>30</v>
      </c>
      <c r="G819" s="26" t="n">
        <f aca="false">F819/49</f>
        <v>0.612244897959184</v>
      </c>
      <c r="H819" s="25" t="n">
        <f aca="false">49-SUMPRODUCT(--((('Yellow Bosses'!$H$5:$H$53&gt;=1)+('Yellow Bosses'!$I$5:$I$53&gt;=1)+('Yellow Bosses'!$P$5:$P$53&gt;=1)+('Yellow Bosses'!$R$5:$R$53&gt;=1))&gt;0))</f>
        <v>0</v>
      </c>
      <c r="I819" s="25" t="n">
        <f aca="false">SUMPRODUCT(--((('Yellow Bosses'!$H$5:$H$53&gt;0)+('Yellow Bosses'!$I$5:$I$53&gt;0)+('Yellow Bosses'!$P$5:$P$53&gt;0)+('Yellow Bosses'!$R$5:$R$53&gt;0))=0))</f>
        <v>0</v>
      </c>
      <c r="J819" s="25" t="n">
        <f aca="false">SUMPRODUCT(--(((Effectiveness!$E$5:$E$155&gt;=2)+(Effectiveness!$F$5:$F$155&gt;=2)+(Effectiveness!$M$5:$M$155&gt;=2)+(Effectiveness!$O$5:$O$155&gt;=2))&gt;0))</f>
        <v>81</v>
      </c>
      <c r="K819" s="26" t="n">
        <f aca="false">J819/151</f>
        <v>0.536423841059603</v>
      </c>
      <c r="L819" s="25" t="n">
        <f aca="false">MIN(INDEX('Move Reality'!$F$5:$F$19,MATCH(B819,'Move Reality'!$A$5:$A$19,0)),INDEX('Move Reality'!$F$5:$F$19,MATCH(C819,'Move Reality'!$A$5:$A$19,0)),INDEX('Move Reality'!$F$5:$F$19,MATCH(D819,'Move Reality'!$A$5:$A$19,0)),INDEX('Move Reality'!$F$5:$F$19,MATCH(E819,'Move Reality'!$A$5:$A$19,0)))</f>
        <v>7</v>
      </c>
      <c r="M819" s="28" t="str">
        <f aca="false">IF(L819&gt;=5,"YES","no - dead move")</f>
        <v>YES</v>
      </c>
    </row>
    <row r="820" customFormat="false" ht="15" hidden="false" customHeight="false" outlineLevel="0" collapsed="false">
      <c r="A820" s="17" t="n">
        <v>816</v>
      </c>
      <c r="B820" s="17" t="s">
        <v>40</v>
      </c>
      <c r="C820" s="17" t="s">
        <v>44</v>
      </c>
      <c r="D820" s="17" t="s">
        <v>50</v>
      </c>
      <c r="E820" s="17" t="s">
        <v>53</v>
      </c>
      <c r="F820" s="25" t="n">
        <f aca="false">SUMPRODUCT(--((('Yellow Bosses'!$H$5:$H$53&gt;=2)+('Yellow Bosses'!$L$5:$L$53&gt;=2)+('Yellow Bosses'!$R$5:$R$53&gt;=2)+('Yellow Bosses'!$U$5:$U$53&gt;=2))&gt;0))</f>
        <v>30</v>
      </c>
      <c r="G820" s="26" t="n">
        <f aca="false">F820/49</f>
        <v>0.612244897959184</v>
      </c>
      <c r="H820" s="25" t="n">
        <f aca="false">49-SUMPRODUCT(--((('Yellow Bosses'!$H$5:$H$53&gt;=1)+('Yellow Bosses'!$L$5:$L$53&gt;=1)+('Yellow Bosses'!$R$5:$R$53&gt;=1)+('Yellow Bosses'!$U$5:$U$53&gt;=1))&gt;0))</f>
        <v>0</v>
      </c>
      <c r="I820" s="25" t="n">
        <f aca="false">SUMPRODUCT(--((('Yellow Bosses'!$H$5:$H$53&gt;0)+('Yellow Bosses'!$L$5:$L$53&gt;0)+('Yellow Bosses'!$R$5:$R$53&gt;0)+('Yellow Bosses'!$U$5:$U$53&gt;0))=0))</f>
        <v>0</v>
      </c>
      <c r="J820" s="25" t="n">
        <f aca="false">SUMPRODUCT(--(((Effectiveness!$E$5:$E$155&gt;=2)+(Effectiveness!$I$5:$I$155&gt;=2)+(Effectiveness!$O$5:$O$155&gt;=2)+(Effectiveness!$R$5:$R$155&gt;=2))&gt;0))</f>
        <v>81</v>
      </c>
      <c r="K820" s="26" t="n">
        <f aca="false">J820/151</f>
        <v>0.536423841059603</v>
      </c>
      <c r="L820" s="25" t="n">
        <f aca="false">MIN(INDEX('Move Reality'!$F$5:$F$19,MATCH(B820,'Move Reality'!$A$5:$A$19,0)),INDEX('Move Reality'!$F$5:$F$19,MATCH(C820,'Move Reality'!$A$5:$A$19,0)),INDEX('Move Reality'!$F$5:$F$19,MATCH(D820,'Move Reality'!$A$5:$A$19,0)),INDEX('Move Reality'!$F$5:$F$19,MATCH(E820,'Move Reality'!$A$5:$A$19,0)))</f>
        <v>1</v>
      </c>
      <c r="M820" s="28" t="str">
        <f aca="false">IF(L820&gt;=5,"YES","no - dead move")</f>
        <v>no - dead move</v>
      </c>
    </row>
    <row r="821" customFormat="false" ht="15" hidden="false" customHeight="false" outlineLevel="0" collapsed="false">
      <c r="A821" s="17" t="n">
        <v>817</v>
      </c>
      <c r="B821" s="17" t="s">
        <v>41</v>
      </c>
      <c r="C821" s="17" t="s">
        <v>47</v>
      </c>
      <c r="D821" s="17" t="s">
        <v>48</v>
      </c>
      <c r="E821" s="17" t="s">
        <v>50</v>
      </c>
      <c r="F821" s="25" t="n">
        <f aca="false">SUMPRODUCT(--((('Yellow Bosses'!$I$5:$I$53&gt;=2)+('Yellow Bosses'!$O$5:$O$53&gt;=2)+('Yellow Bosses'!$P$5:$P$53&gt;=2)+('Yellow Bosses'!$R$5:$R$53&gt;=2))&gt;0))</f>
        <v>30</v>
      </c>
      <c r="G821" s="26" t="n">
        <f aca="false">F821/49</f>
        <v>0.612244897959184</v>
      </c>
      <c r="H821" s="25" t="n">
        <f aca="false">49-SUMPRODUCT(--((('Yellow Bosses'!$I$5:$I$53&gt;=1)+('Yellow Bosses'!$O$5:$O$53&gt;=1)+('Yellow Bosses'!$P$5:$P$53&gt;=1)+('Yellow Bosses'!$R$5:$R$53&gt;=1))&gt;0))</f>
        <v>0</v>
      </c>
      <c r="I821" s="25" t="n">
        <f aca="false">SUMPRODUCT(--((('Yellow Bosses'!$I$5:$I$53&gt;0)+('Yellow Bosses'!$O$5:$O$53&gt;0)+('Yellow Bosses'!$P$5:$P$53&gt;0)+('Yellow Bosses'!$R$5:$R$53&gt;0))=0))</f>
        <v>0</v>
      </c>
      <c r="J821" s="25" t="n">
        <f aca="false">SUMPRODUCT(--(((Effectiveness!$F$5:$F$155&gt;=2)+(Effectiveness!$L$5:$L$155&gt;=2)+(Effectiveness!$M$5:$M$155&gt;=2)+(Effectiveness!$O$5:$O$155&gt;=2))&gt;0))</f>
        <v>81</v>
      </c>
      <c r="K821" s="26" t="n">
        <f aca="false">J821/151</f>
        <v>0.536423841059603</v>
      </c>
      <c r="L821" s="25" t="n">
        <f aca="false">MIN(INDEX('Move Reality'!$F$5:$F$19,MATCH(B821,'Move Reality'!$A$5:$A$19,0)),INDEX('Move Reality'!$F$5:$F$19,MATCH(C821,'Move Reality'!$A$5:$A$19,0)),INDEX('Move Reality'!$F$5:$F$19,MATCH(D821,'Move Reality'!$A$5:$A$19,0)),INDEX('Move Reality'!$F$5:$F$19,MATCH(E821,'Move Reality'!$A$5:$A$19,0)))</f>
        <v>2</v>
      </c>
      <c r="M821" s="28" t="str">
        <f aca="false">IF(L821&gt;=5,"YES","no - dead move")</f>
        <v>no - dead move</v>
      </c>
    </row>
    <row r="822" customFormat="false" ht="15" hidden="false" customHeight="false" outlineLevel="0" collapsed="false">
      <c r="A822" s="17" t="n">
        <v>818</v>
      </c>
      <c r="B822" s="17" t="s">
        <v>41</v>
      </c>
      <c r="C822" s="17" t="s">
        <v>48</v>
      </c>
      <c r="D822" s="17" t="s">
        <v>49</v>
      </c>
      <c r="E822" s="17" t="s">
        <v>50</v>
      </c>
      <c r="F822" s="25" t="n">
        <f aca="false">SUMPRODUCT(--((('Yellow Bosses'!$I$5:$I$53&gt;=2)+('Yellow Bosses'!$P$5:$P$53&gt;=2)+('Yellow Bosses'!$Q$5:$Q$53&gt;=2)+('Yellow Bosses'!$R$5:$R$53&gt;=2))&gt;0))</f>
        <v>30</v>
      </c>
      <c r="G822" s="26" t="n">
        <f aca="false">F822/49</f>
        <v>0.612244897959184</v>
      </c>
      <c r="H822" s="25" t="n">
        <f aca="false">49-SUMPRODUCT(--((('Yellow Bosses'!$I$5:$I$53&gt;=1)+('Yellow Bosses'!$P$5:$P$53&gt;=1)+('Yellow Bosses'!$Q$5:$Q$53&gt;=1)+('Yellow Bosses'!$R$5:$R$53&gt;=1))&gt;0))</f>
        <v>0</v>
      </c>
      <c r="I822" s="25" t="n">
        <f aca="false">SUMPRODUCT(--((('Yellow Bosses'!$I$5:$I$53&gt;0)+('Yellow Bosses'!$P$5:$P$53&gt;0)+('Yellow Bosses'!$Q$5:$Q$53&gt;0)+('Yellow Bosses'!$R$5:$R$53&gt;0))=0))</f>
        <v>0</v>
      </c>
      <c r="J822" s="25" t="n">
        <f aca="false">SUMPRODUCT(--(((Effectiveness!$F$5:$F$155&gt;=2)+(Effectiveness!$M$5:$M$155&gt;=2)+(Effectiveness!$N$5:$N$155&gt;=2)+(Effectiveness!$O$5:$O$155&gt;=2))&gt;0))</f>
        <v>81</v>
      </c>
      <c r="K822" s="26" t="n">
        <f aca="false">J822/151</f>
        <v>0.536423841059603</v>
      </c>
      <c r="L822" s="25" t="n">
        <f aca="false">MIN(INDEX('Move Reality'!$F$5:$F$19,MATCH(B822,'Move Reality'!$A$5:$A$19,0)),INDEX('Move Reality'!$F$5:$F$19,MATCH(C822,'Move Reality'!$A$5:$A$19,0)),INDEX('Move Reality'!$F$5:$F$19,MATCH(D822,'Move Reality'!$A$5:$A$19,0)),INDEX('Move Reality'!$F$5:$F$19,MATCH(E822,'Move Reality'!$A$5:$A$19,0)))</f>
        <v>5</v>
      </c>
      <c r="M822" s="28" t="str">
        <f aca="false">IF(L822&gt;=5,"YES","no - dead move")</f>
        <v>YES</v>
      </c>
    </row>
    <row r="823" customFormat="false" ht="15" hidden="false" customHeight="false" outlineLevel="0" collapsed="false">
      <c r="A823" s="17" t="n">
        <v>819</v>
      </c>
      <c r="B823" s="17" t="s">
        <v>41</v>
      </c>
      <c r="C823" s="17" t="s">
        <v>48</v>
      </c>
      <c r="D823" s="17" t="s">
        <v>50</v>
      </c>
      <c r="E823" s="17" t="s">
        <v>53</v>
      </c>
      <c r="F823" s="25" t="n">
        <f aca="false">SUMPRODUCT(--((('Yellow Bosses'!$I$5:$I$53&gt;=2)+('Yellow Bosses'!$P$5:$P$53&gt;=2)+('Yellow Bosses'!$R$5:$R$53&gt;=2)+('Yellow Bosses'!$U$5:$U$53&gt;=2))&gt;0))</f>
        <v>30</v>
      </c>
      <c r="G823" s="26" t="n">
        <f aca="false">F823/49</f>
        <v>0.612244897959184</v>
      </c>
      <c r="H823" s="25" t="n">
        <f aca="false">49-SUMPRODUCT(--((('Yellow Bosses'!$I$5:$I$53&gt;=1)+('Yellow Bosses'!$P$5:$P$53&gt;=1)+('Yellow Bosses'!$R$5:$R$53&gt;=1)+('Yellow Bosses'!$U$5:$U$53&gt;=1))&gt;0))</f>
        <v>0</v>
      </c>
      <c r="I823" s="25" t="n">
        <f aca="false">SUMPRODUCT(--((('Yellow Bosses'!$I$5:$I$53&gt;0)+('Yellow Bosses'!$P$5:$P$53&gt;0)+('Yellow Bosses'!$R$5:$R$53&gt;0)+('Yellow Bosses'!$U$5:$U$53&gt;0))=0))</f>
        <v>0</v>
      </c>
      <c r="J823" s="25" t="n">
        <f aca="false">SUMPRODUCT(--(((Effectiveness!$F$5:$F$155&gt;=2)+(Effectiveness!$M$5:$M$155&gt;=2)+(Effectiveness!$O$5:$O$155&gt;=2)+(Effectiveness!$R$5:$R$155&gt;=2))&gt;0))</f>
        <v>81</v>
      </c>
      <c r="K823" s="26" t="n">
        <f aca="false">J823/151</f>
        <v>0.536423841059603</v>
      </c>
      <c r="L823" s="25" t="n">
        <f aca="false">MIN(INDEX('Move Reality'!$F$5:$F$19,MATCH(B823,'Move Reality'!$A$5:$A$19,0)),INDEX('Move Reality'!$F$5:$F$19,MATCH(C823,'Move Reality'!$A$5:$A$19,0)),INDEX('Move Reality'!$F$5:$F$19,MATCH(D823,'Move Reality'!$A$5:$A$19,0)),INDEX('Move Reality'!$F$5:$F$19,MATCH(E823,'Move Reality'!$A$5:$A$19,0)))</f>
        <v>1</v>
      </c>
      <c r="M823" s="28" t="str">
        <f aca="false">IF(L823&gt;=5,"YES","no - dead move")</f>
        <v>no - dead move</v>
      </c>
    </row>
    <row r="824" customFormat="false" ht="15" hidden="false" customHeight="false" outlineLevel="0" collapsed="false">
      <c r="A824" s="17" t="n">
        <v>820</v>
      </c>
      <c r="B824" s="17" t="s">
        <v>40</v>
      </c>
      <c r="C824" s="17" t="s">
        <v>41</v>
      </c>
      <c r="D824" s="17" t="s">
        <v>45</v>
      </c>
      <c r="E824" s="17" t="s">
        <v>50</v>
      </c>
      <c r="F824" s="25" t="n">
        <f aca="false">SUMPRODUCT(--((('Yellow Bosses'!$H$5:$H$53&gt;=2)+('Yellow Bosses'!$I$5:$I$53&gt;=2)+('Yellow Bosses'!$M$5:$M$53&gt;=2)+('Yellow Bosses'!$R$5:$R$53&gt;=2))&gt;0))</f>
        <v>30</v>
      </c>
      <c r="G824" s="26" t="n">
        <f aca="false">F824/49</f>
        <v>0.612244897959184</v>
      </c>
      <c r="H824" s="25" t="n">
        <f aca="false">49-SUMPRODUCT(--((('Yellow Bosses'!$H$5:$H$53&gt;=1)+('Yellow Bosses'!$I$5:$I$53&gt;=1)+('Yellow Bosses'!$M$5:$M$53&gt;=1)+('Yellow Bosses'!$R$5:$R$53&gt;=1))&gt;0))</f>
        <v>0</v>
      </c>
      <c r="I824" s="25" t="n">
        <f aca="false">SUMPRODUCT(--((('Yellow Bosses'!$H$5:$H$53&gt;0)+('Yellow Bosses'!$I$5:$I$53&gt;0)+('Yellow Bosses'!$M$5:$M$53&gt;0)+('Yellow Bosses'!$R$5:$R$53&gt;0))=0))</f>
        <v>0</v>
      </c>
      <c r="J824" s="25" t="n">
        <f aca="false">SUMPRODUCT(--(((Effectiveness!$E$5:$E$155&gt;=2)+(Effectiveness!$F$5:$F$155&gt;=2)+(Effectiveness!$J$5:$J$155&gt;=2)+(Effectiveness!$O$5:$O$155&gt;=2))&gt;0))</f>
        <v>80</v>
      </c>
      <c r="K824" s="26" t="n">
        <f aca="false">J824/151</f>
        <v>0.529801324503311</v>
      </c>
      <c r="L824" s="25" t="n">
        <f aca="false">MIN(INDEX('Move Reality'!$F$5:$F$19,MATCH(B824,'Move Reality'!$A$5:$A$19,0)),INDEX('Move Reality'!$F$5:$F$19,MATCH(C824,'Move Reality'!$A$5:$A$19,0)),INDEX('Move Reality'!$F$5:$F$19,MATCH(D824,'Move Reality'!$A$5:$A$19,0)),INDEX('Move Reality'!$F$5:$F$19,MATCH(E824,'Move Reality'!$A$5:$A$19,0)))</f>
        <v>7</v>
      </c>
      <c r="M824" s="28" t="str">
        <f aca="false">IF(L824&gt;=5,"YES","no - dead move")</f>
        <v>YES</v>
      </c>
    </row>
    <row r="825" customFormat="false" ht="15" hidden="false" customHeight="false" outlineLevel="0" collapsed="false">
      <c r="A825" s="17" t="n">
        <v>821</v>
      </c>
      <c r="B825" s="17" t="s">
        <v>40</v>
      </c>
      <c r="C825" s="17" t="s">
        <v>41</v>
      </c>
      <c r="D825" s="17" t="s">
        <v>45</v>
      </c>
      <c r="E825" s="17" t="s">
        <v>51</v>
      </c>
      <c r="F825" s="25" t="n">
        <f aca="false">SUMPRODUCT(--((('Yellow Bosses'!$H$5:$H$53&gt;=2)+('Yellow Bosses'!$I$5:$I$53&gt;=2)+('Yellow Bosses'!$M$5:$M$53&gt;=2)+('Yellow Bosses'!$S$5:$S$53&gt;=2))&gt;0))</f>
        <v>30</v>
      </c>
      <c r="G825" s="26" t="n">
        <f aca="false">F825/49</f>
        <v>0.612244897959184</v>
      </c>
      <c r="H825" s="25" t="n">
        <f aca="false">49-SUMPRODUCT(--((('Yellow Bosses'!$H$5:$H$53&gt;=1)+('Yellow Bosses'!$I$5:$I$53&gt;=1)+('Yellow Bosses'!$M$5:$M$53&gt;=1)+('Yellow Bosses'!$S$5:$S$53&gt;=1))&gt;0))</f>
        <v>0</v>
      </c>
      <c r="I825" s="25" t="n">
        <f aca="false">SUMPRODUCT(--((('Yellow Bosses'!$H$5:$H$53&gt;0)+('Yellow Bosses'!$I$5:$I$53&gt;0)+('Yellow Bosses'!$M$5:$M$53&gt;0)+('Yellow Bosses'!$S$5:$S$53&gt;0))=0))</f>
        <v>0</v>
      </c>
      <c r="J825" s="25" t="n">
        <f aca="false">SUMPRODUCT(--(((Effectiveness!$E$5:$E$155&gt;=2)+(Effectiveness!$F$5:$F$155&gt;=2)+(Effectiveness!$J$5:$J$155&gt;=2)+(Effectiveness!$P$5:$P$155&gt;=2))&gt;0))</f>
        <v>80</v>
      </c>
      <c r="K825" s="26" t="n">
        <f aca="false">J825/151</f>
        <v>0.529801324503311</v>
      </c>
      <c r="L825" s="25" t="n">
        <f aca="false">MIN(INDEX('Move Reality'!$F$5:$F$19,MATCH(B825,'Move Reality'!$A$5:$A$19,0)),INDEX('Move Reality'!$F$5:$F$19,MATCH(C825,'Move Reality'!$A$5:$A$19,0)),INDEX('Move Reality'!$F$5:$F$19,MATCH(D825,'Move Reality'!$A$5:$A$19,0)),INDEX('Move Reality'!$F$5:$F$19,MATCH(E825,'Move Reality'!$A$5:$A$19,0)))</f>
        <v>1</v>
      </c>
      <c r="M825" s="28" t="str">
        <f aca="false">IF(L825&gt;=5,"YES","no - dead move")</f>
        <v>no - dead move</v>
      </c>
    </row>
    <row r="826" customFormat="false" ht="15" hidden="false" customHeight="false" outlineLevel="0" collapsed="false">
      <c r="A826" s="17" t="n">
        <v>822</v>
      </c>
      <c r="B826" s="17" t="s">
        <v>41</v>
      </c>
      <c r="C826" s="17" t="s">
        <v>45</v>
      </c>
      <c r="D826" s="17" t="s">
        <v>47</v>
      </c>
      <c r="E826" s="17" t="s">
        <v>50</v>
      </c>
      <c r="F826" s="25" t="n">
        <f aca="false">SUMPRODUCT(--((('Yellow Bosses'!$I$5:$I$53&gt;=2)+('Yellow Bosses'!$M$5:$M$53&gt;=2)+('Yellow Bosses'!$O$5:$O$53&gt;=2)+('Yellow Bosses'!$R$5:$R$53&gt;=2))&gt;0))</f>
        <v>30</v>
      </c>
      <c r="G826" s="26" t="n">
        <f aca="false">F826/49</f>
        <v>0.612244897959184</v>
      </c>
      <c r="H826" s="25" t="n">
        <f aca="false">49-SUMPRODUCT(--((('Yellow Bosses'!$I$5:$I$53&gt;=1)+('Yellow Bosses'!$M$5:$M$53&gt;=1)+('Yellow Bosses'!$O$5:$O$53&gt;=1)+('Yellow Bosses'!$R$5:$R$53&gt;=1))&gt;0))</f>
        <v>0</v>
      </c>
      <c r="I826" s="25" t="n">
        <f aca="false">SUMPRODUCT(--((('Yellow Bosses'!$I$5:$I$53&gt;0)+('Yellow Bosses'!$M$5:$M$53&gt;0)+('Yellow Bosses'!$O$5:$O$53&gt;0)+('Yellow Bosses'!$R$5:$R$53&gt;0))=0))</f>
        <v>0</v>
      </c>
      <c r="J826" s="25" t="n">
        <f aca="false">SUMPRODUCT(--(((Effectiveness!$F$5:$F$155&gt;=2)+(Effectiveness!$J$5:$J$155&gt;=2)+(Effectiveness!$L$5:$L$155&gt;=2)+(Effectiveness!$O$5:$O$155&gt;=2))&gt;0))</f>
        <v>80</v>
      </c>
      <c r="K826" s="26" t="n">
        <f aca="false">J826/151</f>
        <v>0.529801324503311</v>
      </c>
      <c r="L826" s="25" t="n">
        <f aca="false">MIN(INDEX('Move Reality'!$F$5:$F$19,MATCH(B826,'Move Reality'!$A$5:$A$19,0)),INDEX('Move Reality'!$F$5:$F$19,MATCH(C826,'Move Reality'!$A$5:$A$19,0)),INDEX('Move Reality'!$F$5:$F$19,MATCH(D826,'Move Reality'!$A$5:$A$19,0)),INDEX('Move Reality'!$F$5:$F$19,MATCH(E826,'Move Reality'!$A$5:$A$19,0)))</f>
        <v>2</v>
      </c>
      <c r="M826" s="28" t="str">
        <f aca="false">IF(L826&gt;=5,"YES","no - dead move")</f>
        <v>no - dead move</v>
      </c>
    </row>
    <row r="827" customFormat="false" ht="15" hidden="false" customHeight="false" outlineLevel="0" collapsed="false">
      <c r="A827" s="17" t="n">
        <v>823</v>
      </c>
      <c r="B827" s="17" t="s">
        <v>41</v>
      </c>
      <c r="C827" s="17" t="s">
        <v>45</v>
      </c>
      <c r="D827" s="17" t="s">
        <v>47</v>
      </c>
      <c r="E827" s="17" t="s">
        <v>51</v>
      </c>
      <c r="F827" s="25" t="n">
        <f aca="false">SUMPRODUCT(--((('Yellow Bosses'!$I$5:$I$53&gt;=2)+('Yellow Bosses'!$M$5:$M$53&gt;=2)+('Yellow Bosses'!$O$5:$O$53&gt;=2)+('Yellow Bosses'!$S$5:$S$53&gt;=2))&gt;0))</f>
        <v>30</v>
      </c>
      <c r="G827" s="26" t="n">
        <f aca="false">F827/49</f>
        <v>0.612244897959184</v>
      </c>
      <c r="H827" s="25" t="n">
        <f aca="false">49-SUMPRODUCT(--((('Yellow Bosses'!$I$5:$I$53&gt;=1)+('Yellow Bosses'!$M$5:$M$53&gt;=1)+('Yellow Bosses'!$O$5:$O$53&gt;=1)+('Yellow Bosses'!$S$5:$S$53&gt;=1))&gt;0))</f>
        <v>0</v>
      </c>
      <c r="I827" s="25" t="n">
        <f aca="false">SUMPRODUCT(--((('Yellow Bosses'!$I$5:$I$53&gt;0)+('Yellow Bosses'!$M$5:$M$53&gt;0)+('Yellow Bosses'!$O$5:$O$53&gt;0)+('Yellow Bosses'!$S$5:$S$53&gt;0))=0))</f>
        <v>0</v>
      </c>
      <c r="J827" s="25" t="n">
        <f aca="false">SUMPRODUCT(--(((Effectiveness!$F$5:$F$155&gt;=2)+(Effectiveness!$J$5:$J$155&gt;=2)+(Effectiveness!$L$5:$L$155&gt;=2)+(Effectiveness!$P$5:$P$155&gt;=2))&gt;0))</f>
        <v>80</v>
      </c>
      <c r="K827" s="26" t="n">
        <f aca="false">J827/151</f>
        <v>0.529801324503311</v>
      </c>
      <c r="L827" s="25" t="n">
        <f aca="false">MIN(INDEX('Move Reality'!$F$5:$F$19,MATCH(B827,'Move Reality'!$A$5:$A$19,0)),INDEX('Move Reality'!$F$5:$F$19,MATCH(C827,'Move Reality'!$A$5:$A$19,0)),INDEX('Move Reality'!$F$5:$F$19,MATCH(D827,'Move Reality'!$A$5:$A$19,0)),INDEX('Move Reality'!$F$5:$F$19,MATCH(E827,'Move Reality'!$A$5:$A$19,0)))</f>
        <v>1</v>
      </c>
      <c r="M827" s="28" t="str">
        <f aca="false">IF(L827&gt;=5,"YES","no - dead move")</f>
        <v>no - dead move</v>
      </c>
    </row>
    <row r="828" customFormat="false" ht="15" hidden="false" customHeight="false" outlineLevel="0" collapsed="false">
      <c r="A828" s="17" t="n">
        <v>824</v>
      </c>
      <c r="B828" s="17" t="s">
        <v>41</v>
      </c>
      <c r="C828" s="17" t="s">
        <v>45</v>
      </c>
      <c r="D828" s="17" t="s">
        <v>49</v>
      </c>
      <c r="E828" s="17" t="s">
        <v>50</v>
      </c>
      <c r="F828" s="25" t="n">
        <f aca="false">SUMPRODUCT(--((('Yellow Bosses'!$I$5:$I$53&gt;=2)+('Yellow Bosses'!$M$5:$M$53&gt;=2)+('Yellow Bosses'!$Q$5:$Q$53&gt;=2)+('Yellow Bosses'!$R$5:$R$53&gt;=2))&gt;0))</f>
        <v>30</v>
      </c>
      <c r="G828" s="26" t="n">
        <f aca="false">F828/49</f>
        <v>0.612244897959184</v>
      </c>
      <c r="H828" s="25" t="n">
        <f aca="false">49-SUMPRODUCT(--((('Yellow Bosses'!$I$5:$I$53&gt;=1)+('Yellow Bosses'!$M$5:$M$53&gt;=1)+('Yellow Bosses'!$Q$5:$Q$53&gt;=1)+('Yellow Bosses'!$R$5:$R$53&gt;=1))&gt;0))</f>
        <v>0</v>
      </c>
      <c r="I828" s="25" t="n">
        <f aca="false">SUMPRODUCT(--((('Yellow Bosses'!$I$5:$I$53&gt;0)+('Yellow Bosses'!$M$5:$M$53&gt;0)+('Yellow Bosses'!$Q$5:$Q$53&gt;0)+('Yellow Bosses'!$R$5:$R$53&gt;0))=0))</f>
        <v>0</v>
      </c>
      <c r="J828" s="25" t="n">
        <f aca="false">SUMPRODUCT(--(((Effectiveness!$F$5:$F$155&gt;=2)+(Effectiveness!$J$5:$J$155&gt;=2)+(Effectiveness!$N$5:$N$155&gt;=2)+(Effectiveness!$O$5:$O$155&gt;=2))&gt;0))</f>
        <v>80</v>
      </c>
      <c r="K828" s="26" t="n">
        <f aca="false">J828/151</f>
        <v>0.529801324503311</v>
      </c>
      <c r="L828" s="25" t="n">
        <f aca="false">MIN(INDEX('Move Reality'!$F$5:$F$19,MATCH(B828,'Move Reality'!$A$5:$A$19,0)),INDEX('Move Reality'!$F$5:$F$19,MATCH(C828,'Move Reality'!$A$5:$A$19,0)),INDEX('Move Reality'!$F$5:$F$19,MATCH(D828,'Move Reality'!$A$5:$A$19,0)),INDEX('Move Reality'!$F$5:$F$19,MATCH(E828,'Move Reality'!$A$5:$A$19,0)))</f>
        <v>5</v>
      </c>
      <c r="M828" s="28" t="str">
        <f aca="false">IF(L828&gt;=5,"YES","no - dead move")</f>
        <v>YES</v>
      </c>
    </row>
    <row r="829" customFormat="false" ht="15" hidden="false" customHeight="false" outlineLevel="0" collapsed="false">
      <c r="A829" s="17" t="n">
        <v>825</v>
      </c>
      <c r="B829" s="17" t="s">
        <v>41</v>
      </c>
      <c r="C829" s="17" t="s">
        <v>45</v>
      </c>
      <c r="D829" s="17" t="s">
        <v>50</v>
      </c>
      <c r="E829" s="17" t="s">
        <v>53</v>
      </c>
      <c r="F829" s="25" t="n">
        <f aca="false">SUMPRODUCT(--((('Yellow Bosses'!$I$5:$I$53&gt;=2)+('Yellow Bosses'!$M$5:$M$53&gt;=2)+('Yellow Bosses'!$R$5:$R$53&gt;=2)+('Yellow Bosses'!$U$5:$U$53&gt;=2))&gt;0))</f>
        <v>30</v>
      </c>
      <c r="G829" s="26" t="n">
        <f aca="false">F829/49</f>
        <v>0.612244897959184</v>
      </c>
      <c r="H829" s="25" t="n">
        <f aca="false">49-SUMPRODUCT(--((('Yellow Bosses'!$I$5:$I$53&gt;=1)+('Yellow Bosses'!$M$5:$M$53&gt;=1)+('Yellow Bosses'!$R$5:$R$53&gt;=1)+('Yellow Bosses'!$U$5:$U$53&gt;=1))&gt;0))</f>
        <v>2</v>
      </c>
      <c r="I829" s="25" t="n">
        <f aca="false">SUMPRODUCT(--((('Yellow Bosses'!$I$5:$I$53&gt;0)+('Yellow Bosses'!$M$5:$M$53&gt;0)+('Yellow Bosses'!$R$5:$R$53&gt;0)+('Yellow Bosses'!$U$5:$U$53&gt;0))=0))</f>
        <v>0</v>
      </c>
      <c r="J829" s="25" t="n">
        <f aca="false">SUMPRODUCT(--(((Effectiveness!$F$5:$F$155&gt;=2)+(Effectiveness!$J$5:$J$155&gt;=2)+(Effectiveness!$O$5:$O$155&gt;=2)+(Effectiveness!$R$5:$R$155&gt;=2))&gt;0))</f>
        <v>80</v>
      </c>
      <c r="K829" s="26" t="n">
        <f aca="false">J829/151</f>
        <v>0.529801324503311</v>
      </c>
      <c r="L829" s="25" t="n">
        <f aca="false">MIN(INDEX('Move Reality'!$F$5:$F$19,MATCH(B829,'Move Reality'!$A$5:$A$19,0)),INDEX('Move Reality'!$F$5:$F$19,MATCH(C829,'Move Reality'!$A$5:$A$19,0)),INDEX('Move Reality'!$F$5:$F$19,MATCH(D829,'Move Reality'!$A$5:$A$19,0)),INDEX('Move Reality'!$F$5:$F$19,MATCH(E829,'Move Reality'!$A$5:$A$19,0)))</f>
        <v>1</v>
      </c>
      <c r="M829" s="28" t="str">
        <f aca="false">IF(L829&gt;=5,"YES","no - dead move")</f>
        <v>no - dead move</v>
      </c>
    </row>
    <row r="830" customFormat="false" ht="15" hidden="false" customHeight="false" outlineLevel="0" collapsed="false">
      <c r="A830" s="17" t="n">
        <v>826</v>
      </c>
      <c r="B830" s="17" t="s">
        <v>41</v>
      </c>
      <c r="C830" s="17" t="s">
        <v>45</v>
      </c>
      <c r="D830" s="17" t="s">
        <v>50</v>
      </c>
      <c r="E830" s="17" t="s">
        <v>54</v>
      </c>
      <c r="F830" s="25" t="n">
        <f aca="false">SUMPRODUCT(--((('Yellow Bosses'!$I$5:$I$53&gt;=2)+('Yellow Bosses'!$M$5:$M$53&gt;=2)+('Yellow Bosses'!$R$5:$R$53&gt;=2)+('Yellow Bosses'!$V$5:$V$53&gt;=2))&gt;0))</f>
        <v>30</v>
      </c>
      <c r="G830" s="26" t="n">
        <f aca="false">F830/49</f>
        <v>0.612244897959184</v>
      </c>
      <c r="H830" s="25" t="n">
        <f aca="false">49-SUMPRODUCT(--((('Yellow Bosses'!$I$5:$I$53&gt;=1)+('Yellow Bosses'!$M$5:$M$53&gt;=1)+('Yellow Bosses'!$R$5:$R$53&gt;=1)+('Yellow Bosses'!$V$5:$V$53&gt;=1))&gt;0))</f>
        <v>0</v>
      </c>
      <c r="I830" s="25" t="n">
        <f aca="false">SUMPRODUCT(--((('Yellow Bosses'!$I$5:$I$53&gt;0)+('Yellow Bosses'!$M$5:$M$53&gt;0)+('Yellow Bosses'!$R$5:$R$53&gt;0)+('Yellow Bosses'!$V$5:$V$53&gt;0))=0))</f>
        <v>0</v>
      </c>
      <c r="J830" s="25" t="n">
        <f aca="false">SUMPRODUCT(--(((Effectiveness!$F$5:$F$155&gt;=2)+(Effectiveness!$J$5:$J$155&gt;=2)+(Effectiveness!$O$5:$O$155&gt;=2)+(Effectiveness!$S$5:$S$155&gt;=2))&gt;0))</f>
        <v>80</v>
      </c>
      <c r="K830" s="26" t="n">
        <f aca="false">J830/151</f>
        <v>0.529801324503311</v>
      </c>
      <c r="L830" s="25" t="n">
        <f aca="false">MIN(INDEX('Move Reality'!$F$5:$F$19,MATCH(B830,'Move Reality'!$A$5:$A$19,0)),INDEX('Move Reality'!$F$5:$F$19,MATCH(C830,'Move Reality'!$A$5:$A$19,0)),INDEX('Move Reality'!$F$5:$F$19,MATCH(D830,'Move Reality'!$A$5:$A$19,0)),INDEX('Move Reality'!$F$5:$F$19,MATCH(E830,'Move Reality'!$A$5:$A$19,0)))</f>
        <v>1</v>
      </c>
      <c r="M830" s="28" t="str">
        <f aca="false">IF(L830&gt;=5,"YES","no - dead move")</f>
        <v>no - dead move</v>
      </c>
    </row>
    <row r="831" customFormat="false" ht="15" hidden="false" customHeight="false" outlineLevel="0" collapsed="false">
      <c r="A831" s="17" t="n">
        <v>827</v>
      </c>
      <c r="B831" s="17" t="s">
        <v>41</v>
      </c>
      <c r="C831" s="17" t="s">
        <v>45</v>
      </c>
      <c r="D831" s="17" t="s">
        <v>51</v>
      </c>
      <c r="E831" s="17" t="s">
        <v>54</v>
      </c>
      <c r="F831" s="25" t="n">
        <f aca="false">SUMPRODUCT(--((('Yellow Bosses'!$I$5:$I$53&gt;=2)+('Yellow Bosses'!$M$5:$M$53&gt;=2)+('Yellow Bosses'!$S$5:$S$53&gt;=2)+('Yellow Bosses'!$V$5:$V$53&gt;=2))&gt;0))</f>
        <v>30</v>
      </c>
      <c r="G831" s="26" t="n">
        <f aca="false">F831/49</f>
        <v>0.612244897959184</v>
      </c>
      <c r="H831" s="25" t="n">
        <f aca="false">49-SUMPRODUCT(--((('Yellow Bosses'!$I$5:$I$53&gt;=1)+('Yellow Bosses'!$M$5:$M$53&gt;=1)+('Yellow Bosses'!$S$5:$S$53&gt;=1)+('Yellow Bosses'!$V$5:$V$53&gt;=1))&gt;0))</f>
        <v>0</v>
      </c>
      <c r="I831" s="25" t="n">
        <f aca="false">SUMPRODUCT(--((('Yellow Bosses'!$I$5:$I$53&gt;0)+('Yellow Bosses'!$M$5:$M$53&gt;0)+('Yellow Bosses'!$S$5:$S$53&gt;0)+('Yellow Bosses'!$V$5:$V$53&gt;0))=0))</f>
        <v>0</v>
      </c>
      <c r="J831" s="25" t="n">
        <f aca="false">SUMPRODUCT(--(((Effectiveness!$F$5:$F$155&gt;=2)+(Effectiveness!$J$5:$J$155&gt;=2)+(Effectiveness!$P$5:$P$155&gt;=2)+(Effectiveness!$S$5:$S$155&gt;=2))&gt;0))</f>
        <v>80</v>
      </c>
      <c r="K831" s="26" t="n">
        <f aca="false">J831/151</f>
        <v>0.529801324503311</v>
      </c>
      <c r="L831" s="25" t="n">
        <f aca="false">MIN(INDEX('Move Reality'!$F$5:$F$19,MATCH(B831,'Move Reality'!$A$5:$A$19,0)),INDEX('Move Reality'!$F$5:$F$19,MATCH(C831,'Move Reality'!$A$5:$A$19,0)),INDEX('Move Reality'!$F$5:$F$19,MATCH(D831,'Move Reality'!$A$5:$A$19,0)),INDEX('Move Reality'!$F$5:$F$19,MATCH(E831,'Move Reality'!$A$5:$A$19,0)))</f>
        <v>1</v>
      </c>
      <c r="M831" s="28" t="str">
        <f aca="false">IF(L831&gt;=5,"YES","no - dead move")</f>
        <v>no - dead move</v>
      </c>
    </row>
    <row r="832" customFormat="false" ht="15" hidden="false" customHeight="false" outlineLevel="0" collapsed="false">
      <c r="A832" s="17" t="n">
        <v>828</v>
      </c>
      <c r="B832" s="17" t="s">
        <v>40</v>
      </c>
      <c r="C832" s="17" t="s">
        <v>45</v>
      </c>
      <c r="D832" s="17" t="s">
        <v>47</v>
      </c>
      <c r="E832" s="17" t="s">
        <v>51</v>
      </c>
      <c r="F832" s="25" t="n">
        <f aca="false">SUMPRODUCT(--((('Yellow Bosses'!$H$5:$H$53&gt;=2)+('Yellow Bosses'!$M$5:$M$53&gt;=2)+('Yellow Bosses'!$O$5:$O$53&gt;=2)+('Yellow Bosses'!$S$5:$S$53&gt;=2))&gt;0))</f>
        <v>30</v>
      </c>
      <c r="G832" s="26" t="n">
        <f aca="false">F832/49</f>
        <v>0.612244897959184</v>
      </c>
      <c r="H832" s="25" t="n">
        <f aca="false">49-SUMPRODUCT(--((('Yellow Bosses'!$H$5:$H$53&gt;=1)+('Yellow Bosses'!$M$5:$M$53&gt;=1)+('Yellow Bosses'!$O$5:$O$53&gt;=1)+('Yellow Bosses'!$S$5:$S$53&gt;=1))&gt;0))</f>
        <v>0</v>
      </c>
      <c r="I832" s="25" t="n">
        <f aca="false">SUMPRODUCT(--((('Yellow Bosses'!$H$5:$H$53&gt;0)+('Yellow Bosses'!$M$5:$M$53&gt;0)+('Yellow Bosses'!$O$5:$O$53&gt;0)+('Yellow Bosses'!$S$5:$S$53&gt;0))=0))</f>
        <v>0</v>
      </c>
      <c r="J832" s="25" t="n">
        <f aca="false">SUMPRODUCT(--(((Effectiveness!$E$5:$E$155&gt;=2)+(Effectiveness!$J$5:$J$155&gt;=2)+(Effectiveness!$L$5:$L$155&gt;=2)+(Effectiveness!$P$5:$P$155&gt;=2))&gt;0))</f>
        <v>79</v>
      </c>
      <c r="K832" s="26" t="n">
        <f aca="false">J832/151</f>
        <v>0.52317880794702</v>
      </c>
      <c r="L832" s="25" t="n">
        <f aca="false">MIN(INDEX('Move Reality'!$F$5:$F$19,MATCH(B832,'Move Reality'!$A$5:$A$19,0)),INDEX('Move Reality'!$F$5:$F$19,MATCH(C832,'Move Reality'!$A$5:$A$19,0)),INDEX('Move Reality'!$F$5:$F$19,MATCH(D832,'Move Reality'!$A$5:$A$19,0)),INDEX('Move Reality'!$F$5:$F$19,MATCH(E832,'Move Reality'!$A$5:$A$19,0)))</f>
        <v>1</v>
      </c>
      <c r="M832" s="28" t="str">
        <f aca="false">IF(L832&gt;=5,"YES","no - dead move")</f>
        <v>no - dead move</v>
      </c>
    </row>
    <row r="833" customFormat="false" ht="15" hidden="false" customHeight="false" outlineLevel="0" collapsed="false">
      <c r="A833" s="17" t="n">
        <v>829</v>
      </c>
      <c r="B833" s="17" t="s">
        <v>41</v>
      </c>
      <c r="C833" s="17" t="s">
        <v>42</v>
      </c>
      <c r="D833" s="17" t="s">
        <v>46</v>
      </c>
      <c r="E833" s="17" t="s">
        <v>53</v>
      </c>
      <c r="F833" s="25" t="n">
        <f aca="false">SUMPRODUCT(--((('Yellow Bosses'!$I$5:$I$53&gt;=2)+('Yellow Bosses'!$J$5:$J$53&gt;=2)+('Yellow Bosses'!$N$5:$N$53&gt;=2)+('Yellow Bosses'!$U$5:$U$53&gt;=2))&gt;0))</f>
        <v>30</v>
      </c>
      <c r="G833" s="26" t="n">
        <f aca="false">F833/49</f>
        <v>0.612244897959184</v>
      </c>
      <c r="H833" s="25" t="n">
        <f aca="false">49-SUMPRODUCT(--((('Yellow Bosses'!$I$5:$I$53&gt;=1)+('Yellow Bosses'!$J$5:$J$53&gt;=1)+('Yellow Bosses'!$N$5:$N$53&gt;=1)+('Yellow Bosses'!$U$5:$U$53&gt;=1))&gt;0))</f>
        <v>2</v>
      </c>
      <c r="I833" s="25" t="n">
        <f aca="false">SUMPRODUCT(--((('Yellow Bosses'!$I$5:$I$53&gt;0)+('Yellow Bosses'!$J$5:$J$53&gt;0)+('Yellow Bosses'!$N$5:$N$53&gt;0)+('Yellow Bosses'!$U$5:$U$53&gt;0))=0))</f>
        <v>0</v>
      </c>
      <c r="J833" s="25" t="n">
        <f aca="false">SUMPRODUCT(--(((Effectiveness!$F$5:$F$155&gt;=2)+(Effectiveness!$G$5:$G$155&gt;=2)+(Effectiveness!$K$5:$K$155&gt;=2)+(Effectiveness!$R$5:$R$155&gt;=2))&gt;0))</f>
        <v>79</v>
      </c>
      <c r="K833" s="26" t="n">
        <f aca="false">J833/151</f>
        <v>0.52317880794702</v>
      </c>
      <c r="L833" s="25" t="n">
        <f aca="false">MIN(INDEX('Move Reality'!$F$5:$F$19,MATCH(B833,'Move Reality'!$A$5:$A$19,0)),INDEX('Move Reality'!$F$5:$F$19,MATCH(C833,'Move Reality'!$A$5:$A$19,0)),INDEX('Move Reality'!$F$5:$F$19,MATCH(D833,'Move Reality'!$A$5:$A$19,0)),INDEX('Move Reality'!$F$5:$F$19,MATCH(E833,'Move Reality'!$A$5:$A$19,0)))</f>
        <v>1</v>
      </c>
      <c r="M833" s="28" t="str">
        <f aca="false">IF(L833&gt;=5,"YES","no - dead move")</f>
        <v>no - dead move</v>
      </c>
    </row>
    <row r="834" customFormat="false" ht="15" hidden="false" customHeight="false" outlineLevel="0" collapsed="false">
      <c r="A834" s="17" t="n">
        <v>830</v>
      </c>
      <c r="B834" s="17" t="s">
        <v>41</v>
      </c>
      <c r="C834" s="17" t="s">
        <v>42</v>
      </c>
      <c r="D834" s="17" t="s">
        <v>46</v>
      </c>
      <c r="E834" s="17" t="s">
        <v>54</v>
      </c>
      <c r="F834" s="25" t="n">
        <f aca="false">SUMPRODUCT(--((('Yellow Bosses'!$I$5:$I$53&gt;=2)+('Yellow Bosses'!$J$5:$J$53&gt;=2)+('Yellow Bosses'!$N$5:$N$53&gt;=2)+('Yellow Bosses'!$V$5:$V$53&gt;=2))&gt;0))</f>
        <v>30</v>
      </c>
      <c r="G834" s="26" t="n">
        <f aca="false">F834/49</f>
        <v>0.612244897959184</v>
      </c>
      <c r="H834" s="25" t="n">
        <f aca="false">49-SUMPRODUCT(--((('Yellow Bosses'!$I$5:$I$53&gt;=1)+('Yellow Bosses'!$J$5:$J$53&gt;=1)+('Yellow Bosses'!$N$5:$N$53&gt;=1)+('Yellow Bosses'!$V$5:$V$53&gt;=1))&gt;0))</f>
        <v>0</v>
      </c>
      <c r="I834" s="25" t="n">
        <f aca="false">SUMPRODUCT(--((('Yellow Bosses'!$I$5:$I$53&gt;0)+('Yellow Bosses'!$J$5:$J$53&gt;0)+('Yellow Bosses'!$N$5:$N$53&gt;0)+('Yellow Bosses'!$V$5:$V$53&gt;0))=0))</f>
        <v>0</v>
      </c>
      <c r="J834" s="25" t="n">
        <f aca="false">SUMPRODUCT(--(((Effectiveness!$F$5:$F$155&gt;=2)+(Effectiveness!$G$5:$G$155&gt;=2)+(Effectiveness!$K$5:$K$155&gt;=2)+(Effectiveness!$S$5:$S$155&gt;=2))&gt;0))</f>
        <v>79</v>
      </c>
      <c r="K834" s="26" t="n">
        <f aca="false">J834/151</f>
        <v>0.52317880794702</v>
      </c>
      <c r="L834" s="25" t="n">
        <f aca="false">MIN(INDEX('Move Reality'!$F$5:$F$19,MATCH(B834,'Move Reality'!$A$5:$A$19,0)),INDEX('Move Reality'!$F$5:$F$19,MATCH(C834,'Move Reality'!$A$5:$A$19,0)),INDEX('Move Reality'!$F$5:$F$19,MATCH(D834,'Move Reality'!$A$5:$A$19,0)),INDEX('Move Reality'!$F$5:$F$19,MATCH(E834,'Move Reality'!$A$5:$A$19,0)))</f>
        <v>1</v>
      </c>
      <c r="M834" s="28" t="str">
        <f aca="false">IF(L834&gt;=5,"YES","no - dead move")</f>
        <v>no - dead move</v>
      </c>
    </row>
    <row r="835" customFormat="false" ht="15" hidden="false" customHeight="false" outlineLevel="0" collapsed="false">
      <c r="A835" s="17" t="n">
        <v>831</v>
      </c>
      <c r="B835" s="17" t="s">
        <v>45</v>
      </c>
      <c r="C835" s="17" t="s">
        <v>47</v>
      </c>
      <c r="D835" s="17" t="s">
        <v>51</v>
      </c>
      <c r="E835" s="17" t="s">
        <v>54</v>
      </c>
      <c r="F835" s="25" t="n">
        <f aca="false">SUMPRODUCT(--((('Yellow Bosses'!$M$5:$M$53&gt;=2)+('Yellow Bosses'!$O$5:$O$53&gt;=2)+('Yellow Bosses'!$S$5:$S$53&gt;=2)+('Yellow Bosses'!$V$5:$V$53&gt;=2))&gt;0))</f>
        <v>30</v>
      </c>
      <c r="G835" s="26" t="n">
        <f aca="false">F835/49</f>
        <v>0.612244897959184</v>
      </c>
      <c r="H835" s="25" t="n">
        <f aca="false">49-SUMPRODUCT(--((('Yellow Bosses'!$M$5:$M$53&gt;=1)+('Yellow Bosses'!$O$5:$O$53&gt;=1)+('Yellow Bosses'!$S$5:$S$53&gt;=1)+('Yellow Bosses'!$V$5:$V$53&gt;=1))&gt;0))</f>
        <v>0</v>
      </c>
      <c r="I835" s="25" t="n">
        <f aca="false">SUMPRODUCT(--((('Yellow Bosses'!$M$5:$M$53&gt;0)+('Yellow Bosses'!$O$5:$O$53&gt;0)+('Yellow Bosses'!$S$5:$S$53&gt;0)+('Yellow Bosses'!$V$5:$V$53&gt;0))=0))</f>
        <v>0</v>
      </c>
      <c r="J835" s="25" t="n">
        <f aca="false">SUMPRODUCT(--(((Effectiveness!$J$5:$J$155&gt;=2)+(Effectiveness!$L$5:$L$155&gt;=2)+(Effectiveness!$P$5:$P$155&gt;=2)+(Effectiveness!$S$5:$S$155&gt;=2))&gt;0))</f>
        <v>79</v>
      </c>
      <c r="K835" s="26" t="n">
        <f aca="false">J835/151</f>
        <v>0.52317880794702</v>
      </c>
      <c r="L835" s="25" t="n">
        <f aca="false">MIN(INDEX('Move Reality'!$F$5:$F$19,MATCH(B835,'Move Reality'!$A$5:$A$19,0)),INDEX('Move Reality'!$F$5:$F$19,MATCH(C835,'Move Reality'!$A$5:$A$19,0)),INDEX('Move Reality'!$F$5:$F$19,MATCH(D835,'Move Reality'!$A$5:$A$19,0)),INDEX('Move Reality'!$F$5:$F$19,MATCH(E835,'Move Reality'!$A$5:$A$19,0)))</f>
        <v>1</v>
      </c>
      <c r="M835" s="28" t="str">
        <f aca="false">IF(L835&gt;=5,"YES","no - dead move")</f>
        <v>no - dead move</v>
      </c>
    </row>
    <row r="836" customFormat="false" ht="15" hidden="false" customHeight="false" outlineLevel="0" collapsed="false">
      <c r="A836" s="17" t="n">
        <v>832</v>
      </c>
      <c r="B836" s="17" t="s">
        <v>40</v>
      </c>
      <c r="C836" s="17" t="s">
        <v>42</v>
      </c>
      <c r="D836" s="17" t="s">
        <v>48</v>
      </c>
      <c r="E836" s="17" t="s">
        <v>50</v>
      </c>
      <c r="F836" s="25" t="n">
        <f aca="false">SUMPRODUCT(--((('Yellow Bosses'!$H$5:$H$53&gt;=2)+('Yellow Bosses'!$J$5:$J$53&gt;=2)+('Yellow Bosses'!$P$5:$P$53&gt;=2)+('Yellow Bosses'!$R$5:$R$53&gt;=2))&gt;0))</f>
        <v>30</v>
      </c>
      <c r="G836" s="26" t="n">
        <f aca="false">F836/49</f>
        <v>0.612244897959184</v>
      </c>
      <c r="H836" s="25" t="n">
        <f aca="false">49-SUMPRODUCT(--((('Yellow Bosses'!$H$5:$H$53&gt;=1)+('Yellow Bosses'!$J$5:$J$53&gt;=1)+('Yellow Bosses'!$P$5:$P$53&gt;=1)+('Yellow Bosses'!$R$5:$R$53&gt;=1))&gt;0))</f>
        <v>0</v>
      </c>
      <c r="I836" s="25" t="n">
        <f aca="false">SUMPRODUCT(--((('Yellow Bosses'!$H$5:$H$53&gt;0)+('Yellow Bosses'!$J$5:$J$53&gt;0)+('Yellow Bosses'!$P$5:$P$53&gt;0)+('Yellow Bosses'!$R$5:$R$53&gt;0))=0))</f>
        <v>0</v>
      </c>
      <c r="J836" s="25" t="n">
        <f aca="false">SUMPRODUCT(--(((Effectiveness!$E$5:$E$155&gt;=2)+(Effectiveness!$G$5:$G$155&gt;=2)+(Effectiveness!$M$5:$M$155&gt;=2)+(Effectiveness!$O$5:$O$155&gt;=2))&gt;0))</f>
        <v>78</v>
      </c>
      <c r="K836" s="26" t="n">
        <f aca="false">J836/151</f>
        <v>0.516556291390729</v>
      </c>
      <c r="L836" s="25" t="n">
        <f aca="false">MIN(INDEX('Move Reality'!$F$5:$F$19,MATCH(B836,'Move Reality'!$A$5:$A$19,0)),INDEX('Move Reality'!$F$5:$F$19,MATCH(C836,'Move Reality'!$A$5:$A$19,0)),INDEX('Move Reality'!$F$5:$F$19,MATCH(D836,'Move Reality'!$A$5:$A$19,0)),INDEX('Move Reality'!$F$5:$F$19,MATCH(E836,'Move Reality'!$A$5:$A$19,0)))</f>
        <v>9</v>
      </c>
      <c r="M836" s="28" t="str">
        <f aca="false">IF(L836&gt;=5,"YES","no - dead move")</f>
        <v>YES</v>
      </c>
    </row>
    <row r="837" customFormat="false" ht="15" hidden="false" customHeight="false" outlineLevel="0" collapsed="false">
      <c r="A837" s="17" t="n">
        <v>833</v>
      </c>
      <c r="B837" s="17" t="s">
        <v>42</v>
      </c>
      <c r="C837" s="17" t="s">
        <v>48</v>
      </c>
      <c r="D837" s="17" t="s">
        <v>50</v>
      </c>
      <c r="E837" s="17" t="s">
        <v>53</v>
      </c>
      <c r="F837" s="25" t="n">
        <f aca="false">SUMPRODUCT(--((('Yellow Bosses'!$J$5:$J$53&gt;=2)+('Yellow Bosses'!$P$5:$P$53&gt;=2)+('Yellow Bosses'!$R$5:$R$53&gt;=2)+('Yellow Bosses'!$U$5:$U$53&gt;=2))&gt;0))</f>
        <v>30</v>
      </c>
      <c r="G837" s="26" t="n">
        <f aca="false">F837/49</f>
        <v>0.612244897959184</v>
      </c>
      <c r="H837" s="25" t="n">
        <f aca="false">49-SUMPRODUCT(--((('Yellow Bosses'!$J$5:$J$53&gt;=1)+('Yellow Bosses'!$P$5:$P$53&gt;=1)+('Yellow Bosses'!$R$5:$R$53&gt;=1)+('Yellow Bosses'!$U$5:$U$53&gt;=1))&gt;0))</f>
        <v>1</v>
      </c>
      <c r="I837" s="25" t="n">
        <f aca="false">SUMPRODUCT(--((('Yellow Bosses'!$J$5:$J$53&gt;0)+('Yellow Bosses'!$P$5:$P$53&gt;0)+('Yellow Bosses'!$R$5:$R$53&gt;0)+('Yellow Bosses'!$U$5:$U$53&gt;0))=0))</f>
        <v>0</v>
      </c>
      <c r="J837" s="25" t="n">
        <f aca="false">SUMPRODUCT(--(((Effectiveness!$G$5:$G$155&gt;=2)+(Effectiveness!$M$5:$M$155&gt;=2)+(Effectiveness!$O$5:$O$155&gt;=2)+(Effectiveness!$R$5:$R$155&gt;=2))&gt;0))</f>
        <v>78</v>
      </c>
      <c r="K837" s="26" t="n">
        <f aca="false">J837/151</f>
        <v>0.516556291390729</v>
      </c>
      <c r="L837" s="25" t="n">
        <f aca="false">MIN(INDEX('Move Reality'!$F$5:$F$19,MATCH(B837,'Move Reality'!$A$5:$A$19,0)),INDEX('Move Reality'!$F$5:$F$19,MATCH(C837,'Move Reality'!$A$5:$A$19,0)),INDEX('Move Reality'!$F$5:$F$19,MATCH(D837,'Move Reality'!$A$5:$A$19,0)),INDEX('Move Reality'!$F$5:$F$19,MATCH(E837,'Move Reality'!$A$5:$A$19,0)))</f>
        <v>1</v>
      </c>
      <c r="M837" s="28" t="str">
        <f aca="false">IF(L837&gt;=5,"YES","no - dead move")</f>
        <v>no - dead move</v>
      </c>
    </row>
    <row r="838" customFormat="false" ht="15" hidden="false" customHeight="false" outlineLevel="0" collapsed="false">
      <c r="A838" s="17" t="n">
        <v>834</v>
      </c>
      <c r="B838" s="17" t="s">
        <v>40</v>
      </c>
      <c r="C838" s="17" t="s">
        <v>46</v>
      </c>
      <c r="D838" s="17" t="s">
        <v>51</v>
      </c>
      <c r="E838" s="17" t="s">
        <v>53</v>
      </c>
      <c r="F838" s="25" t="n">
        <f aca="false">SUMPRODUCT(--((('Yellow Bosses'!$H$5:$H$53&gt;=2)+('Yellow Bosses'!$N$5:$N$53&gt;=2)+('Yellow Bosses'!$S$5:$S$53&gt;=2)+('Yellow Bosses'!$U$5:$U$53&gt;=2))&gt;0))</f>
        <v>30</v>
      </c>
      <c r="G838" s="26" t="n">
        <f aca="false">F838/49</f>
        <v>0.612244897959184</v>
      </c>
      <c r="H838" s="25" t="n">
        <f aca="false">49-SUMPRODUCT(--((('Yellow Bosses'!$H$5:$H$53&gt;=1)+('Yellow Bosses'!$N$5:$N$53&gt;=1)+('Yellow Bosses'!$S$5:$S$53&gt;=1)+('Yellow Bosses'!$U$5:$U$53&gt;=1))&gt;0))</f>
        <v>0</v>
      </c>
      <c r="I838" s="25" t="n">
        <f aca="false">SUMPRODUCT(--((('Yellow Bosses'!$H$5:$H$53&gt;0)+('Yellow Bosses'!$N$5:$N$53&gt;0)+('Yellow Bosses'!$S$5:$S$53&gt;0)+('Yellow Bosses'!$U$5:$U$53&gt;0))=0))</f>
        <v>0</v>
      </c>
      <c r="J838" s="25" t="n">
        <f aca="false">SUMPRODUCT(--(((Effectiveness!$E$5:$E$155&gt;=2)+(Effectiveness!$K$5:$K$155&gt;=2)+(Effectiveness!$P$5:$P$155&gt;=2)+(Effectiveness!$R$5:$R$155&gt;=2))&gt;0))</f>
        <v>77</v>
      </c>
      <c r="K838" s="26" t="n">
        <f aca="false">J838/151</f>
        <v>0.509933774834437</v>
      </c>
      <c r="L838" s="25" t="n">
        <f aca="false">MIN(INDEX('Move Reality'!$F$5:$F$19,MATCH(B838,'Move Reality'!$A$5:$A$19,0)),INDEX('Move Reality'!$F$5:$F$19,MATCH(C838,'Move Reality'!$A$5:$A$19,0)),INDEX('Move Reality'!$F$5:$F$19,MATCH(D838,'Move Reality'!$A$5:$A$19,0)),INDEX('Move Reality'!$F$5:$F$19,MATCH(E838,'Move Reality'!$A$5:$A$19,0)))</f>
        <v>1</v>
      </c>
      <c r="M838" s="28" t="str">
        <f aca="false">IF(L838&gt;=5,"YES","no - dead move")</f>
        <v>no - dead move</v>
      </c>
    </row>
    <row r="839" customFormat="false" ht="15" hidden="false" customHeight="false" outlineLevel="0" collapsed="false">
      <c r="A839" s="17" t="n">
        <v>835</v>
      </c>
      <c r="B839" s="17" t="s">
        <v>40</v>
      </c>
      <c r="C839" s="17" t="s">
        <v>46</v>
      </c>
      <c r="D839" s="17" t="s">
        <v>51</v>
      </c>
      <c r="E839" s="17" t="s">
        <v>54</v>
      </c>
      <c r="F839" s="25" t="n">
        <f aca="false">SUMPRODUCT(--((('Yellow Bosses'!$H$5:$H$53&gt;=2)+('Yellow Bosses'!$N$5:$N$53&gt;=2)+('Yellow Bosses'!$S$5:$S$53&gt;=2)+('Yellow Bosses'!$V$5:$V$53&gt;=2))&gt;0))</f>
        <v>30</v>
      </c>
      <c r="G839" s="26" t="n">
        <f aca="false">F839/49</f>
        <v>0.612244897959184</v>
      </c>
      <c r="H839" s="25" t="n">
        <f aca="false">49-SUMPRODUCT(--((('Yellow Bosses'!$H$5:$H$53&gt;=1)+('Yellow Bosses'!$N$5:$N$53&gt;=1)+('Yellow Bosses'!$S$5:$S$53&gt;=1)+('Yellow Bosses'!$V$5:$V$53&gt;=1))&gt;0))</f>
        <v>0</v>
      </c>
      <c r="I839" s="25" t="n">
        <f aca="false">SUMPRODUCT(--((('Yellow Bosses'!$H$5:$H$53&gt;0)+('Yellow Bosses'!$N$5:$N$53&gt;0)+('Yellow Bosses'!$S$5:$S$53&gt;0)+('Yellow Bosses'!$V$5:$V$53&gt;0))=0))</f>
        <v>0</v>
      </c>
      <c r="J839" s="25" t="n">
        <f aca="false">SUMPRODUCT(--(((Effectiveness!$E$5:$E$155&gt;=2)+(Effectiveness!$K$5:$K$155&gt;=2)+(Effectiveness!$P$5:$P$155&gt;=2)+(Effectiveness!$S$5:$S$155&gt;=2))&gt;0))</f>
        <v>77</v>
      </c>
      <c r="K839" s="26" t="n">
        <f aca="false">J839/151</f>
        <v>0.509933774834437</v>
      </c>
      <c r="L839" s="25" t="n">
        <f aca="false">MIN(INDEX('Move Reality'!$F$5:$F$19,MATCH(B839,'Move Reality'!$A$5:$A$19,0)),INDEX('Move Reality'!$F$5:$F$19,MATCH(C839,'Move Reality'!$A$5:$A$19,0)),INDEX('Move Reality'!$F$5:$F$19,MATCH(D839,'Move Reality'!$A$5:$A$19,0)),INDEX('Move Reality'!$F$5:$F$19,MATCH(E839,'Move Reality'!$A$5:$A$19,0)))</f>
        <v>1</v>
      </c>
      <c r="M839" s="28" t="str">
        <f aca="false">IF(L839&gt;=5,"YES","no - dead move")</f>
        <v>no - dead move</v>
      </c>
    </row>
    <row r="840" customFormat="false" ht="15" hidden="false" customHeight="false" outlineLevel="0" collapsed="false">
      <c r="A840" s="17" t="n">
        <v>836</v>
      </c>
      <c r="B840" s="17" t="s">
        <v>40</v>
      </c>
      <c r="C840" s="17" t="s">
        <v>41</v>
      </c>
      <c r="D840" s="17" t="s">
        <v>42</v>
      </c>
      <c r="E840" s="17" t="s">
        <v>51</v>
      </c>
      <c r="F840" s="25" t="n">
        <f aca="false">SUMPRODUCT(--((('Yellow Bosses'!$H$5:$H$53&gt;=2)+('Yellow Bosses'!$I$5:$I$53&gt;=2)+('Yellow Bosses'!$J$5:$J$53&gt;=2)+('Yellow Bosses'!$S$5:$S$53&gt;=2))&gt;0))</f>
        <v>30</v>
      </c>
      <c r="G840" s="26" t="n">
        <f aca="false">F840/49</f>
        <v>0.612244897959184</v>
      </c>
      <c r="H840" s="25" t="n">
        <f aca="false">49-SUMPRODUCT(--((('Yellow Bosses'!$H$5:$H$53&gt;=1)+('Yellow Bosses'!$I$5:$I$53&gt;=1)+('Yellow Bosses'!$J$5:$J$53&gt;=1)+('Yellow Bosses'!$S$5:$S$53&gt;=1))&gt;0))</f>
        <v>0</v>
      </c>
      <c r="I840" s="25" t="n">
        <f aca="false">SUMPRODUCT(--((('Yellow Bosses'!$H$5:$H$53&gt;0)+('Yellow Bosses'!$I$5:$I$53&gt;0)+('Yellow Bosses'!$J$5:$J$53&gt;0)+('Yellow Bosses'!$S$5:$S$53&gt;0))=0))</f>
        <v>0</v>
      </c>
      <c r="J840" s="25" t="n">
        <f aca="false">SUMPRODUCT(--(((Effectiveness!$E$5:$E$155&gt;=2)+(Effectiveness!$F$5:$F$155&gt;=2)+(Effectiveness!$G$5:$G$155&gt;=2)+(Effectiveness!$P$5:$P$155&gt;=2))&gt;0))</f>
        <v>76</v>
      </c>
      <c r="K840" s="26" t="n">
        <f aca="false">J840/151</f>
        <v>0.503311258278146</v>
      </c>
      <c r="L840" s="25" t="n">
        <f aca="false">MIN(INDEX('Move Reality'!$F$5:$F$19,MATCH(B840,'Move Reality'!$A$5:$A$19,0)),INDEX('Move Reality'!$F$5:$F$19,MATCH(C840,'Move Reality'!$A$5:$A$19,0)),INDEX('Move Reality'!$F$5:$F$19,MATCH(D840,'Move Reality'!$A$5:$A$19,0)),INDEX('Move Reality'!$F$5:$F$19,MATCH(E840,'Move Reality'!$A$5:$A$19,0)))</f>
        <v>1</v>
      </c>
      <c r="M840" s="28" t="str">
        <f aca="false">IF(L840&gt;=5,"YES","no - dead move")</f>
        <v>no - dead move</v>
      </c>
    </row>
    <row r="841" customFormat="false" ht="15" hidden="false" customHeight="false" outlineLevel="0" collapsed="false">
      <c r="A841" s="17" t="n">
        <v>837</v>
      </c>
      <c r="B841" s="17" t="s">
        <v>40</v>
      </c>
      <c r="C841" s="17" t="s">
        <v>42</v>
      </c>
      <c r="D841" s="17" t="s">
        <v>47</v>
      </c>
      <c r="E841" s="17" t="s">
        <v>50</v>
      </c>
      <c r="F841" s="25" t="n">
        <f aca="false">SUMPRODUCT(--((('Yellow Bosses'!$H$5:$H$53&gt;=2)+('Yellow Bosses'!$J$5:$J$53&gt;=2)+('Yellow Bosses'!$O$5:$O$53&gt;=2)+('Yellow Bosses'!$R$5:$R$53&gt;=2))&gt;0))</f>
        <v>30</v>
      </c>
      <c r="G841" s="26" t="n">
        <f aca="false">F841/49</f>
        <v>0.612244897959184</v>
      </c>
      <c r="H841" s="25" t="n">
        <f aca="false">49-SUMPRODUCT(--((('Yellow Bosses'!$H$5:$H$53&gt;=1)+('Yellow Bosses'!$J$5:$J$53&gt;=1)+('Yellow Bosses'!$O$5:$O$53&gt;=1)+('Yellow Bosses'!$R$5:$R$53&gt;=1))&gt;0))</f>
        <v>0</v>
      </c>
      <c r="I841" s="25" t="n">
        <f aca="false">SUMPRODUCT(--((('Yellow Bosses'!$H$5:$H$53&gt;0)+('Yellow Bosses'!$J$5:$J$53&gt;0)+('Yellow Bosses'!$O$5:$O$53&gt;0)+('Yellow Bosses'!$R$5:$R$53&gt;0))=0))</f>
        <v>0</v>
      </c>
      <c r="J841" s="25" t="n">
        <f aca="false">SUMPRODUCT(--(((Effectiveness!$E$5:$E$155&gt;=2)+(Effectiveness!$G$5:$G$155&gt;=2)+(Effectiveness!$L$5:$L$155&gt;=2)+(Effectiveness!$O$5:$O$155&gt;=2))&gt;0))</f>
        <v>76</v>
      </c>
      <c r="K841" s="26" t="n">
        <f aca="false">J841/151</f>
        <v>0.503311258278146</v>
      </c>
      <c r="L841" s="25" t="n">
        <f aca="false">MIN(INDEX('Move Reality'!$F$5:$F$19,MATCH(B841,'Move Reality'!$A$5:$A$19,0)),INDEX('Move Reality'!$F$5:$F$19,MATCH(C841,'Move Reality'!$A$5:$A$19,0)),INDEX('Move Reality'!$F$5:$F$19,MATCH(D841,'Move Reality'!$A$5:$A$19,0)),INDEX('Move Reality'!$F$5:$F$19,MATCH(E841,'Move Reality'!$A$5:$A$19,0)))</f>
        <v>2</v>
      </c>
      <c r="M841" s="28" t="str">
        <f aca="false">IF(L841&gt;=5,"YES","no - dead move")</f>
        <v>no - dead move</v>
      </c>
    </row>
    <row r="842" customFormat="false" ht="15" hidden="false" customHeight="false" outlineLevel="0" collapsed="false">
      <c r="A842" s="17" t="n">
        <v>838</v>
      </c>
      <c r="B842" s="17" t="s">
        <v>40</v>
      </c>
      <c r="C842" s="17" t="s">
        <v>42</v>
      </c>
      <c r="D842" s="17" t="s">
        <v>49</v>
      </c>
      <c r="E842" s="17" t="s">
        <v>50</v>
      </c>
      <c r="F842" s="25" t="n">
        <f aca="false">SUMPRODUCT(--((('Yellow Bosses'!$H$5:$H$53&gt;=2)+('Yellow Bosses'!$J$5:$J$53&gt;=2)+('Yellow Bosses'!$Q$5:$Q$53&gt;=2)+('Yellow Bosses'!$R$5:$R$53&gt;=2))&gt;0))</f>
        <v>30</v>
      </c>
      <c r="G842" s="26" t="n">
        <f aca="false">F842/49</f>
        <v>0.612244897959184</v>
      </c>
      <c r="H842" s="25" t="n">
        <f aca="false">49-SUMPRODUCT(--((('Yellow Bosses'!$H$5:$H$53&gt;=1)+('Yellow Bosses'!$J$5:$J$53&gt;=1)+('Yellow Bosses'!$Q$5:$Q$53&gt;=1)+('Yellow Bosses'!$R$5:$R$53&gt;=1))&gt;0))</f>
        <v>0</v>
      </c>
      <c r="I842" s="25" t="n">
        <f aca="false">SUMPRODUCT(--((('Yellow Bosses'!$H$5:$H$53&gt;0)+('Yellow Bosses'!$J$5:$J$53&gt;0)+('Yellow Bosses'!$Q$5:$Q$53&gt;0)+('Yellow Bosses'!$R$5:$R$53&gt;0))=0))</f>
        <v>0</v>
      </c>
      <c r="J842" s="25" t="n">
        <f aca="false">SUMPRODUCT(--(((Effectiveness!$E$5:$E$155&gt;=2)+(Effectiveness!$G$5:$G$155&gt;=2)+(Effectiveness!$N$5:$N$155&gt;=2)+(Effectiveness!$O$5:$O$155&gt;=2))&gt;0))</f>
        <v>76</v>
      </c>
      <c r="K842" s="26" t="n">
        <f aca="false">J842/151</f>
        <v>0.503311258278146</v>
      </c>
      <c r="L842" s="25" t="n">
        <f aca="false">MIN(INDEX('Move Reality'!$F$5:$F$19,MATCH(B842,'Move Reality'!$A$5:$A$19,0)),INDEX('Move Reality'!$F$5:$F$19,MATCH(C842,'Move Reality'!$A$5:$A$19,0)),INDEX('Move Reality'!$F$5:$F$19,MATCH(D842,'Move Reality'!$A$5:$A$19,0)),INDEX('Move Reality'!$F$5:$F$19,MATCH(E842,'Move Reality'!$A$5:$A$19,0)))</f>
        <v>5</v>
      </c>
      <c r="M842" s="28" t="str">
        <f aca="false">IF(L842&gt;=5,"YES","no - dead move")</f>
        <v>YES</v>
      </c>
    </row>
    <row r="843" customFormat="false" ht="15" hidden="false" customHeight="false" outlineLevel="0" collapsed="false">
      <c r="A843" s="17" t="n">
        <v>839</v>
      </c>
      <c r="B843" s="17" t="s">
        <v>40</v>
      </c>
      <c r="C843" s="17" t="s">
        <v>45</v>
      </c>
      <c r="D843" s="17" t="s">
        <v>51</v>
      </c>
      <c r="E843" s="17" t="s">
        <v>54</v>
      </c>
      <c r="F843" s="25" t="n">
        <f aca="false">SUMPRODUCT(--((('Yellow Bosses'!$H$5:$H$53&gt;=2)+('Yellow Bosses'!$M$5:$M$53&gt;=2)+('Yellow Bosses'!$S$5:$S$53&gt;=2)+('Yellow Bosses'!$V$5:$V$53&gt;=2))&gt;0))</f>
        <v>30</v>
      </c>
      <c r="G843" s="26" t="n">
        <f aca="false">F843/49</f>
        <v>0.612244897959184</v>
      </c>
      <c r="H843" s="25" t="n">
        <f aca="false">49-SUMPRODUCT(--((('Yellow Bosses'!$H$5:$H$53&gt;=1)+('Yellow Bosses'!$M$5:$M$53&gt;=1)+('Yellow Bosses'!$S$5:$S$53&gt;=1)+('Yellow Bosses'!$V$5:$V$53&gt;=1))&gt;0))</f>
        <v>0</v>
      </c>
      <c r="I843" s="25" t="n">
        <f aca="false">SUMPRODUCT(--((('Yellow Bosses'!$H$5:$H$53&gt;0)+('Yellow Bosses'!$M$5:$M$53&gt;0)+('Yellow Bosses'!$S$5:$S$53&gt;0)+('Yellow Bosses'!$V$5:$V$53&gt;0))=0))</f>
        <v>0</v>
      </c>
      <c r="J843" s="25" t="n">
        <f aca="false">SUMPRODUCT(--(((Effectiveness!$E$5:$E$155&gt;=2)+(Effectiveness!$J$5:$J$155&gt;=2)+(Effectiveness!$P$5:$P$155&gt;=2)+(Effectiveness!$S$5:$S$155&gt;=2))&gt;0))</f>
        <v>76</v>
      </c>
      <c r="K843" s="26" t="n">
        <f aca="false">J843/151</f>
        <v>0.503311258278146</v>
      </c>
      <c r="L843" s="25" t="n">
        <f aca="false">MIN(INDEX('Move Reality'!$F$5:$F$19,MATCH(B843,'Move Reality'!$A$5:$A$19,0)),INDEX('Move Reality'!$F$5:$F$19,MATCH(C843,'Move Reality'!$A$5:$A$19,0)),INDEX('Move Reality'!$F$5:$F$19,MATCH(D843,'Move Reality'!$A$5:$A$19,0)),INDEX('Move Reality'!$F$5:$F$19,MATCH(E843,'Move Reality'!$A$5:$A$19,0)))</f>
        <v>1</v>
      </c>
      <c r="M843" s="28" t="str">
        <f aca="false">IF(L843&gt;=5,"YES","no - dead move")</f>
        <v>no - dead move</v>
      </c>
    </row>
    <row r="844" customFormat="false" ht="15" hidden="false" customHeight="false" outlineLevel="0" collapsed="false">
      <c r="A844" s="17" t="n">
        <v>840</v>
      </c>
      <c r="B844" s="17" t="s">
        <v>41</v>
      </c>
      <c r="C844" s="17" t="s">
        <v>42</v>
      </c>
      <c r="D844" s="17" t="s">
        <v>47</v>
      </c>
      <c r="E844" s="17" t="s">
        <v>51</v>
      </c>
      <c r="F844" s="25" t="n">
        <f aca="false">SUMPRODUCT(--((('Yellow Bosses'!$I$5:$I$53&gt;=2)+('Yellow Bosses'!$J$5:$J$53&gt;=2)+('Yellow Bosses'!$O$5:$O$53&gt;=2)+('Yellow Bosses'!$S$5:$S$53&gt;=2))&gt;0))</f>
        <v>30</v>
      </c>
      <c r="G844" s="26" t="n">
        <f aca="false">F844/49</f>
        <v>0.612244897959184</v>
      </c>
      <c r="H844" s="25" t="n">
        <f aca="false">49-SUMPRODUCT(--((('Yellow Bosses'!$I$5:$I$53&gt;=1)+('Yellow Bosses'!$J$5:$J$53&gt;=1)+('Yellow Bosses'!$O$5:$O$53&gt;=1)+('Yellow Bosses'!$S$5:$S$53&gt;=1))&gt;0))</f>
        <v>0</v>
      </c>
      <c r="I844" s="25" t="n">
        <f aca="false">SUMPRODUCT(--((('Yellow Bosses'!$I$5:$I$53&gt;0)+('Yellow Bosses'!$J$5:$J$53&gt;0)+('Yellow Bosses'!$O$5:$O$53&gt;0)+('Yellow Bosses'!$S$5:$S$53&gt;0))=0))</f>
        <v>0</v>
      </c>
      <c r="J844" s="25" t="n">
        <f aca="false">SUMPRODUCT(--(((Effectiveness!$F$5:$F$155&gt;=2)+(Effectiveness!$G$5:$G$155&gt;=2)+(Effectiveness!$L$5:$L$155&gt;=2)+(Effectiveness!$P$5:$P$155&gt;=2))&gt;0))</f>
        <v>76</v>
      </c>
      <c r="K844" s="26" t="n">
        <f aca="false">J844/151</f>
        <v>0.503311258278146</v>
      </c>
      <c r="L844" s="25" t="n">
        <f aca="false">MIN(INDEX('Move Reality'!$F$5:$F$19,MATCH(B844,'Move Reality'!$A$5:$A$19,0)),INDEX('Move Reality'!$F$5:$F$19,MATCH(C844,'Move Reality'!$A$5:$A$19,0)),INDEX('Move Reality'!$F$5:$F$19,MATCH(D844,'Move Reality'!$A$5:$A$19,0)),INDEX('Move Reality'!$F$5:$F$19,MATCH(E844,'Move Reality'!$A$5:$A$19,0)))</f>
        <v>1</v>
      </c>
      <c r="M844" s="28" t="str">
        <f aca="false">IF(L844&gt;=5,"YES","no - dead move")</f>
        <v>no - dead move</v>
      </c>
    </row>
    <row r="845" customFormat="false" ht="15" hidden="false" customHeight="false" outlineLevel="0" collapsed="false">
      <c r="A845" s="17" t="n">
        <v>841</v>
      </c>
      <c r="B845" s="17" t="s">
        <v>42</v>
      </c>
      <c r="C845" s="17" t="s">
        <v>47</v>
      </c>
      <c r="D845" s="17" t="s">
        <v>49</v>
      </c>
      <c r="E845" s="17" t="s">
        <v>50</v>
      </c>
      <c r="F845" s="25" t="n">
        <f aca="false">SUMPRODUCT(--((('Yellow Bosses'!$J$5:$J$53&gt;=2)+('Yellow Bosses'!$O$5:$O$53&gt;=2)+('Yellow Bosses'!$Q$5:$Q$53&gt;=2)+('Yellow Bosses'!$R$5:$R$53&gt;=2))&gt;0))</f>
        <v>30</v>
      </c>
      <c r="G845" s="26" t="n">
        <f aca="false">F845/49</f>
        <v>0.612244897959184</v>
      </c>
      <c r="H845" s="25" t="n">
        <f aca="false">49-SUMPRODUCT(--((('Yellow Bosses'!$J$5:$J$53&gt;=1)+('Yellow Bosses'!$O$5:$O$53&gt;=1)+('Yellow Bosses'!$Q$5:$Q$53&gt;=1)+('Yellow Bosses'!$R$5:$R$53&gt;=1))&gt;0))</f>
        <v>0</v>
      </c>
      <c r="I845" s="25" t="n">
        <f aca="false">SUMPRODUCT(--((('Yellow Bosses'!$J$5:$J$53&gt;0)+('Yellow Bosses'!$O$5:$O$53&gt;0)+('Yellow Bosses'!$Q$5:$Q$53&gt;0)+('Yellow Bosses'!$R$5:$R$53&gt;0))=0))</f>
        <v>0</v>
      </c>
      <c r="J845" s="25" t="n">
        <f aca="false">SUMPRODUCT(--(((Effectiveness!$G$5:$G$155&gt;=2)+(Effectiveness!$L$5:$L$155&gt;=2)+(Effectiveness!$N$5:$N$155&gt;=2)+(Effectiveness!$O$5:$O$155&gt;=2))&gt;0))</f>
        <v>76</v>
      </c>
      <c r="K845" s="26" t="n">
        <f aca="false">J845/151</f>
        <v>0.503311258278146</v>
      </c>
      <c r="L845" s="25" t="n">
        <f aca="false">MIN(INDEX('Move Reality'!$F$5:$F$19,MATCH(B845,'Move Reality'!$A$5:$A$19,0)),INDEX('Move Reality'!$F$5:$F$19,MATCH(C845,'Move Reality'!$A$5:$A$19,0)),INDEX('Move Reality'!$F$5:$F$19,MATCH(D845,'Move Reality'!$A$5:$A$19,0)),INDEX('Move Reality'!$F$5:$F$19,MATCH(E845,'Move Reality'!$A$5:$A$19,0)))</f>
        <v>2</v>
      </c>
      <c r="M845" s="28" t="str">
        <f aca="false">IF(L845&gt;=5,"YES","no - dead move")</f>
        <v>no - dead move</v>
      </c>
    </row>
    <row r="846" customFormat="false" ht="15" hidden="false" customHeight="false" outlineLevel="0" collapsed="false">
      <c r="A846" s="17" t="n">
        <v>842</v>
      </c>
      <c r="B846" s="17" t="s">
        <v>42</v>
      </c>
      <c r="C846" s="17" t="s">
        <v>47</v>
      </c>
      <c r="D846" s="17" t="s">
        <v>50</v>
      </c>
      <c r="E846" s="17" t="s">
        <v>53</v>
      </c>
      <c r="F846" s="25" t="n">
        <f aca="false">SUMPRODUCT(--((('Yellow Bosses'!$J$5:$J$53&gt;=2)+('Yellow Bosses'!$O$5:$O$53&gt;=2)+('Yellow Bosses'!$R$5:$R$53&gt;=2)+('Yellow Bosses'!$U$5:$U$53&gt;=2))&gt;0))</f>
        <v>30</v>
      </c>
      <c r="G846" s="26" t="n">
        <f aca="false">F846/49</f>
        <v>0.612244897959184</v>
      </c>
      <c r="H846" s="25" t="n">
        <f aca="false">49-SUMPRODUCT(--((('Yellow Bosses'!$J$5:$J$53&gt;=1)+('Yellow Bosses'!$O$5:$O$53&gt;=1)+('Yellow Bosses'!$R$5:$R$53&gt;=1)+('Yellow Bosses'!$U$5:$U$53&gt;=1))&gt;0))</f>
        <v>0</v>
      </c>
      <c r="I846" s="25" t="n">
        <f aca="false">SUMPRODUCT(--((('Yellow Bosses'!$J$5:$J$53&gt;0)+('Yellow Bosses'!$O$5:$O$53&gt;0)+('Yellow Bosses'!$R$5:$R$53&gt;0)+('Yellow Bosses'!$U$5:$U$53&gt;0))=0))</f>
        <v>0</v>
      </c>
      <c r="J846" s="25" t="n">
        <f aca="false">SUMPRODUCT(--(((Effectiveness!$G$5:$G$155&gt;=2)+(Effectiveness!$L$5:$L$155&gt;=2)+(Effectiveness!$O$5:$O$155&gt;=2)+(Effectiveness!$R$5:$R$155&gt;=2))&gt;0))</f>
        <v>76</v>
      </c>
      <c r="K846" s="26" t="n">
        <f aca="false">J846/151</f>
        <v>0.503311258278146</v>
      </c>
      <c r="L846" s="25" t="n">
        <f aca="false">MIN(INDEX('Move Reality'!$F$5:$F$19,MATCH(B846,'Move Reality'!$A$5:$A$19,0)),INDEX('Move Reality'!$F$5:$F$19,MATCH(C846,'Move Reality'!$A$5:$A$19,0)),INDEX('Move Reality'!$F$5:$F$19,MATCH(D846,'Move Reality'!$A$5:$A$19,0)),INDEX('Move Reality'!$F$5:$F$19,MATCH(E846,'Move Reality'!$A$5:$A$19,0)))</f>
        <v>1</v>
      </c>
      <c r="M846" s="28" t="str">
        <f aca="false">IF(L846&gt;=5,"YES","no - dead move")</f>
        <v>no - dead move</v>
      </c>
    </row>
    <row r="847" customFormat="false" ht="15" hidden="false" customHeight="false" outlineLevel="0" collapsed="false">
      <c r="A847" s="17" t="n">
        <v>843</v>
      </c>
      <c r="B847" s="17" t="s">
        <v>42</v>
      </c>
      <c r="C847" s="17" t="s">
        <v>49</v>
      </c>
      <c r="D847" s="17" t="s">
        <v>50</v>
      </c>
      <c r="E847" s="17" t="s">
        <v>53</v>
      </c>
      <c r="F847" s="25" t="n">
        <f aca="false">SUMPRODUCT(--((('Yellow Bosses'!$J$5:$J$53&gt;=2)+('Yellow Bosses'!$Q$5:$Q$53&gt;=2)+('Yellow Bosses'!$R$5:$R$53&gt;=2)+('Yellow Bosses'!$U$5:$U$53&gt;=2))&gt;0))</f>
        <v>30</v>
      </c>
      <c r="G847" s="26" t="n">
        <f aca="false">F847/49</f>
        <v>0.612244897959184</v>
      </c>
      <c r="H847" s="25" t="n">
        <f aca="false">49-SUMPRODUCT(--((('Yellow Bosses'!$J$5:$J$53&gt;=1)+('Yellow Bosses'!$Q$5:$Q$53&gt;=1)+('Yellow Bosses'!$R$5:$R$53&gt;=1)+('Yellow Bosses'!$U$5:$U$53&gt;=1))&gt;0))</f>
        <v>0</v>
      </c>
      <c r="I847" s="25" t="n">
        <f aca="false">SUMPRODUCT(--((('Yellow Bosses'!$J$5:$J$53&gt;0)+('Yellow Bosses'!$Q$5:$Q$53&gt;0)+('Yellow Bosses'!$R$5:$R$53&gt;0)+('Yellow Bosses'!$U$5:$U$53&gt;0))=0))</f>
        <v>0</v>
      </c>
      <c r="J847" s="25" t="n">
        <f aca="false">SUMPRODUCT(--(((Effectiveness!$G$5:$G$155&gt;=2)+(Effectiveness!$N$5:$N$155&gt;=2)+(Effectiveness!$O$5:$O$155&gt;=2)+(Effectiveness!$R$5:$R$155&gt;=2))&gt;0))</f>
        <v>76</v>
      </c>
      <c r="K847" s="26" t="n">
        <f aca="false">J847/151</f>
        <v>0.503311258278146</v>
      </c>
      <c r="L847" s="25" t="n">
        <f aca="false">MIN(INDEX('Move Reality'!$F$5:$F$19,MATCH(B847,'Move Reality'!$A$5:$A$19,0)),INDEX('Move Reality'!$F$5:$F$19,MATCH(C847,'Move Reality'!$A$5:$A$19,0)),INDEX('Move Reality'!$F$5:$F$19,MATCH(D847,'Move Reality'!$A$5:$A$19,0)),INDEX('Move Reality'!$F$5:$F$19,MATCH(E847,'Move Reality'!$A$5:$A$19,0)))</f>
        <v>1</v>
      </c>
      <c r="M847" s="28" t="str">
        <f aca="false">IF(L847&gt;=5,"YES","no - dead move")</f>
        <v>no - dead move</v>
      </c>
    </row>
    <row r="848" customFormat="false" ht="15" hidden="false" customHeight="false" outlineLevel="0" collapsed="false">
      <c r="A848" s="17" t="n">
        <v>844</v>
      </c>
      <c r="B848" s="17" t="s">
        <v>40</v>
      </c>
      <c r="C848" s="17" t="s">
        <v>42</v>
      </c>
      <c r="D848" s="17" t="s">
        <v>47</v>
      </c>
      <c r="E848" s="17" t="s">
        <v>51</v>
      </c>
      <c r="F848" s="25" t="n">
        <f aca="false">SUMPRODUCT(--((('Yellow Bosses'!$H$5:$H$53&gt;=2)+('Yellow Bosses'!$J$5:$J$53&gt;=2)+('Yellow Bosses'!$O$5:$O$53&gt;=2)+('Yellow Bosses'!$S$5:$S$53&gt;=2))&gt;0))</f>
        <v>30</v>
      </c>
      <c r="G848" s="26" t="n">
        <f aca="false">F848/49</f>
        <v>0.612244897959184</v>
      </c>
      <c r="H848" s="25" t="n">
        <f aca="false">49-SUMPRODUCT(--((('Yellow Bosses'!$H$5:$H$53&gt;=1)+('Yellow Bosses'!$J$5:$J$53&gt;=1)+('Yellow Bosses'!$O$5:$O$53&gt;=1)+('Yellow Bosses'!$S$5:$S$53&gt;=1))&gt;0))</f>
        <v>0</v>
      </c>
      <c r="I848" s="25" t="n">
        <f aca="false">SUMPRODUCT(--((('Yellow Bosses'!$H$5:$H$53&gt;0)+('Yellow Bosses'!$J$5:$J$53&gt;0)+('Yellow Bosses'!$O$5:$O$53&gt;0)+('Yellow Bosses'!$S$5:$S$53&gt;0))=0))</f>
        <v>0</v>
      </c>
      <c r="J848" s="25" t="n">
        <f aca="false">SUMPRODUCT(--(((Effectiveness!$E$5:$E$155&gt;=2)+(Effectiveness!$G$5:$G$155&gt;=2)+(Effectiveness!$L$5:$L$155&gt;=2)+(Effectiveness!$P$5:$P$155&gt;=2))&gt;0))</f>
        <v>75</v>
      </c>
      <c r="K848" s="26" t="n">
        <f aca="false">J848/151</f>
        <v>0.496688741721854</v>
      </c>
      <c r="L848" s="25" t="n">
        <f aca="false">MIN(INDEX('Move Reality'!$F$5:$F$19,MATCH(B848,'Move Reality'!$A$5:$A$19,0)),INDEX('Move Reality'!$F$5:$F$19,MATCH(C848,'Move Reality'!$A$5:$A$19,0)),INDEX('Move Reality'!$F$5:$F$19,MATCH(D848,'Move Reality'!$A$5:$A$19,0)),INDEX('Move Reality'!$F$5:$F$19,MATCH(E848,'Move Reality'!$A$5:$A$19,0)))</f>
        <v>1</v>
      </c>
      <c r="M848" s="28" t="str">
        <f aca="false">IF(L848&gt;=5,"YES","no - dead move")</f>
        <v>no - dead move</v>
      </c>
    </row>
    <row r="849" customFormat="false" ht="15" hidden="false" customHeight="false" outlineLevel="0" collapsed="false">
      <c r="A849" s="17" t="n">
        <v>845</v>
      </c>
      <c r="B849" s="17" t="s">
        <v>41</v>
      </c>
      <c r="C849" s="17" t="s">
        <v>42</v>
      </c>
      <c r="D849" s="17" t="s">
        <v>45</v>
      </c>
      <c r="E849" s="17" t="s">
        <v>49</v>
      </c>
      <c r="F849" s="25" t="n">
        <f aca="false">SUMPRODUCT(--((('Yellow Bosses'!$I$5:$I$53&gt;=2)+('Yellow Bosses'!$J$5:$J$53&gt;=2)+('Yellow Bosses'!$M$5:$M$53&gt;=2)+('Yellow Bosses'!$Q$5:$Q$53&gt;=2))&gt;0))</f>
        <v>30</v>
      </c>
      <c r="G849" s="26" t="n">
        <f aca="false">F849/49</f>
        <v>0.612244897959184</v>
      </c>
      <c r="H849" s="25" t="n">
        <f aca="false">49-SUMPRODUCT(--((('Yellow Bosses'!$I$5:$I$53&gt;=1)+('Yellow Bosses'!$J$5:$J$53&gt;=1)+('Yellow Bosses'!$M$5:$M$53&gt;=1)+('Yellow Bosses'!$Q$5:$Q$53&gt;=1))&gt;0))</f>
        <v>0</v>
      </c>
      <c r="I849" s="25" t="n">
        <f aca="false">SUMPRODUCT(--((('Yellow Bosses'!$I$5:$I$53&gt;0)+('Yellow Bosses'!$J$5:$J$53&gt;0)+('Yellow Bosses'!$M$5:$M$53&gt;0)+('Yellow Bosses'!$Q$5:$Q$53&gt;0))=0))</f>
        <v>0</v>
      </c>
      <c r="J849" s="25" t="n">
        <f aca="false">SUMPRODUCT(--(((Effectiveness!$F$5:$F$155&gt;=2)+(Effectiveness!$G$5:$G$155&gt;=2)+(Effectiveness!$J$5:$J$155&gt;=2)+(Effectiveness!$N$5:$N$155&gt;=2))&gt;0))</f>
        <v>75</v>
      </c>
      <c r="K849" s="26" t="n">
        <f aca="false">J849/151</f>
        <v>0.496688741721854</v>
      </c>
      <c r="L849" s="25" t="n">
        <f aca="false">MIN(INDEX('Move Reality'!$F$5:$F$19,MATCH(B849,'Move Reality'!$A$5:$A$19,0)),INDEX('Move Reality'!$F$5:$F$19,MATCH(C849,'Move Reality'!$A$5:$A$19,0)),INDEX('Move Reality'!$F$5:$F$19,MATCH(D849,'Move Reality'!$A$5:$A$19,0)),INDEX('Move Reality'!$F$5:$F$19,MATCH(E849,'Move Reality'!$A$5:$A$19,0)))</f>
        <v>5</v>
      </c>
      <c r="M849" s="28" t="str">
        <f aca="false">IF(L849&gt;=5,"YES","no - dead move")</f>
        <v>YES</v>
      </c>
    </row>
    <row r="850" customFormat="false" ht="15" hidden="false" customHeight="false" outlineLevel="0" collapsed="false">
      <c r="A850" s="17" t="n">
        <v>846</v>
      </c>
      <c r="B850" s="17" t="s">
        <v>40</v>
      </c>
      <c r="C850" s="17" t="s">
        <v>48</v>
      </c>
      <c r="D850" s="17" t="s">
        <v>50</v>
      </c>
      <c r="E850" s="17" t="s">
        <v>54</v>
      </c>
      <c r="F850" s="25" t="n">
        <f aca="false">SUMPRODUCT(--((('Yellow Bosses'!$H$5:$H$53&gt;=2)+('Yellow Bosses'!$P$5:$P$53&gt;=2)+('Yellow Bosses'!$R$5:$R$53&gt;=2)+('Yellow Bosses'!$V$5:$V$53&gt;=2))&gt;0))</f>
        <v>30</v>
      </c>
      <c r="G850" s="26" t="n">
        <f aca="false">F850/49</f>
        <v>0.612244897959184</v>
      </c>
      <c r="H850" s="25" t="n">
        <f aca="false">49-SUMPRODUCT(--((('Yellow Bosses'!$H$5:$H$53&gt;=1)+('Yellow Bosses'!$P$5:$P$53&gt;=1)+('Yellow Bosses'!$R$5:$R$53&gt;=1)+('Yellow Bosses'!$V$5:$V$53&gt;=1))&gt;0))</f>
        <v>0</v>
      </c>
      <c r="I850" s="25" t="n">
        <f aca="false">SUMPRODUCT(--((('Yellow Bosses'!$H$5:$H$53&gt;0)+('Yellow Bosses'!$P$5:$P$53&gt;0)+('Yellow Bosses'!$R$5:$R$53&gt;0)+('Yellow Bosses'!$V$5:$V$53&gt;0))=0))</f>
        <v>0</v>
      </c>
      <c r="J850" s="25" t="n">
        <f aca="false">SUMPRODUCT(--(((Effectiveness!$E$5:$E$155&gt;=2)+(Effectiveness!$M$5:$M$155&gt;=2)+(Effectiveness!$O$5:$O$155&gt;=2)+(Effectiveness!$S$5:$S$155&gt;=2))&gt;0))</f>
        <v>72</v>
      </c>
      <c r="K850" s="26" t="n">
        <f aca="false">J850/151</f>
        <v>0.47682119205298</v>
      </c>
      <c r="L850" s="25" t="n">
        <f aca="false">MIN(INDEX('Move Reality'!$F$5:$F$19,MATCH(B850,'Move Reality'!$A$5:$A$19,0)),INDEX('Move Reality'!$F$5:$F$19,MATCH(C850,'Move Reality'!$A$5:$A$19,0)),INDEX('Move Reality'!$F$5:$F$19,MATCH(D850,'Move Reality'!$A$5:$A$19,0)),INDEX('Move Reality'!$F$5:$F$19,MATCH(E850,'Move Reality'!$A$5:$A$19,0)))</f>
        <v>1</v>
      </c>
      <c r="M850" s="28" t="str">
        <f aca="false">IF(L850&gt;=5,"YES","no - dead move")</f>
        <v>no - dead move</v>
      </c>
    </row>
    <row r="851" customFormat="false" ht="15" hidden="false" customHeight="false" outlineLevel="0" collapsed="false">
      <c r="A851" s="17" t="n">
        <v>847</v>
      </c>
      <c r="B851" s="17" t="s">
        <v>48</v>
      </c>
      <c r="C851" s="17" t="s">
        <v>50</v>
      </c>
      <c r="D851" s="17" t="s">
        <v>53</v>
      </c>
      <c r="E851" s="17" t="s">
        <v>54</v>
      </c>
      <c r="F851" s="25" t="n">
        <f aca="false">SUMPRODUCT(--((('Yellow Bosses'!$P$5:$P$53&gt;=2)+('Yellow Bosses'!$R$5:$R$53&gt;=2)+('Yellow Bosses'!$U$5:$U$53&gt;=2)+('Yellow Bosses'!$V$5:$V$53&gt;=2))&gt;0))</f>
        <v>30</v>
      </c>
      <c r="G851" s="26" t="n">
        <f aca="false">F851/49</f>
        <v>0.612244897959184</v>
      </c>
      <c r="H851" s="25" t="n">
        <f aca="false">49-SUMPRODUCT(--((('Yellow Bosses'!$P$5:$P$53&gt;=1)+('Yellow Bosses'!$R$5:$R$53&gt;=1)+('Yellow Bosses'!$U$5:$U$53&gt;=1)+('Yellow Bosses'!$V$5:$V$53&gt;=1))&gt;0))</f>
        <v>0</v>
      </c>
      <c r="I851" s="25" t="n">
        <f aca="false">SUMPRODUCT(--((('Yellow Bosses'!$P$5:$P$53&gt;0)+('Yellow Bosses'!$R$5:$R$53&gt;0)+('Yellow Bosses'!$U$5:$U$53&gt;0)+('Yellow Bosses'!$V$5:$V$53&gt;0))=0))</f>
        <v>0</v>
      </c>
      <c r="J851" s="25" t="n">
        <f aca="false">SUMPRODUCT(--(((Effectiveness!$M$5:$M$155&gt;=2)+(Effectiveness!$O$5:$O$155&gt;=2)+(Effectiveness!$R$5:$R$155&gt;=2)+(Effectiveness!$S$5:$S$155&gt;=2))&gt;0))</f>
        <v>72</v>
      </c>
      <c r="K851" s="26" t="n">
        <f aca="false">J851/151</f>
        <v>0.47682119205298</v>
      </c>
      <c r="L851" s="25" t="n">
        <f aca="false">MIN(INDEX('Move Reality'!$F$5:$F$19,MATCH(B851,'Move Reality'!$A$5:$A$19,0)),INDEX('Move Reality'!$F$5:$F$19,MATCH(C851,'Move Reality'!$A$5:$A$19,0)),INDEX('Move Reality'!$F$5:$F$19,MATCH(D851,'Move Reality'!$A$5:$A$19,0)),INDEX('Move Reality'!$F$5:$F$19,MATCH(E851,'Move Reality'!$A$5:$A$19,0)))</f>
        <v>1</v>
      </c>
      <c r="M851" s="28" t="str">
        <f aca="false">IF(L851&gt;=5,"YES","no - dead move")</f>
        <v>no - dead move</v>
      </c>
    </row>
    <row r="852" customFormat="false" ht="15" hidden="false" customHeight="false" outlineLevel="0" collapsed="false">
      <c r="A852" s="17" t="n">
        <v>848</v>
      </c>
      <c r="B852" s="17" t="s">
        <v>41</v>
      </c>
      <c r="C852" s="17" t="s">
        <v>42</v>
      </c>
      <c r="D852" s="17" t="s">
        <v>45</v>
      </c>
      <c r="E852" s="17" t="s">
        <v>53</v>
      </c>
      <c r="F852" s="25" t="n">
        <f aca="false">SUMPRODUCT(--((('Yellow Bosses'!$I$5:$I$53&gt;=2)+('Yellow Bosses'!$J$5:$J$53&gt;=2)+('Yellow Bosses'!$M$5:$M$53&gt;=2)+('Yellow Bosses'!$U$5:$U$53&gt;=2))&gt;0))</f>
        <v>30</v>
      </c>
      <c r="G852" s="26" t="n">
        <f aca="false">F852/49</f>
        <v>0.612244897959184</v>
      </c>
      <c r="H852" s="25" t="n">
        <f aca="false">49-SUMPRODUCT(--((('Yellow Bosses'!$I$5:$I$53&gt;=1)+('Yellow Bosses'!$J$5:$J$53&gt;=1)+('Yellow Bosses'!$M$5:$M$53&gt;=1)+('Yellow Bosses'!$U$5:$U$53&gt;=1))&gt;0))</f>
        <v>2</v>
      </c>
      <c r="I852" s="25" t="n">
        <f aca="false">SUMPRODUCT(--((('Yellow Bosses'!$I$5:$I$53&gt;0)+('Yellow Bosses'!$J$5:$J$53&gt;0)+('Yellow Bosses'!$M$5:$M$53&gt;0)+('Yellow Bosses'!$U$5:$U$53&gt;0))=0))</f>
        <v>0</v>
      </c>
      <c r="J852" s="25" t="n">
        <f aca="false">SUMPRODUCT(--(((Effectiveness!$F$5:$F$155&gt;=2)+(Effectiveness!$G$5:$G$155&gt;=2)+(Effectiveness!$J$5:$J$155&gt;=2)+(Effectiveness!$R$5:$R$155&gt;=2))&gt;0))</f>
        <v>70</v>
      </c>
      <c r="K852" s="26" t="n">
        <f aca="false">J852/151</f>
        <v>0.463576158940397</v>
      </c>
      <c r="L852" s="25" t="n">
        <f aca="false">MIN(INDEX('Move Reality'!$F$5:$F$19,MATCH(B852,'Move Reality'!$A$5:$A$19,0)),INDEX('Move Reality'!$F$5:$F$19,MATCH(C852,'Move Reality'!$A$5:$A$19,0)),INDEX('Move Reality'!$F$5:$F$19,MATCH(D852,'Move Reality'!$A$5:$A$19,0)),INDEX('Move Reality'!$F$5:$F$19,MATCH(E852,'Move Reality'!$A$5:$A$19,0)))</f>
        <v>1</v>
      </c>
      <c r="M852" s="28" t="str">
        <f aca="false">IF(L852&gt;=5,"YES","no - dead move")</f>
        <v>no - dead move</v>
      </c>
    </row>
    <row r="853" customFormat="false" ht="15" hidden="false" customHeight="false" outlineLevel="0" collapsed="false">
      <c r="A853" s="17" t="n">
        <v>849</v>
      </c>
      <c r="B853" s="17" t="s">
        <v>42</v>
      </c>
      <c r="C853" s="17" t="s">
        <v>47</v>
      </c>
      <c r="D853" s="17" t="s">
        <v>52</v>
      </c>
      <c r="E853" s="17" t="s">
        <v>53</v>
      </c>
      <c r="F853" s="25" t="n">
        <f aca="false">SUMPRODUCT(--((('Yellow Bosses'!$J$5:$J$53&gt;=2)+('Yellow Bosses'!$O$5:$O$53&gt;=2)+('Yellow Bosses'!$T$5:$T$53&gt;=2)+('Yellow Bosses'!$U$5:$U$53&gt;=2))&gt;0))</f>
        <v>30</v>
      </c>
      <c r="G853" s="26" t="n">
        <f aca="false">F853/49</f>
        <v>0.612244897959184</v>
      </c>
      <c r="H853" s="25" t="n">
        <f aca="false">49-SUMPRODUCT(--((('Yellow Bosses'!$J$5:$J$53&gt;=1)+('Yellow Bosses'!$O$5:$O$53&gt;=1)+('Yellow Bosses'!$T$5:$T$53&gt;=1)+('Yellow Bosses'!$U$5:$U$53&gt;=1))&gt;0))</f>
        <v>0</v>
      </c>
      <c r="I853" s="25" t="n">
        <f aca="false">SUMPRODUCT(--((('Yellow Bosses'!$J$5:$J$53&gt;0)+('Yellow Bosses'!$O$5:$O$53&gt;0)+('Yellow Bosses'!$T$5:$T$53&gt;0)+('Yellow Bosses'!$U$5:$U$53&gt;0))=0))</f>
        <v>0</v>
      </c>
      <c r="J853" s="25" t="n">
        <f aca="false">SUMPRODUCT(--(((Effectiveness!$G$5:$G$155&gt;=2)+(Effectiveness!$L$5:$L$155&gt;=2)+(Effectiveness!$Q$5:$Q$155&gt;=2)+(Effectiveness!$R$5:$R$155&gt;=2))&gt;0))</f>
        <v>63</v>
      </c>
      <c r="K853" s="26" t="n">
        <f aca="false">J853/151</f>
        <v>0.417218543046358</v>
      </c>
      <c r="L853" s="25" t="n">
        <f aca="false">MIN(INDEX('Move Reality'!$F$5:$F$19,MATCH(B853,'Move Reality'!$A$5:$A$19,0)),INDEX('Move Reality'!$F$5:$F$19,MATCH(C853,'Move Reality'!$A$5:$A$19,0)),INDEX('Move Reality'!$F$5:$F$19,MATCH(D853,'Move Reality'!$A$5:$A$19,0)),INDEX('Move Reality'!$F$5:$F$19,MATCH(E853,'Move Reality'!$A$5:$A$19,0)))</f>
        <v>1</v>
      </c>
      <c r="M853" s="28" t="str">
        <f aca="false">IF(L853&gt;=5,"YES","no - dead move")</f>
        <v>no - dead move</v>
      </c>
    </row>
    <row r="854" customFormat="false" ht="15" hidden="false" customHeight="false" outlineLevel="0" collapsed="false">
      <c r="A854" s="17" t="n">
        <v>850</v>
      </c>
      <c r="B854" s="17" t="s">
        <v>42</v>
      </c>
      <c r="C854" s="17" t="s">
        <v>52</v>
      </c>
      <c r="D854" s="17" t="s">
        <v>53</v>
      </c>
      <c r="E854" s="17" t="s">
        <v>54</v>
      </c>
      <c r="F854" s="25" t="n">
        <f aca="false">SUMPRODUCT(--((('Yellow Bosses'!$J$5:$J$53&gt;=2)+('Yellow Bosses'!$T$5:$T$53&gt;=2)+('Yellow Bosses'!$U$5:$U$53&gt;=2)+('Yellow Bosses'!$V$5:$V$53&gt;=2))&gt;0))</f>
        <v>30</v>
      </c>
      <c r="G854" s="26" t="n">
        <f aca="false">F854/49</f>
        <v>0.612244897959184</v>
      </c>
      <c r="H854" s="25" t="n">
        <f aca="false">49-SUMPRODUCT(--((('Yellow Bosses'!$J$5:$J$53&gt;=1)+('Yellow Bosses'!$T$5:$T$53&gt;=1)+('Yellow Bosses'!$U$5:$U$53&gt;=1)+('Yellow Bosses'!$V$5:$V$53&gt;=1))&gt;0))</f>
        <v>0</v>
      </c>
      <c r="I854" s="25" t="n">
        <f aca="false">SUMPRODUCT(--((('Yellow Bosses'!$J$5:$J$53&gt;0)+('Yellow Bosses'!$T$5:$T$53&gt;0)+('Yellow Bosses'!$U$5:$U$53&gt;0)+('Yellow Bosses'!$V$5:$V$53&gt;0))=0))</f>
        <v>0</v>
      </c>
      <c r="J854" s="25" t="n">
        <f aca="false">SUMPRODUCT(--(((Effectiveness!$G$5:$G$155&gt;=2)+(Effectiveness!$Q$5:$Q$155&gt;=2)+(Effectiveness!$R$5:$R$155&gt;=2)+(Effectiveness!$S$5:$S$155&gt;=2))&gt;0))</f>
        <v>62</v>
      </c>
      <c r="K854" s="26" t="n">
        <f aca="false">J854/151</f>
        <v>0.410596026490066</v>
      </c>
      <c r="L854" s="25" t="n">
        <f aca="false">MIN(INDEX('Move Reality'!$F$5:$F$19,MATCH(B854,'Move Reality'!$A$5:$A$19,0)),INDEX('Move Reality'!$F$5:$F$19,MATCH(C854,'Move Reality'!$A$5:$A$19,0)),INDEX('Move Reality'!$F$5:$F$19,MATCH(D854,'Move Reality'!$A$5:$A$19,0)),INDEX('Move Reality'!$F$5:$F$19,MATCH(E854,'Move Reality'!$A$5:$A$19,0)))</f>
        <v>1</v>
      </c>
      <c r="M854" s="28" t="str">
        <f aca="false">IF(L854&gt;=5,"YES","no - dead move")</f>
        <v>no - dead move</v>
      </c>
    </row>
    <row r="855" customFormat="false" ht="15" hidden="false" customHeight="false" outlineLevel="0" collapsed="false">
      <c r="A855" s="17" t="n">
        <v>851</v>
      </c>
      <c r="B855" s="17" t="s">
        <v>43</v>
      </c>
      <c r="C855" s="17" t="s">
        <v>44</v>
      </c>
      <c r="D855" s="17" t="s">
        <v>46</v>
      </c>
      <c r="E855" s="17" t="s">
        <v>49</v>
      </c>
      <c r="F855" s="25" t="n">
        <f aca="false">SUMPRODUCT(--((('Yellow Bosses'!$K$5:$K$53&gt;=2)+('Yellow Bosses'!$L$5:$L$53&gt;=2)+('Yellow Bosses'!$N$5:$N$53&gt;=2)+('Yellow Bosses'!$Q$5:$Q$53&gt;=2))&gt;0))</f>
        <v>29</v>
      </c>
      <c r="G855" s="26" t="n">
        <f aca="false">F855/49</f>
        <v>0.591836734693878</v>
      </c>
      <c r="H855" s="25" t="n">
        <f aca="false">49-SUMPRODUCT(--((('Yellow Bosses'!$K$5:$K$53&gt;=1)+('Yellow Bosses'!$L$5:$L$53&gt;=1)+('Yellow Bosses'!$N$5:$N$53&gt;=1)+('Yellow Bosses'!$Q$5:$Q$53&gt;=1))&gt;0))</f>
        <v>0</v>
      </c>
      <c r="I855" s="25" t="n">
        <f aca="false">SUMPRODUCT(--((('Yellow Bosses'!$K$5:$K$53&gt;0)+('Yellow Bosses'!$L$5:$L$53&gt;0)+('Yellow Bosses'!$N$5:$N$53&gt;0)+('Yellow Bosses'!$Q$5:$Q$53&gt;0))=0))</f>
        <v>0</v>
      </c>
      <c r="J855" s="25" t="n">
        <f aca="false">SUMPRODUCT(--(((Effectiveness!$H$5:$H$155&gt;=2)+(Effectiveness!$I$5:$I$155&gt;=2)+(Effectiveness!$K$5:$K$155&gt;=2)+(Effectiveness!$N$5:$N$155&gt;=2))&gt;0))</f>
        <v>105</v>
      </c>
      <c r="K855" s="26" t="n">
        <f aca="false">J855/151</f>
        <v>0.695364238410596</v>
      </c>
      <c r="L855" s="25" t="n">
        <f aca="false">MIN(INDEX('Move Reality'!$F$5:$F$19,MATCH(B855,'Move Reality'!$A$5:$A$19,0)),INDEX('Move Reality'!$F$5:$F$19,MATCH(C855,'Move Reality'!$A$5:$A$19,0)),INDEX('Move Reality'!$F$5:$F$19,MATCH(D855,'Move Reality'!$A$5:$A$19,0)),INDEX('Move Reality'!$F$5:$F$19,MATCH(E855,'Move Reality'!$A$5:$A$19,0)))</f>
        <v>4</v>
      </c>
      <c r="M855" s="28" t="str">
        <f aca="false">IF(L855&gt;=5,"YES","no - dead move")</f>
        <v>no - dead move</v>
      </c>
    </row>
    <row r="856" customFormat="false" ht="15" hidden="false" customHeight="false" outlineLevel="0" collapsed="false">
      <c r="A856" s="17" t="n">
        <v>852</v>
      </c>
      <c r="B856" s="17" t="s">
        <v>44</v>
      </c>
      <c r="C856" s="17" t="s">
        <v>46</v>
      </c>
      <c r="D856" s="17" t="s">
        <v>47</v>
      </c>
      <c r="E856" s="17" t="s">
        <v>48</v>
      </c>
      <c r="F856" s="25" t="n">
        <f aca="false">SUMPRODUCT(--((('Yellow Bosses'!$L$5:$L$53&gt;=2)+('Yellow Bosses'!$N$5:$N$53&gt;=2)+('Yellow Bosses'!$O$5:$O$53&gt;=2)+('Yellow Bosses'!$P$5:$P$53&gt;=2))&gt;0))</f>
        <v>29</v>
      </c>
      <c r="G856" s="26" t="n">
        <f aca="false">F856/49</f>
        <v>0.591836734693878</v>
      </c>
      <c r="H856" s="25" t="n">
        <f aca="false">49-SUMPRODUCT(--((('Yellow Bosses'!$L$5:$L$53&gt;=1)+('Yellow Bosses'!$N$5:$N$53&gt;=1)+('Yellow Bosses'!$O$5:$O$53&gt;=1)+('Yellow Bosses'!$P$5:$P$53&gt;=1))&gt;0))</f>
        <v>1</v>
      </c>
      <c r="I856" s="25" t="n">
        <f aca="false">SUMPRODUCT(--((('Yellow Bosses'!$L$5:$L$53&gt;0)+('Yellow Bosses'!$N$5:$N$53&gt;0)+('Yellow Bosses'!$O$5:$O$53&gt;0)+('Yellow Bosses'!$P$5:$P$53&gt;0))=0))</f>
        <v>0</v>
      </c>
      <c r="J856" s="25" t="n">
        <f aca="false">SUMPRODUCT(--(((Effectiveness!$I$5:$I$155&gt;=2)+(Effectiveness!$K$5:$K$155&gt;=2)+(Effectiveness!$L$5:$L$155&gt;=2)+(Effectiveness!$M$5:$M$155&gt;=2))&gt;0))</f>
        <v>102</v>
      </c>
      <c r="K856" s="26" t="n">
        <f aca="false">J856/151</f>
        <v>0.675496688741722</v>
      </c>
      <c r="L856" s="25" t="n">
        <f aca="false">MIN(INDEX('Move Reality'!$F$5:$F$19,MATCH(B856,'Move Reality'!$A$5:$A$19,0)),INDEX('Move Reality'!$F$5:$F$19,MATCH(C856,'Move Reality'!$A$5:$A$19,0)),INDEX('Move Reality'!$F$5:$F$19,MATCH(D856,'Move Reality'!$A$5:$A$19,0)),INDEX('Move Reality'!$F$5:$F$19,MATCH(E856,'Move Reality'!$A$5:$A$19,0)))</f>
        <v>2</v>
      </c>
      <c r="M856" s="28" t="str">
        <f aca="false">IF(L856&gt;=5,"YES","no - dead move")</f>
        <v>no - dead move</v>
      </c>
    </row>
    <row r="857" customFormat="false" ht="15" hidden="false" customHeight="false" outlineLevel="0" collapsed="false">
      <c r="A857" s="17" t="n">
        <v>853</v>
      </c>
      <c r="B857" s="17" t="s">
        <v>40</v>
      </c>
      <c r="C857" s="17" t="s">
        <v>43</v>
      </c>
      <c r="D857" s="17" t="s">
        <v>49</v>
      </c>
      <c r="E857" s="17" t="s">
        <v>51</v>
      </c>
      <c r="F857" s="25" t="n">
        <f aca="false">SUMPRODUCT(--((('Yellow Bosses'!$H$5:$H$53&gt;=2)+('Yellow Bosses'!$K$5:$K$53&gt;=2)+('Yellow Bosses'!$Q$5:$Q$53&gt;=2)+('Yellow Bosses'!$S$5:$S$53&gt;=2))&gt;0))</f>
        <v>29</v>
      </c>
      <c r="G857" s="26" t="n">
        <f aca="false">F857/49</f>
        <v>0.591836734693878</v>
      </c>
      <c r="H857" s="25" t="n">
        <f aca="false">49-SUMPRODUCT(--((('Yellow Bosses'!$H$5:$H$53&gt;=1)+('Yellow Bosses'!$K$5:$K$53&gt;=1)+('Yellow Bosses'!$Q$5:$Q$53&gt;=1)+('Yellow Bosses'!$S$5:$S$53&gt;=1))&gt;0))</f>
        <v>0</v>
      </c>
      <c r="I857" s="25" t="n">
        <f aca="false">SUMPRODUCT(--((('Yellow Bosses'!$H$5:$H$53&gt;0)+('Yellow Bosses'!$K$5:$K$53&gt;0)+('Yellow Bosses'!$Q$5:$Q$53&gt;0)+('Yellow Bosses'!$S$5:$S$53&gt;0))=0))</f>
        <v>0</v>
      </c>
      <c r="J857" s="25" t="n">
        <f aca="false">SUMPRODUCT(--(((Effectiveness!$E$5:$E$155&gt;=2)+(Effectiveness!$H$5:$H$155&gt;=2)+(Effectiveness!$N$5:$N$155&gt;=2)+(Effectiveness!$P$5:$P$155&gt;=2))&gt;0))</f>
        <v>98</v>
      </c>
      <c r="K857" s="26" t="n">
        <f aca="false">J857/151</f>
        <v>0.649006622516556</v>
      </c>
      <c r="L857" s="25" t="n">
        <f aca="false">MIN(INDEX('Move Reality'!$F$5:$F$19,MATCH(B857,'Move Reality'!$A$5:$A$19,0)),INDEX('Move Reality'!$F$5:$F$19,MATCH(C857,'Move Reality'!$A$5:$A$19,0)),INDEX('Move Reality'!$F$5:$F$19,MATCH(D857,'Move Reality'!$A$5:$A$19,0)),INDEX('Move Reality'!$F$5:$F$19,MATCH(E857,'Move Reality'!$A$5:$A$19,0)))</f>
        <v>1</v>
      </c>
      <c r="M857" s="28" t="str">
        <f aca="false">IF(L857&gt;=5,"YES","no - dead move")</f>
        <v>no - dead move</v>
      </c>
    </row>
    <row r="858" customFormat="false" ht="15" hidden="false" customHeight="false" outlineLevel="0" collapsed="false">
      <c r="A858" s="17" t="n">
        <v>854</v>
      </c>
      <c r="B858" s="17" t="s">
        <v>41</v>
      </c>
      <c r="C858" s="17" t="s">
        <v>43</v>
      </c>
      <c r="D858" s="17" t="s">
        <v>49</v>
      </c>
      <c r="E858" s="17" t="s">
        <v>51</v>
      </c>
      <c r="F858" s="25" t="n">
        <f aca="false">SUMPRODUCT(--((('Yellow Bosses'!$I$5:$I$53&gt;=2)+('Yellow Bosses'!$K$5:$K$53&gt;=2)+('Yellow Bosses'!$Q$5:$Q$53&gt;=2)+('Yellow Bosses'!$S$5:$S$53&gt;=2))&gt;0))</f>
        <v>29</v>
      </c>
      <c r="G858" s="26" t="n">
        <f aca="false">F858/49</f>
        <v>0.591836734693878</v>
      </c>
      <c r="H858" s="25" t="n">
        <f aca="false">49-SUMPRODUCT(--((('Yellow Bosses'!$I$5:$I$53&gt;=1)+('Yellow Bosses'!$K$5:$K$53&gt;=1)+('Yellow Bosses'!$Q$5:$Q$53&gt;=1)+('Yellow Bosses'!$S$5:$S$53&gt;=1))&gt;0))</f>
        <v>0</v>
      </c>
      <c r="I858" s="25" t="n">
        <f aca="false">SUMPRODUCT(--((('Yellow Bosses'!$I$5:$I$53&gt;0)+('Yellow Bosses'!$K$5:$K$53&gt;0)+('Yellow Bosses'!$Q$5:$Q$53&gt;0)+('Yellow Bosses'!$S$5:$S$53&gt;0))=0))</f>
        <v>0</v>
      </c>
      <c r="J858" s="25" t="n">
        <f aca="false">SUMPRODUCT(--(((Effectiveness!$F$5:$F$155&gt;=2)+(Effectiveness!$H$5:$H$155&gt;=2)+(Effectiveness!$N$5:$N$155&gt;=2)+(Effectiveness!$P$5:$P$155&gt;=2))&gt;0))</f>
        <v>98</v>
      </c>
      <c r="K858" s="26" t="n">
        <f aca="false">J858/151</f>
        <v>0.649006622516556</v>
      </c>
      <c r="L858" s="25" t="n">
        <f aca="false">MIN(INDEX('Move Reality'!$F$5:$F$19,MATCH(B858,'Move Reality'!$A$5:$A$19,0)),INDEX('Move Reality'!$F$5:$F$19,MATCH(C858,'Move Reality'!$A$5:$A$19,0)),INDEX('Move Reality'!$F$5:$F$19,MATCH(D858,'Move Reality'!$A$5:$A$19,0)),INDEX('Move Reality'!$F$5:$F$19,MATCH(E858,'Move Reality'!$A$5:$A$19,0)))</f>
        <v>1</v>
      </c>
      <c r="M858" s="28" t="str">
        <f aca="false">IF(L858&gt;=5,"YES","no - dead move")</f>
        <v>no - dead move</v>
      </c>
    </row>
    <row r="859" customFormat="false" ht="15" hidden="false" customHeight="false" outlineLevel="0" collapsed="false">
      <c r="A859" s="17" t="n">
        <v>855</v>
      </c>
      <c r="B859" s="17" t="s">
        <v>43</v>
      </c>
      <c r="C859" s="17" t="s">
        <v>47</v>
      </c>
      <c r="D859" s="17" t="s">
        <v>49</v>
      </c>
      <c r="E859" s="17" t="s">
        <v>51</v>
      </c>
      <c r="F859" s="25" t="n">
        <f aca="false">SUMPRODUCT(--((('Yellow Bosses'!$K$5:$K$53&gt;=2)+('Yellow Bosses'!$O$5:$O$53&gt;=2)+('Yellow Bosses'!$Q$5:$Q$53&gt;=2)+('Yellow Bosses'!$S$5:$S$53&gt;=2))&gt;0))</f>
        <v>29</v>
      </c>
      <c r="G859" s="26" t="n">
        <f aca="false">F859/49</f>
        <v>0.591836734693878</v>
      </c>
      <c r="H859" s="25" t="n">
        <f aca="false">49-SUMPRODUCT(--((('Yellow Bosses'!$K$5:$K$53&gt;=1)+('Yellow Bosses'!$O$5:$O$53&gt;=1)+('Yellow Bosses'!$Q$5:$Q$53&gt;=1)+('Yellow Bosses'!$S$5:$S$53&gt;=1))&gt;0))</f>
        <v>0</v>
      </c>
      <c r="I859" s="25" t="n">
        <f aca="false">SUMPRODUCT(--((('Yellow Bosses'!$K$5:$K$53&gt;0)+('Yellow Bosses'!$O$5:$O$53&gt;0)+('Yellow Bosses'!$Q$5:$Q$53&gt;0)+('Yellow Bosses'!$S$5:$S$53&gt;0))=0))</f>
        <v>0</v>
      </c>
      <c r="J859" s="25" t="n">
        <f aca="false">SUMPRODUCT(--(((Effectiveness!$H$5:$H$155&gt;=2)+(Effectiveness!$L$5:$L$155&gt;=2)+(Effectiveness!$N$5:$N$155&gt;=2)+(Effectiveness!$P$5:$P$155&gt;=2))&gt;0))</f>
        <v>98</v>
      </c>
      <c r="K859" s="26" t="n">
        <f aca="false">J859/151</f>
        <v>0.649006622516556</v>
      </c>
      <c r="L859" s="25" t="n">
        <f aca="false">MIN(INDEX('Move Reality'!$F$5:$F$19,MATCH(B859,'Move Reality'!$A$5:$A$19,0)),INDEX('Move Reality'!$F$5:$F$19,MATCH(C859,'Move Reality'!$A$5:$A$19,0)),INDEX('Move Reality'!$F$5:$F$19,MATCH(D859,'Move Reality'!$A$5:$A$19,0)),INDEX('Move Reality'!$F$5:$F$19,MATCH(E859,'Move Reality'!$A$5:$A$19,0)))</f>
        <v>1</v>
      </c>
      <c r="M859" s="28" t="str">
        <f aca="false">IF(L859&gt;=5,"YES","no - dead move")</f>
        <v>no - dead move</v>
      </c>
    </row>
    <row r="860" customFormat="false" ht="15" hidden="false" customHeight="false" outlineLevel="0" collapsed="false">
      <c r="A860" s="17" t="n">
        <v>856</v>
      </c>
      <c r="B860" s="17" t="s">
        <v>43</v>
      </c>
      <c r="C860" s="17" t="s">
        <v>46</v>
      </c>
      <c r="D860" s="17" t="s">
        <v>52</v>
      </c>
      <c r="E860" s="17" t="s">
        <v>53</v>
      </c>
      <c r="F860" s="25" t="n">
        <f aca="false">SUMPRODUCT(--((('Yellow Bosses'!$K$5:$K$53&gt;=2)+('Yellow Bosses'!$N$5:$N$53&gt;=2)+('Yellow Bosses'!$T$5:$T$53&gt;=2)+('Yellow Bosses'!$U$5:$U$53&gt;=2))&gt;0))</f>
        <v>29</v>
      </c>
      <c r="G860" s="26" t="n">
        <f aca="false">F860/49</f>
        <v>0.591836734693878</v>
      </c>
      <c r="H860" s="25" t="n">
        <f aca="false">49-SUMPRODUCT(--((('Yellow Bosses'!$K$5:$K$53&gt;=1)+('Yellow Bosses'!$N$5:$N$53&gt;=1)+('Yellow Bosses'!$T$5:$T$53&gt;=1)+('Yellow Bosses'!$U$5:$U$53&gt;=1))&gt;0))</f>
        <v>0</v>
      </c>
      <c r="I860" s="25" t="n">
        <f aca="false">SUMPRODUCT(--((('Yellow Bosses'!$K$5:$K$53&gt;0)+('Yellow Bosses'!$N$5:$N$53&gt;0)+('Yellow Bosses'!$T$5:$T$53&gt;0)+('Yellow Bosses'!$U$5:$U$53&gt;0))=0))</f>
        <v>0</v>
      </c>
      <c r="J860" s="25" t="n">
        <f aca="false">SUMPRODUCT(--(((Effectiveness!$H$5:$H$155&gt;=2)+(Effectiveness!$K$5:$K$155&gt;=2)+(Effectiveness!$Q$5:$Q$155&gt;=2)+(Effectiveness!$R$5:$R$155&gt;=2))&gt;0))</f>
        <v>96</v>
      </c>
      <c r="K860" s="26" t="n">
        <f aca="false">J860/151</f>
        <v>0.635761589403974</v>
      </c>
      <c r="L860" s="25" t="n">
        <f aca="false">MIN(INDEX('Move Reality'!$F$5:$F$19,MATCH(B860,'Move Reality'!$A$5:$A$19,0)),INDEX('Move Reality'!$F$5:$F$19,MATCH(C860,'Move Reality'!$A$5:$A$19,0)),INDEX('Move Reality'!$F$5:$F$19,MATCH(D860,'Move Reality'!$A$5:$A$19,0)),INDEX('Move Reality'!$F$5:$F$19,MATCH(E860,'Move Reality'!$A$5:$A$19,0)))</f>
        <v>1</v>
      </c>
      <c r="M860" s="28" t="str">
        <f aca="false">IF(L860&gt;=5,"YES","no - dead move")</f>
        <v>no - dead move</v>
      </c>
    </row>
    <row r="861" customFormat="false" ht="15" hidden="false" customHeight="false" outlineLevel="0" collapsed="false">
      <c r="A861" s="17" t="n">
        <v>857</v>
      </c>
      <c r="B861" s="17" t="s">
        <v>40</v>
      </c>
      <c r="C861" s="17" t="s">
        <v>43</v>
      </c>
      <c r="D861" s="17" t="s">
        <v>47</v>
      </c>
      <c r="E861" s="17" t="s">
        <v>48</v>
      </c>
      <c r="F861" s="25" t="n">
        <f aca="false">SUMPRODUCT(--((('Yellow Bosses'!$H$5:$H$53&gt;=2)+('Yellow Bosses'!$K$5:$K$53&gt;=2)+('Yellow Bosses'!$O$5:$O$53&gt;=2)+('Yellow Bosses'!$P$5:$P$53&gt;=2))&gt;0))</f>
        <v>29</v>
      </c>
      <c r="G861" s="26" t="n">
        <f aca="false">F861/49</f>
        <v>0.591836734693878</v>
      </c>
      <c r="H861" s="25" t="n">
        <f aca="false">49-SUMPRODUCT(--((('Yellow Bosses'!$H$5:$H$53&gt;=1)+('Yellow Bosses'!$K$5:$K$53&gt;=1)+('Yellow Bosses'!$O$5:$O$53&gt;=1)+('Yellow Bosses'!$P$5:$P$53&gt;=1))&gt;0))</f>
        <v>0</v>
      </c>
      <c r="I861" s="25" t="n">
        <f aca="false">SUMPRODUCT(--((('Yellow Bosses'!$H$5:$H$53&gt;0)+('Yellow Bosses'!$K$5:$K$53&gt;0)+('Yellow Bosses'!$O$5:$O$53&gt;0)+('Yellow Bosses'!$P$5:$P$53&gt;0))=0))</f>
        <v>0</v>
      </c>
      <c r="J861" s="25" t="n">
        <f aca="false">SUMPRODUCT(--(((Effectiveness!$E$5:$E$155&gt;=2)+(Effectiveness!$H$5:$H$155&gt;=2)+(Effectiveness!$L$5:$L$155&gt;=2)+(Effectiveness!$M$5:$M$155&gt;=2))&gt;0))</f>
        <v>95</v>
      </c>
      <c r="K861" s="26" t="n">
        <f aca="false">J861/151</f>
        <v>0.629139072847682</v>
      </c>
      <c r="L861" s="25" t="n">
        <f aca="false">MIN(INDEX('Move Reality'!$F$5:$F$19,MATCH(B861,'Move Reality'!$A$5:$A$19,0)),INDEX('Move Reality'!$F$5:$F$19,MATCH(C861,'Move Reality'!$A$5:$A$19,0)),INDEX('Move Reality'!$F$5:$F$19,MATCH(D861,'Move Reality'!$A$5:$A$19,0)),INDEX('Move Reality'!$F$5:$F$19,MATCH(E861,'Move Reality'!$A$5:$A$19,0)))</f>
        <v>2</v>
      </c>
      <c r="M861" s="28" t="str">
        <f aca="false">IF(L861&gt;=5,"YES","no - dead move")</f>
        <v>no - dead move</v>
      </c>
    </row>
    <row r="862" customFormat="false" ht="15" hidden="false" customHeight="false" outlineLevel="0" collapsed="false">
      <c r="A862" s="17" t="n">
        <v>858</v>
      </c>
      <c r="B862" s="17" t="s">
        <v>43</v>
      </c>
      <c r="C862" s="17" t="s">
        <v>47</v>
      </c>
      <c r="D862" s="17" t="s">
        <v>48</v>
      </c>
      <c r="E862" s="17" t="s">
        <v>53</v>
      </c>
      <c r="F862" s="25" t="n">
        <f aca="false">SUMPRODUCT(--((('Yellow Bosses'!$K$5:$K$53&gt;=2)+('Yellow Bosses'!$O$5:$O$53&gt;=2)+('Yellow Bosses'!$P$5:$P$53&gt;=2)+('Yellow Bosses'!$U$5:$U$53&gt;=2))&gt;0))</f>
        <v>29</v>
      </c>
      <c r="G862" s="26" t="n">
        <f aca="false">F862/49</f>
        <v>0.591836734693878</v>
      </c>
      <c r="H862" s="25" t="n">
        <f aca="false">49-SUMPRODUCT(--((('Yellow Bosses'!$K$5:$K$53&gt;=1)+('Yellow Bosses'!$O$5:$O$53&gt;=1)+('Yellow Bosses'!$P$5:$P$53&gt;=1)+('Yellow Bosses'!$U$5:$U$53&gt;=1))&gt;0))</f>
        <v>0</v>
      </c>
      <c r="I862" s="25" t="n">
        <f aca="false">SUMPRODUCT(--((('Yellow Bosses'!$K$5:$K$53&gt;0)+('Yellow Bosses'!$O$5:$O$53&gt;0)+('Yellow Bosses'!$P$5:$P$53&gt;0)+('Yellow Bosses'!$U$5:$U$53&gt;0))=0))</f>
        <v>0</v>
      </c>
      <c r="J862" s="25" t="n">
        <f aca="false">SUMPRODUCT(--(((Effectiveness!$H$5:$H$155&gt;=2)+(Effectiveness!$L$5:$L$155&gt;=2)+(Effectiveness!$M$5:$M$155&gt;=2)+(Effectiveness!$R$5:$R$155&gt;=2))&gt;0))</f>
        <v>95</v>
      </c>
      <c r="K862" s="26" t="n">
        <f aca="false">J862/151</f>
        <v>0.629139072847682</v>
      </c>
      <c r="L862" s="25" t="n">
        <f aca="false">MIN(INDEX('Move Reality'!$F$5:$F$19,MATCH(B862,'Move Reality'!$A$5:$A$19,0)),INDEX('Move Reality'!$F$5:$F$19,MATCH(C862,'Move Reality'!$A$5:$A$19,0)),INDEX('Move Reality'!$F$5:$F$19,MATCH(D862,'Move Reality'!$A$5:$A$19,0)),INDEX('Move Reality'!$F$5:$F$19,MATCH(E862,'Move Reality'!$A$5:$A$19,0)))</f>
        <v>1</v>
      </c>
      <c r="M862" s="28" t="str">
        <f aca="false">IF(L862&gt;=5,"YES","no - dead move")</f>
        <v>no - dead move</v>
      </c>
    </row>
    <row r="863" customFormat="false" ht="15" hidden="false" customHeight="false" outlineLevel="0" collapsed="false">
      <c r="A863" s="17" t="n">
        <v>859</v>
      </c>
      <c r="B863" s="17" t="s">
        <v>44</v>
      </c>
      <c r="C863" s="17" t="s">
        <v>45</v>
      </c>
      <c r="D863" s="17" t="s">
        <v>46</v>
      </c>
      <c r="E863" s="17" t="s">
        <v>53</v>
      </c>
      <c r="F863" s="25" t="n">
        <f aca="false">SUMPRODUCT(--((('Yellow Bosses'!$L$5:$L$53&gt;=2)+('Yellow Bosses'!$M$5:$M$53&gt;=2)+('Yellow Bosses'!$N$5:$N$53&gt;=2)+('Yellow Bosses'!$U$5:$U$53&gt;=2))&gt;0))</f>
        <v>29</v>
      </c>
      <c r="G863" s="26" t="n">
        <f aca="false">F863/49</f>
        <v>0.591836734693878</v>
      </c>
      <c r="H863" s="25" t="n">
        <f aca="false">49-SUMPRODUCT(--((('Yellow Bosses'!$L$5:$L$53&gt;=1)+('Yellow Bosses'!$M$5:$M$53&gt;=1)+('Yellow Bosses'!$N$5:$N$53&gt;=1)+('Yellow Bosses'!$U$5:$U$53&gt;=1))&gt;0))</f>
        <v>0</v>
      </c>
      <c r="I863" s="25" t="n">
        <f aca="false">SUMPRODUCT(--((('Yellow Bosses'!$L$5:$L$53&gt;0)+('Yellow Bosses'!$M$5:$M$53&gt;0)+('Yellow Bosses'!$N$5:$N$53&gt;0)+('Yellow Bosses'!$U$5:$U$53&gt;0))=0))</f>
        <v>0</v>
      </c>
      <c r="J863" s="25" t="n">
        <f aca="false">SUMPRODUCT(--(((Effectiveness!$I$5:$I$155&gt;=2)+(Effectiveness!$J$5:$J$155&gt;=2)+(Effectiveness!$K$5:$K$155&gt;=2)+(Effectiveness!$R$5:$R$155&gt;=2))&gt;0))</f>
        <v>95</v>
      </c>
      <c r="K863" s="26" t="n">
        <f aca="false">J863/151</f>
        <v>0.629139072847682</v>
      </c>
      <c r="L863" s="25" t="n">
        <f aca="false">MIN(INDEX('Move Reality'!$F$5:$F$19,MATCH(B863,'Move Reality'!$A$5:$A$19,0)),INDEX('Move Reality'!$F$5:$F$19,MATCH(C863,'Move Reality'!$A$5:$A$19,0)),INDEX('Move Reality'!$F$5:$F$19,MATCH(D863,'Move Reality'!$A$5:$A$19,0)),INDEX('Move Reality'!$F$5:$F$19,MATCH(E863,'Move Reality'!$A$5:$A$19,0)))</f>
        <v>1</v>
      </c>
      <c r="M863" s="28" t="str">
        <f aca="false">IF(L863&gt;=5,"YES","no - dead move")</f>
        <v>no - dead move</v>
      </c>
    </row>
    <row r="864" customFormat="false" ht="15" hidden="false" customHeight="false" outlineLevel="0" collapsed="false">
      <c r="A864" s="17" t="n">
        <v>860</v>
      </c>
      <c r="B864" s="17" t="s">
        <v>41</v>
      </c>
      <c r="C864" s="17" t="s">
        <v>43</v>
      </c>
      <c r="D864" s="17" t="s">
        <v>51</v>
      </c>
      <c r="E864" s="17" t="s">
        <v>53</v>
      </c>
      <c r="F864" s="25" t="n">
        <f aca="false">SUMPRODUCT(--((('Yellow Bosses'!$I$5:$I$53&gt;=2)+('Yellow Bosses'!$K$5:$K$53&gt;=2)+('Yellow Bosses'!$S$5:$S$53&gt;=2)+('Yellow Bosses'!$U$5:$U$53&gt;=2))&gt;0))</f>
        <v>29</v>
      </c>
      <c r="G864" s="26" t="n">
        <f aca="false">F864/49</f>
        <v>0.591836734693878</v>
      </c>
      <c r="H864" s="25" t="n">
        <f aca="false">49-SUMPRODUCT(--((('Yellow Bosses'!$I$5:$I$53&gt;=1)+('Yellow Bosses'!$K$5:$K$53&gt;=1)+('Yellow Bosses'!$S$5:$S$53&gt;=1)+('Yellow Bosses'!$U$5:$U$53&gt;=1))&gt;0))</f>
        <v>0</v>
      </c>
      <c r="I864" s="25" t="n">
        <f aca="false">SUMPRODUCT(--((('Yellow Bosses'!$I$5:$I$53&gt;0)+('Yellow Bosses'!$K$5:$K$53&gt;0)+('Yellow Bosses'!$S$5:$S$53&gt;0)+('Yellow Bosses'!$U$5:$U$53&gt;0))=0))</f>
        <v>0</v>
      </c>
      <c r="J864" s="25" t="n">
        <f aca="false">SUMPRODUCT(--(((Effectiveness!$F$5:$F$155&gt;=2)+(Effectiveness!$H$5:$H$155&gt;=2)+(Effectiveness!$P$5:$P$155&gt;=2)+(Effectiveness!$R$5:$R$155&gt;=2))&gt;0))</f>
        <v>94</v>
      </c>
      <c r="K864" s="26" t="n">
        <f aca="false">J864/151</f>
        <v>0.622516556291391</v>
      </c>
      <c r="L864" s="25" t="n">
        <f aca="false">MIN(INDEX('Move Reality'!$F$5:$F$19,MATCH(B864,'Move Reality'!$A$5:$A$19,0)),INDEX('Move Reality'!$F$5:$F$19,MATCH(C864,'Move Reality'!$A$5:$A$19,0)),INDEX('Move Reality'!$F$5:$F$19,MATCH(D864,'Move Reality'!$A$5:$A$19,0)),INDEX('Move Reality'!$F$5:$F$19,MATCH(E864,'Move Reality'!$A$5:$A$19,0)))</f>
        <v>1</v>
      </c>
      <c r="M864" s="28" t="str">
        <f aca="false">IF(L864&gt;=5,"YES","no - dead move")</f>
        <v>no - dead move</v>
      </c>
    </row>
    <row r="865" customFormat="false" ht="15" hidden="false" customHeight="false" outlineLevel="0" collapsed="false">
      <c r="A865" s="17" t="n">
        <v>861</v>
      </c>
      <c r="B865" s="17" t="s">
        <v>41</v>
      </c>
      <c r="C865" s="17" t="s">
        <v>43</v>
      </c>
      <c r="D865" s="17" t="s">
        <v>51</v>
      </c>
      <c r="E865" s="17" t="s">
        <v>54</v>
      </c>
      <c r="F865" s="25" t="n">
        <f aca="false">SUMPRODUCT(--((('Yellow Bosses'!$I$5:$I$53&gt;=2)+('Yellow Bosses'!$K$5:$K$53&gt;=2)+('Yellow Bosses'!$S$5:$S$53&gt;=2)+('Yellow Bosses'!$V$5:$V$53&gt;=2))&gt;0))</f>
        <v>29</v>
      </c>
      <c r="G865" s="26" t="n">
        <f aca="false">F865/49</f>
        <v>0.591836734693878</v>
      </c>
      <c r="H865" s="25" t="n">
        <f aca="false">49-SUMPRODUCT(--((('Yellow Bosses'!$I$5:$I$53&gt;=1)+('Yellow Bosses'!$K$5:$K$53&gt;=1)+('Yellow Bosses'!$S$5:$S$53&gt;=1)+('Yellow Bosses'!$V$5:$V$53&gt;=1))&gt;0))</f>
        <v>0</v>
      </c>
      <c r="I865" s="25" t="n">
        <f aca="false">SUMPRODUCT(--((('Yellow Bosses'!$I$5:$I$53&gt;0)+('Yellow Bosses'!$K$5:$K$53&gt;0)+('Yellow Bosses'!$S$5:$S$53&gt;0)+('Yellow Bosses'!$V$5:$V$53&gt;0))=0))</f>
        <v>0</v>
      </c>
      <c r="J865" s="25" t="n">
        <f aca="false">SUMPRODUCT(--(((Effectiveness!$F$5:$F$155&gt;=2)+(Effectiveness!$H$5:$H$155&gt;=2)+(Effectiveness!$P$5:$P$155&gt;=2)+(Effectiveness!$S$5:$S$155&gt;=2))&gt;0))</f>
        <v>94</v>
      </c>
      <c r="K865" s="26" t="n">
        <f aca="false">J865/151</f>
        <v>0.622516556291391</v>
      </c>
      <c r="L865" s="25" t="n">
        <f aca="false">MIN(INDEX('Move Reality'!$F$5:$F$19,MATCH(B865,'Move Reality'!$A$5:$A$19,0)),INDEX('Move Reality'!$F$5:$F$19,MATCH(C865,'Move Reality'!$A$5:$A$19,0)),INDEX('Move Reality'!$F$5:$F$19,MATCH(D865,'Move Reality'!$A$5:$A$19,0)),INDEX('Move Reality'!$F$5:$F$19,MATCH(E865,'Move Reality'!$A$5:$A$19,0)))</f>
        <v>1</v>
      </c>
      <c r="M865" s="28" t="str">
        <f aca="false">IF(L865&gt;=5,"YES","no - dead move")</f>
        <v>no - dead move</v>
      </c>
    </row>
    <row r="866" customFormat="false" ht="15" hidden="false" customHeight="false" outlineLevel="0" collapsed="false">
      <c r="A866" s="17" t="n">
        <v>862</v>
      </c>
      <c r="B866" s="17" t="s">
        <v>43</v>
      </c>
      <c r="C866" s="17" t="s">
        <v>47</v>
      </c>
      <c r="D866" s="17" t="s">
        <v>51</v>
      </c>
      <c r="E866" s="17" t="s">
        <v>53</v>
      </c>
      <c r="F866" s="25" t="n">
        <f aca="false">SUMPRODUCT(--((('Yellow Bosses'!$K$5:$K$53&gt;=2)+('Yellow Bosses'!$O$5:$O$53&gt;=2)+('Yellow Bosses'!$S$5:$S$53&gt;=2)+('Yellow Bosses'!$U$5:$U$53&gt;=2))&gt;0))</f>
        <v>29</v>
      </c>
      <c r="G866" s="26" t="n">
        <f aca="false">F866/49</f>
        <v>0.591836734693878</v>
      </c>
      <c r="H866" s="25" t="n">
        <f aca="false">49-SUMPRODUCT(--((('Yellow Bosses'!$K$5:$K$53&gt;=1)+('Yellow Bosses'!$O$5:$O$53&gt;=1)+('Yellow Bosses'!$S$5:$S$53&gt;=1)+('Yellow Bosses'!$U$5:$U$53&gt;=1))&gt;0))</f>
        <v>0</v>
      </c>
      <c r="I866" s="25" t="n">
        <f aca="false">SUMPRODUCT(--((('Yellow Bosses'!$K$5:$K$53&gt;0)+('Yellow Bosses'!$O$5:$O$53&gt;0)+('Yellow Bosses'!$S$5:$S$53&gt;0)+('Yellow Bosses'!$U$5:$U$53&gt;0))=0))</f>
        <v>0</v>
      </c>
      <c r="J866" s="25" t="n">
        <f aca="false">SUMPRODUCT(--(((Effectiveness!$H$5:$H$155&gt;=2)+(Effectiveness!$L$5:$L$155&gt;=2)+(Effectiveness!$P$5:$P$155&gt;=2)+(Effectiveness!$R$5:$R$155&gt;=2))&gt;0))</f>
        <v>94</v>
      </c>
      <c r="K866" s="26" t="n">
        <f aca="false">J866/151</f>
        <v>0.622516556291391</v>
      </c>
      <c r="L866" s="25" t="n">
        <f aca="false">MIN(INDEX('Move Reality'!$F$5:$F$19,MATCH(B866,'Move Reality'!$A$5:$A$19,0)),INDEX('Move Reality'!$F$5:$F$19,MATCH(C866,'Move Reality'!$A$5:$A$19,0)),INDEX('Move Reality'!$F$5:$F$19,MATCH(D866,'Move Reality'!$A$5:$A$19,0)),INDEX('Move Reality'!$F$5:$F$19,MATCH(E866,'Move Reality'!$A$5:$A$19,0)))</f>
        <v>1</v>
      </c>
      <c r="M866" s="28" t="str">
        <f aca="false">IF(L866&gt;=5,"YES","no - dead move")</f>
        <v>no - dead move</v>
      </c>
    </row>
    <row r="867" customFormat="false" ht="15" hidden="false" customHeight="false" outlineLevel="0" collapsed="false">
      <c r="A867" s="17" t="n">
        <v>863</v>
      </c>
      <c r="B867" s="17" t="s">
        <v>43</v>
      </c>
      <c r="C867" s="17" t="s">
        <v>47</v>
      </c>
      <c r="D867" s="17" t="s">
        <v>51</v>
      </c>
      <c r="E867" s="17" t="s">
        <v>54</v>
      </c>
      <c r="F867" s="25" t="n">
        <f aca="false">SUMPRODUCT(--((('Yellow Bosses'!$K$5:$K$53&gt;=2)+('Yellow Bosses'!$O$5:$O$53&gt;=2)+('Yellow Bosses'!$S$5:$S$53&gt;=2)+('Yellow Bosses'!$V$5:$V$53&gt;=2))&gt;0))</f>
        <v>29</v>
      </c>
      <c r="G867" s="26" t="n">
        <f aca="false">F867/49</f>
        <v>0.591836734693878</v>
      </c>
      <c r="H867" s="25" t="n">
        <f aca="false">49-SUMPRODUCT(--((('Yellow Bosses'!$K$5:$K$53&gt;=1)+('Yellow Bosses'!$O$5:$O$53&gt;=1)+('Yellow Bosses'!$S$5:$S$53&gt;=1)+('Yellow Bosses'!$V$5:$V$53&gt;=1))&gt;0))</f>
        <v>0</v>
      </c>
      <c r="I867" s="25" t="n">
        <f aca="false">SUMPRODUCT(--((('Yellow Bosses'!$K$5:$K$53&gt;0)+('Yellow Bosses'!$O$5:$O$53&gt;0)+('Yellow Bosses'!$S$5:$S$53&gt;0)+('Yellow Bosses'!$V$5:$V$53&gt;0))=0))</f>
        <v>0</v>
      </c>
      <c r="J867" s="25" t="n">
        <f aca="false">SUMPRODUCT(--(((Effectiveness!$H$5:$H$155&gt;=2)+(Effectiveness!$L$5:$L$155&gt;=2)+(Effectiveness!$P$5:$P$155&gt;=2)+(Effectiveness!$S$5:$S$155&gt;=2))&gt;0))</f>
        <v>94</v>
      </c>
      <c r="K867" s="26" t="n">
        <f aca="false">J867/151</f>
        <v>0.622516556291391</v>
      </c>
      <c r="L867" s="25" t="n">
        <f aca="false">MIN(INDEX('Move Reality'!$F$5:$F$19,MATCH(B867,'Move Reality'!$A$5:$A$19,0)),INDEX('Move Reality'!$F$5:$F$19,MATCH(C867,'Move Reality'!$A$5:$A$19,0)),INDEX('Move Reality'!$F$5:$F$19,MATCH(D867,'Move Reality'!$A$5:$A$19,0)),INDEX('Move Reality'!$F$5:$F$19,MATCH(E867,'Move Reality'!$A$5:$A$19,0)))</f>
        <v>1</v>
      </c>
      <c r="M867" s="28" t="str">
        <f aca="false">IF(L867&gt;=5,"YES","no - dead move")</f>
        <v>no - dead move</v>
      </c>
    </row>
    <row r="868" customFormat="false" ht="15" hidden="false" customHeight="false" outlineLevel="0" collapsed="false">
      <c r="A868" s="17" t="n">
        <v>864</v>
      </c>
      <c r="B868" s="17" t="s">
        <v>40</v>
      </c>
      <c r="C868" s="17" t="s">
        <v>42</v>
      </c>
      <c r="D868" s="17" t="s">
        <v>43</v>
      </c>
      <c r="E868" s="17" t="s">
        <v>48</v>
      </c>
      <c r="F868" s="25" t="n">
        <f aca="false">SUMPRODUCT(--((('Yellow Bosses'!$H$5:$H$53&gt;=2)+('Yellow Bosses'!$J$5:$J$53&gt;=2)+('Yellow Bosses'!$K$5:$K$53&gt;=2)+('Yellow Bosses'!$P$5:$P$53&gt;=2))&gt;0))</f>
        <v>29</v>
      </c>
      <c r="G868" s="26" t="n">
        <f aca="false">F868/49</f>
        <v>0.591836734693878</v>
      </c>
      <c r="H868" s="25" t="n">
        <f aca="false">49-SUMPRODUCT(--((('Yellow Bosses'!$H$5:$H$53&gt;=1)+('Yellow Bosses'!$J$5:$J$53&gt;=1)+('Yellow Bosses'!$K$5:$K$53&gt;=1)+('Yellow Bosses'!$P$5:$P$53&gt;=1))&gt;0))</f>
        <v>0</v>
      </c>
      <c r="I868" s="25" t="n">
        <f aca="false">SUMPRODUCT(--((('Yellow Bosses'!$H$5:$H$53&gt;0)+('Yellow Bosses'!$J$5:$J$53&gt;0)+('Yellow Bosses'!$K$5:$K$53&gt;0)+('Yellow Bosses'!$P$5:$P$53&gt;0))=0))</f>
        <v>0</v>
      </c>
      <c r="J868" s="25" t="n">
        <f aca="false">SUMPRODUCT(--(((Effectiveness!$E$5:$E$155&gt;=2)+(Effectiveness!$G$5:$G$155&gt;=2)+(Effectiveness!$H$5:$H$155&gt;=2)+(Effectiveness!$M$5:$M$155&gt;=2))&gt;0))</f>
        <v>93</v>
      </c>
      <c r="K868" s="26" t="n">
        <f aca="false">J868/151</f>
        <v>0.615894039735099</v>
      </c>
      <c r="L868" s="25" t="n">
        <f aca="false">MIN(INDEX('Move Reality'!$F$5:$F$19,MATCH(B868,'Move Reality'!$A$5:$A$19,0)),INDEX('Move Reality'!$F$5:$F$19,MATCH(C868,'Move Reality'!$A$5:$A$19,0)),INDEX('Move Reality'!$F$5:$F$19,MATCH(D868,'Move Reality'!$A$5:$A$19,0)),INDEX('Move Reality'!$F$5:$F$19,MATCH(E868,'Move Reality'!$A$5:$A$19,0)))</f>
        <v>9</v>
      </c>
      <c r="M868" s="28" t="str">
        <f aca="false">IF(L868&gt;=5,"YES","no - dead move")</f>
        <v>YES</v>
      </c>
    </row>
    <row r="869" customFormat="false" ht="15" hidden="false" customHeight="false" outlineLevel="0" collapsed="false">
      <c r="A869" s="17" t="n">
        <v>865</v>
      </c>
      <c r="B869" s="17" t="s">
        <v>40</v>
      </c>
      <c r="C869" s="17" t="s">
        <v>43</v>
      </c>
      <c r="D869" s="17" t="s">
        <v>44</v>
      </c>
      <c r="E869" s="17" t="s">
        <v>48</v>
      </c>
      <c r="F869" s="25" t="n">
        <f aca="false">SUMPRODUCT(--((('Yellow Bosses'!$H$5:$H$53&gt;=2)+('Yellow Bosses'!$K$5:$K$53&gt;=2)+('Yellow Bosses'!$L$5:$L$53&gt;=2)+('Yellow Bosses'!$P$5:$P$53&gt;=2))&gt;0))</f>
        <v>29</v>
      </c>
      <c r="G869" s="26" t="n">
        <f aca="false">F869/49</f>
        <v>0.591836734693878</v>
      </c>
      <c r="H869" s="25" t="n">
        <f aca="false">49-SUMPRODUCT(--((('Yellow Bosses'!$H$5:$H$53&gt;=1)+('Yellow Bosses'!$K$5:$K$53&gt;=1)+('Yellow Bosses'!$L$5:$L$53&gt;=1)+('Yellow Bosses'!$P$5:$P$53&gt;=1))&gt;0))</f>
        <v>0</v>
      </c>
      <c r="I869" s="25" t="n">
        <f aca="false">SUMPRODUCT(--((('Yellow Bosses'!$H$5:$H$53&gt;0)+('Yellow Bosses'!$K$5:$K$53&gt;0)+('Yellow Bosses'!$L$5:$L$53&gt;0)+('Yellow Bosses'!$P$5:$P$53&gt;0))=0))</f>
        <v>0</v>
      </c>
      <c r="J869" s="25" t="n">
        <f aca="false">SUMPRODUCT(--(((Effectiveness!$E$5:$E$155&gt;=2)+(Effectiveness!$H$5:$H$155&gt;=2)+(Effectiveness!$I$5:$I$155&gt;=2)+(Effectiveness!$M$5:$M$155&gt;=2))&gt;0))</f>
        <v>93</v>
      </c>
      <c r="K869" s="26" t="n">
        <f aca="false">J869/151</f>
        <v>0.615894039735099</v>
      </c>
      <c r="L869" s="25" t="n">
        <f aca="false">MIN(INDEX('Move Reality'!$F$5:$F$19,MATCH(B869,'Move Reality'!$A$5:$A$19,0)),INDEX('Move Reality'!$F$5:$F$19,MATCH(C869,'Move Reality'!$A$5:$A$19,0)),INDEX('Move Reality'!$F$5:$F$19,MATCH(D869,'Move Reality'!$A$5:$A$19,0)),INDEX('Move Reality'!$F$5:$F$19,MATCH(E869,'Move Reality'!$A$5:$A$19,0)))</f>
        <v>4</v>
      </c>
      <c r="M869" s="28" t="str">
        <f aca="false">IF(L869&gt;=5,"YES","no - dead move")</f>
        <v>no - dead move</v>
      </c>
    </row>
    <row r="870" customFormat="false" ht="15" hidden="false" customHeight="false" outlineLevel="0" collapsed="false">
      <c r="A870" s="17" t="n">
        <v>866</v>
      </c>
      <c r="B870" s="17" t="s">
        <v>42</v>
      </c>
      <c r="C870" s="17" t="s">
        <v>43</v>
      </c>
      <c r="D870" s="17" t="s">
        <v>44</v>
      </c>
      <c r="E870" s="17" t="s">
        <v>48</v>
      </c>
      <c r="F870" s="25" t="n">
        <f aca="false">SUMPRODUCT(--((('Yellow Bosses'!$J$5:$J$53&gt;=2)+('Yellow Bosses'!$K$5:$K$53&gt;=2)+('Yellow Bosses'!$L$5:$L$53&gt;=2)+('Yellow Bosses'!$P$5:$P$53&gt;=2))&gt;0))</f>
        <v>29</v>
      </c>
      <c r="G870" s="26" t="n">
        <f aca="false">F870/49</f>
        <v>0.591836734693878</v>
      </c>
      <c r="H870" s="25" t="n">
        <f aca="false">49-SUMPRODUCT(--((('Yellow Bosses'!$J$5:$J$53&gt;=1)+('Yellow Bosses'!$K$5:$K$53&gt;=1)+('Yellow Bosses'!$L$5:$L$53&gt;=1)+('Yellow Bosses'!$P$5:$P$53&gt;=1))&gt;0))</f>
        <v>2</v>
      </c>
      <c r="I870" s="25" t="n">
        <f aca="false">SUMPRODUCT(--((('Yellow Bosses'!$J$5:$J$53&gt;0)+('Yellow Bosses'!$K$5:$K$53&gt;0)+('Yellow Bosses'!$L$5:$L$53&gt;0)+('Yellow Bosses'!$P$5:$P$53&gt;0))=0))</f>
        <v>0</v>
      </c>
      <c r="J870" s="25" t="n">
        <f aca="false">SUMPRODUCT(--(((Effectiveness!$G$5:$G$155&gt;=2)+(Effectiveness!$H$5:$H$155&gt;=2)+(Effectiveness!$I$5:$I$155&gt;=2)+(Effectiveness!$M$5:$M$155&gt;=2))&gt;0))</f>
        <v>93</v>
      </c>
      <c r="K870" s="26" t="n">
        <f aca="false">J870/151</f>
        <v>0.615894039735099</v>
      </c>
      <c r="L870" s="25" t="n">
        <f aca="false">MIN(INDEX('Move Reality'!$F$5:$F$19,MATCH(B870,'Move Reality'!$A$5:$A$19,0)),INDEX('Move Reality'!$F$5:$F$19,MATCH(C870,'Move Reality'!$A$5:$A$19,0)),INDEX('Move Reality'!$F$5:$F$19,MATCH(D870,'Move Reality'!$A$5:$A$19,0)),INDEX('Move Reality'!$F$5:$F$19,MATCH(E870,'Move Reality'!$A$5:$A$19,0)))</f>
        <v>4</v>
      </c>
      <c r="M870" s="28" t="str">
        <f aca="false">IF(L870&gt;=5,"YES","no - dead move")</f>
        <v>no - dead move</v>
      </c>
    </row>
    <row r="871" customFormat="false" ht="15" hidden="false" customHeight="false" outlineLevel="0" collapsed="false">
      <c r="A871" s="17" t="n">
        <v>867</v>
      </c>
      <c r="B871" s="17" t="s">
        <v>42</v>
      </c>
      <c r="C871" s="17" t="s">
        <v>43</v>
      </c>
      <c r="D871" s="17" t="s">
        <v>48</v>
      </c>
      <c r="E871" s="17" t="s">
        <v>53</v>
      </c>
      <c r="F871" s="25" t="n">
        <f aca="false">SUMPRODUCT(--((('Yellow Bosses'!$J$5:$J$53&gt;=2)+('Yellow Bosses'!$K$5:$K$53&gt;=2)+('Yellow Bosses'!$P$5:$P$53&gt;=2)+('Yellow Bosses'!$U$5:$U$53&gt;=2))&gt;0))</f>
        <v>29</v>
      </c>
      <c r="G871" s="26" t="n">
        <f aca="false">F871/49</f>
        <v>0.591836734693878</v>
      </c>
      <c r="H871" s="25" t="n">
        <f aca="false">49-SUMPRODUCT(--((('Yellow Bosses'!$J$5:$J$53&gt;=1)+('Yellow Bosses'!$K$5:$K$53&gt;=1)+('Yellow Bosses'!$P$5:$P$53&gt;=1)+('Yellow Bosses'!$U$5:$U$53&gt;=1))&gt;0))</f>
        <v>1</v>
      </c>
      <c r="I871" s="25" t="n">
        <f aca="false">SUMPRODUCT(--((('Yellow Bosses'!$J$5:$J$53&gt;0)+('Yellow Bosses'!$K$5:$K$53&gt;0)+('Yellow Bosses'!$P$5:$P$53&gt;0)+('Yellow Bosses'!$U$5:$U$53&gt;0))=0))</f>
        <v>0</v>
      </c>
      <c r="J871" s="25" t="n">
        <f aca="false">SUMPRODUCT(--(((Effectiveness!$G$5:$G$155&gt;=2)+(Effectiveness!$H$5:$H$155&gt;=2)+(Effectiveness!$M$5:$M$155&gt;=2)+(Effectiveness!$R$5:$R$155&gt;=2))&gt;0))</f>
        <v>93</v>
      </c>
      <c r="K871" s="26" t="n">
        <f aca="false">J871/151</f>
        <v>0.615894039735099</v>
      </c>
      <c r="L871" s="25" t="n">
        <f aca="false">MIN(INDEX('Move Reality'!$F$5:$F$19,MATCH(B871,'Move Reality'!$A$5:$A$19,0)),INDEX('Move Reality'!$F$5:$F$19,MATCH(C871,'Move Reality'!$A$5:$A$19,0)),INDEX('Move Reality'!$F$5:$F$19,MATCH(D871,'Move Reality'!$A$5:$A$19,0)),INDEX('Move Reality'!$F$5:$F$19,MATCH(E871,'Move Reality'!$A$5:$A$19,0)))</f>
        <v>1</v>
      </c>
      <c r="M871" s="28" t="str">
        <f aca="false">IF(L871&gt;=5,"YES","no - dead move")</f>
        <v>no - dead move</v>
      </c>
    </row>
    <row r="872" customFormat="false" ht="15" hidden="false" customHeight="false" outlineLevel="0" collapsed="false">
      <c r="A872" s="17" t="n">
        <v>868</v>
      </c>
      <c r="B872" s="17" t="s">
        <v>43</v>
      </c>
      <c r="C872" s="17" t="s">
        <v>44</v>
      </c>
      <c r="D872" s="17" t="s">
        <v>48</v>
      </c>
      <c r="E872" s="17" t="s">
        <v>53</v>
      </c>
      <c r="F872" s="25" t="n">
        <f aca="false">SUMPRODUCT(--((('Yellow Bosses'!$K$5:$K$53&gt;=2)+('Yellow Bosses'!$L$5:$L$53&gt;=2)+('Yellow Bosses'!$P$5:$P$53&gt;=2)+('Yellow Bosses'!$U$5:$U$53&gt;=2))&gt;0))</f>
        <v>29</v>
      </c>
      <c r="G872" s="26" t="n">
        <f aca="false">F872/49</f>
        <v>0.591836734693878</v>
      </c>
      <c r="H872" s="25" t="n">
        <f aca="false">49-SUMPRODUCT(--((('Yellow Bosses'!$K$5:$K$53&gt;=1)+('Yellow Bosses'!$L$5:$L$53&gt;=1)+('Yellow Bosses'!$P$5:$P$53&gt;=1)+('Yellow Bosses'!$U$5:$U$53&gt;=1))&gt;0))</f>
        <v>1</v>
      </c>
      <c r="I872" s="25" t="n">
        <f aca="false">SUMPRODUCT(--((('Yellow Bosses'!$K$5:$K$53&gt;0)+('Yellow Bosses'!$L$5:$L$53&gt;0)+('Yellow Bosses'!$P$5:$P$53&gt;0)+('Yellow Bosses'!$U$5:$U$53&gt;0))=0))</f>
        <v>0</v>
      </c>
      <c r="J872" s="25" t="n">
        <f aca="false">SUMPRODUCT(--(((Effectiveness!$H$5:$H$155&gt;=2)+(Effectiveness!$I$5:$I$155&gt;=2)+(Effectiveness!$M$5:$M$155&gt;=2)+(Effectiveness!$R$5:$R$155&gt;=2))&gt;0))</f>
        <v>93</v>
      </c>
      <c r="K872" s="26" t="n">
        <f aca="false">J872/151</f>
        <v>0.615894039735099</v>
      </c>
      <c r="L872" s="25" t="n">
        <f aca="false">MIN(INDEX('Move Reality'!$F$5:$F$19,MATCH(B872,'Move Reality'!$A$5:$A$19,0)),INDEX('Move Reality'!$F$5:$F$19,MATCH(C872,'Move Reality'!$A$5:$A$19,0)),INDEX('Move Reality'!$F$5:$F$19,MATCH(D872,'Move Reality'!$A$5:$A$19,0)),INDEX('Move Reality'!$F$5:$F$19,MATCH(E872,'Move Reality'!$A$5:$A$19,0)))</f>
        <v>1</v>
      </c>
      <c r="M872" s="28" t="str">
        <f aca="false">IF(L872&gt;=5,"YES","no - dead move")</f>
        <v>no - dead move</v>
      </c>
    </row>
    <row r="873" customFormat="false" ht="15" hidden="false" customHeight="false" outlineLevel="0" collapsed="false">
      <c r="A873" s="17" t="n">
        <v>869</v>
      </c>
      <c r="B873" s="17" t="s">
        <v>43</v>
      </c>
      <c r="C873" s="17" t="s">
        <v>49</v>
      </c>
      <c r="D873" s="17" t="s">
        <v>52</v>
      </c>
      <c r="E873" s="17" t="s">
        <v>54</v>
      </c>
      <c r="F873" s="25" t="n">
        <f aca="false">SUMPRODUCT(--((('Yellow Bosses'!$K$5:$K$53&gt;=2)+('Yellow Bosses'!$Q$5:$Q$53&gt;=2)+('Yellow Bosses'!$T$5:$T$53&gt;=2)+('Yellow Bosses'!$V$5:$V$53&gt;=2))&gt;0))</f>
        <v>29</v>
      </c>
      <c r="G873" s="26" t="n">
        <f aca="false">F873/49</f>
        <v>0.591836734693878</v>
      </c>
      <c r="H873" s="25" t="n">
        <f aca="false">49-SUMPRODUCT(--((('Yellow Bosses'!$K$5:$K$53&gt;=1)+('Yellow Bosses'!$Q$5:$Q$53&gt;=1)+('Yellow Bosses'!$T$5:$T$53&gt;=1)+('Yellow Bosses'!$V$5:$V$53&gt;=1))&gt;0))</f>
        <v>0</v>
      </c>
      <c r="I873" s="25" t="n">
        <f aca="false">SUMPRODUCT(--((('Yellow Bosses'!$K$5:$K$53&gt;0)+('Yellow Bosses'!$Q$5:$Q$53&gt;0)+('Yellow Bosses'!$T$5:$T$53&gt;0)+('Yellow Bosses'!$V$5:$V$53&gt;0))=0))</f>
        <v>0</v>
      </c>
      <c r="J873" s="25" t="n">
        <f aca="false">SUMPRODUCT(--(((Effectiveness!$H$5:$H$155&gt;=2)+(Effectiveness!$N$5:$N$155&gt;=2)+(Effectiveness!$Q$5:$Q$155&gt;=2)+(Effectiveness!$S$5:$S$155&gt;=2))&gt;0))</f>
        <v>92</v>
      </c>
      <c r="K873" s="26" t="n">
        <f aca="false">J873/151</f>
        <v>0.609271523178808</v>
      </c>
      <c r="L873" s="25" t="n">
        <f aca="false">MIN(INDEX('Move Reality'!$F$5:$F$19,MATCH(B873,'Move Reality'!$A$5:$A$19,0)),INDEX('Move Reality'!$F$5:$F$19,MATCH(C873,'Move Reality'!$A$5:$A$19,0)),INDEX('Move Reality'!$F$5:$F$19,MATCH(D873,'Move Reality'!$A$5:$A$19,0)),INDEX('Move Reality'!$F$5:$F$19,MATCH(E873,'Move Reality'!$A$5:$A$19,0)))</f>
        <v>1</v>
      </c>
      <c r="M873" s="28" t="str">
        <f aca="false">IF(L873&gt;=5,"YES","no - dead move")</f>
        <v>no - dead move</v>
      </c>
    </row>
    <row r="874" customFormat="false" ht="15" hidden="false" customHeight="false" outlineLevel="0" collapsed="false">
      <c r="A874" s="17" t="n">
        <v>870</v>
      </c>
      <c r="B874" s="17" t="s">
        <v>40</v>
      </c>
      <c r="C874" s="17" t="s">
        <v>43</v>
      </c>
      <c r="D874" s="17" t="s">
        <v>51</v>
      </c>
      <c r="E874" s="17" t="s">
        <v>53</v>
      </c>
      <c r="F874" s="25" t="n">
        <f aca="false">SUMPRODUCT(--((('Yellow Bosses'!$H$5:$H$53&gt;=2)+('Yellow Bosses'!$K$5:$K$53&gt;=2)+('Yellow Bosses'!$S$5:$S$53&gt;=2)+('Yellow Bosses'!$U$5:$U$53&gt;=2))&gt;0))</f>
        <v>29</v>
      </c>
      <c r="G874" s="26" t="n">
        <f aca="false">F874/49</f>
        <v>0.591836734693878</v>
      </c>
      <c r="H874" s="25" t="n">
        <f aca="false">49-SUMPRODUCT(--((('Yellow Bosses'!$H$5:$H$53&gt;=1)+('Yellow Bosses'!$K$5:$K$53&gt;=1)+('Yellow Bosses'!$S$5:$S$53&gt;=1)+('Yellow Bosses'!$U$5:$U$53&gt;=1))&gt;0))</f>
        <v>0</v>
      </c>
      <c r="I874" s="25" t="n">
        <f aca="false">SUMPRODUCT(--((('Yellow Bosses'!$H$5:$H$53&gt;0)+('Yellow Bosses'!$K$5:$K$53&gt;0)+('Yellow Bosses'!$S$5:$S$53&gt;0)+('Yellow Bosses'!$U$5:$U$53&gt;0))=0))</f>
        <v>0</v>
      </c>
      <c r="J874" s="25" t="n">
        <f aca="false">SUMPRODUCT(--(((Effectiveness!$E$5:$E$155&gt;=2)+(Effectiveness!$H$5:$H$155&gt;=2)+(Effectiveness!$P$5:$P$155&gt;=2)+(Effectiveness!$R$5:$R$155&gt;=2))&gt;0))</f>
        <v>91</v>
      </c>
      <c r="K874" s="26" t="n">
        <f aca="false">J874/151</f>
        <v>0.602649006622517</v>
      </c>
      <c r="L874" s="25" t="n">
        <f aca="false">MIN(INDEX('Move Reality'!$F$5:$F$19,MATCH(B874,'Move Reality'!$A$5:$A$19,0)),INDEX('Move Reality'!$F$5:$F$19,MATCH(C874,'Move Reality'!$A$5:$A$19,0)),INDEX('Move Reality'!$F$5:$F$19,MATCH(D874,'Move Reality'!$A$5:$A$19,0)),INDEX('Move Reality'!$F$5:$F$19,MATCH(E874,'Move Reality'!$A$5:$A$19,0)))</f>
        <v>1</v>
      </c>
      <c r="M874" s="28" t="str">
        <f aca="false">IF(L874&gt;=5,"YES","no - dead move")</f>
        <v>no - dead move</v>
      </c>
    </row>
    <row r="875" customFormat="false" ht="15" hidden="false" customHeight="false" outlineLevel="0" collapsed="false">
      <c r="A875" s="17" t="n">
        <v>871</v>
      </c>
      <c r="B875" s="17" t="s">
        <v>40</v>
      </c>
      <c r="C875" s="17" t="s">
        <v>43</v>
      </c>
      <c r="D875" s="17" t="s">
        <v>51</v>
      </c>
      <c r="E875" s="17" t="s">
        <v>54</v>
      </c>
      <c r="F875" s="25" t="n">
        <f aca="false">SUMPRODUCT(--((('Yellow Bosses'!$H$5:$H$53&gt;=2)+('Yellow Bosses'!$K$5:$K$53&gt;=2)+('Yellow Bosses'!$S$5:$S$53&gt;=2)+('Yellow Bosses'!$V$5:$V$53&gt;=2))&gt;0))</f>
        <v>29</v>
      </c>
      <c r="G875" s="26" t="n">
        <f aca="false">F875/49</f>
        <v>0.591836734693878</v>
      </c>
      <c r="H875" s="25" t="n">
        <f aca="false">49-SUMPRODUCT(--((('Yellow Bosses'!$H$5:$H$53&gt;=1)+('Yellow Bosses'!$K$5:$K$53&gt;=1)+('Yellow Bosses'!$S$5:$S$53&gt;=1)+('Yellow Bosses'!$V$5:$V$53&gt;=1))&gt;0))</f>
        <v>0</v>
      </c>
      <c r="I875" s="25" t="n">
        <f aca="false">SUMPRODUCT(--((('Yellow Bosses'!$H$5:$H$53&gt;0)+('Yellow Bosses'!$K$5:$K$53&gt;0)+('Yellow Bosses'!$S$5:$S$53&gt;0)+('Yellow Bosses'!$V$5:$V$53&gt;0))=0))</f>
        <v>0</v>
      </c>
      <c r="J875" s="25" t="n">
        <f aca="false">SUMPRODUCT(--(((Effectiveness!$E$5:$E$155&gt;=2)+(Effectiveness!$H$5:$H$155&gt;=2)+(Effectiveness!$P$5:$P$155&gt;=2)+(Effectiveness!$S$5:$S$155&gt;=2))&gt;0))</f>
        <v>91</v>
      </c>
      <c r="K875" s="26" t="n">
        <f aca="false">J875/151</f>
        <v>0.602649006622517</v>
      </c>
      <c r="L875" s="25" t="n">
        <f aca="false">MIN(INDEX('Move Reality'!$F$5:$F$19,MATCH(B875,'Move Reality'!$A$5:$A$19,0)),INDEX('Move Reality'!$F$5:$F$19,MATCH(C875,'Move Reality'!$A$5:$A$19,0)),INDEX('Move Reality'!$F$5:$F$19,MATCH(D875,'Move Reality'!$A$5:$A$19,0)),INDEX('Move Reality'!$F$5:$F$19,MATCH(E875,'Move Reality'!$A$5:$A$19,0)))</f>
        <v>1</v>
      </c>
      <c r="M875" s="28" t="str">
        <f aca="false">IF(L875&gt;=5,"YES","no - dead move")</f>
        <v>no - dead move</v>
      </c>
    </row>
    <row r="876" customFormat="false" ht="15" hidden="false" customHeight="false" outlineLevel="0" collapsed="false">
      <c r="A876" s="17" t="n">
        <v>872</v>
      </c>
      <c r="B876" s="17" t="s">
        <v>44</v>
      </c>
      <c r="C876" s="17" t="s">
        <v>46</v>
      </c>
      <c r="D876" s="17" t="s">
        <v>49</v>
      </c>
      <c r="E876" s="17" t="s">
        <v>53</v>
      </c>
      <c r="F876" s="25" t="n">
        <f aca="false">SUMPRODUCT(--((('Yellow Bosses'!$L$5:$L$53&gt;=2)+('Yellow Bosses'!$N$5:$N$53&gt;=2)+('Yellow Bosses'!$Q$5:$Q$53&gt;=2)+('Yellow Bosses'!$U$5:$U$53&gt;=2))&gt;0))</f>
        <v>29</v>
      </c>
      <c r="G876" s="26" t="n">
        <f aca="false">F876/49</f>
        <v>0.591836734693878</v>
      </c>
      <c r="H876" s="25" t="n">
        <f aca="false">49-SUMPRODUCT(--((('Yellow Bosses'!$L$5:$L$53&gt;=1)+('Yellow Bosses'!$N$5:$N$53&gt;=1)+('Yellow Bosses'!$Q$5:$Q$53&gt;=1)+('Yellow Bosses'!$U$5:$U$53&gt;=1))&gt;0))</f>
        <v>0</v>
      </c>
      <c r="I876" s="25" t="n">
        <f aca="false">SUMPRODUCT(--((('Yellow Bosses'!$L$5:$L$53&gt;0)+('Yellow Bosses'!$N$5:$N$53&gt;0)+('Yellow Bosses'!$Q$5:$Q$53&gt;0)+('Yellow Bosses'!$U$5:$U$53&gt;0))=0))</f>
        <v>0</v>
      </c>
      <c r="J876" s="25" t="n">
        <f aca="false">SUMPRODUCT(--(((Effectiveness!$I$5:$I$155&gt;=2)+(Effectiveness!$K$5:$K$155&gt;=2)+(Effectiveness!$N$5:$N$155&gt;=2)+(Effectiveness!$R$5:$R$155&gt;=2))&gt;0))</f>
        <v>91</v>
      </c>
      <c r="K876" s="26" t="n">
        <f aca="false">J876/151</f>
        <v>0.602649006622517</v>
      </c>
      <c r="L876" s="25" t="n">
        <f aca="false">MIN(INDEX('Move Reality'!$F$5:$F$19,MATCH(B876,'Move Reality'!$A$5:$A$19,0)),INDEX('Move Reality'!$F$5:$F$19,MATCH(C876,'Move Reality'!$A$5:$A$19,0)),INDEX('Move Reality'!$F$5:$F$19,MATCH(D876,'Move Reality'!$A$5:$A$19,0)),INDEX('Move Reality'!$F$5:$F$19,MATCH(E876,'Move Reality'!$A$5:$A$19,0)))</f>
        <v>1</v>
      </c>
      <c r="M876" s="28" t="str">
        <f aca="false">IF(L876&gt;=5,"YES","no - dead move")</f>
        <v>no - dead move</v>
      </c>
    </row>
    <row r="877" customFormat="false" ht="15" hidden="false" customHeight="false" outlineLevel="0" collapsed="false">
      <c r="A877" s="17" t="n">
        <v>873</v>
      </c>
      <c r="B877" s="17" t="s">
        <v>44</v>
      </c>
      <c r="C877" s="17" t="s">
        <v>46</v>
      </c>
      <c r="D877" s="17" t="s">
        <v>49</v>
      </c>
      <c r="E877" s="17" t="s">
        <v>54</v>
      </c>
      <c r="F877" s="25" t="n">
        <f aca="false">SUMPRODUCT(--((('Yellow Bosses'!$L$5:$L$53&gt;=2)+('Yellow Bosses'!$N$5:$N$53&gt;=2)+('Yellow Bosses'!$Q$5:$Q$53&gt;=2)+('Yellow Bosses'!$V$5:$V$53&gt;=2))&gt;0))</f>
        <v>29</v>
      </c>
      <c r="G877" s="26" t="n">
        <f aca="false">F877/49</f>
        <v>0.591836734693878</v>
      </c>
      <c r="H877" s="25" t="n">
        <f aca="false">49-SUMPRODUCT(--((('Yellow Bosses'!$L$5:$L$53&gt;=1)+('Yellow Bosses'!$N$5:$N$53&gt;=1)+('Yellow Bosses'!$Q$5:$Q$53&gt;=1)+('Yellow Bosses'!$V$5:$V$53&gt;=1))&gt;0))</f>
        <v>0</v>
      </c>
      <c r="I877" s="25" t="n">
        <f aca="false">SUMPRODUCT(--((('Yellow Bosses'!$L$5:$L$53&gt;0)+('Yellow Bosses'!$N$5:$N$53&gt;0)+('Yellow Bosses'!$Q$5:$Q$53&gt;0)+('Yellow Bosses'!$V$5:$V$53&gt;0))=0))</f>
        <v>0</v>
      </c>
      <c r="J877" s="25" t="n">
        <f aca="false">SUMPRODUCT(--(((Effectiveness!$I$5:$I$155&gt;=2)+(Effectiveness!$K$5:$K$155&gt;=2)+(Effectiveness!$N$5:$N$155&gt;=2)+(Effectiveness!$S$5:$S$155&gt;=2))&gt;0))</f>
        <v>91</v>
      </c>
      <c r="K877" s="26" t="n">
        <f aca="false">J877/151</f>
        <v>0.602649006622517</v>
      </c>
      <c r="L877" s="25" t="n">
        <f aca="false">MIN(INDEX('Move Reality'!$F$5:$F$19,MATCH(B877,'Move Reality'!$A$5:$A$19,0)),INDEX('Move Reality'!$F$5:$F$19,MATCH(C877,'Move Reality'!$A$5:$A$19,0)),INDEX('Move Reality'!$F$5:$F$19,MATCH(D877,'Move Reality'!$A$5:$A$19,0)),INDEX('Move Reality'!$F$5:$F$19,MATCH(E877,'Move Reality'!$A$5:$A$19,0)))</f>
        <v>1</v>
      </c>
      <c r="M877" s="28" t="str">
        <f aca="false">IF(L877&gt;=5,"YES","no - dead move")</f>
        <v>no - dead move</v>
      </c>
    </row>
    <row r="878" customFormat="false" ht="15" hidden="false" customHeight="false" outlineLevel="0" collapsed="false">
      <c r="A878" s="17" t="n">
        <v>874</v>
      </c>
      <c r="B878" s="17" t="s">
        <v>41</v>
      </c>
      <c r="C878" s="17" t="s">
        <v>43</v>
      </c>
      <c r="D878" s="17" t="s">
        <v>44</v>
      </c>
      <c r="E878" s="17" t="s">
        <v>49</v>
      </c>
      <c r="F878" s="25" t="n">
        <f aca="false">SUMPRODUCT(--((('Yellow Bosses'!$I$5:$I$53&gt;=2)+('Yellow Bosses'!$K$5:$K$53&gt;=2)+('Yellow Bosses'!$L$5:$L$53&gt;=2)+('Yellow Bosses'!$Q$5:$Q$53&gt;=2))&gt;0))</f>
        <v>29</v>
      </c>
      <c r="G878" s="26" t="n">
        <f aca="false">F878/49</f>
        <v>0.591836734693878</v>
      </c>
      <c r="H878" s="25" t="n">
        <f aca="false">49-SUMPRODUCT(--((('Yellow Bosses'!$I$5:$I$53&gt;=1)+('Yellow Bosses'!$K$5:$K$53&gt;=1)+('Yellow Bosses'!$L$5:$L$53&gt;=1)+('Yellow Bosses'!$Q$5:$Q$53&gt;=1))&gt;0))</f>
        <v>0</v>
      </c>
      <c r="I878" s="25" t="n">
        <f aca="false">SUMPRODUCT(--((('Yellow Bosses'!$I$5:$I$53&gt;0)+('Yellow Bosses'!$K$5:$K$53&gt;0)+('Yellow Bosses'!$L$5:$L$53&gt;0)+('Yellow Bosses'!$Q$5:$Q$53&gt;0))=0))</f>
        <v>0</v>
      </c>
      <c r="J878" s="25" t="n">
        <f aca="false">SUMPRODUCT(--(((Effectiveness!$F$5:$F$155&gt;=2)+(Effectiveness!$H$5:$H$155&gt;=2)+(Effectiveness!$I$5:$I$155&gt;=2)+(Effectiveness!$N$5:$N$155&gt;=2))&gt;0))</f>
        <v>90</v>
      </c>
      <c r="K878" s="26" t="n">
        <f aca="false">J878/151</f>
        <v>0.596026490066225</v>
      </c>
      <c r="L878" s="25" t="n">
        <f aca="false">MIN(INDEX('Move Reality'!$F$5:$F$19,MATCH(B878,'Move Reality'!$A$5:$A$19,0)),INDEX('Move Reality'!$F$5:$F$19,MATCH(C878,'Move Reality'!$A$5:$A$19,0)),INDEX('Move Reality'!$F$5:$F$19,MATCH(D878,'Move Reality'!$A$5:$A$19,0)),INDEX('Move Reality'!$F$5:$F$19,MATCH(E878,'Move Reality'!$A$5:$A$19,0)))</f>
        <v>4</v>
      </c>
      <c r="M878" s="28" t="str">
        <f aca="false">IF(L878&gt;=5,"YES","no - dead move")</f>
        <v>no - dead move</v>
      </c>
    </row>
    <row r="879" customFormat="false" ht="15" hidden="false" customHeight="false" outlineLevel="0" collapsed="false">
      <c r="A879" s="17" t="n">
        <v>875</v>
      </c>
      <c r="B879" s="17" t="s">
        <v>40</v>
      </c>
      <c r="C879" s="17" t="s">
        <v>46</v>
      </c>
      <c r="D879" s="17" t="s">
        <v>49</v>
      </c>
      <c r="E879" s="17" t="s">
        <v>52</v>
      </c>
      <c r="F879" s="25" t="n">
        <f aca="false">SUMPRODUCT(--((('Yellow Bosses'!$H$5:$H$53&gt;=2)+('Yellow Bosses'!$N$5:$N$53&gt;=2)+('Yellow Bosses'!$Q$5:$Q$53&gt;=2)+('Yellow Bosses'!$T$5:$T$53&gt;=2))&gt;0))</f>
        <v>29</v>
      </c>
      <c r="G879" s="26" t="n">
        <f aca="false">F879/49</f>
        <v>0.591836734693878</v>
      </c>
      <c r="H879" s="25" t="n">
        <f aca="false">49-SUMPRODUCT(--((('Yellow Bosses'!$H$5:$H$53&gt;=1)+('Yellow Bosses'!$N$5:$N$53&gt;=1)+('Yellow Bosses'!$Q$5:$Q$53&gt;=1)+('Yellow Bosses'!$T$5:$T$53&gt;=1))&gt;0))</f>
        <v>0</v>
      </c>
      <c r="I879" s="25" t="n">
        <f aca="false">SUMPRODUCT(--((('Yellow Bosses'!$H$5:$H$53&gt;0)+('Yellow Bosses'!$N$5:$N$53&gt;0)+('Yellow Bosses'!$Q$5:$Q$53&gt;0)+('Yellow Bosses'!$T$5:$T$53&gt;0))=0))</f>
        <v>0</v>
      </c>
      <c r="J879" s="25" t="n">
        <f aca="false">SUMPRODUCT(--(((Effectiveness!$E$5:$E$155&gt;=2)+(Effectiveness!$K$5:$K$155&gt;=2)+(Effectiveness!$N$5:$N$155&gt;=2)+(Effectiveness!$Q$5:$Q$155&gt;=2))&gt;0))</f>
        <v>89</v>
      </c>
      <c r="K879" s="26" t="n">
        <f aca="false">J879/151</f>
        <v>0.589403973509934</v>
      </c>
      <c r="L879" s="25" t="n">
        <f aca="false">MIN(INDEX('Move Reality'!$F$5:$F$19,MATCH(B879,'Move Reality'!$A$5:$A$19,0)),INDEX('Move Reality'!$F$5:$F$19,MATCH(C879,'Move Reality'!$A$5:$A$19,0)),INDEX('Move Reality'!$F$5:$F$19,MATCH(D879,'Move Reality'!$A$5:$A$19,0)),INDEX('Move Reality'!$F$5:$F$19,MATCH(E879,'Move Reality'!$A$5:$A$19,0)))</f>
        <v>5</v>
      </c>
      <c r="M879" s="28" t="str">
        <f aca="false">IF(L879&gt;=5,"YES","no - dead move")</f>
        <v>YES</v>
      </c>
    </row>
    <row r="880" customFormat="false" ht="15" hidden="false" customHeight="false" outlineLevel="0" collapsed="false">
      <c r="A880" s="17" t="n">
        <v>876</v>
      </c>
      <c r="B880" s="17" t="s">
        <v>41</v>
      </c>
      <c r="C880" s="17" t="s">
        <v>46</v>
      </c>
      <c r="D880" s="17" t="s">
        <v>49</v>
      </c>
      <c r="E880" s="17" t="s">
        <v>52</v>
      </c>
      <c r="F880" s="25" t="n">
        <f aca="false">SUMPRODUCT(--((('Yellow Bosses'!$I$5:$I$53&gt;=2)+('Yellow Bosses'!$N$5:$N$53&gt;=2)+('Yellow Bosses'!$Q$5:$Q$53&gt;=2)+('Yellow Bosses'!$T$5:$T$53&gt;=2))&gt;0))</f>
        <v>29</v>
      </c>
      <c r="G880" s="26" t="n">
        <f aca="false">F880/49</f>
        <v>0.591836734693878</v>
      </c>
      <c r="H880" s="25" t="n">
        <f aca="false">49-SUMPRODUCT(--((('Yellow Bosses'!$I$5:$I$53&gt;=1)+('Yellow Bosses'!$N$5:$N$53&gt;=1)+('Yellow Bosses'!$Q$5:$Q$53&gt;=1)+('Yellow Bosses'!$T$5:$T$53&gt;=1))&gt;0))</f>
        <v>0</v>
      </c>
      <c r="I880" s="25" t="n">
        <f aca="false">SUMPRODUCT(--((('Yellow Bosses'!$I$5:$I$53&gt;0)+('Yellow Bosses'!$N$5:$N$53&gt;0)+('Yellow Bosses'!$Q$5:$Q$53&gt;0)+('Yellow Bosses'!$T$5:$T$53&gt;0))=0))</f>
        <v>0</v>
      </c>
      <c r="J880" s="25" t="n">
        <f aca="false">SUMPRODUCT(--(((Effectiveness!$F$5:$F$155&gt;=2)+(Effectiveness!$K$5:$K$155&gt;=2)+(Effectiveness!$N$5:$N$155&gt;=2)+(Effectiveness!$Q$5:$Q$155&gt;=2))&gt;0))</f>
        <v>89</v>
      </c>
      <c r="K880" s="26" t="n">
        <f aca="false">J880/151</f>
        <v>0.589403973509934</v>
      </c>
      <c r="L880" s="25" t="n">
        <f aca="false">MIN(INDEX('Move Reality'!$F$5:$F$19,MATCH(B880,'Move Reality'!$A$5:$A$19,0)),INDEX('Move Reality'!$F$5:$F$19,MATCH(C880,'Move Reality'!$A$5:$A$19,0)),INDEX('Move Reality'!$F$5:$F$19,MATCH(D880,'Move Reality'!$A$5:$A$19,0)),INDEX('Move Reality'!$F$5:$F$19,MATCH(E880,'Move Reality'!$A$5:$A$19,0)))</f>
        <v>5</v>
      </c>
      <c r="M880" s="28" t="str">
        <f aca="false">IF(L880&gt;=5,"YES","no - dead move")</f>
        <v>YES</v>
      </c>
    </row>
    <row r="881" customFormat="false" ht="15" hidden="false" customHeight="false" outlineLevel="0" collapsed="false">
      <c r="A881" s="17" t="n">
        <v>877</v>
      </c>
      <c r="B881" s="17" t="s">
        <v>42</v>
      </c>
      <c r="C881" s="17" t="s">
        <v>44</v>
      </c>
      <c r="D881" s="17" t="s">
        <v>45</v>
      </c>
      <c r="E881" s="17" t="s">
        <v>47</v>
      </c>
      <c r="F881" s="25" t="n">
        <f aca="false">SUMPRODUCT(--((('Yellow Bosses'!$J$5:$J$53&gt;=2)+('Yellow Bosses'!$L$5:$L$53&gt;=2)+('Yellow Bosses'!$M$5:$M$53&gt;=2)+('Yellow Bosses'!$O$5:$O$53&gt;=2))&gt;0))</f>
        <v>29</v>
      </c>
      <c r="G881" s="26" t="n">
        <f aca="false">F881/49</f>
        <v>0.591836734693878</v>
      </c>
      <c r="H881" s="25" t="n">
        <f aca="false">49-SUMPRODUCT(--((('Yellow Bosses'!$J$5:$J$53&gt;=1)+('Yellow Bosses'!$L$5:$L$53&gt;=1)+('Yellow Bosses'!$M$5:$M$53&gt;=1)+('Yellow Bosses'!$O$5:$O$53&gt;=1))&gt;0))</f>
        <v>0</v>
      </c>
      <c r="I881" s="25" t="n">
        <f aca="false">SUMPRODUCT(--((('Yellow Bosses'!$J$5:$J$53&gt;0)+('Yellow Bosses'!$L$5:$L$53&gt;0)+('Yellow Bosses'!$M$5:$M$53&gt;0)+('Yellow Bosses'!$O$5:$O$53&gt;0))=0))</f>
        <v>0</v>
      </c>
      <c r="J881" s="25" t="n">
        <f aca="false">SUMPRODUCT(--(((Effectiveness!$G$5:$G$155&gt;=2)+(Effectiveness!$I$5:$I$155&gt;=2)+(Effectiveness!$J$5:$J$155&gt;=2)+(Effectiveness!$L$5:$L$155&gt;=2))&gt;0))</f>
        <v>89</v>
      </c>
      <c r="K881" s="26" t="n">
        <f aca="false">J881/151</f>
        <v>0.589403973509934</v>
      </c>
      <c r="L881" s="25" t="n">
        <f aca="false">MIN(INDEX('Move Reality'!$F$5:$F$19,MATCH(B881,'Move Reality'!$A$5:$A$19,0)),INDEX('Move Reality'!$F$5:$F$19,MATCH(C881,'Move Reality'!$A$5:$A$19,0)),INDEX('Move Reality'!$F$5:$F$19,MATCH(D881,'Move Reality'!$A$5:$A$19,0)),INDEX('Move Reality'!$F$5:$F$19,MATCH(E881,'Move Reality'!$A$5:$A$19,0)))</f>
        <v>2</v>
      </c>
      <c r="M881" s="28" t="str">
        <f aca="false">IF(L881&gt;=5,"YES","no - dead move")</f>
        <v>no - dead move</v>
      </c>
    </row>
    <row r="882" customFormat="false" ht="15" hidden="false" customHeight="false" outlineLevel="0" collapsed="false">
      <c r="A882" s="17" t="n">
        <v>878</v>
      </c>
      <c r="B882" s="17" t="s">
        <v>42</v>
      </c>
      <c r="C882" s="17" t="s">
        <v>44</v>
      </c>
      <c r="D882" s="17" t="s">
        <v>47</v>
      </c>
      <c r="E882" s="17" t="s">
        <v>48</v>
      </c>
      <c r="F882" s="25" t="n">
        <f aca="false">SUMPRODUCT(--((('Yellow Bosses'!$J$5:$J$53&gt;=2)+('Yellow Bosses'!$L$5:$L$53&gt;=2)+('Yellow Bosses'!$O$5:$O$53&gt;=2)+('Yellow Bosses'!$P$5:$P$53&gt;=2))&gt;0))</f>
        <v>29</v>
      </c>
      <c r="G882" s="26" t="n">
        <f aca="false">F882/49</f>
        <v>0.591836734693878</v>
      </c>
      <c r="H882" s="25" t="n">
        <f aca="false">49-SUMPRODUCT(--((('Yellow Bosses'!$J$5:$J$53&gt;=1)+('Yellow Bosses'!$L$5:$L$53&gt;=1)+('Yellow Bosses'!$O$5:$O$53&gt;=1)+('Yellow Bosses'!$P$5:$P$53&gt;=1))&gt;0))</f>
        <v>0</v>
      </c>
      <c r="I882" s="25" t="n">
        <f aca="false">SUMPRODUCT(--((('Yellow Bosses'!$J$5:$J$53&gt;0)+('Yellow Bosses'!$L$5:$L$53&gt;0)+('Yellow Bosses'!$O$5:$O$53&gt;0)+('Yellow Bosses'!$P$5:$P$53&gt;0))=0))</f>
        <v>0</v>
      </c>
      <c r="J882" s="25" t="n">
        <f aca="false">SUMPRODUCT(--(((Effectiveness!$G$5:$G$155&gt;=2)+(Effectiveness!$I$5:$I$155&gt;=2)+(Effectiveness!$L$5:$L$155&gt;=2)+(Effectiveness!$M$5:$M$155&gt;=2))&gt;0))</f>
        <v>89</v>
      </c>
      <c r="K882" s="26" t="n">
        <f aca="false">J882/151</f>
        <v>0.589403973509934</v>
      </c>
      <c r="L882" s="25" t="n">
        <f aca="false">MIN(INDEX('Move Reality'!$F$5:$F$19,MATCH(B882,'Move Reality'!$A$5:$A$19,0)),INDEX('Move Reality'!$F$5:$F$19,MATCH(C882,'Move Reality'!$A$5:$A$19,0)),INDEX('Move Reality'!$F$5:$F$19,MATCH(D882,'Move Reality'!$A$5:$A$19,0)),INDEX('Move Reality'!$F$5:$F$19,MATCH(E882,'Move Reality'!$A$5:$A$19,0)))</f>
        <v>2</v>
      </c>
      <c r="M882" s="28" t="str">
        <f aca="false">IF(L882&gt;=5,"YES","no - dead move")</f>
        <v>no - dead move</v>
      </c>
    </row>
    <row r="883" customFormat="false" ht="15" hidden="false" customHeight="false" outlineLevel="0" collapsed="false">
      <c r="A883" s="17" t="n">
        <v>879</v>
      </c>
      <c r="B883" s="17" t="s">
        <v>46</v>
      </c>
      <c r="C883" s="17" t="s">
        <v>47</v>
      </c>
      <c r="D883" s="17" t="s">
        <v>49</v>
      </c>
      <c r="E883" s="17" t="s">
        <v>52</v>
      </c>
      <c r="F883" s="25" t="n">
        <f aca="false">SUMPRODUCT(--((('Yellow Bosses'!$N$5:$N$53&gt;=2)+('Yellow Bosses'!$O$5:$O$53&gt;=2)+('Yellow Bosses'!$Q$5:$Q$53&gt;=2)+('Yellow Bosses'!$T$5:$T$53&gt;=2))&gt;0))</f>
        <v>29</v>
      </c>
      <c r="G883" s="26" t="n">
        <f aca="false">F883/49</f>
        <v>0.591836734693878</v>
      </c>
      <c r="H883" s="25" t="n">
        <f aca="false">49-SUMPRODUCT(--((('Yellow Bosses'!$N$5:$N$53&gt;=1)+('Yellow Bosses'!$O$5:$O$53&gt;=1)+('Yellow Bosses'!$Q$5:$Q$53&gt;=1)+('Yellow Bosses'!$T$5:$T$53&gt;=1))&gt;0))</f>
        <v>0</v>
      </c>
      <c r="I883" s="25" t="n">
        <f aca="false">SUMPRODUCT(--((('Yellow Bosses'!$N$5:$N$53&gt;0)+('Yellow Bosses'!$O$5:$O$53&gt;0)+('Yellow Bosses'!$Q$5:$Q$53&gt;0)+('Yellow Bosses'!$T$5:$T$53&gt;0))=0))</f>
        <v>0</v>
      </c>
      <c r="J883" s="25" t="n">
        <f aca="false">SUMPRODUCT(--(((Effectiveness!$K$5:$K$155&gt;=2)+(Effectiveness!$L$5:$L$155&gt;=2)+(Effectiveness!$N$5:$N$155&gt;=2)+(Effectiveness!$Q$5:$Q$155&gt;=2))&gt;0))</f>
        <v>89</v>
      </c>
      <c r="K883" s="26" t="n">
        <f aca="false">J883/151</f>
        <v>0.589403973509934</v>
      </c>
      <c r="L883" s="25" t="n">
        <f aca="false">MIN(INDEX('Move Reality'!$F$5:$F$19,MATCH(B883,'Move Reality'!$A$5:$A$19,0)),INDEX('Move Reality'!$F$5:$F$19,MATCH(C883,'Move Reality'!$A$5:$A$19,0)),INDEX('Move Reality'!$F$5:$F$19,MATCH(D883,'Move Reality'!$A$5:$A$19,0)),INDEX('Move Reality'!$F$5:$F$19,MATCH(E883,'Move Reality'!$A$5:$A$19,0)))</f>
        <v>2</v>
      </c>
      <c r="M883" s="28" t="str">
        <f aca="false">IF(L883&gt;=5,"YES","no - dead move")</f>
        <v>no - dead move</v>
      </c>
    </row>
    <row r="884" customFormat="false" ht="15" hidden="false" customHeight="false" outlineLevel="0" collapsed="false">
      <c r="A884" s="17" t="n">
        <v>880</v>
      </c>
      <c r="B884" s="17" t="s">
        <v>40</v>
      </c>
      <c r="C884" s="17" t="s">
        <v>42</v>
      </c>
      <c r="D884" s="17" t="s">
        <v>44</v>
      </c>
      <c r="E884" s="17" t="s">
        <v>45</v>
      </c>
      <c r="F884" s="25" t="n">
        <f aca="false">SUMPRODUCT(--((('Yellow Bosses'!$H$5:$H$53&gt;=2)+('Yellow Bosses'!$J$5:$J$53&gt;=2)+('Yellow Bosses'!$L$5:$L$53&gt;=2)+('Yellow Bosses'!$M$5:$M$53&gt;=2))&gt;0))</f>
        <v>29</v>
      </c>
      <c r="G884" s="26" t="n">
        <f aca="false">F884/49</f>
        <v>0.591836734693878</v>
      </c>
      <c r="H884" s="25" t="n">
        <f aca="false">49-SUMPRODUCT(--((('Yellow Bosses'!$H$5:$H$53&gt;=1)+('Yellow Bosses'!$J$5:$J$53&gt;=1)+('Yellow Bosses'!$L$5:$L$53&gt;=1)+('Yellow Bosses'!$M$5:$M$53&gt;=1))&gt;0))</f>
        <v>0</v>
      </c>
      <c r="I884" s="25" t="n">
        <f aca="false">SUMPRODUCT(--((('Yellow Bosses'!$H$5:$H$53&gt;0)+('Yellow Bosses'!$J$5:$J$53&gt;0)+('Yellow Bosses'!$L$5:$L$53&gt;0)+('Yellow Bosses'!$M$5:$M$53&gt;0))=0))</f>
        <v>0</v>
      </c>
      <c r="J884" s="25" t="n">
        <f aca="false">SUMPRODUCT(--(((Effectiveness!$E$5:$E$155&gt;=2)+(Effectiveness!$G$5:$G$155&gt;=2)+(Effectiveness!$I$5:$I$155&gt;=2)+(Effectiveness!$J$5:$J$155&gt;=2))&gt;0))</f>
        <v>86</v>
      </c>
      <c r="K884" s="26" t="n">
        <f aca="false">J884/151</f>
        <v>0.56953642384106</v>
      </c>
      <c r="L884" s="25" t="n">
        <f aca="false">MIN(INDEX('Move Reality'!$F$5:$F$19,MATCH(B884,'Move Reality'!$A$5:$A$19,0)),INDEX('Move Reality'!$F$5:$F$19,MATCH(C884,'Move Reality'!$A$5:$A$19,0)),INDEX('Move Reality'!$F$5:$F$19,MATCH(D884,'Move Reality'!$A$5:$A$19,0)),INDEX('Move Reality'!$F$5:$F$19,MATCH(E884,'Move Reality'!$A$5:$A$19,0)))</f>
        <v>4</v>
      </c>
      <c r="M884" s="28" t="str">
        <f aca="false">IF(L884&gt;=5,"YES","no - dead move")</f>
        <v>no - dead move</v>
      </c>
    </row>
    <row r="885" customFormat="false" ht="15" hidden="false" customHeight="false" outlineLevel="0" collapsed="false">
      <c r="A885" s="17" t="n">
        <v>881</v>
      </c>
      <c r="B885" s="17" t="s">
        <v>40</v>
      </c>
      <c r="C885" s="17" t="s">
        <v>45</v>
      </c>
      <c r="D885" s="17" t="s">
        <v>46</v>
      </c>
      <c r="E885" s="17" t="s">
        <v>49</v>
      </c>
      <c r="F885" s="25" t="n">
        <f aca="false">SUMPRODUCT(--((('Yellow Bosses'!$H$5:$H$53&gt;=2)+('Yellow Bosses'!$M$5:$M$53&gt;=2)+('Yellow Bosses'!$N$5:$N$53&gt;=2)+('Yellow Bosses'!$Q$5:$Q$53&gt;=2))&gt;0))</f>
        <v>29</v>
      </c>
      <c r="G885" s="26" t="n">
        <f aca="false">F885/49</f>
        <v>0.591836734693878</v>
      </c>
      <c r="H885" s="25" t="n">
        <f aca="false">49-SUMPRODUCT(--((('Yellow Bosses'!$H$5:$H$53&gt;=1)+('Yellow Bosses'!$M$5:$M$53&gt;=1)+('Yellow Bosses'!$N$5:$N$53&gt;=1)+('Yellow Bosses'!$Q$5:$Q$53&gt;=1))&gt;0))</f>
        <v>0</v>
      </c>
      <c r="I885" s="25" t="n">
        <f aca="false">SUMPRODUCT(--((('Yellow Bosses'!$H$5:$H$53&gt;0)+('Yellow Bosses'!$M$5:$M$53&gt;0)+('Yellow Bosses'!$N$5:$N$53&gt;0)+('Yellow Bosses'!$Q$5:$Q$53&gt;0))=0))</f>
        <v>0</v>
      </c>
      <c r="J885" s="25" t="n">
        <f aca="false">SUMPRODUCT(--(((Effectiveness!$E$5:$E$155&gt;=2)+(Effectiveness!$J$5:$J$155&gt;=2)+(Effectiveness!$K$5:$K$155&gt;=2)+(Effectiveness!$N$5:$N$155&gt;=2))&gt;0))</f>
        <v>86</v>
      </c>
      <c r="K885" s="26" t="n">
        <f aca="false">J885/151</f>
        <v>0.56953642384106</v>
      </c>
      <c r="L885" s="25" t="n">
        <f aca="false">MIN(INDEX('Move Reality'!$F$5:$F$19,MATCH(B885,'Move Reality'!$A$5:$A$19,0)),INDEX('Move Reality'!$F$5:$F$19,MATCH(C885,'Move Reality'!$A$5:$A$19,0)),INDEX('Move Reality'!$F$5:$F$19,MATCH(D885,'Move Reality'!$A$5:$A$19,0)),INDEX('Move Reality'!$F$5:$F$19,MATCH(E885,'Move Reality'!$A$5:$A$19,0)))</f>
        <v>5</v>
      </c>
      <c r="M885" s="28" t="str">
        <f aca="false">IF(L885&gt;=5,"YES","no - dead move")</f>
        <v>YES</v>
      </c>
    </row>
    <row r="886" customFormat="false" ht="15" hidden="false" customHeight="false" outlineLevel="0" collapsed="false">
      <c r="A886" s="17" t="n">
        <v>882</v>
      </c>
      <c r="B886" s="17" t="s">
        <v>41</v>
      </c>
      <c r="C886" s="17" t="s">
        <v>43</v>
      </c>
      <c r="D886" s="17" t="s">
        <v>44</v>
      </c>
      <c r="E886" s="17" t="s">
        <v>53</v>
      </c>
      <c r="F886" s="25" t="n">
        <f aca="false">SUMPRODUCT(--((('Yellow Bosses'!$I$5:$I$53&gt;=2)+('Yellow Bosses'!$K$5:$K$53&gt;=2)+('Yellow Bosses'!$L$5:$L$53&gt;=2)+('Yellow Bosses'!$U$5:$U$53&gt;=2))&gt;0))</f>
        <v>29</v>
      </c>
      <c r="G886" s="26" t="n">
        <f aca="false">F886/49</f>
        <v>0.591836734693878</v>
      </c>
      <c r="H886" s="25" t="n">
        <f aca="false">49-SUMPRODUCT(--((('Yellow Bosses'!$I$5:$I$53&gt;=1)+('Yellow Bosses'!$K$5:$K$53&gt;=1)+('Yellow Bosses'!$L$5:$L$53&gt;=1)+('Yellow Bosses'!$U$5:$U$53&gt;=1))&gt;0))</f>
        <v>0</v>
      </c>
      <c r="I886" s="25" t="n">
        <f aca="false">SUMPRODUCT(--((('Yellow Bosses'!$I$5:$I$53&gt;0)+('Yellow Bosses'!$K$5:$K$53&gt;0)+('Yellow Bosses'!$L$5:$L$53&gt;0)+('Yellow Bosses'!$U$5:$U$53&gt;0))=0))</f>
        <v>0</v>
      </c>
      <c r="J886" s="25" t="n">
        <f aca="false">SUMPRODUCT(--(((Effectiveness!$F$5:$F$155&gt;=2)+(Effectiveness!$H$5:$H$155&gt;=2)+(Effectiveness!$I$5:$I$155&gt;=2)+(Effectiveness!$R$5:$R$155&gt;=2))&gt;0))</f>
        <v>86</v>
      </c>
      <c r="K886" s="26" t="n">
        <f aca="false">J886/151</f>
        <v>0.56953642384106</v>
      </c>
      <c r="L886" s="25" t="n">
        <f aca="false">MIN(INDEX('Move Reality'!$F$5:$F$19,MATCH(B886,'Move Reality'!$A$5:$A$19,0)),INDEX('Move Reality'!$F$5:$F$19,MATCH(C886,'Move Reality'!$A$5:$A$19,0)),INDEX('Move Reality'!$F$5:$F$19,MATCH(D886,'Move Reality'!$A$5:$A$19,0)),INDEX('Move Reality'!$F$5:$F$19,MATCH(E886,'Move Reality'!$A$5:$A$19,0)))</f>
        <v>1</v>
      </c>
      <c r="M886" s="28" t="str">
        <f aca="false">IF(L886&gt;=5,"YES","no - dead move")</f>
        <v>no - dead move</v>
      </c>
    </row>
    <row r="887" customFormat="false" ht="15" hidden="false" customHeight="false" outlineLevel="0" collapsed="false">
      <c r="A887" s="17" t="n">
        <v>883</v>
      </c>
      <c r="B887" s="17" t="s">
        <v>41</v>
      </c>
      <c r="C887" s="17" t="s">
        <v>43</v>
      </c>
      <c r="D887" s="17" t="s">
        <v>44</v>
      </c>
      <c r="E887" s="17" t="s">
        <v>54</v>
      </c>
      <c r="F887" s="25" t="n">
        <f aca="false">SUMPRODUCT(--((('Yellow Bosses'!$I$5:$I$53&gt;=2)+('Yellow Bosses'!$K$5:$K$53&gt;=2)+('Yellow Bosses'!$L$5:$L$53&gt;=2)+('Yellow Bosses'!$V$5:$V$53&gt;=2))&gt;0))</f>
        <v>29</v>
      </c>
      <c r="G887" s="26" t="n">
        <f aca="false">F887/49</f>
        <v>0.591836734693878</v>
      </c>
      <c r="H887" s="25" t="n">
        <f aca="false">49-SUMPRODUCT(--((('Yellow Bosses'!$I$5:$I$53&gt;=1)+('Yellow Bosses'!$K$5:$K$53&gt;=1)+('Yellow Bosses'!$L$5:$L$53&gt;=1)+('Yellow Bosses'!$V$5:$V$53&gt;=1))&gt;0))</f>
        <v>0</v>
      </c>
      <c r="I887" s="25" t="n">
        <f aca="false">SUMPRODUCT(--((('Yellow Bosses'!$I$5:$I$53&gt;0)+('Yellow Bosses'!$K$5:$K$53&gt;0)+('Yellow Bosses'!$L$5:$L$53&gt;0)+('Yellow Bosses'!$V$5:$V$53&gt;0))=0))</f>
        <v>0</v>
      </c>
      <c r="J887" s="25" t="n">
        <f aca="false">SUMPRODUCT(--(((Effectiveness!$F$5:$F$155&gt;=2)+(Effectiveness!$H$5:$H$155&gt;=2)+(Effectiveness!$I$5:$I$155&gt;=2)+(Effectiveness!$S$5:$S$155&gt;=2))&gt;0))</f>
        <v>86</v>
      </c>
      <c r="K887" s="26" t="n">
        <f aca="false">J887/151</f>
        <v>0.56953642384106</v>
      </c>
      <c r="L887" s="25" t="n">
        <f aca="false">MIN(INDEX('Move Reality'!$F$5:$F$19,MATCH(B887,'Move Reality'!$A$5:$A$19,0)),INDEX('Move Reality'!$F$5:$F$19,MATCH(C887,'Move Reality'!$A$5:$A$19,0)),INDEX('Move Reality'!$F$5:$F$19,MATCH(D887,'Move Reality'!$A$5:$A$19,0)),INDEX('Move Reality'!$F$5:$F$19,MATCH(E887,'Move Reality'!$A$5:$A$19,0)))</f>
        <v>1</v>
      </c>
      <c r="M887" s="28" t="str">
        <f aca="false">IF(L887&gt;=5,"YES","no - dead move")</f>
        <v>no - dead move</v>
      </c>
    </row>
    <row r="888" customFormat="false" ht="15" hidden="false" customHeight="false" outlineLevel="0" collapsed="false">
      <c r="A888" s="17" t="n">
        <v>884</v>
      </c>
      <c r="B888" s="17" t="s">
        <v>42</v>
      </c>
      <c r="C888" s="17" t="s">
        <v>44</v>
      </c>
      <c r="D888" s="17" t="s">
        <v>45</v>
      </c>
      <c r="E888" s="17" t="s">
        <v>54</v>
      </c>
      <c r="F888" s="25" t="n">
        <f aca="false">SUMPRODUCT(--((('Yellow Bosses'!$J$5:$J$53&gt;=2)+('Yellow Bosses'!$L$5:$L$53&gt;=2)+('Yellow Bosses'!$M$5:$M$53&gt;=2)+('Yellow Bosses'!$V$5:$V$53&gt;=2))&gt;0))</f>
        <v>29</v>
      </c>
      <c r="G888" s="26" t="n">
        <f aca="false">F888/49</f>
        <v>0.591836734693878</v>
      </c>
      <c r="H888" s="25" t="n">
        <f aca="false">49-SUMPRODUCT(--((('Yellow Bosses'!$J$5:$J$53&gt;=1)+('Yellow Bosses'!$L$5:$L$53&gt;=1)+('Yellow Bosses'!$M$5:$M$53&gt;=1)+('Yellow Bosses'!$V$5:$V$53&gt;=1))&gt;0))</f>
        <v>0</v>
      </c>
      <c r="I888" s="25" t="n">
        <f aca="false">SUMPRODUCT(--((('Yellow Bosses'!$J$5:$J$53&gt;0)+('Yellow Bosses'!$L$5:$L$53&gt;0)+('Yellow Bosses'!$M$5:$M$53&gt;0)+('Yellow Bosses'!$V$5:$V$53&gt;0))=0))</f>
        <v>0</v>
      </c>
      <c r="J888" s="25" t="n">
        <f aca="false">SUMPRODUCT(--(((Effectiveness!$G$5:$G$155&gt;=2)+(Effectiveness!$I$5:$I$155&gt;=2)+(Effectiveness!$J$5:$J$155&gt;=2)+(Effectiveness!$S$5:$S$155&gt;=2))&gt;0))</f>
        <v>86</v>
      </c>
      <c r="K888" s="26" t="n">
        <f aca="false">J888/151</f>
        <v>0.56953642384106</v>
      </c>
      <c r="L888" s="25" t="n">
        <f aca="false">MIN(INDEX('Move Reality'!$F$5:$F$19,MATCH(B888,'Move Reality'!$A$5:$A$19,0)),INDEX('Move Reality'!$F$5:$F$19,MATCH(C888,'Move Reality'!$A$5:$A$19,0)),INDEX('Move Reality'!$F$5:$F$19,MATCH(D888,'Move Reality'!$A$5:$A$19,0)),INDEX('Move Reality'!$F$5:$F$19,MATCH(E888,'Move Reality'!$A$5:$A$19,0)))</f>
        <v>1</v>
      </c>
      <c r="M888" s="28" t="str">
        <f aca="false">IF(L888&gt;=5,"YES","no - dead move")</f>
        <v>no - dead move</v>
      </c>
    </row>
    <row r="889" customFormat="false" ht="15" hidden="false" customHeight="false" outlineLevel="0" collapsed="false">
      <c r="A889" s="17" t="n">
        <v>885</v>
      </c>
      <c r="B889" s="17" t="s">
        <v>43</v>
      </c>
      <c r="C889" s="17" t="s">
        <v>44</v>
      </c>
      <c r="D889" s="17" t="s">
        <v>47</v>
      </c>
      <c r="E889" s="17" t="s">
        <v>52</v>
      </c>
      <c r="F889" s="25" t="n">
        <f aca="false">SUMPRODUCT(--((('Yellow Bosses'!$K$5:$K$53&gt;=2)+('Yellow Bosses'!$L$5:$L$53&gt;=2)+('Yellow Bosses'!$O$5:$O$53&gt;=2)+('Yellow Bosses'!$T$5:$T$53&gt;=2))&gt;0))</f>
        <v>29</v>
      </c>
      <c r="G889" s="26" t="n">
        <f aca="false">F889/49</f>
        <v>0.591836734693878</v>
      </c>
      <c r="H889" s="25" t="n">
        <f aca="false">49-SUMPRODUCT(--((('Yellow Bosses'!$K$5:$K$53&gt;=1)+('Yellow Bosses'!$L$5:$L$53&gt;=1)+('Yellow Bosses'!$O$5:$O$53&gt;=1)+('Yellow Bosses'!$T$5:$T$53&gt;=1))&gt;0))</f>
        <v>0</v>
      </c>
      <c r="I889" s="25" t="n">
        <f aca="false">SUMPRODUCT(--((('Yellow Bosses'!$K$5:$K$53&gt;0)+('Yellow Bosses'!$L$5:$L$53&gt;0)+('Yellow Bosses'!$O$5:$O$53&gt;0)+('Yellow Bosses'!$T$5:$T$53&gt;0))=0))</f>
        <v>0</v>
      </c>
      <c r="J889" s="25" t="n">
        <f aca="false">SUMPRODUCT(--(((Effectiveness!$H$5:$H$155&gt;=2)+(Effectiveness!$I$5:$I$155&gt;=2)+(Effectiveness!$L$5:$L$155&gt;=2)+(Effectiveness!$Q$5:$Q$155&gt;=2))&gt;0))</f>
        <v>86</v>
      </c>
      <c r="K889" s="26" t="n">
        <f aca="false">J889/151</f>
        <v>0.56953642384106</v>
      </c>
      <c r="L889" s="25" t="n">
        <f aca="false">MIN(INDEX('Move Reality'!$F$5:$F$19,MATCH(B889,'Move Reality'!$A$5:$A$19,0)),INDEX('Move Reality'!$F$5:$F$19,MATCH(C889,'Move Reality'!$A$5:$A$19,0)),INDEX('Move Reality'!$F$5:$F$19,MATCH(D889,'Move Reality'!$A$5:$A$19,0)),INDEX('Move Reality'!$F$5:$F$19,MATCH(E889,'Move Reality'!$A$5:$A$19,0)))</f>
        <v>2</v>
      </c>
      <c r="M889" s="28" t="str">
        <f aca="false">IF(L889&gt;=5,"YES","no - dead move")</f>
        <v>no - dead move</v>
      </c>
    </row>
    <row r="890" customFormat="false" ht="15" hidden="false" customHeight="false" outlineLevel="0" collapsed="false">
      <c r="A890" s="17" t="n">
        <v>886</v>
      </c>
      <c r="B890" s="17" t="s">
        <v>43</v>
      </c>
      <c r="C890" s="17" t="s">
        <v>45</v>
      </c>
      <c r="D890" s="17" t="s">
        <v>47</v>
      </c>
      <c r="E890" s="17" t="s">
        <v>53</v>
      </c>
      <c r="F890" s="25" t="n">
        <f aca="false">SUMPRODUCT(--((('Yellow Bosses'!$K$5:$K$53&gt;=2)+('Yellow Bosses'!$M$5:$M$53&gt;=2)+('Yellow Bosses'!$O$5:$O$53&gt;=2)+('Yellow Bosses'!$U$5:$U$53&gt;=2))&gt;0))</f>
        <v>29</v>
      </c>
      <c r="G890" s="26" t="n">
        <f aca="false">F890/49</f>
        <v>0.591836734693878</v>
      </c>
      <c r="H890" s="25" t="n">
        <f aca="false">49-SUMPRODUCT(--((('Yellow Bosses'!$K$5:$K$53&gt;=1)+('Yellow Bosses'!$M$5:$M$53&gt;=1)+('Yellow Bosses'!$O$5:$O$53&gt;=1)+('Yellow Bosses'!$U$5:$U$53&gt;=1))&gt;0))</f>
        <v>0</v>
      </c>
      <c r="I890" s="25" t="n">
        <f aca="false">SUMPRODUCT(--((('Yellow Bosses'!$K$5:$K$53&gt;0)+('Yellow Bosses'!$M$5:$M$53&gt;0)+('Yellow Bosses'!$O$5:$O$53&gt;0)+('Yellow Bosses'!$U$5:$U$53&gt;0))=0))</f>
        <v>0</v>
      </c>
      <c r="J890" s="25" t="n">
        <f aca="false">SUMPRODUCT(--(((Effectiveness!$H$5:$H$155&gt;=2)+(Effectiveness!$J$5:$J$155&gt;=2)+(Effectiveness!$L$5:$L$155&gt;=2)+(Effectiveness!$R$5:$R$155&gt;=2))&gt;0))</f>
        <v>86</v>
      </c>
      <c r="K890" s="26" t="n">
        <f aca="false">J890/151</f>
        <v>0.56953642384106</v>
      </c>
      <c r="L890" s="25" t="n">
        <f aca="false">MIN(INDEX('Move Reality'!$F$5:$F$19,MATCH(B890,'Move Reality'!$A$5:$A$19,0)),INDEX('Move Reality'!$F$5:$F$19,MATCH(C890,'Move Reality'!$A$5:$A$19,0)),INDEX('Move Reality'!$F$5:$F$19,MATCH(D890,'Move Reality'!$A$5:$A$19,0)),INDEX('Move Reality'!$F$5:$F$19,MATCH(E890,'Move Reality'!$A$5:$A$19,0)))</f>
        <v>1</v>
      </c>
      <c r="M890" s="28" t="str">
        <f aca="false">IF(L890&gt;=5,"YES","no - dead move")</f>
        <v>no - dead move</v>
      </c>
    </row>
    <row r="891" customFormat="false" ht="15" hidden="false" customHeight="false" outlineLevel="0" collapsed="false">
      <c r="A891" s="17" t="n">
        <v>887</v>
      </c>
      <c r="B891" s="17" t="s">
        <v>45</v>
      </c>
      <c r="C891" s="17" t="s">
        <v>46</v>
      </c>
      <c r="D891" s="17" t="s">
        <v>47</v>
      </c>
      <c r="E891" s="17" t="s">
        <v>49</v>
      </c>
      <c r="F891" s="25" t="n">
        <f aca="false">SUMPRODUCT(--((('Yellow Bosses'!$M$5:$M$53&gt;=2)+('Yellow Bosses'!$N$5:$N$53&gt;=2)+('Yellow Bosses'!$O$5:$O$53&gt;=2)+('Yellow Bosses'!$Q$5:$Q$53&gt;=2))&gt;0))</f>
        <v>29</v>
      </c>
      <c r="G891" s="26" t="n">
        <f aca="false">F891/49</f>
        <v>0.591836734693878</v>
      </c>
      <c r="H891" s="25" t="n">
        <f aca="false">49-SUMPRODUCT(--((('Yellow Bosses'!$M$5:$M$53&gt;=1)+('Yellow Bosses'!$N$5:$N$53&gt;=1)+('Yellow Bosses'!$O$5:$O$53&gt;=1)+('Yellow Bosses'!$Q$5:$Q$53&gt;=1))&gt;0))</f>
        <v>0</v>
      </c>
      <c r="I891" s="25" t="n">
        <f aca="false">SUMPRODUCT(--((('Yellow Bosses'!$M$5:$M$53&gt;0)+('Yellow Bosses'!$N$5:$N$53&gt;0)+('Yellow Bosses'!$O$5:$O$53&gt;0)+('Yellow Bosses'!$Q$5:$Q$53&gt;0))=0))</f>
        <v>0</v>
      </c>
      <c r="J891" s="25" t="n">
        <f aca="false">SUMPRODUCT(--(((Effectiveness!$J$5:$J$155&gt;=2)+(Effectiveness!$K$5:$K$155&gt;=2)+(Effectiveness!$L$5:$L$155&gt;=2)+(Effectiveness!$N$5:$N$155&gt;=2))&gt;0))</f>
        <v>86</v>
      </c>
      <c r="K891" s="26" t="n">
        <f aca="false">J891/151</f>
        <v>0.56953642384106</v>
      </c>
      <c r="L891" s="25" t="n">
        <f aca="false">MIN(INDEX('Move Reality'!$F$5:$F$19,MATCH(B891,'Move Reality'!$A$5:$A$19,0)),INDEX('Move Reality'!$F$5:$F$19,MATCH(C891,'Move Reality'!$A$5:$A$19,0)),INDEX('Move Reality'!$F$5:$F$19,MATCH(D891,'Move Reality'!$A$5:$A$19,0)),INDEX('Move Reality'!$F$5:$F$19,MATCH(E891,'Move Reality'!$A$5:$A$19,0)))</f>
        <v>2</v>
      </c>
      <c r="M891" s="28" t="str">
        <f aca="false">IF(L891&gt;=5,"YES","no - dead move")</f>
        <v>no - dead move</v>
      </c>
    </row>
    <row r="892" customFormat="false" ht="15" hidden="false" customHeight="false" outlineLevel="0" collapsed="false">
      <c r="A892" s="17" t="n">
        <v>888</v>
      </c>
      <c r="B892" s="17" t="s">
        <v>45</v>
      </c>
      <c r="C892" s="17" t="s">
        <v>46</v>
      </c>
      <c r="D892" s="17" t="s">
        <v>49</v>
      </c>
      <c r="E892" s="17" t="s">
        <v>54</v>
      </c>
      <c r="F892" s="25" t="n">
        <f aca="false">SUMPRODUCT(--((('Yellow Bosses'!$M$5:$M$53&gt;=2)+('Yellow Bosses'!$N$5:$N$53&gt;=2)+('Yellow Bosses'!$Q$5:$Q$53&gt;=2)+('Yellow Bosses'!$V$5:$V$53&gt;=2))&gt;0))</f>
        <v>29</v>
      </c>
      <c r="G892" s="26" t="n">
        <f aca="false">F892/49</f>
        <v>0.591836734693878</v>
      </c>
      <c r="H892" s="25" t="n">
        <f aca="false">49-SUMPRODUCT(--((('Yellow Bosses'!$M$5:$M$53&gt;=1)+('Yellow Bosses'!$N$5:$N$53&gt;=1)+('Yellow Bosses'!$Q$5:$Q$53&gt;=1)+('Yellow Bosses'!$V$5:$V$53&gt;=1))&gt;0))</f>
        <v>0</v>
      </c>
      <c r="I892" s="25" t="n">
        <f aca="false">SUMPRODUCT(--((('Yellow Bosses'!$M$5:$M$53&gt;0)+('Yellow Bosses'!$N$5:$N$53&gt;0)+('Yellow Bosses'!$Q$5:$Q$53&gt;0)+('Yellow Bosses'!$V$5:$V$53&gt;0))=0))</f>
        <v>0</v>
      </c>
      <c r="J892" s="25" t="n">
        <f aca="false">SUMPRODUCT(--(((Effectiveness!$J$5:$J$155&gt;=2)+(Effectiveness!$K$5:$K$155&gt;=2)+(Effectiveness!$N$5:$N$155&gt;=2)+(Effectiveness!$S$5:$S$155&gt;=2))&gt;0))</f>
        <v>86</v>
      </c>
      <c r="K892" s="26" t="n">
        <f aca="false">J892/151</f>
        <v>0.56953642384106</v>
      </c>
      <c r="L892" s="25" t="n">
        <f aca="false">MIN(INDEX('Move Reality'!$F$5:$F$19,MATCH(B892,'Move Reality'!$A$5:$A$19,0)),INDEX('Move Reality'!$F$5:$F$19,MATCH(C892,'Move Reality'!$A$5:$A$19,0)),INDEX('Move Reality'!$F$5:$F$19,MATCH(D892,'Move Reality'!$A$5:$A$19,0)),INDEX('Move Reality'!$F$5:$F$19,MATCH(E892,'Move Reality'!$A$5:$A$19,0)))</f>
        <v>1</v>
      </c>
      <c r="M892" s="28" t="str">
        <f aca="false">IF(L892&gt;=5,"YES","no - dead move")</f>
        <v>no - dead move</v>
      </c>
    </row>
    <row r="893" customFormat="false" ht="15" hidden="false" customHeight="false" outlineLevel="0" collapsed="false">
      <c r="A893" s="17" t="n">
        <v>889</v>
      </c>
      <c r="B893" s="17" t="s">
        <v>40</v>
      </c>
      <c r="C893" s="17" t="s">
        <v>42</v>
      </c>
      <c r="D893" s="17" t="s">
        <v>43</v>
      </c>
      <c r="E893" s="17" t="s">
        <v>52</v>
      </c>
      <c r="F893" s="25" t="n">
        <f aca="false">SUMPRODUCT(--((('Yellow Bosses'!$H$5:$H$53&gt;=2)+('Yellow Bosses'!$J$5:$J$53&gt;=2)+('Yellow Bosses'!$K$5:$K$53&gt;=2)+('Yellow Bosses'!$T$5:$T$53&gt;=2))&gt;0))</f>
        <v>29</v>
      </c>
      <c r="G893" s="26" t="n">
        <f aca="false">F893/49</f>
        <v>0.591836734693878</v>
      </c>
      <c r="H893" s="25" t="n">
        <f aca="false">49-SUMPRODUCT(--((('Yellow Bosses'!$H$5:$H$53&gt;=1)+('Yellow Bosses'!$J$5:$J$53&gt;=1)+('Yellow Bosses'!$K$5:$K$53&gt;=1)+('Yellow Bosses'!$T$5:$T$53&gt;=1))&gt;0))</f>
        <v>0</v>
      </c>
      <c r="I893" s="25" t="n">
        <f aca="false">SUMPRODUCT(--((('Yellow Bosses'!$H$5:$H$53&gt;0)+('Yellow Bosses'!$J$5:$J$53&gt;0)+('Yellow Bosses'!$K$5:$K$53&gt;0)+('Yellow Bosses'!$T$5:$T$53&gt;0))=0))</f>
        <v>0</v>
      </c>
      <c r="J893" s="25" t="n">
        <f aca="false">SUMPRODUCT(--(((Effectiveness!$E$5:$E$155&gt;=2)+(Effectiveness!$G$5:$G$155&gt;=2)+(Effectiveness!$H$5:$H$155&gt;=2)+(Effectiveness!$Q$5:$Q$155&gt;=2))&gt;0))</f>
        <v>85</v>
      </c>
      <c r="K893" s="26" t="n">
        <f aca="false">J893/151</f>
        <v>0.562913907284768</v>
      </c>
      <c r="L893" s="25" t="n">
        <f aca="false">MIN(INDEX('Move Reality'!$F$5:$F$19,MATCH(B893,'Move Reality'!$A$5:$A$19,0)),INDEX('Move Reality'!$F$5:$F$19,MATCH(C893,'Move Reality'!$A$5:$A$19,0)),INDEX('Move Reality'!$F$5:$F$19,MATCH(D893,'Move Reality'!$A$5:$A$19,0)),INDEX('Move Reality'!$F$5:$F$19,MATCH(E893,'Move Reality'!$A$5:$A$19,0)))</f>
        <v>6</v>
      </c>
      <c r="M893" s="28" t="str">
        <f aca="false">IF(L893&gt;=5,"YES","no - dead move")</f>
        <v>YES</v>
      </c>
    </row>
    <row r="894" customFormat="false" ht="15" hidden="false" customHeight="false" outlineLevel="0" collapsed="false">
      <c r="A894" s="17" t="n">
        <v>890</v>
      </c>
      <c r="B894" s="17" t="s">
        <v>42</v>
      </c>
      <c r="C894" s="17" t="s">
        <v>43</v>
      </c>
      <c r="D894" s="17" t="s">
        <v>44</v>
      </c>
      <c r="E894" s="17" t="s">
        <v>52</v>
      </c>
      <c r="F894" s="25" t="n">
        <f aca="false">SUMPRODUCT(--((('Yellow Bosses'!$J$5:$J$53&gt;=2)+('Yellow Bosses'!$K$5:$K$53&gt;=2)+('Yellow Bosses'!$L$5:$L$53&gt;=2)+('Yellow Bosses'!$T$5:$T$53&gt;=2))&gt;0))</f>
        <v>29</v>
      </c>
      <c r="G894" s="26" t="n">
        <f aca="false">F894/49</f>
        <v>0.591836734693878</v>
      </c>
      <c r="H894" s="25" t="n">
        <f aca="false">49-SUMPRODUCT(--((('Yellow Bosses'!$J$5:$J$53&gt;=1)+('Yellow Bosses'!$K$5:$K$53&gt;=1)+('Yellow Bosses'!$L$5:$L$53&gt;=1)+('Yellow Bosses'!$T$5:$T$53&gt;=1))&gt;0))</f>
        <v>0</v>
      </c>
      <c r="I894" s="25" t="n">
        <f aca="false">SUMPRODUCT(--((('Yellow Bosses'!$J$5:$J$53&gt;0)+('Yellow Bosses'!$K$5:$K$53&gt;0)+('Yellow Bosses'!$L$5:$L$53&gt;0)+('Yellow Bosses'!$T$5:$T$53&gt;0))=0))</f>
        <v>0</v>
      </c>
      <c r="J894" s="25" t="n">
        <f aca="false">SUMPRODUCT(--(((Effectiveness!$G$5:$G$155&gt;=2)+(Effectiveness!$H$5:$H$155&gt;=2)+(Effectiveness!$I$5:$I$155&gt;=2)+(Effectiveness!$Q$5:$Q$155&gt;=2))&gt;0))</f>
        <v>85</v>
      </c>
      <c r="K894" s="26" t="n">
        <f aca="false">J894/151</f>
        <v>0.562913907284768</v>
      </c>
      <c r="L894" s="25" t="n">
        <f aca="false">MIN(INDEX('Move Reality'!$F$5:$F$19,MATCH(B894,'Move Reality'!$A$5:$A$19,0)),INDEX('Move Reality'!$F$5:$F$19,MATCH(C894,'Move Reality'!$A$5:$A$19,0)),INDEX('Move Reality'!$F$5:$F$19,MATCH(D894,'Move Reality'!$A$5:$A$19,0)),INDEX('Move Reality'!$F$5:$F$19,MATCH(E894,'Move Reality'!$A$5:$A$19,0)))</f>
        <v>4</v>
      </c>
      <c r="M894" s="28" t="str">
        <f aca="false">IF(L894&gt;=5,"YES","no - dead move")</f>
        <v>no - dead move</v>
      </c>
    </row>
    <row r="895" customFormat="false" ht="15" hidden="false" customHeight="false" outlineLevel="0" collapsed="false">
      <c r="A895" s="17" t="n">
        <v>891</v>
      </c>
      <c r="B895" s="17" t="s">
        <v>43</v>
      </c>
      <c r="C895" s="17" t="s">
        <v>44</v>
      </c>
      <c r="D895" s="17" t="s">
        <v>52</v>
      </c>
      <c r="E895" s="17" t="s">
        <v>54</v>
      </c>
      <c r="F895" s="25" t="n">
        <f aca="false">SUMPRODUCT(--((('Yellow Bosses'!$K$5:$K$53&gt;=2)+('Yellow Bosses'!$L$5:$L$53&gt;=2)+('Yellow Bosses'!$T$5:$T$53&gt;=2)+('Yellow Bosses'!$V$5:$V$53&gt;=2))&gt;0))</f>
        <v>29</v>
      </c>
      <c r="G895" s="26" t="n">
        <f aca="false">F895/49</f>
        <v>0.591836734693878</v>
      </c>
      <c r="H895" s="25" t="n">
        <f aca="false">49-SUMPRODUCT(--((('Yellow Bosses'!$K$5:$K$53&gt;=1)+('Yellow Bosses'!$L$5:$L$53&gt;=1)+('Yellow Bosses'!$T$5:$T$53&gt;=1)+('Yellow Bosses'!$V$5:$V$53&gt;=1))&gt;0))</f>
        <v>0</v>
      </c>
      <c r="I895" s="25" t="n">
        <f aca="false">SUMPRODUCT(--((('Yellow Bosses'!$K$5:$K$53&gt;0)+('Yellow Bosses'!$L$5:$L$53&gt;0)+('Yellow Bosses'!$T$5:$T$53&gt;0)+('Yellow Bosses'!$V$5:$V$53&gt;0))=0))</f>
        <v>0</v>
      </c>
      <c r="J895" s="25" t="n">
        <f aca="false">SUMPRODUCT(--(((Effectiveness!$H$5:$H$155&gt;=2)+(Effectiveness!$I$5:$I$155&gt;=2)+(Effectiveness!$Q$5:$Q$155&gt;=2)+(Effectiveness!$S$5:$S$155&gt;=2))&gt;0))</f>
        <v>85</v>
      </c>
      <c r="K895" s="26" t="n">
        <f aca="false">J895/151</f>
        <v>0.562913907284768</v>
      </c>
      <c r="L895" s="25" t="n">
        <f aca="false">MIN(INDEX('Move Reality'!$F$5:$F$19,MATCH(B895,'Move Reality'!$A$5:$A$19,0)),INDEX('Move Reality'!$F$5:$F$19,MATCH(C895,'Move Reality'!$A$5:$A$19,0)),INDEX('Move Reality'!$F$5:$F$19,MATCH(D895,'Move Reality'!$A$5:$A$19,0)),INDEX('Move Reality'!$F$5:$F$19,MATCH(E895,'Move Reality'!$A$5:$A$19,0)))</f>
        <v>1</v>
      </c>
      <c r="M895" s="28" t="str">
        <f aca="false">IF(L895&gt;=5,"YES","no - dead move")</f>
        <v>no - dead move</v>
      </c>
    </row>
    <row r="896" customFormat="false" ht="15" hidden="false" customHeight="false" outlineLevel="0" collapsed="false">
      <c r="A896" s="17" t="n">
        <v>892</v>
      </c>
      <c r="B896" s="17" t="s">
        <v>40</v>
      </c>
      <c r="C896" s="17" t="s">
        <v>44</v>
      </c>
      <c r="D896" s="17" t="s">
        <v>47</v>
      </c>
      <c r="E896" s="17" t="s">
        <v>52</v>
      </c>
      <c r="F896" s="25" t="n">
        <f aca="false">SUMPRODUCT(--((('Yellow Bosses'!$H$5:$H$53&gt;=2)+('Yellow Bosses'!$L$5:$L$53&gt;=2)+('Yellow Bosses'!$O$5:$O$53&gt;=2)+('Yellow Bosses'!$T$5:$T$53&gt;=2))&gt;0))</f>
        <v>29</v>
      </c>
      <c r="G896" s="26" t="n">
        <f aca="false">F896/49</f>
        <v>0.591836734693878</v>
      </c>
      <c r="H896" s="25" t="n">
        <f aca="false">49-SUMPRODUCT(--((('Yellow Bosses'!$H$5:$H$53&gt;=1)+('Yellow Bosses'!$L$5:$L$53&gt;=1)+('Yellow Bosses'!$O$5:$O$53&gt;=1)+('Yellow Bosses'!$T$5:$T$53&gt;=1))&gt;0))</f>
        <v>0</v>
      </c>
      <c r="I896" s="25" t="n">
        <f aca="false">SUMPRODUCT(--((('Yellow Bosses'!$H$5:$H$53&gt;0)+('Yellow Bosses'!$L$5:$L$53&gt;0)+('Yellow Bosses'!$O$5:$O$53&gt;0)+('Yellow Bosses'!$T$5:$T$53&gt;0))=0))</f>
        <v>0</v>
      </c>
      <c r="J896" s="25" t="n">
        <f aca="false">SUMPRODUCT(--(((Effectiveness!$E$5:$E$155&gt;=2)+(Effectiveness!$I$5:$I$155&gt;=2)+(Effectiveness!$L$5:$L$155&gt;=2)+(Effectiveness!$Q$5:$Q$155&gt;=2))&gt;0))</f>
        <v>84</v>
      </c>
      <c r="K896" s="26" t="n">
        <f aca="false">J896/151</f>
        <v>0.556291390728477</v>
      </c>
      <c r="L896" s="25" t="n">
        <f aca="false">MIN(INDEX('Move Reality'!$F$5:$F$19,MATCH(B896,'Move Reality'!$A$5:$A$19,0)),INDEX('Move Reality'!$F$5:$F$19,MATCH(C896,'Move Reality'!$A$5:$A$19,0)),INDEX('Move Reality'!$F$5:$F$19,MATCH(D896,'Move Reality'!$A$5:$A$19,0)),INDEX('Move Reality'!$F$5:$F$19,MATCH(E896,'Move Reality'!$A$5:$A$19,0)))</f>
        <v>2</v>
      </c>
      <c r="M896" s="28" t="str">
        <f aca="false">IF(L896&gt;=5,"YES","no - dead move")</f>
        <v>no - dead move</v>
      </c>
    </row>
    <row r="897" customFormat="false" ht="15" hidden="false" customHeight="false" outlineLevel="0" collapsed="false">
      <c r="A897" s="17" t="n">
        <v>893</v>
      </c>
      <c r="B897" s="17" t="s">
        <v>41</v>
      </c>
      <c r="C897" s="17" t="s">
        <v>46</v>
      </c>
      <c r="D897" s="17" t="s">
        <v>52</v>
      </c>
      <c r="E897" s="17" t="s">
        <v>53</v>
      </c>
      <c r="F897" s="25" t="n">
        <f aca="false">SUMPRODUCT(--((('Yellow Bosses'!$I$5:$I$53&gt;=2)+('Yellow Bosses'!$N$5:$N$53&gt;=2)+('Yellow Bosses'!$T$5:$T$53&gt;=2)+('Yellow Bosses'!$U$5:$U$53&gt;=2))&gt;0))</f>
        <v>29</v>
      </c>
      <c r="G897" s="26" t="n">
        <f aca="false">F897/49</f>
        <v>0.591836734693878</v>
      </c>
      <c r="H897" s="25" t="n">
        <f aca="false">49-SUMPRODUCT(--((('Yellow Bosses'!$I$5:$I$53&gt;=1)+('Yellow Bosses'!$N$5:$N$53&gt;=1)+('Yellow Bosses'!$T$5:$T$53&gt;=1)+('Yellow Bosses'!$U$5:$U$53&gt;=1))&gt;0))</f>
        <v>0</v>
      </c>
      <c r="I897" s="25" t="n">
        <f aca="false">SUMPRODUCT(--((('Yellow Bosses'!$I$5:$I$53&gt;0)+('Yellow Bosses'!$N$5:$N$53&gt;0)+('Yellow Bosses'!$T$5:$T$53&gt;0)+('Yellow Bosses'!$U$5:$U$53&gt;0))=0))</f>
        <v>0</v>
      </c>
      <c r="J897" s="25" t="n">
        <f aca="false">SUMPRODUCT(--(((Effectiveness!$F$5:$F$155&gt;=2)+(Effectiveness!$K$5:$K$155&gt;=2)+(Effectiveness!$Q$5:$Q$155&gt;=2)+(Effectiveness!$R$5:$R$155&gt;=2))&gt;0))</f>
        <v>84</v>
      </c>
      <c r="K897" s="26" t="n">
        <f aca="false">J897/151</f>
        <v>0.556291390728477</v>
      </c>
      <c r="L897" s="25" t="n">
        <f aca="false">MIN(INDEX('Move Reality'!$F$5:$F$19,MATCH(B897,'Move Reality'!$A$5:$A$19,0)),INDEX('Move Reality'!$F$5:$F$19,MATCH(C897,'Move Reality'!$A$5:$A$19,0)),INDEX('Move Reality'!$F$5:$F$19,MATCH(D897,'Move Reality'!$A$5:$A$19,0)),INDEX('Move Reality'!$F$5:$F$19,MATCH(E897,'Move Reality'!$A$5:$A$19,0)))</f>
        <v>1</v>
      </c>
      <c r="M897" s="28" t="str">
        <f aca="false">IF(L897&gt;=5,"YES","no - dead move")</f>
        <v>no - dead move</v>
      </c>
    </row>
    <row r="898" customFormat="false" ht="15" hidden="false" customHeight="false" outlineLevel="0" collapsed="false">
      <c r="A898" s="17" t="n">
        <v>894</v>
      </c>
      <c r="B898" s="17" t="s">
        <v>40</v>
      </c>
      <c r="C898" s="17" t="s">
        <v>42</v>
      </c>
      <c r="D898" s="17" t="s">
        <v>44</v>
      </c>
      <c r="E898" s="17" t="s">
        <v>52</v>
      </c>
      <c r="F898" s="25" t="n">
        <f aca="false">SUMPRODUCT(--((('Yellow Bosses'!$H$5:$H$53&gt;=2)+('Yellow Bosses'!$J$5:$J$53&gt;=2)+('Yellow Bosses'!$L$5:$L$53&gt;=2)+('Yellow Bosses'!$T$5:$T$53&gt;=2))&gt;0))</f>
        <v>29</v>
      </c>
      <c r="G898" s="26" t="n">
        <f aca="false">F898/49</f>
        <v>0.591836734693878</v>
      </c>
      <c r="H898" s="25" t="n">
        <f aca="false">49-SUMPRODUCT(--((('Yellow Bosses'!$H$5:$H$53&gt;=1)+('Yellow Bosses'!$J$5:$J$53&gt;=1)+('Yellow Bosses'!$L$5:$L$53&gt;=1)+('Yellow Bosses'!$T$5:$T$53&gt;=1))&gt;0))</f>
        <v>0</v>
      </c>
      <c r="I898" s="25" t="n">
        <f aca="false">SUMPRODUCT(--((('Yellow Bosses'!$H$5:$H$53&gt;0)+('Yellow Bosses'!$J$5:$J$53&gt;0)+('Yellow Bosses'!$L$5:$L$53&gt;0)+('Yellow Bosses'!$T$5:$T$53&gt;0))=0))</f>
        <v>0</v>
      </c>
      <c r="J898" s="25" t="n">
        <f aca="false">SUMPRODUCT(--(((Effectiveness!$E$5:$E$155&gt;=2)+(Effectiveness!$G$5:$G$155&gt;=2)+(Effectiveness!$I$5:$I$155&gt;=2)+(Effectiveness!$Q$5:$Q$155&gt;=2))&gt;0))</f>
        <v>83</v>
      </c>
      <c r="K898" s="26" t="n">
        <f aca="false">J898/151</f>
        <v>0.549668874172186</v>
      </c>
      <c r="L898" s="25" t="n">
        <f aca="false">MIN(INDEX('Move Reality'!$F$5:$F$19,MATCH(B898,'Move Reality'!$A$5:$A$19,0)),INDEX('Move Reality'!$F$5:$F$19,MATCH(C898,'Move Reality'!$A$5:$A$19,0)),INDEX('Move Reality'!$F$5:$F$19,MATCH(D898,'Move Reality'!$A$5:$A$19,0)),INDEX('Move Reality'!$F$5:$F$19,MATCH(E898,'Move Reality'!$A$5:$A$19,0)))</f>
        <v>4</v>
      </c>
      <c r="M898" s="28" t="str">
        <f aca="false">IF(L898&gt;=5,"YES","no - dead move")</f>
        <v>no - dead move</v>
      </c>
    </row>
    <row r="899" customFormat="false" ht="15" hidden="false" customHeight="false" outlineLevel="0" collapsed="false">
      <c r="A899" s="17" t="n">
        <v>895</v>
      </c>
      <c r="B899" s="17" t="s">
        <v>40</v>
      </c>
      <c r="C899" s="17" t="s">
        <v>43</v>
      </c>
      <c r="D899" s="17" t="s">
        <v>45</v>
      </c>
      <c r="E899" s="17" t="s">
        <v>53</v>
      </c>
      <c r="F899" s="25" t="n">
        <f aca="false">SUMPRODUCT(--((('Yellow Bosses'!$H$5:$H$53&gt;=2)+('Yellow Bosses'!$K$5:$K$53&gt;=2)+('Yellow Bosses'!$M$5:$M$53&gt;=2)+('Yellow Bosses'!$U$5:$U$53&gt;=2))&gt;0))</f>
        <v>29</v>
      </c>
      <c r="G899" s="26" t="n">
        <f aca="false">F899/49</f>
        <v>0.591836734693878</v>
      </c>
      <c r="H899" s="25" t="n">
        <f aca="false">49-SUMPRODUCT(--((('Yellow Bosses'!$H$5:$H$53&gt;=1)+('Yellow Bosses'!$K$5:$K$53&gt;=1)+('Yellow Bosses'!$M$5:$M$53&gt;=1)+('Yellow Bosses'!$U$5:$U$53&gt;=1))&gt;0))</f>
        <v>0</v>
      </c>
      <c r="I899" s="25" t="n">
        <f aca="false">SUMPRODUCT(--((('Yellow Bosses'!$H$5:$H$53&gt;0)+('Yellow Bosses'!$K$5:$K$53&gt;0)+('Yellow Bosses'!$M$5:$M$53&gt;0)+('Yellow Bosses'!$U$5:$U$53&gt;0))=0))</f>
        <v>0</v>
      </c>
      <c r="J899" s="25" t="n">
        <f aca="false">SUMPRODUCT(--(((Effectiveness!$E$5:$E$155&gt;=2)+(Effectiveness!$H$5:$H$155&gt;=2)+(Effectiveness!$J$5:$J$155&gt;=2)+(Effectiveness!$R$5:$R$155&gt;=2))&gt;0))</f>
        <v>83</v>
      </c>
      <c r="K899" s="26" t="n">
        <f aca="false">J899/151</f>
        <v>0.549668874172186</v>
      </c>
      <c r="L899" s="25" t="n">
        <f aca="false">MIN(INDEX('Move Reality'!$F$5:$F$19,MATCH(B899,'Move Reality'!$A$5:$A$19,0)),INDEX('Move Reality'!$F$5:$F$19,MATCH(C899,'Move Reality'!$A$5:$A$19,0)),INDEX('Move Reality'!$F$5:$F$19,MATCH(D899,'Move Reality'!$A$5:$A$19,0)),INDEX('Move Reality'!$F$5:$F$19,MATCH(E899,'Move Reality'!$A$5:$A$19,0)))</f>
        <v>1</v>
      </c>
      <c r="M899" s="28" t="str">
        <f aca="false">IF(L899&gt;=5,"YES","no - dead move")</f>
        <v>no - dead move</v>
      </c>
    </row>
    <row r="900" customFormat="false" ht="15" hidden="false" customHeight="false" outlineLevel="0" collapsed="false">
      <c r="A900" s="17" t="n">
        <v>896</v>
      </c>
      <c r="B900" s="17" t="s">
        <v>40</v>
      </c>
      <c r="C900" s="17" t="s">
        <v>44</v>
      </c>
      <c r="D900" s="17" t="s">
        <v>52</v>
      </c>
      <c r="E900" s="17" t="s">
        <v>54</v>
      </c>
      <c r="F900" s="25" t="n">
        <f aca="false">SUMPRODUCT(--((('Yellow Bosses'!$H$5:$H$53&gt;=2)+('Yellow Bosses'!$L$5:$L$53&gt;=2)+('Yellow Bosses'!$T$5:$T$53&gt;=2)+('Yellow Bosses'!$V$5:$V$53&gt;=2))&gt;0))</f>
        <v>29</v>
      </c>
      <c r="G900" s="26" t="n">
        <f aca="false">F900/49</f>
        <v>0.591836734693878</v>
      </c>
      <c r="H900" s="25" t="n">
        <f aca="false">49-SUMPRODUCT(--((('Yellow Bosses'!$H$5:$H$53&gt;=1)+('Yellow Bosses'!$L$5:$L$53&gt;=1)+('Yellow Bosses'!$T$5:$T$53&gt;=1)+('Yellow Bosses'!$V$5:$V$53&gt;=1))&gt;0))</f>
        <v>0</v>
      </c>
      <c r="I900" s="25" t="n">
        <f aca="false">SUMPRODUCT(--((('Yellow Bosses'!$H$5:$H$53&gt;0)+('Yellow Bosses'!$L$5:$L$53&gt;0)+('Yellow Bosses'!$T$5:$T$53&gt;0)+('Yellow Bosses'!$V$5:$V$53&gt;0))=0))</f>
        <v>0</v>
      </c>
      <c r="J900" s="25" t="n">
        <f aca="false">SUMPRODUCT(--(((Effectiveness!$E$5:$E$155&gt;=2)+(Effectiveness!$I$5:$I$155&gt;=2)+(Effectiveness!$Q$5:$Q$155&gt;=2)+(Effectiveness!$S$5:$S$155&gt;=2))&gt;0))</f>
        <v>83</v>
      </c>
      <c r="K900" s="26" t="n">
        <f aca="false">J900/151</f>
        <v>0.549668874172186</v>
      </c>
      <c r="L900" s="25" t="n">
        <f aca="false">MIN(INDEX('Move Reality'!$F$5:$F$19,MATCH(B900,'Move Reality'!$A$5:$A$19,0)),INDEX('Move Reality'!$F$5:$F$19,MATCH(C900,'Move Reality'!$A$5:$A$19,0)),INDEX('Move Reality'!$F$5:$F$19,MATCH(D900,'Move Reality'!$A$5:$A$19,0)),INDEX('Move Reality'!$F$5:$F$19,MATCH(E900,'Move Reality'!$A$5:$A$19,0)))</f>
        <v>1</v>
      </c>
      <c r="M900" s="28" t="str">
        <f aca="false">IF(L900&gt;=5,"YES","no - dead move")</f>
        <v>no - dead move</v>
      </c>
    </row>
    <row r="901" customFormat="false" ht="15" hidden="false" customHeight="false" outlineLevel="0" collapsed="false">
      <c r="A901" s="17" t="n">
        <v>897</v>
      </c>
      <c r="B901" s="17" t="s">
        <v>42</v>
      </c>
      <c r="C901" s="17" t="s">
        <v>45</v>
      </c>
      <c r="D901" s="17" t="s">
        <v>46</v>
      </c>
      <c r="E901" s="17" t="s">
        <v>53</v>
      </c>
      <c r="F901" s="25" t="n">
        <f aca="false">SUMPRODUCT(--((('Yellow Bosses'!$J$5:$J$53&gt;=2)+('Yellow Bosses'!$M$5:$M$53&gt;=2)+('Yellow Bosses'!$N$5:$N$53&gt;=2)+('Yellow Bosses'!$U$5:$U$53&gt;=2))&gt;0))</f>
        <v>29</v>
      </c>
      <c r="G901" s="26" t="n">
        <f aca="false">F901/49</f>
        <v>0.591836734693878</v>
      </c>
      <c r="H901" s="25" t="n">
        <f aca="false">49-SUMPRODUCT(--((('Yellow Bosses'!$J$5:$J$53&gt;=1)+('Yellow Bosses'!$M$5:$M$53&gt;=1)+('Yellow Bosses'!$N$5:$N$53&gt;=1)+('Yellow Bosses'!$U$5:$U$53&gt;=1))&gt;0))</f>
        <v>2</v>
      </c>
      <c r="I901" s="25" t="n">
        <f aca="false">SUMPRODUCT(--((('Yellow Bosses'!$J$5:$J$53&gt;0)+('Yellow Bosses'!$M$5:$M$53&gt;0)+('Yellow Bosses'!$N$5:$N$53&gt;0)+('Yellow Bosses'!$U$5:$U$53&gt;0))=0))</f>
        <v>0</v>
      </c>
      <c r="J901" s="25" t="n">
        <f aca="false">SUMPRODUCT(--(((Effectiveness!$G$5:$G$155&gt;=2)+(Effectiveness!$J$5:$J$155&gt;=2)+(Effectiveness!$K$5:$K$155&gt;=2)+(Effectiveness!$R$5:$R$155&gt;=2))&gt;0))</f>
        <v>83</v>
      </c>
      <c r="K901" s="26" t="n">
        <f aca="false">J901/151</f>
        <v>0.549668874172186</v>
      </c>
      <c r="L901" s="25" t="n">
        <f aca="false">MIN(INDEX('Move Reality'!$F$5:$F$19,MATCH(B901,'Move Reality'!$A$5:$A$19,0)),INDEX('Move Reality'!$F$5:$F$19,MATCH(C901,'Move Reality'!$A$5:$A$19,0)),INDEX('Move Reality'!$F$5:$F$19,MATCH(D901,'Move Reality'!$A$5:$A$19,0)),INDEX('Move Reality'!$F$5:$F$19,MATCH(E901,'Move Reality'!$A$5:$A$19,0)))</f>
        <v>1</v>
      </c>
      <c r="M901" s="28" t="str">
        <f aca="false">IF(L901&gt;=5,"YES","no - dead move")</f>
        <v>no - dead move</v>
      </c>
    </row>
    <row r="902" customFormat="false" ht="15" hidden="false" customHeight="false" outlineLevel="0" collapsed="false">
      <c r="A902" s="17" t="n">
        <v>898</v>
      </c>
      <c r="B902" s="17" t="s">
        <v>43</v>
      </c>
      <c r="C902" s="17" t="s">
        <v>44</v>
      </c>
      <c r="D902" s="17" t="s">
        <v>45</v>
      </c>
      <c r="E902" s="17" t="s">
        <v>53</v>
      </c>
      <c r="F902" s="25" t="n">
        <f aca="false">SUMPRODUCT(--((('Yellow Bosses'!$K$5:$K$53&gt;=2)+('Yellow Bosses'!$L$5:$L$53&gt;=2)+('Yellow Bosses'!$M$5:$M$53&gt;=2)+('Yellow Bosses'!$U$5:$U$53&gt;=2))&gt;0))</f>
        <v>29</v>
      </c>
      <c r="G902" s="26" t="n">
        <f aca="false">F902/49</f>
        <v>0.591836734693878</v>
      </c>
      <c r="H902" s="25" t="n">
        <f aca="false">49-SUMPRODUCT(--((('Yellow Bosses'!$K$5:$K$53&gt;=1)+('Yellow Bosses'!$L$5:$L$53&gt;=1)+('Yellow Bosses'!$M$5:$M$53&gt;=1)+('Yellow Bosses'!$U$5:$U$53&gt;=1))&gt;0))</f>
        <v>0</v>
      </c>
      <c r="I902" s="25" t="n">
        <f aca="false">SUMPRODUCT(--((('Yellow Bosses'!$K$5:$K$53&gt;0)+('Yellow Bosses'!$L$5:$L$53&gt;0)+('Yellow Bosses'!$M$5:$M$53&gt;0)+('Yellow Bosses'!$U$5:$U$53&gt;0))=0))</f>
        <v>0</v>
      </c>
      <c r="J902" s="25" t="n">
        <f aca="false">SUMPRODUCT(--(((Effectiveness!$H$5:$H$155&gt;=2)+(Effectiveness!$I$5:$I$155&gt;=2)+(Effectiveness!$J$5:$J$155&gt;=2)+(Effectiveness!$R$5:$R$155&gt;=2))&gt;0))</f>
        <v>83</v>
      </c>
      <c r="K902" s="26" t="n">
        <f aca="false">J902/151</f>
        <v>0.549668874172186</v>
      </c>
      <c r="L902" s="25" t="n">
        <f aca="false">MIN(INDEX('Move Reality'!$F$5:$F$19,MATCH(B902,'Move Reality'!$A$5:$A$19,0)),INDEX('Move Reality'!$F$5:$F$19,MATCH(C902,'Move Reality'!$A$5:$A$19,0)),INDEX('Move Reality'!$F$5:$F$19,MATCH(D902,'Move Reality'!$A$5:$A$19,0)),INDEX('Move Reality'!$F$5:$F$19,MATCH(E902,'Move Reality'!$A$5:$A$19,0)))</f>
        <v>1</v>
      </c>
      <c r="M902" s="28" t="str">
        <f aca="false">IF(L902&gt;=5,"YES","no - dead move")</f>
        <v>no - dead move</v>
      </c>
    </row>
    <row r="903" customFormat="false" ht="15" hidden="false" customHeight="false" outlineLevel="0" collapsed="false">
      <c r="A903" s="17" t="n">
        <v>899</v>
      </c>
      <c r="B903" s="17" t="s">
        <v>43</v>
      </c>
      <c r="C903" s="17" t="s">
        <v>45</v>
      </c>
      <c r="D903" s="17" t="s">
        <v>53</v>
      </c>
      <c r="E903" s="17" t="s">
        <v>54</v>
      </c>
      <c r="F903" s="25" t="n">
        <f aca="false">SUMPRODUCT(--((('Yellow Bosses'!$K$5:$K$53&gt;=2)+('Yellow Bosses'!$M$5:$M$53&gt;=2)+('Yellow Bosses'!$U$5:$U$53&gt;=2)+('Yellow Bosses'!$V$5:$V$53&gt;=2))&gt;0))</f>
        <v>29</v>
      </c>
      <c r="G903" s="26" t="n">
        <f aca="false">F903/49</f>
        <v>0.591836734693878</v>
      </c>
      <c r="H903" s="25" t="n">
        <f aca="false">49-SUMPRODUCT(--((('Yellow Bosses'!$K$5:$K$53&gt;=1)+('Yellow Bosses'!$M$5:$M$53&gt;=1)+('Yellow Bosses'!$U$5:$U$53&gt;=1)+('Yellow Bosses'!$V$5:$V$53&gt;=1))&gt;0))</f>
        <v>0</v>
      </c>
      <c r="I903" s="25" t="n">
        <f aca="false">SUMPRODUCT(--((('Yellow Bosses'!$K$5:$K$53&gt;0)+('Yellow Bosses'!$M$5:$M$53&gt;0)+('Yellow Bosses'!$U$5:$U$53&gt;0)+('Yellow Bosses'!$V$5:$V$53&gt;0))=0))</f>
        <v>0</v>
      </c>
      <c r="J903" s="25" t="n">
        <f aca="false">SUMPRODUCT(--(((Effectiveness!$H$5:$H$155&gt;=2)+(Effectiveness!$J$5:$J$155&gt;=2)+(Effectiveness!$R$5:$R$155&gt;=2)+(Effectiveness!$S$5:$S$155&gt;=2))&gt;0))</f>
        <v>83</v>
      </c>
      <c r="K903" s="26" t="n">
        <f aca="false">J903/151</f>
        <v>0.549668874172186</v>
      </c>
      <c r="L903" s="25" t="n">
        <f aca="false">MIN(INDEX('Move Reality'!$F$5:$F$19,MATCH(B903,'Move Reality'!$A$5:$A$19,0)),INDEX('Move Reality'!$F$5:$F$19,MATCH(C903,'Move Reality'!$A$5:$A$19,0)),INDEX('Move Reality'!$F$5:$F$19,MATCH(D903,'Move Reality'!$A$5:$A$19,0)),INDEX('Move Reality'!$F$5:$F$19,MATCH(E903,'Move Reality'!$A$5:$A$19,0)))</f>
        <v>1</v>
      </c>
      <c r="M903" s="28" t="str">
        <f aca="false">IF(L903&gt;=5,"YES","no - dead move")</f>
        <v>no - dead move</v>
      </c>
    </row>
    <row r="904" customFormat="false" ht="15" hidden="false" customHeight="false" outlineLevel="0" collapsed="false">
      <c r="A904" s="17" t="n">
        <v>900</v>
      </c>
      <c r="B904" s="17" t="s">
        <v>40</v>
      </c>
      <c r="C904" s="17" t="s">
        <v>42</v>
      </c>
      <c r="D904" s="17" t="s">
        <v>46</v>
      </c>
      <c r="E904" s="17" t="s">
        <v>49</v>
      </c>
      <c r="F904" s="25" t="n">
        <f aca="false">SUMPRODUCT(--((('Yellow Bosses'!$H$5:$H$53&gt;=2)+('Yellow Bosses'!$J$5:$J$53&gt;=2)+('Yellow Bosses'!$N$5:$N$53&gt;=2)+('Yellow Bosses'!$Q$5:$Q$53&gt;=2))&gt;0))</f>
        <v>29</v>
      </c>
      <c r="G904" s="26" t="n">
        <f aca="false">F904/49</f>
        <v>0.591836734693878</v>
      </c>
      <c r="H904" s="25" t="n">
        <f aca="false">49-SUMPRODUCT(--((('Yellow Bosses'!$H$5:$H$53&gt;=1)+('Yellow Bosses'!$J$5:$J$53&gt;=1)+('Yellow Bosses'!$N$5:$N$53&gt;=1)+('Yellow Bosses'!$Q$5:$Q$53&gt;=1))&gt;0))</f>
        <v>0</v>
      </c>
      <c r="I904" s="25" t="n">
        <f aca="false">SUMPRODUCT(--((('Yellow Bosses'!$H$5:$H$53&gt;0)+('Yellow Bosses'!$J$5:$J$53&gt;0)+('Yellow Bosses'!$N$5:$N$53&gt;0)+('Yellow Bosses'!$Q$5:$Q$53&gt;0))=0))</f>
        <v>0</v>
      </c>
      <c r="J904" s="25" t="n">
        <f aca="false">SUMPRODUCT(--(((Effectiveness!$E$5:$E$155&gt;=2)+(Effectiveness!$G$5:$G$155&gt;=2)+(Effectiveness!$K$5:$K$155&gt;=2)+(Effectiveness!$N$5:$N$155&gt;=2))&gt;0))</f>
        <v>82</v>
      </c>
      <c r="K904" s="26" t="n">
        <f aca="false">J904/151</f>
        <v>0.543046357615894</v>
      </c>
      <c r="L904" s="25" t="n">
        <f aca="false">MIN(INDEX('Move Reality'!$F$5:$F$19,MATCH(B904,'Move Reality'!$A$5:$A$19,0)),INDEX('Move Reality'!$F$5:$F$19,MATCH(C904,'Move Reality'!$A$5:$A$19,0)),INDEX('Move Reality'!$F$5:$F$19,MATCH(D904,'Move Reality'!$A$5:$A$19,0)),INDEX('Move Reality'!$F$5:$F$19,MATCH(E904,'Move Reality'!$A$5:$A$19,0)))</f>
        <v>5</v>
      </c>
      <c r="M904" s="28" t="str">
        <f aca="false">IF(L904&gt;=5,"YES","no - dead move")</f>
        <v>YES</v>
      </c>
    </row>
    <row r="905" customFormat="false" ht="15" hidden="false" customHeight="false" outlineLevel="0" collapsed="false">
      <c r="A905" s="17" t="n">
        <v>901</v>
      </c>
      <c r="B905" s="17" t="s">
        <v>42</v>
      </c>
      <c r="C905" s="17" t="s">
        <v>46</v>
      </c>
      <c r="D905" s="17" t="s">
        <v>47</v>
      </c>
      <c r="E905" s="17" t="s">
        <v>49</v>
      </c>
      <c r="F905" s="25" t="n">
        <f aca="false">SUMPRODUCT(--((('Yellow Bosses'!$J$5:$J$53&gt;=2)+('Yellow Bosses'!$N$5:$N$53&gt;=2)+('Yellow Bosses'!$O$5:$O$53&gt;=2)+('Yellow Bosses'!$Q$5:$Q$53&gt;=2))&gt;0))</f>
        <v>29</v>
      </c>
      <c r="G905" s="26" t="n">
        <f aca="false">F905/49</f>
        <v>0.591836734693878</v>
      </c>
      <c r="H905" s="25" t="n">
        <f aca="false">49-SUMPRODUCT(--((('Yellow Bosses'!$J$5:$J$53&gt;=1)+('Yellow Bosses'!$N$5:$N$53&gt;=1)+('Yellow Bosses'!$O$5:$O$53&gt;=1)+('Yellow Bosses'!$Q$5:$Q$53&gt;=1))&gt;0))</f>
        <v>0</v>
      </c>
      <c r="I905" s="25" t="n">
        <f aca="false">SUMPRODUCT(--((('Yellow Bosses'!$J$5:$J$53&gt;0)+('Yellow Bosses'!$N$5:$N$53&gt;0)+('Yellow Bosses'!$O$5:$O$53&gt;0)+('Yellow Bosses'!$Q$5:$Q$53&gt;0))=0))</f>
        <v>0</v>
      </c>
      <c r="J905" s="25" t="n">
        <f aca="false">SUMPRODUCT(--(((Effectiveness!$G$5:$G$155&gt;=2)+(Effectiveness!$K$5:$K$155&gt;=2)+(Effectiveness!$L$5:$L$155&gt;=2)+(Effectiveness!$N$5:$N$155&gt;=2))&gt;0))</f>
        <v>82</v>
      </c>
      <c r="K905" s="26" t="n">
        <f aca="false">J905/151</f>
        <v>0.543046357615894</v>
      </c>
      <c r="L905" s="25" t="n">
        <f aca="false">MIN(INDEX('Move Reality'!$F$5:$F$19,MATCH(B905,'Move Reality'!$A$5:$A$19,0)),INDEX('Move Reality'!$F$5:$F$19,MATCH(C905,'Move Reality'!$A$5:$A$19,0)),INDEX('Move Reality'!$F$5:$F$19,MATCH(D905,'Move Reality'!$A$5:$A$19,0)),INDEX('Move Reality'!$F$5:$F$19,MATCH(E905,'Move Reality'!$A$5:$A$19,0)))</f>
        <v>2</v>
      </c>
      <c r="M905" s="28" t="str">
        <f aca="false">IF(L905&gt;=5,"YES","no - dead move")</f>
        <v>no - dead move</v>
      </c>
    </row>
    <row r="906" customFormat="false" ht="15" hidden="false" customHeight="false" outlineLevel="0" collapsed="false">
      <c r="A906" s="17" t="n">
        <v>902</v>
      </c>
      <c r="B906" s="17" t="s">
        <v>40</v>
      </c>
      <c r="C906" s="17" t="s">
        <v>41</v>
      </c>
      <c r="D906" s="17" t="s">
        <v>42</v>
      </c>
      <c r="E906" s="17" t="s">
        <v>48</v>
      </c>
      <c r="F906" s="25" t="n">
        <f aca="false">SUMPRODUCT(--((('Yellow Bosses'!$H$5:$H$53&gt;=2)+('Yellow Bosses'!$I$5:$I$53&gt;=2)+('Yellow Bosses'!$J$5:$J$53&gt;=2)+('Yellow Bosses'!$P$5:$P$53&gt;=2))&gt;0))</f>
        <v>29</v>
      </c>
      <c r="G906" s="26" t="n">
        <f aca="false">F906/49</f>
        <v>0.591836734693878</v>
      </c>
      <c r="H906" s="25" t="n">
        <f aca="false">49-SUMPRODUCT(--((('Yellow Bosses'!$H$5:$H$53&gt;=1)+('Yellow Bosses'!$I$5:$I$53&gt;=1)+('Yellow Bosses'!$J$5:$J$53&gt;=1)+('Yellow Bosses'!$P$5:$P$53&gt;=1))&gt;0))</f>
        <v>0</v>
      </c>
      <c r="I906" s="25" t="n">
        <f aca="false">SUMPRODUCT(--((('Yellow Bosses'!$H$5:$H$53&gt;0)+('Yellow Bosses'!$I$5:$I$53&gt;0)+('Yellow Bosses'!$J$5:$J$53&gt;0)+('Yellow Bosses'!$P$5:$P$53&gt;0))=0))</f>
        <v>0</v>
      </c>
      <c r="J906" s="25" t="n">
        <f aca="false">SUMPRODUCT(--(((Effectiveness!$E$5:$E$155&gt;=2)+(Effectiveness!$F$5:$F$155&gt;=2)+(Effectiveness!$G$5:$G$155&gt;=2)+(Effectiveness!$M$5:$M$155&gt;=2))&gt;0))</f>
        <v>80</v>
      </c>
      <c r="K906" s="26" t="n">
        <f aca="false">J906/151</f>
        <v>0.529801324503311</v>
      </c>
      <c r="L906" s="25" t="n">
        <f aca="false">MIN(INDEX('Move Reality'!$F$5:$F$19,MATCH(B906,'Move Reality'!$A$5:$A$19,0)),INDEX('Move Reality'!$F$5:$F$19,MATCH(C906,'Move Reality'!$A$5:$A$19,0)),INDEX('Move Reality'!$F$5:$F$19,MATCH(D906,'Move Reality'!$A$5:$A$19,0)),INDEX('Move Reality'!$F$5:$F$19,MATCH(E906,'Move Reality'!$A$5:$A$19,0)))</f>
        <v>7</v>
      </c>
      <c r="M906" s="28" t="str">
        <f aca="false">IF(L906&gt;=5,"YES","no - dead move")</f>
        <v>YES</v>
      </c>
    </row>
    <row r="907" customFormat="false" ht="15" hidden="false" customHeight="false" outlineLevel="0" collapsed="false">
      <c r="A907" s="17" t="n">
        <v>903</v>
      </c>
      <c r="B907" s="17" t="s">
        <v>40</v>
      </c>
      <c r="C907" s="17" t="s">
        <v>41</v>
      </c>
      <c r="D907" s="17" t="s">
        <v>50</v>
      </c>
      <c r="E907" s="17" t="s">
        <v>52</v>
      </c>
      <c r="F907" s="25" t="n">
        <f aca="false">SUMPRODUCT(--((('Yellow Bosses'!$H$5:$H$53&gt;=2)+('Yellow Bosses'!$I$5:$I$53&gt;=2)+('Yellow Bosses'!$R$5:$R$53&gt;=2)+('Yellow Bosses'!$T$5:$T$53&gt;=2))&gt;0))</f>
        <v>29</v>
      </c>
      <c r="G907" s="26" t="n">
        <f aca="false">F907/49</f>
        <v>0.591836734693878</v>
      </c>
      <c r="H907" s="25" t="n">
        <f aca="false">49-SUMPRODUCT(--((('Yellow Bosses'!$H$5:$H$53&gt;=1)+('Yellow Bosses'!$I$5:$I$53&gt;=1)+('Yellow Bosses'!$R$5:$R$53&gt;=1)+('Yellow Bosses'!$T$5:$T$53&gt;=1))&gt;0))</f>
        <v>0</v>
      </c>
      <c r="I907" s="25" t="n">
        <f aca="false">SUMPRODUCT(--((('Yellow Bosses'!$H$5:$H$53&gt;0)+('Yellow Bosses'!$I$5:$I$53&gt;0)+('Yellow Bosses'!$R$5:$R$53&gt;0)+('Yellow Bosses'!$T$5:$T$53&gt;0))=0))</f>
        <v>0</v>
      </c>
      <c r="J907" s="25" t="n">
        <f aca="false">SUMPRODUCT(--(((Effectiveness!$E$5:$E$155&gt;=2)+(Effectiveness!$F$5:$F$155&gt;=2)+(Effectiveness!$O$5:$O$155&gt;=2)+(Effectiveness!$Q$5:$Q$155&gt;=2))&gt;0))</f>
        <v>80</v>
      </c>
      <c r="K907" s="26" t="n">
        <f aca="false">J907/151</f>
        <v>0.529801324503311</v>
      </c>
      <c r="L907" s="25" t="n">
        <f aca="false">MIN(INDEX('Move Reality'!$F$5:$F$19,MATCH(B907,'Move Reality'!$A$5:$A$19,0)),INDEX('Move Reality'!$F$5:$F$19,MATCH(C907,'Move Reality'!$A$5:$A$19,0)),INDEX('Move Reality'!$F$5:$F$19,MATCH(D907,'Move Reality'!$A$5:$A$19,0)),INDEX('Move Reality'!$F$5:$F$19,MATCH(E907,'Move Reality'!$A$5:$A$19,0)))</f>
        <v>6</v>
      </c>
      <c r="M907" s="28" t="str">
        <f aca="false">IF(L907&gt;=5,"YES","no - dead move")</f>
        <v>YES</v>
      </c>
    </row>
    <row r="908" customFormat="false" ht="15" hidden="false" customHeight="false" outlineLevel="0" collapsed="false">
      <c r="A908" s="17" t="n">
        <v>904</v>
      </c>
      <c r="B908" s="17" t="s">
        <v>40</v>
      </c>
      <c r="C908" s="17" t="s">
        <v>41</v>
      </c>
      <c r="D908" s="17" t="s">
        <v>51</v>
      </c>
      <c r="E908" s="17" t="s">
        <v>52</v>
      </c>
      <c r="F908" s="25" t="n">
        <f aca="false">SUMPRODUCT(--((('Yellow Bosses'!$H$5:$H$53&gt;=2)+('Yellow Bosses'!$I$5:$I$53&gt;=2)+('Yellow Bosses'!$S$5:$S$53&gt;=2)+('Yellow Bosses'!$T$5:$T$53&gt;=2))&gt;0))</f>
        <v>29</v>
      </c>
      <c r="G908" s="26" t="n">
        <f aca="false">F908/49</f>
        <v>0.591836734693878</v>
      </c>
      <c r="H908" s="25" t="n">
        <f aca="false">49-SUMPRODUCT(--((('Yellow Bosses'!$H$5:$H$53&gt;=1)+('Yellow Bosses'!$I$5:$I$53&gt;=1)+('Yellow Bosses'!$S$5:$S$53&gt;=1)+('Yellow Bosses'!$T$5:$T$53&gt;=1))&gt;0))</f>
        <v>0</v>
      </c>
      <c r="I908" s="25" t="n">
        <f aca="false">SUMPRODUCT(--((('Yellow Bosses'!$H$5:$H$53&gt;0)+('Yellow Bosses'!$I$5:$I$53&gt;0)+('Yellow Bosses'!$S$5:$S$53&gt;0)+('Yellow Bosses'!$T$5:$T$53&gt;0))=0))</f>
        <v>0</v>
      </c>
      <c r="J908" s="25" t="n">
        <f aca="false">SUMPRODUCT(--(((Effectiveness!$E$5:$E$155&gt;=2)+(Effectiveness!$F$5:$F$155&gt;=2)+(Effectiveness!$P$5:$P$155&gt;=2)+(Effectiveness!$Q$5:$Q$155&gt;=2))&gt;0))</f>
        <v>80</v>
      </c>
      <c r="K908" s="26" t="n">
        <f aca="false">J908/151</f>
        <v>0.529801324503311</v>
      </c>
      <c r="L908" s="25" t="n">
        <f aca="false">MIN(INDEX('Move Reality'!$F$5:$F$19,MATCH(B908,'Move Reality'!$A$5:$A$19,0)),INDEX('Move Reality'!$F$5:$F$19,MATCH(C908,'Move Reality'!$A$5:$A$19,0)),INDEX('Move Reality'!$F$5:$F$19,MATCH(D908,'Move Reality'!$A$5:$A$19,0)),INDEX('Move Reality'!$F$5:$F$19,MATCH(E908,'Move Reality'!$A$5:$A$19,0)))</f>
        <v>1</v>
      </c>
      <c r="M908" s="28" t="str">
        <f aca="false">IF(L908&gt;=5,"YES","no - dead move")</f>
        <v>no - dead move</v>
      </c>
    </row>
    <row r="909" customFormat="false" ht="15" hidden="false" customHeight="false" outlineLevel="0" collapsed="false">
      <c r="A909" s="17" t="n">
        <v>905</v>
      </c>
      <c r="B909" s="17" t="s">
        <v>40</v>
      </c>
      <c r="C909" s="17" t="s">
        <v>47</v>
      </c>
      <c r="D909" s="17" t="s">
        <v>50</v>
      </c>
      <c r="E909" s="17" t="s">
        <v>52</v>
      </c>
      <c r="F909" s="25" t="n">
        <f aca="false">SUMPRODUCT(--((('Yellow Bosses'!$H$5:$H$53&gt;=2)+('Yellow Bosses'!$O$5:$O$53&gt;=2)+('Yellow Bosses'!$R$5:$R$53&gt;=2)+('Yellow Bosses'!$T$5:$T$53&gt;=2))&gt;0))</f>
        <v>29</v>
      </c>
      <c r="G909" s="26" t="n">
        <f aca="false">F909/49</f>
        <v>0.591836734693878</v>
      </c>
      <c r="H909" s="25" t="n">
        <f aca="false">49-SUMPRODUCT(--((('Yellow Bosses'!$H$5:$H$53&gt;=1)+('Yellow Bosses'!$O$5:$O$53&gt;=1)+('Yellow Bosses'!$R$5:$R$53&gt;=1)+('Yellow Bosses'!$T$5:$T$53&gt;=1))&gt;0))</f>
        <v>0</v>
      </c>
      <c r="I909" s="25" t="n">
        <f aca="false">SUMPRODUCT(--((('Yellow Bosses'!$H$5:$H$53&gt;0)+('Yellow Bosses'!$O$5:$O$53&gt;0)+('Yellow Bosses'!$R$5:$R$53&gt;0)+('Yellow Bosses'!$T$5:$T$53&gt;0))=0))</f>
        <v>0</v>
      </c>
      <c r="J909" s="25" t="n">
        <f aca="false">SUMPRODUCT(--(((Effectiveness!$E$5:$E$155&gt;=2)+(Effectiveness!$L$5:$L$155&gt;=2)+(Effectiveness!$O$5:$O$155&gt;=2)+(Effectiveness!$Q$5:$Q$155&gt;=2))&gt;0))</f>
        <v>80</v>
      </c>
      <c r="K909" s="26" t="n">
        <f aca="false">J909/151</f>
        <v>0.529801324503311</v>
      </c>
      <c r="L909" s="25" t="n">
        <f aca="false">MIN(INDEX('Move Reality'!$F$5:$F$19,MATCH(B909,'Move Reality'!$A$5:$A$19,0)),INDEX('Move Reality'!$F$5:$F$19,MATCH(C909,'Move Reality'!$A$5:$A$19,0)),INDEX('Move Reality'!$F$5:$F$19,MATCH(D909,'Move Reality'!$A$5:$A$19,0)),INDEX('Move Reality'!$F$5:$F$19,MATCH(E909,'Move Reality'!$A$5:$A$19,0)))</f>
        <v>2</v>
      </c>
      <c r="M909" s="28" t="str">
        <f aca="false">IF(L909&gt;=5,"YES","no - dead move")</f>
        <v>no - dead move</v>
      </c>
    </row>
    <row r="910" customFormat="false" ht="15" hidden="false" customHeight="false" outlineLevel="0" collapsed="false">
      <c r="A910" s="17" t="n">
        <v>906</v>
      </c>
      <c r="B910" s="17" t="s">
        <v>40</v>
      </c>
      <c r="C910" s="17" t="s">
        <v>47</v>
      </c>
      <c r="D910" s="17" t="s">
        <v>51</v>
      </c>
      <c r="E910" s="17" t="s">
        <v>52</v>
      </c>
      <c r="F910" s="25" t="n">
        <f aca="false">SUMPRODUCT(--((('Yellow Bosses'!$H$5:$H$53&gt;=2)+('Yellow Bosses'!$O$5:$O$53&gt;=2)+('Yellow Bosses'!$S$5:$S$53&gt;=2)+('Yellow Bosses'!$T$5:$T$53&gt;=2))&gt;0))</f>
        <v>29</v>
      </c>
      <c r="G910" s="26" t="n">
        <f aca="false">F910/49</f>
        <v>0.591836734693878</v>
      </c>
      <c r="H910" s="25" t="n">
        <f aca="false">49-SUMPRODUCT(--((('Yellow Bosses'!$H$5:$H$53&gt;=1)+('Yellow Bosses'!$O$5:$O$53&gt;=1)+('Yellow Bosses'!$S$5:$S$53&gt;=1)+('Yellow Bosses'!$T$5:$T$53&gt;=1))&gt;0))</f>
        <v>0</v>
      </c>
      <c r="I910" s="25" t="n">
        <f aca="false">SUMPRODUCT(--((('Yellow Bosses'!$H$5:$H$53&gt;0)+('Yellow Bosses'!$O$5:$O$53&gt;0)+('Yellow Bosses'!$S$5:$S$53&gt;0)+('Yellow Bosses'!$T$5:$T$53&gt;0))=0))</f>
        <v>0</v>
      </c>
      <c r="J910" s="25" t="n">
        <f aca="false">SUMPRODUCT(--(((Effectiveness!$E$5:$E$155&gt;=2)+(Effectiveness!$L$5:$L$155&gt;=2)+(Effectiveness!$P$5:$P$155&gt;=2)+(Effectiveness!$Q$5:$Q$155&gt;=2))&gt;0))</f>
        <v>80</v>
      </c>
      <c r="K910" s="26" t="n">
        <f aca="false">J910/151</f>
        <v>0.529801324503311</v>
      </c>
      <c r="L910" s="25" t="n">
        <f aca="false">MIN(INDEX('Move Reality'!$F$5:$F$19,MATCH(B910,'Move Reality'!$A$5:$A$19,0)),INDEX('Move Reality'!$F$5:$F$19,MATCH(C910,'Move Reality'!$A$5:$A$19,0)),INDEX('Move Reality'!$F$5:$F$19,MATCH(D910,'Move Reality'!$A$5:$A$19,0)),INDEX('Move Reality'!$F$5:$F$19,MATCH(E910,'Move Reality'!$A$5:$A$19,0)))</f>
        <v>1</v>
      </c>
      <c r="M910" s="28" t="str">
        <f aca="false">IF(L910&gt;=5,"YES","no - dead move")</f>
        <v>no - dead move</v>
      </c>
    </row>
    <row r="911" customFormat="false" ht="15" hidden="false" customHeight="false" outlineLevel="0" collapsed="false">
      <c r="A911" s="17" t="n">
        <v>907</v>
      </c>
      <c r="B911" s="17" t="s">
        <v>40</v>
      </c>
      <c r="C911" s="17" t="s">
        <v>49</v>
      </c>
      <c r="D911" s="17" t="s">
        <v>50</v>
      </c>
      <c r="E911" s="17" t="s">
        <v>52</v>
      </c>
      <c r="F911" s="25" t="n">
        <f aca="false">SUMPRODUCT(--((('Yellow Bosses'!$H$5:$H$53&gt;=2)+('Yellow Bosses'!$Q$5:$Q$53&gt;=2)+('Yellow Bosses'!$R$5:$R$53&gt;=2)+('Yellow Bosses'!$T$5:$T$53&gt;=2))&gt;0))</f>
        <v>29</v>
      </c>
      <c r="G911" s="26" t="n">
        <f aca="false">F911/49</f>
        <v>0.591836734693878</v>
      </c>
      <c r="H911" s="25" t="n">
        <f aca="false">49-SUMPRODUCT(--((('Yellow Bosses'!$H$5:$H$53&gt;=1)+('Yellow Bosses'!$Q$5:$Q$53&gt;=1)+('Yellow Bosses'!$R$5:$R$53&gt;=1)+('Yellow Bosses'!$T$5:$T$53&gt;=1))&gt;0))</f>
        <v>0</v>
      </c>
      <c r="I911" s="25" t="n">
        <f aca="false">SUMPRODUCT(--((('Yellow Bosses'!$H$5:$H$53&gt;0)+('Yellow Bosses'!$Q$5:$Q$53&gt;0)+('Yellow Bosses'!$R$5:$R$53&gt;0)+('Yellow Bosses'!$T$5:$T$53&gt;0))=0))</f>
        <v>0</v>
      </c>
      <c r="J911" s="25" t="n">
        <f aca="false">SUMPRODUCT(--(((Effectiveness!$E$5:$E$155&gt;=2)+(Effectiveness!$N$5:$N$155&gt;=2)+(Effectiveness!$O$5:$O$155&gt;=2)+(Effectiveness!$Q$5:$Q$155&gt;=2))&gt;0))</f>
        <v>80</v>
      </c>
      <c r="K911" s="26" t="n">
        <f aca="false">J911/151</f>
        <v>0.529801324503311</v>
      </c>
      <c r="L911" s="25" t="n">
        <f aca="false">MIN(INDEX('Move Reality'!$F$5:$F$19,MATCH(B911,'Move Reality'!$A$5:$A$19,0)),INDEX('Move Reality'!$F$5:$F$19,MATCH(C911,'Move Reality'!$A$5:$A$19,0)),INDEX('Move Reality'!$F$5:$F$19,MATCH(D911,'Move Reality'!$A$5:$A$19,0)),INDEX('Move Reality'!$F$5:$F$19,MATCH(E911,'Move Reality'!$A$5:$A$19,0)))</f>
        <v>5</v>
      </c>
      <c r="M911" s="28" t="str">
        <f aca="false">IF(L911&gt;=5,"YES","no - dead move")</f>
        <v>YES</v>
      </c>
    </row>
    <row r="912" customFormat="false" ht="15" hidden="false" customHeight="false" outlineLevel="0" collapsed="false">
      <c r="A912" s="17" t="n">
        <v>908</v>
      </c>
      <c r="B912" s="17" t="s">
        <v>41</v>
      </c>
      <c r="C912" s="17" t="s">
        <v>42</v>
      </c>
      <c r="D912" s="17" t="s">
        <v>47</v>
      </c>
      <c r="E912" s="17" t="s">
        <v>48</v>
      </c>
      <c r="F912" s="25" t="n">
        <f aca="false">SUMPRODUCT(--((('Yellow Bosses'!$I$5:$I$53&gt;=2)+('Yellow Bosses'!$J$5:$J$53&gt;=2)+('Yellow Bosses'!$O$5:$O$53&gt;=2)+('Yellow Bosses'!$P$5:$P$53&gt;=2))&gt;0))</f>
        <v>29</v>
      </c>
      <c r="G912" s="26" t="n">
        <f aca="false">F912/49</f>
        <v>0.591836734693878</v>
      </c>
      <c r="H912" s="25" t="n">
        <f aca="false">49-SUMPRODUCT(--((('Yellow Bosses'!$I$5:$I$53&gt;=1)+('Yellow Bosses'!$J$5:$J$53&gt;=1)+('Yellow Bosses'!$O$5:$O$53&gt;=1)+('Yellow Bosses'!$P$5:$P$53&gt;=1))&gt;0))</f>
        <v>0</v>
      </c>
      <c r="I912" s="25" t="n">
        <f aca="false">SUMPRODUCT(--((('Yellow Bosses'!$I$5:$I$53&gt;0)+('Yellow Bosses'!$J$5:$J$53&gt;0)+('Yellow Bosses'!$O$5:$O$53&gt;0)+('Yellow Bosses'!$P$5:$P$53&gt;0))=0))</f>
        <v>0</v>
      </c>
      <c r="J912" s="25" t="n">
        <f aca="false">SUMPRODUCT(--(((Effectiveness!$F$5:$F$155&gt;=2)+(Effectiveness!$G$5:$G$155&gt;=2)+(Effectiveness!$L$5:$L$155&gt;=2)+(Effectiveness!$M$5:$M$155&gt;=2))&gt;0))</f>
        <v>80</v>
      </c>
      <c r="K912" s="26" t="n">
        <f aca="false">J912/151</f>
        <v>0.529801324503311</v>
      </c>
      <c r="L912" s="25" t="n">
        <f aca="false">MIN(INDEX('Move Reality'!$F$5:$F$19,MATCH(B912,'Move Reality'!$A$5:$A$19,0)),INDEX('Move Reality'!$F$5:$F$19,MATCH(C912,'Move Reality'!$A$5:$A$19,0)),INDEX('Move Reality'!$F$5:$F$19,MATCH(D912,'Move Reality'!$A$5:$A$19,0)),INDEX('Move Reality'!$F$5:$F$19,MATCH(E912,'Move Reality'!$A$5:$A$19,0)))</f>
        <v>2</v>
      </c>
      <c r="M912" s="28" t="str">
        <f aca="false">IF(L912&gt;=5,"YES","no - dead move")</f>
        <v>no - dead move</v>
      </c>
    </row>
    <row r="913" customFormat="false" ht="15" hidden="false" customHeight="false" outlineLevel="0" collapsed="false">
      <c r="A913" s="17" t="n">
        <v>909</v>
      </c>
      <c r="B913" s="17" t="s">
        <v>41</v>
      </c>
      <c r="C913" s="17" t="s">
        <v>42</v>
      </c>
      <c r="D913" s="17" t="s">
        <v>48</v>
      </c>
      <c r="E913" s="17" t="s">
        <v>53</v>
      </c>
      <c r="F913" s="25" t="n">
        <f aca="false">SUMPRODUCT(--((('Yellow Bosses'!$I$5:$I$53&gt;=2)+('Yellow Bosses'!$J$5:$J$53&gt;=2)+('Yellow Bosses'!$P$5:$P$53&gt;=2)+('Yellow Bosses'!$U$5:$U$53&gt;=2))&gt;0))</f>
        <v>29</v>
      </c>
      <c r="G913" s="26" t="n">
        <f aca="false">F913/49</f>
        <v>0.591836734693878</v>
      </c>
      <c r="H913" s="25" t="n">
        <f aca="false">49-SUMPRODUCT(--((('Yellow Bosses'!$I$5:$I$53&gt;=1)+('Yellow Bosses'!$J$5:$J$53&gt;=1)+('Yellow Bosses'!$P$5:$P$53&gt;=1)+('Yellow Bosses'!$U$5:$U$53&gt;=1))&gt;0))</f>
        <v>0</v>
      </c>
      <c r="I913" s="25" t="n">
        <f aca="false">SUMPRODUCT(--((('Yellow Bosses'!$I$5:$I$53&gt;0)+('Yellow Bosses'!$J$5:$J$53&gt;0)+('Yellow Bosses'!$P$5:$P$53&gt;0)+('Yellow Bosses'!$U$5:$U$53&gt;0))=0))</f>
        <v>0</v>
      </c>
      <c r="J913" s="25" t="n">
        <f aca="false">SUMPRODUCT(--(((Effectiveness!$F$5:$F$155&gt;=2)+(Effectiveness!$G$5:$G$155&gt;=2)+(Effectiveness!$M$5:$M$155&gt;=2)+(Effectiveness!$R$5:$R$155&gt;=2))&gt;0))</f>
        <v>80</v>
      </c>
      <c r="K913" s="26" t="n">
        <f aca="false">J913/151</f>
        <v>0.529801324503311</v>
      </c>
      <c r="L913" s="25" t="n">
        <f aca="false">MIN(INDEX('Move Reality'!$F$5:$F$19,MATCH(B913,'Move Reality'!$A$5:$A$19,0)),INDEX('Move Reality'!$F$5:$F$19,MATCH(C913,'Move Reality'!$A$5:$A$19,0)),INDEX('Move Reality'!$F$5:$F$19,MATCH(D913,'Move Reality'!$A$5:$A$19,0)),INDEX('Move Reality'!$F$5:$F$19,MATCH(E913,'Move Reality'!$A$5:$A$19,0)))</f>
        <v>1</v>
      </c>
      <c r="M913" s="28" t="str">
        <f aca="false">IF(L913&gt;=5,"YES","no - dead move")</f>
        <v>no - dead move</v>
      </c>
    </row>
    <row r="914" customFormat="false" ht="15" hidden="false" customHeight="false" outlineLevel="0" collapsed="false">
      <c r="A914" s="17" t="n">
        <v>910</v>
      </c>
      <c r="B914" s="17" t="s">
        <v>41</v>
      </c>
      <c r="C914" s="17" t="s">
        <v>47</v>
      </c>
      <c r="D914" s="17" t="s">
        <v>50</v>
      </c>
      <c r="E914" s="17" t="s">
        <v>52</v>
      </c>
      <c r="F914" s="25" t="n">
        <f aca="false">SUMPRODUCT(--((('Yellow Bosses'!$I$5:$I$53&gt;=2)+('Yellow Bosses'!$O$5:$O$53&gt;=2)+('Yellow Bosses'!$R$5:$R$53&gt;=2)+('Yellow Bosses'!$T$5:$T$53&gt;=2))&gt;0))</f>
        <v>29</v>
      </c>
      <c r="G914" s="26" t="n">
        <f aca="false">F914/49</f>
        <v>0.591836734693878</v>
      </c>
      <c r="H914" s="25" t="n">
        <f aca="false">49-SUMPRODUCT(--((('Yellow Bosses'!$I$5:$I$53&gt;=1)+('Yellow Bosses'!$O$5:$O$53&gt;=1)+('Yellow Bosses'!$R$5:$R$53&gt;=1)+('Yellow Bosses'!$T$5:$T$53&gt;=1))&gt;0))</f>
        <v>0</v>
      </c>
      <c r="I914" s="25" t="n">
        <f aca="false">SUMPRODUCT(--((('Yellow Bosses'!$I$5:$I$53&gt;0)+('Yellow Bosses'!$O$5:$O$53&gt;0)+('Yellow Bosses'!$R$5:$R$53&gt;0)+('Yellow Bosses'!$T$5:$T$53&gt;0))=0))</f>
        <v>0</v>
      </c>
      <c r="J914" s="25" t="n">
        <f aca="false">SUMPRODUCT(--(((Effectiveness!$F$5:$F$155&gt;=2)+(Effectiveness!$L$5:$L$155&gt;=2)+(Effectiveness!$O$5:$O$155&gt;=2)+(Effectiveness!$Q$5:$Q$155&gt;=2))&gt;0))</f>
        <v>80</v>
      </c>
      <c r="K914" s="26" t="n">
        <f aca="false">J914/151</f>
        <v>0.529801324503311</v>
      </c>
      <c r="L914" s="25" t="n">
        <f aca="false">MIN(INDEX('Move Reality'!$F$5:$F$19,MATCH(B914,'Move Reality'!$A$5:$A$19,0)),INDEX('Move Reality'!$F$5:$F$19,MATCH(C914,'Move Reality'!$A$5:$A$19,0)),INDEX('Move Reality'!$F$5:$F$19,MATCH(D914,'Move Reality'!$A$5:$A$19,0)),INDEX('Move Reality'!$F$5:$F$19,MATCH(E914,'Move Reality'!$A$5:$A$19,0)))</f>
        <v>2</v>
      </c>
      <c r="M914" s="28" t="str">
        <f aca="false">IF(L914&gt;=5,"YES","no - dead move")</f>
        <v>no - dead move</v>
      </c>
    </row>
    <row r="915" customFormat="false" ht="15" hidden="false" customHeight="false" outlineLevel="0" collapsed="false">
      <c r="A915" s="17" t="n">
        <v>911</v>
      </c>
      <c r="B915" s="17" t="s">
        <v>41</v>
      </c>
      <c r="C915" s="17" t="s">
        <v>47</v>
      </c>
      <c r="D915" s="17" t="s">
        <v>51</v>
      </c>
      <c r="E915" s="17" t="s">
        <v>52</v>
      </c>
      <c r="F915" s="25" t="n">
        <f aca="false">SUMPRODUCT(--((('Yellow Bosses'!$I$5:$I$53&gt;=2)+('Yellow Bosses'!$O$5:$O$53&gt;=2)+('Yellow Bosses'!$S$5:$S$53&gt;=2)+('Yellow Bosses'!$T$5:$T$53&gt;=2))&gt;0))</f>
        <v>29</v>
      </c>
      <c r="G915" s="26" t="n">
        <f aca="false">F915/49</f>
        <v>0.591836734693878</v>
      </c>
      <c r="H915" s="25" t="n">
        <f aca="false">49-SUMPRODUCT(--((('Yellow Bosses'!$I$5:$I$53&gt;=1)+('Yellow Bosses'!$O$5:$O$53&gt;=1)+('Yellow Bosses'!$S$5:$S$53&gt;=1)+('Yellow Bosses'!$T$5:$T$53&gt;=1))&gt;0))</f>
        <v>0</v>
      </c>
      <c r="I915" s="25" t="n">
        <f aca="false">SUMPRODUCT(--((('Yellow Bosses'!$I$5:$I$53&gt;0)+('Yellow Bosses'!$O$5:$O$53&gt;0)+('Yellow Bosses'!$S$5:$S$53&gt;0)+('Yellow Bosses'!$T$5:$T$53&gt;0))=0))</f>
        <v>0</v>
      </c>
      <c r="J915" s="25" t="n">
        <f aca="false">SUMPRODUCT(--(((Effectiveness!$F$5:$F$155&gt;=2)+(Effectiveness!$L$5:$L$155&gt;=2)+(Effectiveness!$P$5:$P$155&gt;=2)+(Effectiveness!$Q$5:$Q$155&gt;=2))&gt;0))</f>
        <v>80</v>
      </c>
      <c r="K915" s="26" t="n">
        <f aca="false">J915/151</f>
        <v>0.529801324503311</v>
      </c>
      <c r="L915" s="25" t="n">
        <f aca="false">MIN(INDEX('Move Reality'!$F$5:$F$19,MATCH(B915,'Move Reality'!$A$5:$A$19,0)),INDEX('Move Reality'!$F$5:$F$19,MATCH(C915,'Move Reality'!$A$5:$A$19,0)),INDEX('Move Reality'!$F$5:$F$19,MATCH(D915,'Move Reality'!$A$5:$A$19,0)),INDEX('Move Reality'!$F$5:$F$19,MATCH(E915,'Move Reality'!$A$5:$A$19,0)))</f>
        <v>1</v>
      </c>
      <c r="M915" s="28" t="str">
        <f aca="false">IF(L915&gt;=5,"YES","no - dead move")</f>
        <v>no - dead move</v>
      </c>
    </row>
    <row r="916" customFormat="false" ht="15" hidden="false" customHeight="false" outlineLevel="0" collapsed="false">
      <c r="A916" s="17" t="n">
        <v>912</v>
      </c>
      <c r="B916" s="17" t="s">
        <v>41</v>
      </c>
      <c r="C916" s="17" t="s">
        <v>49</v>
      </c>
      <c r="D916" s="17" t="s">
        <v>50</v>
      </c>
      <c r="E916" s="17" t="s">
        <v>52</v>
      </c>
      <c r="F916" s="25" t="n">
        <f aca="false">SUMPRODUCT(--((('Yellow Bosses'!$I$5:$I$53&gt;=2)+('Yellow Bosses'!$Q$5:$Q$53&gt;=2)+('Yellow Bosses'!$R$5:$R$53&gt;=2)+('Yellow Bosses'!$T$5:$T$53&gt;=2))&gt;0))</f>
        <v>29</v>
      </c>
      <c r="G916" s="26" t="n">
        <f aca="false">F916/49</f>
        <v>0.591836734693878</v>
      </c>
      <c r="H916" s="25" t="n">
        <f aca="false">49-SUMPRODUCT(--((('Yellow Bosses'!$I$5:$I$53&gt;=1)+('Yellow Bosses'!$Q$5:$Q$53&gt;=1)+('Yellow Bosses'!$R$5:$R$53&gt;=1)+('Yellow Bosses'!$T$5:$T$53&gt;=1))&gt;0))</f>
        <v>0</v>
      </c>
      <c r="I916" s="25" t="n">
        <f aca="false">SUMPRODUCT(--((('Yellow Bosses'!$I$5:$I$53&gt;0)+('Yellow Bosses'!$Q$5:$Q$53&gt;0)+('Yellow Bosses'!$R$5:$R$53&gt;0)+('Yellow Bosses'!$T$5:$T$53&gt;0))=0))</f>
        <v>0</v>
      </c>
      <c r="J916" s="25" t="n">
        <f aca="false">SUMPRODUCT(--(((Effectiveness!$F$5:$F$155&gt;=2)+(Effectiveness!$N$5:$N$155&gt;=2)+(Effectiveness!$O$5:$O$155&gt;=2)+(Effectiveness!$Q$5:$Q$155&gt;=2))&gt;0))</f>
        <v>80</v>
      </c>
      <c r="K916" s="26" t="n">
        <f aca="false">J916/151</f>
        <v>0.529801324503311</v>
      </c>
      <c r="L916" s="25" t="n">
        <f aca="false">MIN(INDEX('Move Reality'!$F$5:$F$19,MATCH(B916,'Move Reality'!$A$5:$A$19,0)),INDEX('Move Reality'!$F$5:$F$19,MATCH(C916,'Move Reality'!$A$5:$A$19,0)),INDEX('Move Reality'!$F$5:$F$19,MATCH(D916,'Move Reality'!$A$5:$A$19,0)),INDEX('Move Reality'!$F$5:$F$19,MATCH(E916,'Move Reality'!$A$5:$A$19,0)))</f>
        <v>5</v>
      </c>
      <c r="M916" s="28" t="str">
        <f aca="false">IF(L916&gt;=5,"YES","no - dead move")</f>
        <v>YES</v>
      </c>
    </row>
    <row r="917" customFormat="false" ht="15" hidden="false" customHeight="false" outlineLevel="0" collapsed="false">
      <c r="A917" s="17" t="n">
        <v>913</v>
      </c>
      <c r="B917" s="17" t="s">
        <v>41</v>
      </c>
      <c r="C917" s="17" t="s">
        <v>50</v>
      </c>
      <c r="D917" s="17" t="s">
        <v>52</v>
      </c>
      <c r="E917" s="17" t="s">
        <v>53</v>
      </c>
      <c r="F917" s="25" t="n">
        <f aca="false">SUMPRODUCT(--((('Yellow Bosses'!$I$5:$I$53&gt;=2)+('Yellow Bosses'!$R$5:$R$53&gt;=2)+('Yellow Bosses'!$T$5:$T$53&gt;=2)+('Yellow Bosses'!$U$5:$U$53&gt;=2))&gt;0))</f>
        <v>29</v>
      </c>
      <c r="G917" s="26" t="n">
        <f aca="false">F917/49</f>
        <v>0.591836734693878</v>
      </c>
      <c r="H917" s="25" t="n">
        <f aca="false">49-SUMPRODUCT(--((('Yellow Bosses'!$I$5:$I$53&gt;=1)+('Yellow Bosses'!$R$5:$R$53&gt;=1)+('Yellow Bosses'!$T$5:$T$53&gt;=1)+('Yellow Bosses'!$U$5:$U$53&gt;=1))&gt;0))</f>
        <v>0</v>
      </c>
      <c r="I917" s="25" t="n">
        <f aca="false">SUMPRODUCT(--((('Yellow Bosses'!$I$5:$I$53&gt;0)+('Yellow Bosses'!$R$5:$R$53&gt;0)+('Yellow Bosses'!$T$5:$T$53&gt;0)+('Yellow Bosses'!$U$5:$U$53&gt;0))=0))</f>
        <v>0</v>
      </c>
      <c r="J917" s="25" t="n">
        <f aca="false">SUMPRODUCT(--(((Effectiveness!$F$5:$F$155&gt;=2)+(Effectiveness!$O$5:$O$155&gt;=2)+(Effectiveness!$Q$5:$Q$155&gt;=2)+(Effectiveness!$R$5:$R$155&gt;=2))&gt;0))</f>
        <v>80</v>
      </c>
      <c r="K917" s="26" t="n">
        <f aca="false">J917/151</f>
        <v>0.529801324503311</v>
      </c>
      <c r="L917" s="25" t="n">
        <f aca="false">MIN(INDEX('Move Reality'!$F$5:$F$19,MATCH(B917,'Move Reality'!$A$5:$A$19,0)),INDEX('Move Reality'!$F$5:$F$19,MATCH(C917,'Move Reality'!$A$5:$A$19,0)),INDEX('Move Reality'!$F$5:$F$19,MATCH(D917,'Move Reality'!$A$5:$A$19,0)),INDEX('Move Reality'!$F$5:$F$19,MATCH(E917,'Move Reality'!$A$5:$A$19,0)))</f>
        <v>1</v>
      </c>
      <c r="M917" s="28" t="str">
        <f aca="false">IF(L917&gt;=5,"YES","no - dead move")</f>
        <v>no - dead move</v>
      </c>
    </row>
    <row r="918" customFormat="false" ht="15" hidden="false" customHeight="false" outlineLevel="0" collapsed="false">
      <c r="A918" s="17" t="n">
        <v>914</v>
      </c>
      <c r="B918" s="17" t="s">
        <v>42</v>
      </c>
      <c r="C918" s="17" t="s">
        <v>46</v>
      </c>
      <c r="D918" s="17" t="s">
        <v>52</v>
      </c>
      <c r="E918" s="17" t="s">
        <v>53</v>
      </c>
      <c r="F918" s="25" t="n">
        <f aca="false">SUMPRODUCT(--((('Yellow Bosses'!$J$5:$J$53&gt;=2)+('Yellow Bosses'!$N$5:$N$53&gt;=2)+('Yellow Bosses'!$T$5:$T$53&gt;=2)+('Yellow Bosses'!$U$5:$U$53&gt;=2))&gt;0))</f>
        <v>29</v>
      </c>
      <c r="G918" s="26" t="n">
        <f aca="false">F918/49</f>
        <v>0.591836734693878</v>
      </c>
      <c r="H918" s="25" t="n">
        <f aca="false">49-SUMPRODUCT(--((('Yellow Bosses'!$J$5:$J$53&gt;=1)+('Yellow Bosses'!$N$5:$N$53&gt;=1)+('Yellow Bosses'!$T$5:$T$53&gt;=1)+('Yellow Bosses'!$U$5:$U$53&gt;=1))&gt;0))</f>
        <v>0</v>
      </c>
      <c r="I918" s="25" t="n">
        <f aca="false">SUMPRODUCT(--((('Yellow Bosses'!$J$5:$J$53&gt;0)+('Yellow Bosses'!$N$5:$N$53&gt;0)+('Yellow Bosses'!$T$5:$T$53&gt;0)+('Yellow Bosses'!$U$5:$U$53&gt;0))=0))</f>
        <v>0</v>
      </c>
      <c r="J918" s="25" t="n">
        <f aca="false">SUMPRODUCT(--(((Effectiveness!$G$5:$G$155&gt;=2)+(Effectiveness!$K$5:$K$155&gt;=2)+(Effectiveness!$Q$5:$Q$155&gt;=2)+(Effectiveness!$R$5:$R$155&gt;=2))&gt;0))</f>
        <v>80</v>
      </c>
      <c r="K918" s="26" t="n">
        <f aca="false">J918/151</f>
        <v>0.529801324503311</v>
      </c>
      <c r="L918" s="25" t="n">
        <f aca="false">MIN(INDEX('Move Reality'!$F$5:$F$19,MATCH(B918,'Move Reality'!$A$5:$A$19,0)),INDEX('Move Reality'!$F$5:$F$19,MATCH(C918,'Move Reality'!$A$5:$A$19,0)),INDEX('Move Reality'!$F$5:$F$19,MATCH(D918,'Move Reality'!$A$5:$A$19,0)),INDEX('Move Reality'!$F$5:$F$19,MATCH(E918,'Move Reality'!$A$5:$A$19,0)))</f>
        <v>1</v>
      </c>
      <c r="M918" s="28" t="str">
        <f aca="false">IF(L918&gt;=5,"YES","no - dead move")</f>
        <v>no - dead move</v>
      </c>
    </row>
    <row r="919" customFormat="false" ht="15" hidden="false" customHeight="false" outlineLevel="0" collapsed="false">
      <c r="A919" s="17" t="n">
        <v>915</v>
      </c>
      <c r="B919" s="17" t="s">
        <v>47</v>
      </c>
      <c r="C919" s="17" t="s">
        <v>49</v>
      </c>
      <c r="D919" s="17" t="s">
        <v>50</v>
      </c>
      <c r="E919" s="17" t="s">
        <v>52</v>
      </c>
      <c r="F919" s="25" t="n">
        <f aca="false">SUMPRODUCT(--((('Yellow Bosses'!$O$5:$O$53&gt;=2)+('Yellow Bosses'!$Q$5:$Q$53&gt;=2)+('Yellow Bosses'!$R$5:$R$53&gt;=2)+('Yellow Bosses'!$T$5:$T$53&gt;=2))&gt;0))</f>
        <v>29</v>
      </c>
      <c r="G919" s="26" t="n">
        <f aca="false">F919/49</f>
        <v>0.591836734693878</v>
      </c>
      <c r="H919" s="25" t="n">
        <f aca="false">49-SUMPRODUCT(--((('Yellow Bosses'!$O$5:$O$53&gt;=1)+('Yellow Bosses'!$Q$5:$Q$53&gt;=1)+('Yellow Bosses'!$R$5:$R$53&gt;=1)+('Yellow Bosses'!$T$5:$T$53&gt;=1))&gt;0))</f>
        <v>0</v>
      </c>
      <c r="I919" s="25" t="n">
        <f aca="false">SUMPRODUCT(--((('Yellow Bosses'!$O$5:$O$53&gt;0)+('Yellow Bosses'!$Q$5:$Q$53&gt;0)+('Yellow Bosses'!$R$5:$R$53&gt;0)+('Yellow Bosses'!$T$5:$T$53&gt;0))=0))</f>
        <v>0</v>
      </c>
      <c r="J919" s="25" t="n">
        <f aca="false">SUMPRODUCT(--(((Effectiveness!$L$5:$L$155&gt;=2)+(Effectiveness!$N$5:$N$155&gt;=2)+(Effectiveness!$O$5:$O$155&gt;=2)+(Effectiveness!$Q$5:$Q$155&gt;=2))&gt;0))</f>
        <v>80</v>
      </c>
      <c r="K919" s="26" t="n">
        <f aca="false">J919/151</f>
        <v>0.529801324503311</v>
      </c>
      <c r="L919" s="25" t="n">
        <f aca="false">MIN(INDEX('Move Reality'!$F$5:$F$19,MATCH(B919,'Move Reality'!$A$5:$A$19,0)),INDEX('Move Reality'!$F$5:$F$19,MATCH(C919,'Move Reality'!$A$5:$A$19,0)),INDEX('Move Reality'!$F$5:$F$19,MATCH(D919,'Move Reality'!$A$5:$A$19,0)),INDEX('Move Reality'!$F$5:$F$19,MATCH(E919,'Move Reality'!$A$5:$A$19,0)))</f>
        <v>2</v>
      </c>
      <c r="M919" s="28" t="str">
        <f aca="false">IF(L919&gt;=5,"YES","no - dead move")</f>
        <v>no - dead move</v>
      </c>
    </row>
    <row r="920" customFormat="false" ht="15" hidden="false" customHeight="false" outlineLevel="0" collapsed="false">
      <c r="A920" s="17" t="n">
        <v>916</v>
      </c>
      <c r="B920" s="17" t="s">
        <v>47</v>
      </c>
      <c r="C920" s="17" t="s">
        <v>50</v>
      </c>
      <c r="D920" s="17" t="s">
        <v>52</v>
      </c>
      <c r="E920" s="17" t="s">
        <v>53</v>
      </c>
      <c r="F920" s="25" t="n">
        <f aca="false">SUMPRODUCT(--((('Yellow Bosses'!$O$5:$O$53&gt;=2)+('Yellow Bosses'!$R$5:$R$53&gt;=2)+('Yellow Bosses'!$T$5:$T$53&gt;=2)+('Yellow Bosses'!$U$5:$U$53&gt;=2))&gt;0))</f>
        <v>29</v>
      </c>
      <c r="G920" s="26" t="n">
        <f aca="false">F920/49</f>
        <v>0.591836734693878</v>
      </c>
      <c r="H920" s="25" t="n">
        <f aca="false">49-SUMPRODUCT(--((('Yellow Bosses'!$O$5:$O$53&gt;=1)+('Yellow Bosses'!$R$5:$R$53&gt;=1)+('Yellow Bosses'!$T$5:$T$53&gt;=1)+('Yellow Bosses'!$U$5:$U$53&gt;=1))&gt;0))</f>
        <v>0</v>
      </c>
      <c r="I920" s="25" t="n">
        <f aca="false">SUMPRODUCT(--((('Yellow Bosses'!$O$5:$O$53&gt;0)+('Yellow Bosses'!$R$5:$R$53&gt;0)+('Yellow Bosses'!$T$5:$T$53&gt;0)+('Yellow Bosses'!$U$5:$U$53&gt;0))=0))</f>
        <v>0</v>
      </c>
      <c r="J920" s="25" t="n">
        <f aca="false">SUMPRODUCT(--(((Effectiveness!$L$5:$L$155&gt;=2)+(Effectiveness!$O$5:$O$155&gt;=2)+(Effectiveness!$Q$5:$Q$155&gt;=2)+(Effectiveness!$R$5:$R$155&gt;=2))&gt;0))</f>
        <v>80</v>
      </c>
      <c r="K920" s="26" t="n">
        <f aca="false">J920/151</f>
        <v>0.529801324503311</v>
      </c>
      <c r="L920" s="25" t="n">
        <f aca="false">MIN(INDEX('Move Reality'!$F$5:$F$19,MATCH(B920,'Move Reality'!$A$5:$A$19,0)),INDEX('Move Reality'!$F$5:$F$19,MATCH(C920,'Move Reality'!$A$5:$A$19,0)),INDEX('Move Reality'!$F$5:$F$19,MATCH(D920,'Move Reality'!$A$5:$A$19,0)),INDEX('Move Reality'!$F$5:$F$19,MATCH(E920,'Move Reality'!$A$5:$A$19,0)))</f>
        <v>1</v>
      </c>
      <c r="M920" s="28" t="str">
        <f aca="false">IF(L920&gt;=5,"YES","no - dead move")</f>
        <v>no - dead move</v>
      </c>
    </row>
    <row r="921" customFormat="false" ht="15" hidden="false" customHeight="false" outlineLevel="0" collapsed="false">
      <c r="A921" s="17" t="n">
        <v>917</v>
      </c>
      <c r="B921" s="17" t="s">
        <v>49</v>
      </c>
      <c r="C921" s="17" t="s">
        <v>50</v>
      </c>
      <c r="D921" s="17" t="s">
        <v>52</v>
      </c>
      <c r="E921" s="17" t="s">
        <v>53</v>
      </c>
      <c r="F921" s="25" t="n">
        <f aca="false">SUMPRODUCT(--((('Yellow Bosses'!$Q$5:$Q$53&gt;=2)+('Yellow Bosses'!$R$5:$R$53&gt;=2)+('Yellow Bosses'!$T$5:$T$53&gt;=2)+('Yellow Bosses'!$U$5:$U$53&gt;=2))&gt;0))</f>
        <v>29</v>
      </c>
      <c r="G921" s="26" t="n">
        <f aca="false">F921/49</f>
        <v>0.591836734693878</v>
      </c>
      <c r="H921" s="25" t="n">
        <f aca="false">49-SUMPRODUCT(--((('Yellow Bosses'!$Q$5:$Q$53&gt;=1)+('Yellow Bosses'!$R$5:$R$53&gt;=1)+('Yellow Bosses'!$T$5:$T$53&gt;=1)+('Yellow Bosses'!$U$5:$U$53&gt;=1))&gt;0))</f>
        <v>0</v>
      </c>
      <c r="I921" s="25" t="n">
        <f aca="false">SUMPRODUCT(--((('Yellow Bosses'!$Q$5:$Q$53&gt;0)+('Yellow Bosses'!$R$5:$R$53&gt;0)+('Yellow Bosses'!$T$5:$T$53&gt;0)+('Yellow Bosses'!$U$5:$U$53&gt;0))=0))</f>
        <v>0</v>
      </c>
      <c r="J921" s="25" t="n">
        <f aca="false">SUMPRODUCT(--(((Effectiveness!$N$5:$N$155&gt;=2)+(Effectiveness!$O$5:$O$155&gt;=2)+(Effectiveness!$Q$5:$Q$155&gt;=2)+(Effectiveness!$R$5:$R$155&gt;=2))&gt;0))</f>
        <v>80</v>
      </c>
      <c r="K921" s="26" t="n">
        <f aca="false">J921/151</f>
        <v>0.529801324503311</v>
      </c>
      <c r="L921" s="25" t="n">
        <f aca="false">MIN(INDEX('Move Reality'!$F$5:$F$19,MATCH(B921,'Move Reality'!$A$5:$A$19,0)),INDEX('Move Reality'!$F$5:$F$19,MATCH(C921,'Move Reality'!$A$5:$A$19,0)),INDEX('Move Reality'!$F$5:$F$19,MATCH(D921,'Move Reality'!$A$5:$A$19,0)),INDEX('Move Reality'!$F$5:$F$19,MATCH(E921,'Move Reality'!$A$5:$A$19,0)))</f>
        <v>1</v>
      </c>
      <c r="M921" s="28" t="str">
        <f aca="false">IF(L921&gt;=5,"YES","no - dead move")</f>
        <v>no - dead move</v>
      </c>
    </row>
    <row r="922" customFormat="false" ht="15" hidden="false" customHeight="false" outlineLevel="0" collapsed="false">
      <c r="A922" s="17" t="n">
        <v>918</v>
      </c>
      <c r="B922" s="17" t="s">
        <v>40</v>
      </c>
      <c r="C922" s="17" t="s">
        <v>41</v>
      </c>
      <c r="D922" s="17" t="s">
        <v>48</v>
      </c>
      <c r="E922" s="17" t="s">
        <v>49</v>
      </c>
      <c r="F922" s="25" t="n">
        <f aca="false">SUMPRODUCT(--((('Yellow Bosses'!$H$5:$H$53&gt;=2)+('Yellow Bosses'!$I$5:$I$53&gt;=2)+('Yellow Bosses'!$P$5:$P$53&gt;=2)+('Yellow Bosses'!$Q$5:$Q$53&gt;=2))&gt;0))</f>
        <v>29</v>
      </c>
      <c r="G922" s="26" t="n">
        <f aca="false">F922/49</f>
        <v>0.591836734693878</v>
      </c>
      <c r="H922" s="25" t="n">
        <f aca="false">49-SUMPRODUCT(--((('Yellow Bosses'!$H$5:$H$53&gt;=1)+('Yellow Bosses'!$I$5:$I$53&gt;=1)+('Yellow Bosses'!$P$5:$P$53&gt;=1)+('Yellow Bosses'!$Q$5:$Q$53&gt;=1))&gt;0))</f>
        <v>1</v>
      </c>
      <c r="I922" s="25" t="n">
        <f aca="false">SUMPRODUCT(--((('Yellow Bosses'!$H$5:$H$53&gt;0)+('Yellow Bosses'!$I$5:$I$53&gt;0)+('Yellow Bosses'!$P$5:$P$53&gt;0)+('Yellow Bosses'!$Q$5:$Q$53&gt;0))=0))</f>
        <v>0</v>
      </c>
      <c r="J922" s="25" t="n">
        <f aca="false">SUMPRODUCT(--(((Effectiveness!$E$5:$E$155&gt;=2)+(Effectiveness!$F$5:$F$155&gt;=2)+(Effectiveness!$M$5:$M$155&gt;=2)+(Effectiveness!$N$5:$N$155&gt;=2))&gt;0))</f>
        <v>79</v>
      </c>
      <c r="K922" s="26" t="n">
        <f aca="false">J922/151</f>
        <v>0.52317880794702</v>
      </c>
      <c r="L922" s="25" t="n">
        <f aca="false">MIN(INDEX('Move Reality'!$F$5:$F$19,MATCH(B922,'Move Reality'!$A$5:$A$19,0)),INDEX('Move Reality'!$F$5:$F$19,MATCH(C922,'Move Reality'!$A$5:$A$19,0)),INDEX('Move Reality'!$F$5:$F$19,MATCH(D922,'Move Reality'!$A$5:$A$19,0)),INDEX('Move Reality'!$F$5:$F$19,MATCH(E922,'Move Reality'!$A$5:$A$19,0)))</f>
        <v>5</v>
      </c>
      <c r="M922" s="28" t="str">
        <f aca="false">IF(L922&gt;=5,"YES","no - dead move")</f>
        <v>YES</v>
      </c>
    </row>
    <row r="923" customFormat="false" ht="15" hidden="false" customHeight="false" outlineLevel="0" collapsed="false">
      <c r="A923" s="17" t="n">
        <v>919</v>
      </c>
      <c r="B923" s="17" t="s">
        <v>40</v>
      </c>
      <c r="C923" s="17" t="s">
        <v>44</v>
      </c>
      <c r="D923" s="17" t="s">
        <v>48</v>
      </c>
      <c r="E923" s="17" t="s">
        <v>54</v>
      </c>
      <c r="F923" s="25" t="n">
        <f aca="false">SUMPRODUCT(--((('Yellow Bosses'!$H$5:$H$53&gt;=2)+('Yellow Bosses'!$L$5:$L$53&gt;=2)+('Yellow Bosses'!$P$5:$P$53&gt;=2)+('Yellow Bosses'!$V$5:$V$53&gt;=2))&gt;0))</f>
        <v>29</v>
      </c>
      <c r="G923" s="26" t="n">
        <f aca="false">F923/49</f>
        <v>0.591836734693878</v>
      </c>
      <c r="H923" s="25" t="n">
        <f aca="false">49-SUMPRODUCT(--((('Yellow Bosses'!$H$5:$H$53&gt;=1)+('Yellow Bosses'!$L$5:$L$53&gt;=1)+('Yellow Bosses'!$P$5:$P$53&gt;=1)+('Yellow Bosses'!$V$5:$V$53&gt;=1))&gt;0))</f>
        <v>0</v>
      </c>
      <c r="I923" s="25" t="n">
        <f aca="false">SUMPRODUCT(--((('Yellow Bosses'!$H$5:$H$53&gt;0)+('Yellow Bosses'!$L$5:$L$53&gt;0)+('Yellow Bosses'!$P$5:$P$53&gt;0)+('Yellow Bosses'!$V$5:$V$53&gt;0))=0))</f>
        <v>0</v>
      </c>
      <c r="J923" s="25" t="n">
        <f aca="false">SUMPRODUCT(--(((Effectiveness!$E$5:$E$155&gt;=2)+(Effectiveness!$I$5:$I$155&gt;=2)+(Effectiveness!$M$5:$M$155&gt;=2)+(Effectiveness!$S$5:$S$155&gt;=2))&gt;0))</f>
        <v>79</v>
      </c>
      <c r="K923" s="26" t="n">
        <f aca="false">J923/151</f>
        <v>0.52317880794702</v>
      </c>
      <c r="L923" s="25" t="n">
        <f aca="false">MIN(INDEX('Move Reality'!$F$5:$F$19,MATCH(B923,'Move Reality'!$A$5:$A$19,0)),INDEX('Move Reality'!$F$5:$F$19,MATCH(C923,'Move Reality'!$A$5:$A$19,0)),INDEX('Move Reality'!$F$5:$F$19,MATCH(D923,'Move Reality'!$A$5:$A$19,0)),INDEX('Move Reality'!$F$5:$F$19,MATCH(E923,'Move Reality'!$A$5:$A$19,0)))</f>
        <v>1</v>
      </c>
      <c r="M923" s="28" t="str">
        <f aca="false">IF(L923&gt;=5,"YES","no - dead move")</f>
        <v>no - dead move</v>
      </c>
    </row>
    <row r="924" customFormat="false" ht="15" hidden="false" customHeight="false" outlineLevel="0" collapsed="false">
      <c r="A924" s="17" t="n">
        <v>920</v>
      </c>
      <c r="B924" s="17" t="s">
        <v>40</v>
      </c>
      <c r="C924" s="17" t="s">
        <v>47</v>
      </c>
      <c r="D924" s="17" t="s">
        <v>48</v>
      </c>
      <c r="E924" s="17" t="s">
        <v>50</v>
      </c>
      <c r="F924" s="25" t="n">
        <f aca="false">SUMPRODUCT(--((('Yellow Bosses'!$H$5:$H$53&gt;=2)+('Yellow Bosses'!$O$5:$O$53&gt;=2)+('Yellow Bosses'!$P$5:$P$53&gt;=2)+('Yellow Bosses'!$R$5:$R$53&gt;=2))&gt;0))</f>
        <v>29</v>
      </c>
      <c r="G924" s="26" t="n">
        <f aca="false">F924/49</f>
        <v>0.591836734693878</v>
      </c>
      <c r="H924" s="25" t="n">
        <f aca="false">49-SUMPRODUCT(--((('Yellow Bosses'!$H$5:$H$53&gt;=1)+('Yellow Bosses'!$O$5:$O$53&gt;=1)+('Yellow Bosses'!$P$5:$P$53&gt;=1)+('Yellow Bosses'!$R$5:$R$53&gt;=1))&gt;0))</f>
        <v>0</v>
      </c>
      <c r="I924" s="25" t="n">
        <f aca="false">SUMPRODUCT(--((('Yellow Bosses'!$H$5:$H$53&gt;0)+('Yellow Bosses'!$O$5:$O$53&gt;0)+('Yellow Bosses'!$P$5:$P$53&gt;0)+('Yellow Bosses'!$R$5:$R$53&gt;0))=0))</f>
        <v>0</v>
      </c>
      <c r="J924" s="25" t="n">
        <f aca="false">SUMPRODUCT(--(((Effectiveness!$E$5:$E$155&gt;=2)+(Effectiveness!$L$5:$L$155&gt;=2)+(Effectiveness!$M$5:$M$155&gt;=2)+(Effectiveness!$O$5:$O$155&gt;=2))&gt;0))</f>
        <v>79</v>
      </c>
      <c r="K924" s="26" t="n">
        <f aca="false">J924/151</f>
        <v>0.52317880794702</v>
      </c>
      <c r="L924" s="25" t="n">
        <f aca="false">MIN(INDEX('Move Reality'!$F$5:$F$19,MATCH(B924,'Move Reality'!$A$5:$A$19,0)),INDEX('Move Reality'!$F$5:$F$19,MATCH(C924,'Move Reality'!$A$5:$A$19,0)),INDEX('Move Reality'!$F$5:$F$19,MATCH(D924,'Move Reality'!$A$5:$A$19,0)),INDEX('Move Reality'!$F$5:$F$19,MATCH(E924,'Move Reality'!$A$5:$A$19,0)))</f>
        <v>2</v>
      </c>
      <c r="M924" s="28" t="str">
        <f aca="false">IF(L924&gt;=5,"YES","no - dead move")</f>
        <v>no - dead move</v>
      </c>
    </row>
    <row r="925" customFormat="false" ht="15" hidden="false" customHeight="false" outlineLevel="0" collapsed="false">
      <c r="A925" s="17" t="n">
        <v>921</v>
      </c>
      <c r="B925" s="17" t="s">
        <v>40</v>
      </c>
      <c r="C925" s="17" t="s">
        <v>48</v>
      </c>
      <c r="D925" s="17" t="s">
        <v>49</v>
      </c>
      <c r="E925" s="17" t="s">
        <v>50</v>
      </c>
      <c r="F925" s="25" t="n">
        <f aca="false">SUMPRODUCT(--((('Yellow Bosses'!$H$5:$H$53&gt;=2)+('Yellow Bosses'!$P$5:$P$53&gt;=2)+('Yellow Bosses'!$Q$5:$Q$53&gt;=2)+('Yellow Bosses'!$R$5:$R$53&gt;=2))&gt;0))</f>
        <v>29</v>
      </c>
      <c r="G925" s="26" t="n">
        <f aca="false">F925/49</f>
        <v>0.591836734693878</v>
      </c>
      <c r="H925" s="25" t="n">
        <f aca="false">49-SUMPRODUCT(--((('Yellow Bosses'!$H$5:$H$53&gt;=1)+('Yellow Bosses'!$P$5:$P$53&gt;=1)+('Yellow Bosses'!$Q$5:$Q$53&gt;=1)+('Yellow Bosses'!$R$5:$R$53&gt;=1))&gt;0))</f>
        <v>0</v>
      </c>
      <c r="I925" s="25" t="n">
        <f aca="false">SUMPRODUCT(--((('Yellow Bosses'!$H$5:$H$53&gt;0)+('Yellow Bosses'!$P$5:$P$53&gt;0)+('Yellow Bosses'!$Q$5:$Q$53&gt;0)+('Yellow Bosses'!$R$5:$R$53&gt;0))=0))</f>
        <v>0</v>
      </c>
      <c r="J925" s="25" t="n">
        <f aca="false">SUMPRODUCT(--(((Effectiveness!$E$5:$E$155&gt;=2)+(Effectiveness!$M$5:$M$155&gt;=2)+(Effectiveness!$N$5:$N$155&gt;=2)+(Effectiveness!$O$5:$O$155&gt;=2))&gt;0))</f>
        <v>79</v>
      </c>
      <c r="K925" s="26" t="n">
        <f aca="false">J925/151</f>
        <v>0.52317880794702</v>
      </c>
      <c r="L925" s="25" t="n">
        <f aca="false">MIN(INDEX('Move Reality'!$F$5:$F$19,MATCH(B925,'Move Reality'!$A$5:$A$19,0)),INDEX('Move Reality'!$F$5:$F$19,MATCH(C925,'Move Reality'!$A$5:$A$19,0)),INDEX('Move Reality'!$F$5:$F$19,MATCH(D925,'Move Reality'!$A$5:$A$19,0)),INDEX('Move Reality'!$F$5:$F$19,MATCH(E925,'Move Reality'!$A$5:$A$19,0)))</f>
        <v>5</v>
      </c>
      <c r="M925" s="28" t="str">
        <f aca="false">IF(L925&gt;=5,"YES","no - dead move")</f>
        <v>YES</v>
      </c>
    </row>
    <row r="926" customFormat="false" ht="15" hidden="false" customHeight="false" outlineLevel="0" collapsed="false">
      <c r="A926" s="17" t="n">
        <v>922</v>
      </c>
      <c r="B926" s="17" t="s">
        <v>40</v>
      </c>
      <c r="C926" s="17" t="s">
        <v>50</v>
      </c>
      <c r="D926" s="17" t="s">
        <v>52</v>
      </c>
      <c r="E926" s="17" t="s">
        <v>54</v>
      </c>
      <c r="F926" s="25" t="n">
        <f aca="false">SUMPRODUCT(--((('Yellow Bosses'!$H$5:$H$53&gt;=2)+('Yellow Bosses'!$R$5:$R$53&gt;=2)+('Yellow Bosses'!$T$5:$T$53&gt;=2)+('Yellow Bosses'!$V$5:$V$53&gt;=2))&gt;0))</f>
        <v>29</v>
      </c>
      <c r="G926" s="26" t="n">
        <f aca="false">F926/49</f>
        <v>0.591836734693878</v>
      </c>
      <c r="H926" s="25" t="n">
        <f aca="false">49-SUMPRODUCT(--((('Yellow Bosses'!$H$5:$H$53&gt;=1)+('Yellow Bosses'!$R$5:$R$53&gt;=1)+('Yellow Bosses'!$T$5:$T$53&gt;=1)+('Yellow Bosses'!$V$5:$V$53&gt;=1))&gt;0))</f>
        <v>0</v>
      </c>
      <c r="I926" s="25" t="n">
        <f aca="false">SUMPRODUCT(--((('Yellow Bosses'!$H$5:$H$53&gt;0)+('Yellow Bosses'!$R$5:$R$53&gt;0)+('Yellow Bosses'!$T$5:$T$53&gt;0)+('Yellow Bosses'!$V$5:$V$53&gt;0))=0))</f>
        <v>0</v>
      </c>
      <c r="J926" s="25" t="n">
        <f aca="false">SUMPRODUCT(--(((Effectiveness!$E$5:$E$155&gt;=2)+(Effectiveness!$O$5:$O$155&gt;=2)+(Effectiveness!$Q$5:$Q$155&gt;=2)+(Effectiveness!$S$5:$S$155&gt;=2))&gt;0))</f>
        <v>79</v>
      </c>
      <c r="K926" s="26" t="n">
        <f aca="false">J926/151</f>
        <v>0.52317880794702</v>
      </c>
      <c r="L926" s="25" t="n">
        <f aca="false">MIN(INDEX('Move Reality'!$F$5:$F$19,MATCH(B926,'Move Reality'!$A$5:$A$19,0)),INDEX('Move Reality'!$F$5:$F$19,MATCH(C926,'Move Reality'!$A$5:$A$19,0)),INDEX('Move Reality'!$F$5:$F$19,MATCH(D926,'Move Reality'!$A$5:$A$19,0)),INDEX('Move Reality'!$F$5:$F$19,MATCH(E926,'Move Reality'!$A$5:$A$19,0)))</f>
        <v>1</v>
      </c>
      <c r="M926" s="28" t="str">
        <f aca="false">IF(L926&gt;=5,"YES","no - dead move")</f>
        <v>no - dead move</v>
      </c>
    </row>
    <row r="927" customFormat="false" ht="15" hidden="false" customHeight="false" outlineLevel="0" collapsed="false">
      <c r="A927" s="17" t="n">
        <v>923</v>
      </c>
      <c r="B927" s="17" t="s">
        <v>41</v>
      </c>
      <c r="C927" s="17" t="s">
        <v>47</v>
      </c>
      <c r="D927" s="17" t="s">
        <v>48</v>
      </c>
      <c r="E927" s="17" t="s">
        <v>49</v>
      </c>
      <c r="F927" s="25" t="n">
        <f aca="false">SUMPRODUCT(--((('Yellow Bosses'!$I$5:$I$53&gt;=2)+('Yellow Bosses'!$O$5:$O$53&gt;=2)+('Yellow Bosses'!$P$5:$P$53&gt;=2)+('Yellow Bosses'!$Q$5:$Q$53&gt;=2))&gt;0))</f>
        <v>29</v>
      </c>
      <c r="G927" s="26" t="n">
        <f aca="false">F927/49</f>
        <v>0.591836734693878</v>
      </c>
      <c r="H927" s="25" t="n">
        <f aca="false">49-SUMPRODUCT(--((('Yellow Bosses'!$I$5:$I$53&gt;=1)+('Yellow Bosses'!$O$5:$O$53&gt;=1)+('Yellow Bosses'!$P$5:$P$53&gt;=1)+('Yellow Bosses'!$Q$5:$Q$53&gt;=1))&gt;0))</f>
        <v>1</v>
      </c>
      <c r="I927" s="25" t="n">
        <f aca="false">SUMPRODUCT(--((('Yellow Bosses'!$I$5:$I$53&gt;0)+('Yellow Bosses'!$O$5:$O$53&gt;0)+('Yellow Bosses'!$P$5:$P$53&gt;0)+('Yellow Bosses'!$Q$5:$Q$53&gt;0))=0))</f>
        <v>0</v>
      </c>
      <c r="J927" s="25" t="n">
        <f aca="false">SUMPRODUCT(--(((Effectiveness!$F$5:$F$155&gt;=2)+(Effectiveness!$L$5:$L$155&gt;=2)+(Effectiveness!$M$5:$M$155&gt;=2)+(Effectiveness!$N$5:$N$155&gt;=2))&gt;0))</f>
        <v>79</v>
      </c>
      <c r="K927" s="26" t="n">
        <f aca="false">J927/151</f>
        <v>0.52317880794702</v>
      </c>
      <c r="L927" s="25" t="n">
        <f aca="false">MIN(INDEX('Move Reality'!$F$5:$F$19,MATCH(B927,'Move Reality'!$A$5:$A$19,0)),INDEX('Move Reality'!$F$5:$F$19,MATCH(C927,'Move Reality'!$A$5:$A$19,0)),INDEX('Move Reality'!$F$5:$F$19,MATCH(D927,'Move Reality'!$A$5:$A$19,0)),INDEX('Move Reality'!$F$5:$F$19,MATCH(E927,'Move Reality'!$A$5:$A$19,0)))</f>
        <v>2</v>
      </c>
      <c r="M927" s="28" t="str">
        <f aca="false">IF(L927&gt;=5,"YES","no - dead move")</f>
        <v>no - dead move</v>
      </c>
    </row>
    <row r="928" customFormat="false" ht="15" hidden="false" customHeight="false" outlineLevel="0" collapsed="false">
      <c r="A928" s="17" t="n">
        <v>924</v>
      </c>
      <c r="B928" s="17" t="s">
        <v>41</v>
      </c>
      <c r="C928" s="17" t="s">
        <v>48</v>
      </c>
      <c r="D928" s="17" t="s">
        <v>49</v>
      </c>
      <c r="E928" s="17" t="s">
        <v>53</v>
      </c>
      <c r="F928" s="25" t="n">
        <f aca="false">SUMPRODUCT(--((('Yellow Bosses'!$I$5:$I$53&gt;=2)+('Yellow Bosses'!$P$5:$P$53&gt;=2)+('Yellow Bosses'!$Q$5:$Q$53&gt;=2)+('Yellow Bosses'!$U$5:$U$53&gt;=2))&gt;0))</f>
        <v>29</v>
      </c>
      <c r="G928" s="26" t="n">
        <f aca="false">F928/49</f>
        <v>0.591836734693878</v>
      </c>
      <c r="H928" s="25" t="n">
        <f aca="false">49-SUMPRODUCT(--((('Yellow Bosses'!$I$5:$I$53&gt;=1)+('Yellow Bosses'!$P$5:$P$53&gt;=1)+('Yellow Bosses'!$Q$5:$Q$53&gt;=1)+('Yellow Bosses'!$U$5:$U$53&gt;=1))&gt;0))</f>
        <v>0</v>
      </c>
      <c r="I928" s="25" t="n">
        <f aca="false">SUMPRODUCT(--((('Yellow Bosses'!$I$5:$I$53&gt;0)+('Yellow Bosses'!$P$5:$P$53&gt;0)+('Yellow Bosses'!$Q$5:$Q$53&gt;0)+('Yellow Bosses'!$U$5:$U$53&gt;0))=0))</f>
        <v>0</v>
      </c>
      <c r="J928" s="25" t="n">
        <f aca="false">SUMPRODUCT(--(((Effectiveness!$F$5:$F$155&gt;=2)+(Effectiveness!$M$5:$M$155&gt;=2)+(Effectiveness!$N$5:$N$155&gt;=2)+(Effectiveness!$R$5:$R$155&gt;=2))&gt;0))</f>
        <v>79</v>
      </c>
      <c r="K928" s="26" t="n">
        <f aca="false">J928/151</f>
        <v>0.52317880794702</v>
      </c>
      <c r="L928" s="25" t="n">
        <f aca="false">MIN(INDEX('Move Reality'!$F$5:$F$19,MATCH(B928,'Move Reality'!$A$5:$A$19,0)),INDEX('Move Reality'!$F$5:$F$19,MATCH(C928,'Move Reality'!$A$5:$A$19,0)),INDEX('Move Reality'!$F$5:$F$19,MATCH(D928,'Move Reality'!$A$5:$A$19,0)),INDEX('Move Reality'!$F$5:$F$19,MATCH(E928,'Move Reality'!$A$5:$A$19,0)))</f>
        <v>1</v>
      </c>
      <c r="M928" s="28" t="str">
        <f aca="false">IF(L928&gt;=5,"YES","no - dead move")</f>
        <v>no - dead move</v>
      </c>
    </row>
    <row r="929" customFormat="false" ht="15" hidden="false" customHeight="false" outlineLevel="0" collapsed="false">
      <c r="A929" s="17" t="n">
        <v>925</v>
      </c>
      <c r="B929" s="17" t="s">
        <v>44</v>
      </c>
      <c r="C929" s="17" t="s">
        <v>48</v>
      </c>
      <c r="D929" s="17" t="s">
        <v>53</v>
      </c>
      <c r="E929" s="17" t="s">
        <v>54</v>
      </c>
      <c r="F929" s="25" t="n">
        <f aca="false">SUMPRODUCT(--((('Yellow Bosses'!$L$5:$L$53&gt;=2)+('Yellow Bosses'!$P$5:$P$53&gt;=2)+('Yellow Bosses'!$U$5:$U$53&gt;=2)+('Yellow Bosses'!$V$5:$V$53&gt;=2))&gt;0))</f>
        <v>29</v>
      </c>
      <c r="G929" s="26" t="n">
        <f aca="false">F929/49</f>
        <v>0.591836734693878</v>
      </c>
      <c r="H929" s="25" t="n">
        <f aca="false">49-SUMPRODUCT(--((('Yellow Bosses'!$L$5:$L$53&gt;=1)+('Yellow Bosses'!$P$5:$P$53&gt;=1)+('Yellow Bosses'!$U$5:$U$53&gt;=1)+('Yellow Bosses'!$V$5:$V$53&gt;=1))&gt;0))</f>
        <v>0</v>
      </c>
      <c r="I929" s="25" t="n">
        <f aca="false">SUMPRODUCT(--((('Yellow Bosses'!$L$5:$L$53&gt;0)+('Yellow Bosses'!$P$5:$P$53&gt;0)+('Yellow Bosses'!$U$5:$U$53&gt;0)+('Yellow Bosses'!$V$5:$V$53&gt;0))=0))</f>
        <v>0</v>
      </c>
      <c r="J929" s="25" t="n">
        <f aca="false">SUMPRODUCT(--(((Effectiveness!$I$5:$I$155&gt;=2)+(Effectiveness!$M$5:$M$155&gt;=2)+(Effectiveness!$R$5:$R$155&gt;=2)+(Effectiveness!$S$5:$S$155&gt;=2))&gt;0))</f>
        <v>79</v>
      </c>
      <c r="K929" s="26" t="n">
        <f aca="false">J929/151</f>
        <v>0.52317880794702</v>
      </c>
      <c r="L929" s="25" t="n">
        <f aca="false">MIN(INDEX('Move Reality'!$F$5:$F$19,MATCH(B929,'Move Reality'!$A$5:$A$19,0)),INDEX('Move Reality'!$F$5:$F$19,MATCH(C929,'Move Reality'!$A$5:$A$19,0)),INDEX('Move Reality'!$F$5:$F$19,MATCH(D929,'Move Reality'!$A$5:$A$19,0)),INDEX('Move Reality'!$F$5:$F$19,MATCH(E929,'Move Reality'!$A$5:$A$19,0)))</f>
        <v>1</v>
      </c>
      <c r="M929" s="28" t="str">
        <f aca="false">IF(L929&gt;=5,"YES","no - dead move")</f>
        <v>no - dead move</v>
      </c>
    </row>
    <row r="930" customFormat="false" ht="15" hidden="false" customHeight="false" outlineLevel="0" collapsed="false">
      <c r="A930" s="17" t="n">
        <v>926</v>
      </c>
      <c r="B930" s="17" t="s">
        <v>47</v>
      </c>
      <c r="C930" s="17" t="s">
        <v>48</v>
      </c>
      <c r="D930" s="17" t="s">
        <v>49</v>
      </c>
      <c r="E930" s="17" t="s">
        <v>50</v>
      </c>
      <c r="F930" s="25" t="n">
        <f aca="false">SUMPRODUCT(--((('Yellow Bosses'!$O$5:$O$53&gt;=2)+('Yellow Bosses'!$P$5:$P$53&gt;=2)+('Yellow Bosses'!$Q$5:$Q$53&gt;=2)+('Yellow Bosses'!$R$5:$R$53&gt;=2))&gt;0))</f>
        <v>29</v>
      </c>
      <c r="G930" s="26" t="n">
        <f aca="false">F930/49</f>
        <v>0.591836734693878</v>
      </c>
      <c r="H930" s="25" t="n">
        <f aca="false">49-SUMPRODUCT(--((('Yellow Bosses'!$O$5:$O$53&gt;=1)+('Yellow Bosses'!$P$5:$P$53&gt;=1)+('Yellow Bosses'!$Q$5:$Q$53&gt;=1)+('Yellow Bosses'!$R$5:$R$53&gt;=1))&gt;0))</f>
        <v>0</v>
      </c>
      <c r="I930" s="25" t="n">
        <f aca="false">SUMPRODUCT(--((('Yellow Bosses'!$O$5:$O$53&gt;0)+('Yellow Bosses'!$P$5:$P$53&gt;0)+('Yellow Bosses'!$Q$5:$Q$53&gt;0)+('Yellow Bosses'!$R$5:$R$53&gt;0))=0))</f>
        <v>0</v>
      </c>
      <c r="J930" s="25" t="n">
        <f aca="false">SUMPRODUCT(--(((Effectiveness!$L$5:$L$155&gt;=2)+(Effectiveness!$M$5:$M$155&gt;=2)+(Effectiveness!$N$5:$N$155&gt;=2)+(Effectiveness!$O$5:$O$155&gt;=2))&gt;0))</f>
        <v>79</v>
      </c>
      <c r="K930" s="26" t="n">
        <f aca="false">J930/151</f>
        <v>0.52317880794702</v>
      </c>
      <c r="L930" s="25" t="n">
        <f aca="false">MIN(INDEX('Move Reality'!$F$5:$F$19,MATCH(B930,'Move Reality'!$A$5:$A$19,0)),INDEX('Move Reality'!$F$5:$F$19,MATCH(C930,'Move Reality'!$A$5:$A$19,0)),INDEX('Move Reality'!$F$5:$F$19,MATCH(D930,'Move Reality'!$A$5:$A$19,0)),INDEX('Move Reality'!$F$5:$F$19,MATCH(E930,'Move Reality'!$A$5:$A$19,0)))</f>
        <v>2</v>
      </c>
      <c r="M930" s="28" t="str">
        <f aca="false">IF(L930&gt;=5,"YES","no - dead move")</f>
        <v>no - dead move</v>
      </c>
    </row>
    <row r="931" customFormat="false" ht="15" hidden="false" customHeight="false" outlineLevel="0" collapsed="false">
      <c r="A931" s="17" t="n">
        <v>927</v>
      </c>
      <c r="B931" s="17" t="s">
        <v>47</v>
      </c>
      <c r="C931" s="17" t="s">
        <v>48</v>
      </c>
      <c r="D931" s="17" t="s">
        <v>50</v>
      </c>
      <c r="E931" s="17" t="s">
        <v>53</v>
      </c>
      <c r="F931" s="25" t="n">
        <f aca="false">SUMPRODUCT(--((('Yellow Bosses'!$O$5:$O$53&gt;=2)+('Yellow Bosses'!$P$5:$P$53&gt;=2)+('Yellow Bosses'!$R$5:$R$53&gt;=2)+('Yellow Bosses'!$U$5:$U$53&gt;=2))&gt;0))</f>
        <v>29</v>
      </c>
      <c r="G931" s="26" t="n">
        <f aca="false">F931/49</f>
        <v>0.591836734693878</v>
      </c>
      <c r="H931" s="25" t="n">
        <f aca="false">49-SUMPRODUCT(--((('Yellow Bosses'!$O$5:$O$53&gt;=1)+('Yellow Bosses'!$P$5:$P$53&gt;=1)+('Yellow Bosses'!$R$5:$R$53&gt;=1)+('Yellow Bosses'!$U$5:$U$53&gt;=1))&gt;0))</f>
        <v>0</v>
      </c>
      <c r="I931" s="25" t="n">
        <f aca="false">SUMPRODUCT(--((('Yellow Bosses'!$O$5:$O$53&gt;0)+('Yellow Bosses'!$P$5:$P$53&gt;0)+('Yellow Bosses'!$R$5:$R$53&gt;0)+('Yellow Bosses'!$U$5:$U$53&gt;0))=0))</f>
        <v>0</v>
      </c>
      <c r="J931" s="25" t="n">
        <f aca="false">SUMPRODUCT(--(((Effectiveness!$L$5:$L$155&gt;=2)+(Effectiveness!$M$5:$M$155&gt;=2)+(Effectiveness!$O$5:$O$155&gt;=2)+(Effectiveness!$R$5:$R$155&gt;=2))&gt;0))</f>
        <v>79</v>
      </c>
      <c r="K931" s="26" t="n">
        <f aca="false">J931/151</f>
        <v>0.52317880794702</v>
      </c>
      <c r="L931" s="25" t="n">
        <f aca="false">MIN(INDEX('Move Reality'!$F$5:$F$19,MATCH(B931,'Move Reality'!$A$5:$A$19,0)),INDEX('Move Reality'!$F$5:$F$19,MATCH(C931,'Move Reality'!$A$5:$A$19,0)),INDEX('Move Reality'!$F$5:$F$19,MATCH(D931,'Move Reality'!$A$5:$A$19,0)),INDEX('Move Reality'!$F$5:$F$19,MATCH(E931,'Move Reality'!$A$5:$A$19,0)))</f>
        <v>1</v>
      </c>
      <c r="M931" s="28" t="str">
        <f aca="false">IF(L931&gt;=5,"YES","no - dead move")</f>
        <v>no - dead move</v>
      </c>
    </row>
    <row r="932" customFormat="false" ht="15" hidden="false" customHeight="false" outlineLevel="0" collapsed="false">
      <c r="A932" s="17" t="n">
        <v>928</v>
      </c>
      <c r="B932" s="17" t="s">
        <v>48</v>
      </c>
      <c r="C932" s="17" t="s">
        <v>49</v>
      </c>
      <c r="D932" s="17" t="s">
        <v>50</v>
      </c>
      <c r="E932" s="17" t="s">
        <v>53</v>
      </c>
      <c r="F932" s="25" t="n">
        <f aca="false">SUMPRODUCT(--((('Yellow Bosses'!$P$5:$P$53&gt;=2)+('Yellow Bosses'!$Q$5:$Q$53&gt;=2)+('Yellow Bosses'!$R$5:$R$53&gt;=2)+('Yellow Bosses'!$U$5:$U$53&gt;=2))&gt;0))</f>
        <v>29</v>
      </c>
      <c r="G932" s="26" t="n">
        <f aca="false">F932/49</f>
        <v>0.591836734693878</v>
      </c>
      <c r="H932" s="25" t="n">
        <f aca="false">49-SUMPRODUCT(--((('Yellow Bosses'!$P$5:$P$53&gt;=1)+('Yellow Bosses'!$Q$5:$Q$53&gt;=1)+('Yellow Bosses'!$R$5:$R$53&gt;=1)+('Yellow Bosses'!$U$5:$U$53&gt;=1))&gt;0))</f>
        <v>0</v>
      </c>
      <c r="I932" s="25" t="n">
        <f aca="false">SUMPRODUCT(--((('Yellow Bosses'!$P$5:$P$53&gt;0)+('Yellow Bosses'!$Q$5:$Q$53&gt;0)+('Yellow Bosses'!$R$5:$R$53&gt;0)+('Yellow Bosses'!$U$5:$U$53&gt;0))=0))</f>
        <v>0</v>
      </c>
      <c r="J932" s="25" t="n">
        <f aca="false">SUMPRODUCT(--(((Effectiveness!$M$5:$M$155&gt;=2)+(Effectiveness!$N$5:$N$155&gt;=2)+(Effectiveness!$O$5:$O$155&gt;=2)+(Effectiveness!$R$5:$R$155&gt;=2))&gt;0))</f>
        <v>79</v>
      </c>
      <c r="K932" s="26" t="n">
        <f aca="false">J932/151</f>
        <v>0.52317880794702</v>
      </c>
      <c r="L932" s="25" t="n">
        <f aca="false">MIN(INDEX('Move Reality'!$F$5:$F$19,MATCH(B932,'Move Reality'!$A$5:$A$19,0)),INDEX('Move Reality'!$F$5:$F$19,MATCH(C932,'Move Reality'!$A$5:$A$19,0)),INDEX('Move Reality'!$F$5:$F$19,MATCH(D932,'Move Reality'!$A$5:$A$19,0)),INDEX('Move Reality'!$F$5:$F$19,MATCH(E932,'Move Reality'!$A$5:$A$19,0)))</f>
        <v>1</v>
      </c>
      <c r="M932" s="28" t="str">
        <f aca="false">IF(L932&gt;=5,"YES","no - dead move")</f>
        <v>no - dead move</v>
      </c>
    </row>
    <row r="933" customFormat="false" ht="15" hidden="false" customHeight="false" outlineLevel="0" collapsed="false">
      <c r="A933" s="17" t="n">
        <v>929</v>
      </c>
      <c r="B933" s="17" t="s">
        <v>50</v>
      </c>
      <c r="C933" s="17" t="s">
        <v>52</v>
      </c>
      <c r="D933" s="17" t="s">
        <v>53</v>
      </c>
      <c r="E933" s="17" t="s">
        <v>54</v>
      </c>
      <c r="F933" s="25" t="n">
        <f aca="false">SUMPRODUCT(--((('Yellow Bosses'!$R$5:$R$53&gt;=2)+('Yellow Bosses'!$T$5:$T$53&gt;=2)+('Yellow Bosses'!$U$5:$U$53&gt;=2)+('Yellow Bosses'!$V$5:$V$53&gt;=2))&gt;0))</f>
        <v>29</v>
      </c>
      <c r="G933" s="26" t="n">
        <f aca="false">F933/49</f>
        <v>0.591836734693878</v>
      </c>
      <c r="H933" s="25" t="n">
        <f aca="false">49-SUMPRODUCT(--((('Yellow Bosses'!$R$5:$R$53&gt;=1)+('Yellow Bosses'!$T$5:$T$53&gt;=1)+('Yellow Bosses'!$U$5:$U$53&gt;=1)+('Yellow Bosses'!$V$5:$V$53&gt;=1))&gt;0))</f>
        <v>0</v>
      </c>
      <c r="I933" s="25" t="n">
        <f aca="false">SUMPRODUCT(--((('Yellow Bosses'!$R$5:$R$53&gt;0)+('Yellow Bosses'!$T$5:$T$53&gt;0)+('Yellow Bosses'!$U$5:$U$53&gt;0)+('Yellow Bosses'!$V$5:$V$53&gt;0))=0))</f>
        <v>0</v>
      </c>
      <c r="J933" s="25" t="n">
        <f aca="false">SUMPRODUCT(--(((Effectiveness!$O$5:$O$155&gt;=2)+(Effectiveness!$Q$5:$Q$155&gt;=2)+(Effectiveness!$R$5:$R$155&gt;=2)+(Effectiveness!$S$5:$S$155&gt;=2))&gt;0))</f>
        <v>79</v>
      </c>
      <c r="K933" s="26" t="n">
        <f aca="false">J933/151</f>
        <v>0.52317880794702</v>
      </c>
      <c r="L933" s="25" t="n">
        <f aca="false">MIN(INDEX('Move Reality'!$F$5:$F$19,MATCH(B933,'Move Reality'!$A$5:$A$19,0)),INDEX('Move Reality'!$F$5:$F$19,MATCH(C933,'Move Reality'!$A$5:$A$19,0)),INDEX('Move Reality'!$F$5:$F$19,MATCH(D933,'Move Reality'!$A$5:$A$19,0)),INDEX('Move Reality'!$F$5:$F$19,MATCH(E933,'Move Reality'!$A$5:$A$19,0)))</f>
        <v>1</v>
      </c>
      <c r="M933" s="28" t="str">
        <f aca="false">IF(L933&gt;=5,"YES","no - dead move")</f>
        <v>no - dead move</v>
      </c>
    </row>
    <row r="934" customFormat="false" ht="15" hidden="false" customHeight="false" outlineLevel="0" collapsed="false">
      <c r="A934" s="17" t="n">
        <v>930</v>
      </c>
      <c r="B934" s="17" t="s">
        <v>40</v>
      </c>
      <c r="C934" s="17" t="s">
        <v>45</v>
      </c>
      <c r="D934" s="17" t="s">
        <v>47</v>
      </c>
      <c r="E934" s="17" t="s">
        <v>50</v>
      </c>
      <c r="F934" s="25" t="n">
        <f aca="false">SUMPRODUCT(--((('Yellow Bosses'!$H$5:$H$53&gt;=2)+('Yellow Bosses'!$M$5:$M$53&gt;=2)+('Yellow Bosses'!$O$5:$O$53&gt;=2)+('Yellow Bosses'!$R$5:$R$53&gt;=2))&gt;0))</f>
        <v>29</v>
      </c>
      <c r="G934" s="26" t="n">
        <f aca="false">F934/49</f>
        <v>0.591836734693878</v>
      </c>
      <c r="H934" s="25" t="n">
        <f aca="false">49-SUMPRODUCT(--((('Yellow Bosses'!$H$5:$H$53&gt;=1)+('Yellow Bosses'!$M$5:$M$53&gt;=1)+('Yellow Bosses'!$O$5:$O$53&gt;=1)+('Yellow Bosses'!$R$5:$R$53&gt;=1))&gt;0))</f>
        <v>0</v>
      </c>
      <c r="I934" s="25" t="n">
        <f aca="false">SUMPRODUCT(--((('Yellow Bosses'!$H$5:$H$53&gt;0)+('Yellow Bosses'!$M$5:$M$53&gt;0)+('Yellow Bosses'!$O$5:$O$53&gt;0)+('Yellow Bosses'!$R$5:$R$53&gt;0))=0))</f>
        <v>0</v>
      </c>
      <c r="J934" s="25" t="n">
        <f aca="false">SUMPRODUCT(--(((Effectiveness!$E$5:$E$155&gt;=2)+(Effectiveness!$J$5:$J$155&gt;=2)+(Effectiveness!$L$5:$L$155&gt;=2)+(Effectiveness!$O$5:$O$155&gt;=2))&gt;0))</f>
        <v>78</v>
      </c>
      <c r="K934" s="26" t="n">
        <f aca="false">J934/151</f>
        <v>0.516556291390729</v>
      </c>
      <c r="L934" s="25" t="n">
        <f aca="false">MIN(INDEX('Move Reality'!$F$5:$F$19,MATCH(B934,'Move Reality'!$A$5:$A$19,0)),INDEX('Move Reality'!$F$5:$F$19,MATCH(C934,'Move Reality'!$A$5:$A$19,0)),INDEX('Move Reality'!$F$5:$F$19,MATCH(D934,'Move Reality'!$A$5:$A$19,0)),INDEX('Move Reality'!$F$5:$F$19,MATCH(E934,'Move Reality'!$A$5:$A$19,0)))</f>
        <v>2</v>
      </c>
      <c r="M934" s="28" t="str">
        <f aca="false">IF(L934&gt;=5,"YES","no - dead move")</f>
        <v>no - dead move</v>
      </c>
    </row>
    <row r="935" customFormat="false" ht="15" hidden="false" customHeight="false" outlineLevel="0" collapsed="false">
      <c r="A935" s="17" t="n">
        <v>931</v>
      </c>
      <c r="B935" s="17" t="s">
        <v>40</v>
      </c>
      <c r="C935" s="17" t="s">
        <v>45</v>
      </c>
      <c r="D935" s="17" t="s">
        <v>49</v>
      </c>
      <c r="E935" s="17" t="s">
        <v>50</v>
      </c>
      <c r="F935" s="25" t="n">
        <f aca="false">SUMPRODUCT(--((('Yellow Bosses'!$H$5:$H$53&gt;=2)+('Yellow Bosses'!$M$5:$M$53&gt;=2)+('Yellow Bosses'!$Q$5:$Q$53&gt;=2)+('Yellow Bosses'!$R$5:$R$53&gt;=2))&gt;0))</f>
        <v>29</v>
      </c>
      <c r="G935" s="26" t="n">
        <f aca="false">F935/49</f>
        <v>0.591836734693878</v>
      </c>
      <c r="H935" s="25" t="n">
        <f aca="false">49-SUMPRODUCT(--((('Yellow Bosses'!$H$5:$H$53&gt;=1)+('Yellow Bosses'!$M$5:$M$53&gt;=1)+('Yellow Bosses'!$Q$5:$Q$53&gt;=1)+('Yellow Bosses'!$R$5:$R$53&gt;=1))&gt;0))</f>
        <v>0</v>
      </c>
      <c r="I935" s="25" t="n">
        <f aca="false">SUMPRODUCT(--((('Yellow Bosses'!$H$5:$H$53&gt;0)+('Yellow Bosses'!$M$5:$M$53&gt;0)+('Yellow Bosses'!$Q$5:$Q$53&gt;0)+('Yellow Bosses'!$R$5:$R$53&gt;0))=0))</f>
        <v>0</v>
      </c>
      <c r="J935" s="25" t="n">
        <f aca="false">SUMPRODUCT(--(((Effectiveness!$E$5:$E$155&gt;=2)+(Effectiveness!$J$5:$J$155&gt;=2)+(Effectiveness!$N$5:$N$155&gt;=2)+(Effectiveness!$O$5:$O$155&gt;=2))&gt;0))</f>
        <v>78</v>
      </c>
      <c r="K935" s="26" t="n">
        <f aca="false">J935/151</f>
        <v>0.516556291390729</v>
      </c>
      <c r="L935" s="25" t="n">
        <f aca="false">MIN(INDEX('Move Reality'!$F$5:$F$19,MATCH(B935,'Move Reality'!$A$5:$A$19,0)),INDEX('Move Reality'!$F$5:$F$19,MATCH(C935,'Move Reality'!$A$5:$A$19,0)),INDEX('Move Reality'!$F$5:$F$19,MATCH(D935,'Move Reality'!$A$5:$A$19,0)),INDEX('Move Reality'!$F$5:$F$19,MATCH(E935,'Move Reality'!$A$5:$A$19,0)))</f>
        <v>5</v>
      </c>
      <c r="M935" s="28" t="str">
        <f aca="false">IF(L935&gt;=5,"YES","no - dead move")</f>
        <v>YES</v>
      </c>
    </row>
    <row r="936" customFormat="false" ht="15" hidden="false" customHeight="false" outlineLevel="0" collapsed="false">
      <c r="A936" s="17" t="n">
        <v>932</v>
      </c>
      <c r="B936" s="17" t="s">
        <v>40</v>
      </c>
      <c r="C936" s="17" t="s">
        <v>48</v>
      </c>
      <c r="D936" s="17" t="s">
        <v>52</v>
      </c>
      <c r="E936" s="17" t="s">
        <v>53</v>
      </c>
      <c r="F936" s="25" t="n">
        <f aca="false">SUMPRODUCT(--((('Yellow Bosses'!$H$5:$H$53&gt;=2)+('Yellow Bosses'!$P$5:$P$53&gt;=2)+('Yellow Bosses'!$T$5:$T$53&gt;=2)+('Yellow Bosses'!$U$5:$U$53&gt;=2))&gt;0))</f>
        <v>29</v>
      </c>
      <c r="G936" s="26" t="n">
        <f aca="false">F936/49</f>
        <v>0.591836734693878</v>
      </c>
      <c r="H936" s="25" t="n">
        <f aca="false">49-SUMPRODUCT(--((('Yellow Bosses'!$H$5:$H$53&gt;=1)+('Yellow Bosses'!$P$5:$P$53&gt;=1)+('Yellow Bosses'!$T$5:$T$53&gt;=1)+('Yellow Bosses'!$U$5:$U$53&gt;=1))&gt;0))</f>
        <v>0</v>
      </c>
      <c r="I936" s="25" t="n">
        <f aca="false">SUMPRODUCT(--((('Yellow Bosses'!$H$5:$H$53&gt;0)+('Yellow Bosses'!$P$5:$P$53&gt;0)+('Yellow Bosses'!$T$5:$T$53&gt;0)+('Yellow Bosses'!$U$5:$U$53&gt;0))=0))</f>
        <v>0</v>
      </c>
      <c r="J936" s="25" t="n">
        <f aca="false">SUMPRODUCT(--(((Effectiveness!$E$5:$E$155&gt;=2)+(Effectiveness!$M$5:$M$155&gt;=2)+(Effectiveness!$Q$5:$Q$155&gt;=2)+(Effectiveness!$R$5:$R$155&gt;=2))&gt;0))</f>
        <v>78</v>
      </c>
      <c r="K936" s="26" t="n">
        <f aca="false">J936/151</f>
        <v>0.516556291390729</v>
      </c>
      <c r="L936" s="25" t="n">
        <f aca="false">MIN(INDEX('Move Reality'!$F$5:$F$19,MATCH(B936,'Move Reality'!$A$5:$A$19,0)),INDEX('Move Reality'!$F$5:$F$19,MATCH(C936,'Move Reality'!$A$5:$A$19,0)),INDEX('Move Reality'!$F$5:$F$19,MATCH(D936,'Move Reality'!$A$5:$A$19,0)),INDEX('Move Reality'!$F$5:$F$19,MATCH(E936,'Move Reality'!$A$5:$A$19,0)))</f>
        <v>1</v>
      </c>
      <c r="M936" s="28" t="str">
        <f aca="false">IF(L936&gt;=5,"YES","no - dead move")</f>
        <v>no - dead move</v>
      </c>
    </row>
    <row r="937" customFormat="false" ht="15" hidden="false" customHeight="false" outlineLevel="0" collapsed="false">
      <c r="A937" s="17" t="n">
        <v>933</v>
      </c>
      <c r="B937" s="17" t="s">
        <v>42</v>
      </c>
      <c r="C937" s="17" t="s">
        <v>43</v>
      </c>
      <c r="D937" s="17" t="s">
        <v>53</v>
      </c>
      <c r="E937" s="17" t="s">
        <v>54</v>
      </c>
      <c r="F937" s="25" t="n">
        <f aca="false">SUMPRODUCT(--((('Yellow Bosses'!$J$5:$J$53&gt;=2)+('Yellow Bosses'!$K$5:$K$53&gt;=2)+('Yellow Bosses'!$U$5:$U$53&gt;=2)+('Yellow Bosses'!$V$5:$V$53&gt;=2))&gt;0))</f>
        <v>29</v>
      </c>
      <c r="G937" s="26" t="n">
        <f aca="false">F937/49</f>
        <v>0.591836734693878</v>
      </c>
      <c r="H937" s="25" t="n">
        <f aca="false">49-SUMPRODUCT(--((('Yellow Bosses'!$J$5:$J$53&gt;=1)+('Yellow Bosses'!$K$5:$K$53&gt;=1)+('Yellow Bosses'!$U$5:$U$53&gt;=1)+('Yellow Bosses'!$V$5:$V$53&gt;=1))&gt;0))</f>
        <v>0</v>
      </c>
      <c r="I937" s="25" t="n">
        <f aca="false">SUMPRODUCT(--((('Yellow Bosses'!$J$5:$J$53&gt;0)+('Yellow Bosses'!$K$5:$K$53&gt;0)+('Yellow Bosses'!$U$5:$U$53&gt;0)+('Yellow Bosses'!$V$5:$V$53&gt;0))=0))</f>
        <v>0</v>
      </c>
      <c r="J937" s="25" t="n">
        <f aca="false">SUMPRODUCT(--(((Effectiveness!$G$5:$G$155&gt;=2)+(Effectiveness!$H$5:$H$155&gt;=2)+(Effectiveness!$R$5:$R$155&gt;=2)+(Effectiveness!$S$5:$S$155&gt;=2))&gt;0))</f>
        <v>78</v>
      </c>
      <c r="K937" s="26" t="n">
        <f aca="false">J937/151</f>
        <v>0.516556291390729</v>
      </c>
      <c r="L937" s="25" t="n">
        <f aca="false">MIN(INDEX('Move Reality'!$F$5:$F$19,MATCH(B937,'Move Reality'!$A$5:$A$19,0)),INDEX('Move Reality'!$F$5:$F$19,MATCH(C937,'Move Reality'!$A$5:$A$19,0)),INDEX('Move Reality'!$F$5:$F$19,MATCH(D937,'Move Reality'!$A$5:$A$19,0)),INDEX('Move Reality'!$F$5:$F$19,MATCH(E937,'Move Reality'!$A$5:$A$19,0)))</f>
        <v>1</v>
      </c>
      <c r="M937" s="28" t="str">
        <f aca="false">IF(L937&gt;=5,"YES","no - dead move")</f>
        <v>no - dead move</v>
      </c>
    </row>
    <row r="938" customFormat="false" ht="15" hidden="false" customHeight="false" outlineLevel="0" collapsed="false">
      <c r="A938" s="17" t="n">
        <v>934</v>
      </c>
      <c r="B938" s="17" t="s">
        <v>45</v>
      </c>
      <c r="C938" s="17" t="s">
        <v>47</v>
      </c>
      <c r="D938" s="17" t="s">
        <v>49</v>
      </c>
      <c r="E938" s="17" t="s">
        <v>50</v>
      </c>
      <c r="F938" s="25" t="n">
        <f aca="false">SUMPRODUCT(--((('Yellow Bosses'!$M$5:$M$53&gt;=2)+('Yellow Bosses'!$O$5:$O$53&gt;=2)+('Yellow Bosses'!$Q$5:$Q$53&gt;=2)+('Yellow Bosses'!$R$5:$R$53&gt;=2))&gt;0))</f>
        <v>29</v>
      </c>
      <c r="G938" s="26" t="n">
        <f aca="false">F938/49</f>
        <v>0.591836734693878</v>
      </c>
      <c r="H938" s="25" t="n">
        <f aca="false">49-SUMPRODUCT(--((('Yellow Bosses'!$M$5:$M$53&gt;=1)+('Yellow Bosses'!$O$5:$O$53&gt;=1)+('Yellow Bosses'!$Q$5:$Q$53&gt;=1)+('Yellow Bosses'!$R$5:$R$53&gt;=1))&gt;0))</f>
        <v>0</v>
      </c>
      <c r="I938" s="25" t="n">
        <f aca="false">SUMPRODUCT(--((('Yellow Bosses'!$M$5:$M$53&gt;0)+('Yellow Bosses'!$O$5:$O$53&gt;0)+('Yellow Bosses'!$Q$5:$Q$53&gt;0)+('Yellow Bosses'!$R$5:$R$53&gt;0))=0))</f>
        <v>0</v>
      </c>
      <c r="J938" s="25" t="n">
        <f aca="false">SUMPRODUCT(--(((Effectiveness!$J$5:$J$155&gt;=2)+(Effectiveness!$L$5:$L$155&gt;=2)+(Effectiveness!$N$5:$N$155&gt;=2)+(Effectiveness!$O$5:$O$155&gt;=2))&gt;0))</f>
        <v>78</v>
      </c>
      <c r="K938" s="26" t="n">
        <f aca="false">J938/151</f>
        <v>0.516556291390729</v>
      </c>
      <c r="L938" s="25" t="n">
        <f aca="false">MIN(INDEX('Move Reality'!$F$5:$F$19,MATCH(B938,'Move Reality'!$A$5:$A$19,0)),INDEX('Move Reality'!$F$5:$F$19,MATCH(C938,'Move Reality'!$A$5:$A$19,0)),INDEX('Move Reality'!$F$5:$F$19,MATCH(D938,'Move Reality'!$A$5:$A$19,0)),INDEX('Move Reality'!$F$5:$F$19,MATCH(E938,'Move Reality'!$A$5:$A$19,0)))</f>
        <v>2</v>
      </c>
      <c r="M938" s="28" t="str">
        <f aca="false">IF(L938&gt;=5,"YES","no - dead move")</f>
        <v>no - dead move</v>
      </c>
    </row>
    <row r="939" customFormat="false" ht="15" hidden="false" customHeight="false" outlineLevel="0" collapsed="false">
      <c r="A939" s="17" t="n">
        <v>935</v>
      </c>
      <c r="B939" s="17" t="s">
        <v>45</v>
      </c>
      <c r="C939" s="17" t="s">
        <v>47</v>
      </c>
      <c r="D939" s="17" t="s">
        <v>50</v>
      </c>
      <c r="E939" s="17" t="s">
        <v>53</v>
      </c>
      <c r="F939" s="25" t="n">
        <f aca="false">SUMPRODUCT(--((('Yellow Bosses'!$M$5:$M$53&gt;=2)+('Yellow Bosses'!$O$5:$O$53&gt;=2)+('Yellow Bosses'!$R$5:$R$53&gt;=2)+('Yellow Bosses'!$U$5:$U$53&gt;=2))&gt;0))</f>
        <v>29</v>
      </c>
      <c r="G939" s="26" t="n">
        <f aca="false">F939/49</f>
        <v>0.591836734693878</v>
      </c>
      <c r="H939" s="25" t="n">
        <f aca="false">49-SUMPRODUCT(--((('Yellow Bosses'!$M$5:$M$53&gt;=1)+('Yellow Bosses'!$O$5:$O$53&gt;=1)+('Yellow Bosses'!$R$5:$R$53&gt;=1)+('Yellow Bosses'!$U$5:$U$53&gt;=1))&gt;0))</f>
        <v>0</v>
      </c>
      <c r="I939" s="25" t="n">
        <f aca="false">SUMPRODUCT(--((('Yellow Bosses'!$M$5:$M$53&gt;0)+('Yellow Bosses'!$O$5:$O$53&gt;0)+('Yellow Bosses'!$R$5:$R$53&gt;0)+('Yellow Bosses'!$U$5:$U$53&gt;0))=0))</f>
        <v>0</v>
      </c>
      <c r="J939" s="25" t="n">
        <f aca="false">SUMPRODUCT(--(((Effectiveness!$J$5:$J$155&gt;=2)+(Effectiveness!$L$5:$L$155&gt;=2)+(Effectiveness!$O$5:$O$155&gt;=2)+(Effectiveness!$R$5:$R$155&gt;=2))&gt;0))</f>
        <v>78</v>
      </c>
      <c r="K939" s="26" t="n">
        <f aca="false">J939/151</f>
        <v>0.516556291390729</v>
      </c>
      <c r="L939" s="25" t="n">
        <f aca="false">MIN(INDEX('Move Reality'!$F$5:$F$19,MATCH(B939,'Move Reality'!$A$5:$A$19,0)),INDEX('Move Reality'!$F$5:$F$19,MATCH(C939,'Move Reality'!$A$5:$A$19,0)),INDEX('Move Reality'!$F$5:$F$19,MATCH(D939,'Move Reality'!$A$5:$A$19,0)),INDEX('Move Reality'!$F$5:$F$19,MATCH(E939,'Move Reality'!$A$5:$A$19,0)))</f>
        <v>1</v>
      </c>
      <c r="M939" s="28" t="str">
        <f aca="false">IF(L939&gt;=5,"YES","no - dead move")</f>
        <v>no - dead move</v>
      </c>
    </row>
    <row r="940" customFormat="false" ht="15" hidden="false" customHeight="false" outlineLevel="0" collapsed="false">
      <c r="A940" s="17" t="n">
        <v>936</v>
      </c>
      <c r="B940" s="17" t="s">
        <v>45</v>
      </c>
      <c r="C940" s="17" t="s">
        <v>47</v>
      </c>
      <c r="D940" s="17" t="s">
        <v>50</v>
      </c>
      <c r="E940" s="17" t="s">
        <v>54</v>
      </c>
      <c r="F940" s="25" t="n">
        <f aca="false">SUMPRODUCT(--((('Yellow Bosses'!$M$5:$M$53&gt;=2)+('Yellow Bosses'!$O$5:$O$53&gt;=2)+('Yellow Bosses'!$R$5:$R$53&gt;=2)+('Yellow Bosses'!$V$5:$V$53&gt;=2))&gt;0))</f>
        <v>29</v>
      </c>
      <c r="G940" s="26" t="n">
        <f aca="false">F940/49</f>
        <v>0.591836734693878</v>
      </c>
      <c r="H940" s="25" t="n">
        <f aca="false">49-SUMPRODUCT(--((('Yellow Bosses'!$M$5:$M$53&gt;=1)+('Yellow Bosses'!$O$5:$O$53&gt;=1)+('Yellow Bosses'!$R$5:$R$53&gt;=1)+('Yellow Bosses'!$V$5:$V$53&gt;=1))&gt;0))</f>
        <v>0</v>
      </c>
      <c r="I940" s="25" t="n">
        <f aca="false">SUMPRODUCT(--((('Yellow Bosses'!$M$5:$M$53&gt;0)+('Yellow Bosses'!$O$5:$O$53&gt;0)+('Yellow Bosses'!$R$5:$R$53&gt;0)+('Yellow Bosses'!$V$5:$V$53&gt;0))=0))</f>
        <v>0</v>
      </c>
      <c r="J940" s="25" t="n">
        <f aca="false">SUMPRODUCT(--(((Effectiveness!$J$5:$J$155&gt;=2)+(Effectiveness!$L$5:$L$155&gt;=2)+(Effectiveness!$O$5:$O$155&gt;=2)+(Effectiveness!$S$5:$S$155&gt;=2))&gt;0))</f>
        <v>78</v>
      </c>
      <c r="K940" s="26" t="n">
        <f aca="false">J940/151</f>
        <v>0.516556291390729</v>
      </c>
      <c r="L940" s="25" t="n">
        <f aca="false">MIN(INDEX('Move Reality'!$F$5:$F$19,MATCH(B940,'Move Reality'!$A$5:$A$19,0)),INDEX('Move Reality'!$F$5:$F$19,MATCH(C940,'Move Reality'!$A$5:$A$19,0)),INDEX('Move Reality'!$F$5:$F$19,MATCH(D940,'Move Reality'!$A$5:$A$19,0)),INDEX('Move Reality'!$F$5:$F$19,MATCH(E940,'Move Reality'!$A$5:$A$19,0)))</f>
        <v>1</v>
      </c>
      <c r="M940" s="28" t="str">
        <f aca="false">IF(L940&gt;=5,"YES","no - dead move")</f>
        <v>no - dead move</v>
      </c>
    </row>
    <row r="941" customFormat="false" ht="15" hidden="false" customHeight="false" outlineLevel="0" collapsed="false">
      <c r="A941" s="17" t="n">
        <v>937</v>
      </c>
      <c r="B941" s="17" t="s">
        <v>45</v>
      </c>
      <c r="C941" s="17" t="s">
        <v>49</v>
      </c>
      <c r="D941" s="17" t="s">
        <v>50</v>
      </c>
      <c r="E941" s="17" t="s">
        <v>53</v>
      </c>
      <c r="F941" s="25" t="n">
        <f aca="false">SUMPRODUCT(--((('Yellow Bosses'!$M$5:$M$53&gt;=2)+('Yellow Bosses'!$Q$5:$Q$53&gt;=2)+('Yellow Bosses'!$R$5:$R$53&gt;=2)+('Yellow Bosses'!$U$5:$U$53&gt;=2))&gt;0))</f>
        <v>29</v>
      </c>
      <c r="G941" s="26" t="n">
        <f aca="false">F941/49</f>
        <v>0.591836734693878</v>
      </c>
      <c r="H941" s="25" t="n">
        <f aca="false">49-SUMPRODUCT(--((('Yellow Bosses'!$M$5:$M$53&gt;=1)+('Yellow Bosses'!$Q$5:$Q$53&gt;=1)+('Yellow Bosses'!$R$5:$R$53&gt;=1)+('Yellow Bosses'!$U$5:$U$53&gt;=1))&gt;0))</f>
        <v>0</v>
      </c>
      <c r="I941" s="25" t="n">
        <f aca="false">SUMPRODUCT(--((('Yellow Bosses'!$M$5:$M$53&gt;0)+('Yellow Bosses'!$Q$5:$Q$53&gt;0)+('Yellow Bosses'!$R$5:$R$53&gt;0)+('Yellow Bosses'!$U$5:$U$53&gt;0))=0))</f>
        <v>0</v>
      </c>
      <c r="J941" s="25" t="n">
        <f aca="false">SUMPRODUCT(--(((Effectiveness!$J$5:$J$155&gt;=2)+(Effectiveness!$N$5:$N$155&gt;=2)+(Effectiveness!$O$5:$O$155&gt;=2)+(Effectiveness!$R$5:$R$155&gt;=2))&gt;0))</f>
        <v>78</v>
      </c>
      <c r="K941" s="26" t="n">
        <f aca="false">J941/151</f>
        <v>0.516556291390729</v>
      </c>
      <c r="L941" s="25" t="n">
        <f aca="false">MIN(INDEX('Move Reality'!$F$5:$F$19,MATCH(B941,'Move Reality'!$A$5:$A$19,0)),INDEX('Move Reality'!$F$5:$F$19,MATCH(C941,'Move Reality'!$A$5:$A$19,0)),INDEX('Move Reality'!$F$5:$F$19,MATCH(D941,'Move Reality'!$A$5:$A$19,0)),INDEX('Move Reality'!$F$5:$F$19,MATCH(E941,'Move Reality'!$A$5:$A$19,0)))</f>
        <v>1</v>
      </c>
      <c r="M941" s="28" t="str">
        <f aca="false">IF(L941&gt;=5,"YES","no - dead move")</f>
        <v>no - dead move</v>
      </c>
    </row>
    <row r="942" customFormat="false" ht="15" hidden="false" customHeight="false" outlineLevel="0" collapsed="false">
      <c r="A942" s="17" t="n">
        <v>938</v>
      </c>
      <c r="B942" s="17" t="s">
        <v>45</v>
      </c>
      <c r="C942" s="17" t="s">
        <v>49</v>
      </c>
      <c r="D942" s="17" t="s">
        <v>50</v>
      </c>
      <c r="E942" s="17" t="s">
        <v>54</v>
      </c>
      <c r="F942" s="25" t="n">
        <f aca="false">SUMPRODUCT(--((('Yellow Bosses'!$M$5:$M$53&gt;=2)+('Yellow Bosses'!$Q$5:$Q$53&gt;=2)+('Yellow Bosses'!$R$5:$R$53&gt;=2)+('Yellow Bosses'!$V$5:$V$53&gt;=2))&gt;0))</f>
        <v>29</v>
      </c>
      <c r="G942" s="26" t="n">
        <f aca="false">F942/49</f>
        <v>0.591836734693878</v>
      </c>
      <c r="H942" s="25" t="n">
        <f aca="false">49-SUMPRODUCT(--((('Yellow Bosses'!$M$5:$M$53&gt;=1)+('Yellow Bosses'!$Q$5:$Q$53&gt;=1)+('Yellow Bosses'!$R$5:$R$53&gt;=1)+('Yellow Bosses'!$V$5:$V$53&gt;=1))&gt;0))</f>
        <v>0</v>
      </c>
      <c r="I942" s="25" t="n">
        <f aca="false">SUMPRODUCT(--((('Yellow Bosses'!$M$5:$M$53&gt;0)+('Yellow Bosses'!$Q$5:$Q$53&gt;0)+('Yellow Bosses'!$R$5:$R$53&gt;0)+('Yellow Bosses'!$V$5:$V$53&gt;0))=0))</f>
        <v>0</v>
      </c>
      <c r="J942" s="25" t="n">
        <f aca="false">SUMPRODUCT(--(((Effectiveness!$J$5:$J$155&gt;=2)+(Effectiveness!$N$5:$N$155&gt;=2)+(Effectiveness!$O$5:$O$155&gt;=2)+(Effectiveness!$S$5:$S$155&gt;=2))&gt;0))</f>
        <v>78</v>
      </c>
      <c r="K942" s="26" t="n">
        <f aca="false">J942/151</f>
        <v>0.516556291390729</v>
      </c>
      <c r="L942" s="25" t="n">
        <f aca="false">MIN(INDEX('Move Reality'!$F$5:$F$19,MATCH(B942,'Move Reality'!$A$5:$A$19,0)),INDEX('Move Reality'!$F$5:$F$19,MATCH(C942,'Move Reality'!$A$5:$A$19,0)),INDEX('Move Reality'!$F$5:$F$19,MATCH(D942,'Move Reality'!$A$5:$A$19,0)),INDEX('Move Reality'!$F$5:$F$19,MATCH(E942,'Move Reality'!$A$5:$A$19,0)))</f>
        <v>1</v>
      </c>
      <c r="M942" s="28" t="str">
        <f aca="false">IF(L942&gt;=5,"YES","no - dead move")</f>
        <v>no - dead move</v>
      </c>
    </row>
    <row r="943" customFormat="false" ht="15" hidden="false" customHeight="false" outlineLevel="0" collapsed="false">
      <c r="A943" s="17" t="n">
        <v>939</v>
      </c>
      <c r="B943" s="17" t="s">
        <v>41</v>
      </c>
      <c r="C943" s="17" t="s">
        <v>44</v>
      </c>
      <c r="D943" s="17" t="s">
        <v>49</v>
      </c>
      <c r="E943" s="17" t="s">
        <v>53</v>
      </c>
      <c r="F943" s="25" t="n">
        <f aca="false">SUMPRODUCT(--((('Yellow Bosses'!$I$5:$I$53&gt;=2)+('Yellow Bosses'!$L$5:$L$53&gt;=2)+('Yellow Bosses'!$Q$5:$Q$53&gt;=2)+('Yellow Bosses'!$U$5:$U$53&gt;=2))&gt;0))</f>
        <v>29</v>
      </c>
      <c r="G943" s="26" t="n">
        <f aca="false">F943/49</f>
        <v>0.591836734693878</v>
      </c>
      <c r="H943" s="25" t="n">
        <f aca="false">49-SUMPRODUCT(--((('Yellow Bosses'!$I$5:$I$53&gt;=1)+('Yellow Bosses'!$L$5:$L$53&gt;=1)+('Yellow Bosses'!$Q$5:$Q$53&gt;=1)+('Yellow Bosses'!$U$5:$U$53&gt;=1))&gt;0))</f>
        <v>0</v>
      </c>
      <c r="I943" s="25" t="n">
        <f aca="false">SUMPRODUCT(--((('Yellow Bosses'!$I$5:$I$53&gt;0)+('Yellow Bosses'!$L$5:$L$53&gt;0)+('Yellow Bosses'!$Q$5:$Q$53&gt;0)+('Yellow Bosses'!$U$5:$U$53&gt;0))=0))</f>
        <v>0</v>
      </c>
      <c r="J943" s="25" t="n">
        <f aca="false">SUMPRODUCT(--(((Effectiveness!$F$5:$F$155&gt;=2)+(Effectiveness!$I$5:$I$155&gt;=2)+(Effectiveness!$N$5:$N$155&gt;=2)+(Effectiveness!$R$5:$R$155&gt;=2))&gt;0))</f>
        <v>77</v>
      </c>
      <c r="K943" s="26" t="n">
        <f aca="false">J943/151</f>
        <v>0.509933774834437</v>
      </c>
      <c r="L943" s="25" t="n">
        <f aca="false">MIN(INDEX('Move Reality'!$F$5:$F$19,MATCH(B943,'Move Reality'!$A$5:$A$19,0)),INDEX('Move Reality'!$F$5:$F$19,MATCH(C943,'Move Reality'!$A$5:$A$19,0)),INDEX('Move Reality'!$F$5:$F$19,MATCH(D943,'Move Reality'!$A$5:$A$19,0)),INDEX('Move Reality'!$F$5:$F$19,MATCH(E943,'Move Reality'!$A$5:$A$19,0)))</f>
        <v>1</v>
      </c>
      <c r="M943" s="28" t="str">
        <f aca="false">IF(L943&gt;=5,"YES","no - dead move")</f>
        <v>no - dead move</v>
      </c>
    </row>
    <row r="944" customFormat="false" ht="15" hidden="false" customHeight="false" outlineLevel="0" collapsed="false">
      <c r="A944" s="17" t="n">
        <v>940</v>
      </c>
      <c r="B944" s="17" t="s">
        <v>41</v>
      </c>
      <c r="C944" s="17" t="s">
        <v>44</v>
      </c>
      <c r="D944" s="17" t="s">
        <v>49</v>
      </c>
      <c r="E944" s="17" t="s">
        <v>54</v>
      </c>
      <c r="F944" s="25" t="n">
        <f aca="false">SUMPRODUCT(--((('Yellow Bosses'!$I$5:$I$53&gt;=2)+('Yellow Bosses'!$L$5:$L$53&gt;=2)+('Yellow Bosses'!$Q$5:$Q$53&gt;=2)+('Yellow Bosses'!$V$5:$V$53&gt;=2))&gt;0))</f>
        <v>29</v>
      </c>
      <c r="G944" s="26" t="n">
        <f aca="false">F944/49</f>
        <v>0.591836734693878</v>
      </c>
      <c r="H944" s="25" t="n">
        <f aca="false">49-SUMPRODUCT(--((('Yellow Bosses'!$I$5:$I$53&gt;=1)+('Yellow Bosses'!$L$5:$L$53&gt;=1)+('Yellow Bosses'!$Q$5:$Q$53&gt;=1)+('Yellow Bosses'!$V$5:$V$53&gt;=1))&gt;0))</f>
        <v>0</v>
      </c>
      <c r="I944" s="25" t="n">
        <f aca="false">SUMPRODUCT(--((('Yellow Bosses'!$I$5:$I$53&gt;0)+('Yellow Bosses'!$L$5:$L$53&gt;0)+('Yellow Bosses'!$Q$5:$Q$53&gt;0)+('Yellow Bosses'!$V$5:$V$53&gt;0))=0))</f>
        <v>0</v>
      </c>
      <c r="J944" s="25" t="n">
        <f aca="false">SUMPRODUCT(--(((Effectiveness!$F$5:$F$155&gt;=2)+(Effectiveness!$I$5:$I$155&gt;=2)+(Effectiveness!$N$5:$N$155&gt;=2)+(Effectiveness!$S$5:$S$155&gt;=2))&gt;0))</f>
        <v>77</v>
      </c>
      <c r="K944" s="26" t="n">
        <f aca="false">J944/151</f>
        <v>0.509933774834437</v>
      </c>
      <c r="L944" s="25" t="n">
        <f aca="false">MIN(INDEX('Move Reality'!$F$5:$F$19,MATCH(B944,'Move Reality'!$A$5:$A$19,0)),INDEX('Move Reality'!$F$5:$F$19,MATCH(C944,'Move Reality'!$A$5:$A$19,0)),INDEX('Move Reality'!$F$5:$F$19,MATCH(D944,'Move Reality'!$A$5:$A$19,0)),INDEX('Move Reality'!$F$5:$F$19,MATCH(E944,'Move Reality'!$A$5:$A$19,0)))</f>
        <v>1</v>
      </c>
      <c r="M944" s="28" t="str">
        <f aca="false">IF(L944&gt;=5,"YES","no - dead move")</f>
        <v>no - dead move</v>
      </c>
    </row>
    <row r="945" customFormat="false" ht="15" hidden="false" customHeight="false" outlineLevel="0" collapsed="false">
      <c r="A945" s="17" t="n">
        <v>941</v>
      </c>
      <c r="B945" s="17" t="s">
        <v>40</v>
      </c>
      <c r="C945" s="17" t="s">
        <v>45</v>
      </c>
      <c r="D945" s="17" t="s">
        <v>50</v>
      </c>
      <c r="E945" s="17" t="s">
        <v>53</v>
      </c>
      <c r="F945" s="25" t="n">
        <f aca="false">SUMPRODUCT(--((('Yellow Bosses'!$H$5:$H$53&gt;=2)+('Yellow Bosses'!$M$5:$M$53&gt;=2)+('Yellow Bosses'!$R$5:$R$53&gt;=2)+('Yellow Bosses'!$U$5:$U$53&gt;=2))&gt;0))</f>
        <v>29</v>
      </c>
      <c r="G945" s="26" t="n">
        <f aca="false">F945/49</f>
        <v>0.591836734693878</v>
      </c>
      <c r="H945" s="25" t="n">
        <f aca="false">49-SUMPRODUCT(--((('Yellow Bosses'!$H$5:$H$53&gt;=1)+('Yellow Bosses'!$M$5:$M$53&gt;=1)+('Yellow Bosses'!$R$5:$R$53&gt;=1)+('Yellow Bosses'!$U$5:$U$53&gt;=1))&gt;0))</f>
        <v>0</v>
      </c>
      <c r="I945" s="25" t="n">
        <f aca="false">SUMPRODUCT(--((('Yellow Bosses'!$H$5:$H$53&gt;0)+('Yellow Bosses'!$M$5:$M$53&gt;0)+('Yellow Bosses'!$R$5:$R$53&gt;0)+('Yellow Bosses'!$U$5:$U$53&gt;0))=0))</f>
        <v>0</v>
      </c>
      <c r="J945" s="25" t="n">
        <f aca="false">SUMPRODUCT(--(((Effectiveness!$E$5:$E$155&gt;=2)+(Effectiveness!$J$5:$J$155&gt;=2)+(Effectiveness!$O$5:$O$155&gt;=2)+(Effectiveness!$R$5:$R$155&gt;=2))&gt;0))</f>
        <v>75</v>
      </c>
      <c r="K945" s="26" t="n">
        <f aca="false">J945/151</f>
        <v>0.496688741721854</v>
      </c>
      <c r="L945" s="25" t="n">
        <f aca="false">MIN(INDEX('Move Reality'!$F$5:$F$19,MATCH(B945,'Move Reality'!$A$5:$A$19,0)),INDEX('Move Reality'!$F$5:$F$19,MATCH(C945,'Move Reality'!$A$5:$A$19,0)),INDEX('Move Reality'!$F$5:$F$19,MATCH(D945,'Move Reality'!$A$5:$A$19,0)),INDEX('Move Reality'!$F$5:$F$19,MATCH(E945,'Move Reality'!$A$5:$A$19,0)))</f>
        <v>1</v>
      </c>
      <c r="M945" s="28" t="str">
        <f aca="false">IF(L945&gt;=5,"YES","no - dead move")</f>
        <v>no - dead move</v>
      </c>
    </row>
    <row r="946" customFormat="false" ht="15" hidden="false" customHeight="false" outlineLevel="0" collapsed="false">
      <c r="A946" s="17" t="n">
        <v>942</v>
      </c>
      <c r="B946" s="17" t="s">
        <v>40</v>
      </c>
      <c r="C946" s="17" t="s">
        <v>45</v>
      </c>
      <c r="D946" s="17" t="s">
        <v>50</v>
      </c>
      <c r="E946" s="17" t="s">
        <v>54</v>
      </c>
      <c r="F946" s="25" t="n">
        <f aca="false">SUMPRODUCT(--((('Yellow Bosses'!$H$5:$H$53&gt;=2)+('Yellow Bosses'!$M$5:$M$53&gt;=2)+('Yellow Bosses'!$R$5:$R$53&gt;=2)+('Yellow Bosses'!$V$5:$V$53&gt;=2))&gt;0))</f>
        <v>29</v>
      </c>
      <c r="G946" s="26" t="n">
        <f aca="false">F946/49</f>
        <v>0.591836734693878</v>
      </c>
      <c r="H946" s="25" t="n">
        <f aca="false">49-SUMPRODUCT(--((('Yellow Bosses'!$H$5:$H$53&gt;=1)+('Yellow Bosses'!$M$5:$M$53&gt;=1)+('Yellow Bosses'!$R$5:$R$53&gt;=1)+('Yellow Bosses'!$V$5:$V$53&gt;=1))&gt;0))</f>
        <v>0</v>
      </c>
      <c r="I946" s="25" t="n">
        <f aca="false">SUMPRODUCT(--((('Yellow Bosses'!$H$5:$H$53&gt;0)+('Yellow Bosses'!$M$5:$M$53&gt;0)+('Yellow Bosses'!$R$5:$R$53&gt;0)+('Yellow Bosses'!$V$5:$V$53&gt;0))=0))</f>
        <v>0</v>
      </c>
      <c r="J946" s="25" t="n">
        <f aca="false">SUMPRODUCT(--(((Effectiveness!$E$5:$E$155&gt;=2)+(Effectiveness!$J$5:$J$155&gt;=2)+(Effectiveness!$O$5:$O$155&gt;=2)+(Effectiveness!$S$5:$S$155&gt;=2))&gt;0))</f>
        <v>75</v>
      </c>
      <c r="K946" s="26" t="n">
        <f aca="false">J946/151</f>
        <v>0.496688741721854</v>
      </c>
      <c r="L946" s="25" t="n">
        <f aca="false">MIN(INDEX('Move Reality'!$F$5:$F$19,MATCH(B946,'Move Reality'!$A$5:$A$19,0)),INDEX('Move Reality'!$F$5:$F$19,MATCH(C946,'Move Reality'!$A$5:$A$19,0)),INDEX('Move Reality'!$F$5:$F$19,MATCH(D946,'Move Reality'!$A$5:$A$19,0)),INDEX('Move Reality'!$F$5:$F$19,MATCH(E946,'Move Reality'!$A$5:$A$19,0)))</f>
        <v>1</v>
      </c>
      <c r="M946" s="28" t="str">
        <f aca="false">IF(L946&gt;=5,"YES","no - dead move")</f>
        <v>no - dead move</v>
      </c>
    </row>
    <row r="947" customFormat="false" ht="15" hidden="false" customHeight="false" outlineLevel="0" collapsed="false">
      <c r="A947" s="17" t="n">
        <v>943</v>
      </c>
      <c r="B947" s="17" t="s">
        <v>45</v>
      </c>
      <c r="C947" s="17" t="s">
        <v>50</v>
      </c>
      <c r="D947" s="17" t="s">
        <v>53</v>
      </c>
      <c r="E947" s="17" t="s">
        <v>54</v>
      </c>
      <c r="F947" s="25" t="n">
        <f aca="false">SUMPRODUCT(--((('Yellow Bosses'!$M$5:$M$53&gt;=2)+('Yellow Bosses'!$R$5:$R$53&gt;=2)+('Yellow Bosses'!$U$5:$U$53&gt;=2)+('Yellow Bosses'!$V$5:$V$53&gt;=2))&gt;0))</f>
        <v>29</v>
      </c>
      <c r="G947" s="26" t="n">
        <f aca="false">F947/49</f>
        <v>0.591836734693878</v>
      </c>
      <c r="H947" s="25" t="n">
        <f aca="false">49-SUMPRODUCT(--((('Yellow Bosses'!$M$5:$M$53&gt;=1)+('Yellow Bosses'!$R$5:$R$53&gt;=1)+('Yellow Bosses'!$U$5:$U$53&gt;=1)+('Yellow Bosses'!$V$5:$V$53&gt;=1))&gt;0))</f>
        <v>0</v>
      </c>
      <c r="I947" s="25" t="n">
        <f aca="false">SUMPRODUCT(--((('Yellow Bosses'!$M$5:$M$53&gt;0)+('Yellow Bosses'!$R$5:$R$53&gt;0)+('Yellow Bosses'!$U$5:$U$53&gt;0)+('Yellow Bosses'!$V$5:$V$53&gt;0))=0))</f>
        <v>0</v>
      </c>
      <c r="J947" s="25" t="n">
        <f aca="false">SUMPRODUCT(--(((Effectiveness!$J$5:$J$155&gt;=2)+(Effectiveness!$O$5:$O$155&gt;=2)+(Effectiveness!$R$5:$R$155&gt;=2)+(Effectiveness!$S$5:$S$155&gt;=2))&gt;0))</f>
        <v>75</v>
      </c>
      <c r="K947" s="26" t="n">
        <f aca="false">J947/151</f>
        <v>0.496688741721854</v>
      </c>
      <c r="L947" s="25" t="n">
        <f aca="false">MIN(INDEX('Move Reality'!$F$5:$F$19,MATCH(B947,'Move Reality'!$A$5:$A$19,0)),INDEX('Move Reality'!$F$5:$F$19,MATCH(C947,'Move Reality'!$A$5:$A$19,0)),INDEX('Move Reality'!$F$5:$F$19,MATCH(D947,'Move Reality'!$A$5:$A$19,0)),INDEX('Move Reality'!$F$5:$F$19,MATCH(E947,'Move Reality'!$A$5:$A$19,0)))</f>
        <v>1</v>
      </c>
      <c r="M947" s="28" t="str">
        <f aca="false">IF(L947&gt;=5,"YES","no - dead move")</f>
        <v>no - dead move</v>
      </c>
    </row>
    <row r="948" customFormat="false" ht="15" hidden="false" customHeight="false" outlineLevel="0" collapsed="false">
      <c r="A948" s="17" t="n">
        <v>944</v>
      </c>
      <c r="B948" s="17" t="s">
        <v>40</v>
      </c>
      <c r="C948" s="17" t="s">
        <v>41</v>
      </c>
      <c r="D948" s="17" t="s">
        <v>48</v>
      </c>
      <c r="E948" s="17" t="s">
        <v>54</v>
      </c>
      <c r="F948" s="25" t="n">
        <f aca="false">SUMPRODUCT(--((('Yellow Bosses'!$H$5:$H$53&gt;=2)+('Yellow Bosses'!$I$5:$I$53&gt;=2)+('Yellow Bosses'!$P$5:$P$53&gt;=2)+('Yellow Bosses'!$V$5:$V$53&gt;=2))&gt;0))</f>
        <v>29</v>
      </c>
      <c r="G948" s="26" t="n">
        <f aca="false">F948/49</f>
        <v>0.591836734693878</v>
      </c>
      <c r="H948" s="25" t="n">
        <f aca="false">49-SUMPRODUCT(--((('Yellow Bosses'!$H$5:$H$53&gt;=1)+('Yellow Bosses'!$I$5:$I$53&gt;=1)+('Yellow Bosses'!$P$5:$P$53&gt;=1)+('Yellow Bosses'!$V$5:$V$53&gt;=1))&gt;0))</f>
        <v>0</v>
      </c>
      <c r="I948" s="25" t="n">
        <f aca="false">SUMPRODUCT(--((('Yellow Bosses'!$H$5:$H$53&gt;0)+('Yellow Bosses'!$I$5:$I$53&gt;0)+('Yellow Bosses'!$P$5:$P$53&gt;0)+('Yellow Bosses'!$V$5:$V$53&gt;0))=0))</f>
        <v>0</v>
      </c>
      <c r="J948" s="25" t="n">
        <f aca="false">SUMPRODUCT(--(((Effectiveness!$E$5:$E$155&gt;=2)+(Effectiveness!$F$5:$F$155&gt;=2)+(Effectiveness!$M$5:$M$155&gt;=2)+(Effectiveness!$S$5:$S$155&gt;=2))&gt;0))</f>
        <v>74</v>
      </c>
      <c r="K948" s="26" t="n">
        <f aca="false">J948/151</f>
        <v>0.490066225165563</v>
      </c>
      <c r="L948" s="25" t="n">
        <f aca="false">MIN(INDEX('Move Reality'!$F$5:$F$19,MATCH(B948,'Move Reality'!$A$5:$A$19,0)),INDEX('Move Reality'!$F$5:$F$19,MATCH(C948,'Move Reality'!$A$5:$A$19,0)),INDEX('Move Reality'!$F$5:$F$19,MATCH(D948,'Move Reality'!$A$5:$A$19,0)),INDEX('Move Reality'!$F$5:$F$19,MATCH(E948,'Move Reality'!$A$5:$A$19,0)))</f>
        <v>1</v>
      </c>
      <c r="M948" s="28" t="str">
        <f aca="false">IF(L948&gt;=5,"YES","no - dead move")</f>
        <v>no - dead move</v>
      </c>
    </row>
    <row r="949" customFormat="false" ht="15" hidden="false" customHeight="false" outlineLevel="0" collapsed="false">
      <c r="A949" s="17" t="n">
        <v>945</v>
      </c>
      <c r="B949" s="17" t="s">
        <v>41</v>
      </c>
      <c r="C949" s="17" t="s">
        <v>47</v>
      </c>
      <c r="D949" s="17" t="s">
        <v>48</v>
      </c>
      <c r="E949" s="17" t="s">
        <v>54</v>
      </c>
      <c r="F949" s="25" t="n">
        <f aca="false">SUMPRODUCT(--((('Yellow Bosses'!$I$5:$I$53&gt;=2)+('Yellow Bosses'!$O$5:$O$53&gt;=2)+('Yellow Bosses'!$P$5:$P$53&gt;=2)+('Yellow Bosses'!$V$5:$V$53&gt;=2))&gt;0))</f>
        <v>29</v>
      </c>
      <c r="G949" s="26" t="n">
        <f aca="false">F949/49</f>
        <v>0.591836734693878</v>
      </c>
      <c r="H949" s="25" t="n">
        <f aca="false">49-SUMPRODUCT(--((('Yellow Bosses'!$I$5:$I$53&gt;=1)+('Yellow Bosses'!$O$5:$O$53&gt;=1)+('Yellow Bosses'!$P$5:$P$53&gt;=1)+('Yellow Bosses'!$V$5:$V$53&gt;=1))&gt;0))</f>
        <v>0</v>
      </c>
      <c r="I949" s="25" t="n">
        <f aca="false">SUMPRODUCT(--((('Yellow Bosses'!$I$5:$I$53&gt;0)+('Yellow Bosses'!$O$5:$O$53&gt;0)+('Yellow Bosses'!$P$5:$P$53&gt;0)+('Yellow Bosses'!$V$5:$V$53&gt;0))=0))</f>
        <v>0</v>
      </c>
      <c r="J949" s="25" t="n">
        <f aca="false">SUMPRODUCT(--(((Effectiveness!$F$5:$F$155&gt;=2)+(Effectiveness!$L$5:$L$155&gt;=2)+(Effectiveness!$M$5:$M$155&gt;=2)+(Effectiveness!$S$5:$S$155&gt;=2))&gt;0))</f>
        <v>74</v>
      </c>
      <c r="K949" s="26" t="n">
        <f aca="false">J949/151</f>
        <v>0.490066225165563</v>
      </c>
      <c r="L949" s="25" t="n">
        <f aca="false">MIN(INDEX('Move Reality'!$F$5:$F$19,MATCH(B949,'Move Reality'!$A$5:$A$19,0)),INDEX('Move Reality'!$F$5:$F$19,MATCH(C949,'Move Reality'!$A$5:$A$19,0)),INDEX('Move Reality'!$F$5:$F$19,MATCH(D949,'Move Reality'!$A$5:$A$19,0)),INDEX('Move Reality'!$F$5:$F$19,MATCH(E949,'Move Reality'!$A$5:$A$19,0)))</f>
        <v>1</v>
      </c>
      <c r="M949" s="28" t="str">
        <f aca="false">IF(L949&gt;=5,"YES","no - dead move")</f>
        <v>no - dead move</v>
      </c>
    </row>
    <row r="950" customFormat="false" ht="15" hidden="false" customHeight="false" outlineLevel="0" collapsed="false">
      <c r="A950" s="17" t="n">
        <v>946</v>
      </c>
      <c r="B950" s="17" t="s">
        <v>41</v>
      </c>
      <c r="C950" s="17" t="s">
        <v>48</v>
      </c>
      <c r="D950" s="17" t="s">
        <v>53</v>
      </c>
      <c r="E950" s="17" t="s">
        <v>54</v>
      </c>
      <c r="F950" s="25" t="n">
        <f aca="false">SUMPRODUCT(--((('Yellow Bosses'!$I$5:$I$53&gt;=2)+('Yellow Bosses'!$P$5:$P$53&gt;=2)+('Yellow Bosses'!$U$5:$U$53&gt;=2)+('Yellow Bosses'!$V$5:$V$53&gt;=2))&gt;0))</f>
        <v>29</v>
      </c>
      <c r="G950" s="26" t="n">
        <f aca="false">F950/49</f>
        <v>0.591836734693878</v>
      </c>
      <c r="H950" s="25" t="n">
        <f aca="false">49-SUMPRODUCT(--((('Yellow Bosses'!$I$5:$I$53&gt;=1)+('Yellow Bosses'!$P$5:$P$53&gt;=1)+('Yellow Bosses'!$U$5:$U$53&gt;=1)+('Yellow Bosses'!$V$5:$V$53&gt;=1))&gt;0))</f>
        <v>0</v>
      </c>
      <c r="I950" s="25" t="n">
        <f aca="false">SUMPRODUCT(--((('Yellow Bosses'!$I$5:$I$53&gt;0)+('Yellow Bosses'!$P$5:$P$53&gt;0)+('Yellow Bosses'!$U$5:$U$53&gt;0)+('Yellow Bosses'!$V$5:$V$53&gt;0))=0))</f>
        <v>0</v>
      </c>
      <c r="J950" s="25" t="n">
        <f aca="false">SUMPRODUCT(--(((Effectiveness!$F$5:$F$155&gt;=2)+(Effectiveness!$M$5:$M$155&gt;=2)+(Effectiveness!$R$5:$R$155&gt;=2)+(Effectiveness!$S$5:$S$155&gt;=2))&gt;0))</f>
        <v>74</v>
      </c>
      <c r="K950" s="26" t="n">
        <f aca="false">J950/151</f>
        <v>0.490066225165563</v>
      </c>
      <c r="L950" s="25" t="n">
        <f aca="false">MIN(INDEX('Move Reality'!$F$5:$F$19,MATCH(B950,'Move Reality'!$A$5:$A$19,0)),INDEX('Move Reality'!$F$5:$F$19,MATCH(C950,'Move Reality'!$A$5:$A$19,0)),INDEX('Move Reality'!$F$5:$F$19,MATCH(D950,'Move Reality'!$A$5:$A$19,0)),INDEX('Move Reality'!$F$5:$F$19,MATCH(E950,'Move Reality'!$A$5:$A$19,0)))</f>
        <v>1</v>
      </c>
      <c r="M950" s="28" t="str">
        <f aca="false">IF(L950&gt;=5,"YES","no - dead move")</f>
        <v>no - dead move</v>
      </c>
    </row>
    <row r="951" customFormat="false" ht="15" hidden="false" customHeight="false" outlineLevel="0" collapsed="false">
      <c r="A951" s="17" t="n">
        <v>947</v>
      </c>
      <c r="B951" s="17" t="s">
        <v>40</v>
      </c>
      <c r="C951" s="17" t="s">
        <v>42</v>
      </c>
      <c r="D951" s="17" t="s">
        <v>45</v>
      </c>
      <c r="E951" s="17" t="s">
        <v>49</v>
      </c>
      <c r="F951" s="25" t="n">
        <f aca="false">SUMPRODUCT(--((('Yellow Bosses'!$H$5:$H$53&gt;=2)+('Yellow Bosses'!$J$5:$J$53&gt;=2)+('Yellow Bosses'!$M$5:$M$53&gt;=2)+('Yellow Bosses'!$Q$5:$Q$53&gt;=2))&gt;0))</f>
        <v>29</v>
      </c>
      <c r="G951" s="26" t="n">
        <f aca="false">F951/49</f>
        <v>0.591836734693878</v>
      </c>
      <c r="H951" s="25" t="n">
        <f aca="false">49-SUMPRODUCT(--((('Yellow Bosses'!$H$5:$H$53&gt;=1)+('Yellow Bosses'!$J$5:$J$53&gt;=1)+('Yellow Bosses'!$M$5:$M$53&gt;=1)+('Yellow Bosses'!$Q$5:$Q$53&gt;=1))&gt;0))</f>
        <v>0</v>
      </c>
      <c r="I951" s="25" t="n">
        <f aca="false">SUMPRODUCT(--((('Yellow Bosses'!$H$5:$H$53&gt;0)+('Yellow Bosses'!$J$5:$J$53&gt;0)+('Yellow Bosses'!$M$5:$M$53&gt;0)+('Yellow Bosses'!$Q$5:$Q$53&gt;0))=0))</f>
        <v>0</v>
      </c>
      <c r="J951" s="25" t="n">
        <f aca="false">SUMPRODUCT(--(((Effectiveness!$E$5:$E$155&gt;=2)+(Effectiveness!$G$5:$G$155&gt;=2)+(Effectiveness!$J$5:$J$155&gt;=2)+(Effectiveness!$N$5:$N$155&gt;=2))&gt;0))</f>
        <v>73</v>
      </c>
      <c r="K951" s="26" t="n">
        <f aca="false">J951/151</f>
        <v>0.483443708609272</v>
      </c>
      <c r="L951" s="25" t="n">
        <f aca="false">MIN(INDEX('Move Reality'!$F$5:$F$19,MATCH(B951,'Move Reality'!$A$5:$A$19,0)),INDEX('Move Reality'!$F$5:$F$19,MATCH(C951,'Move Reality'!$A$5:$A$19,0)),INDEX('Move Reality'!$F$5:$F$19,MATCH(D951,'Move Reality'!$A$5:$A$19,0)),INDEX('Move Reality'!$F$5:$F$19,MATCH(E951,'Move Reality'!$A$5:$A$19,0)))</f>
        <v>5</v>
      </c>
      <c r="M951" s="28" t="str">
        <f aca="false">IF(L951&gt;=5,"YES","no - dead move")</f>
        <v>YES</v>
      </c>
    </row>
    <row r="952" customFormat="false" ht="15" hidden="false" customHeight="false" outlineLevel="0" collapsed="false">
      <c r="A952" s="17" t="n">
        <v>948</v>
      </c>
      <c r="B952" s="17" t="s">
        <v>41</v>
      </c>
      <c r="C952" s="17" t="s">
        <v>44</v>
      </c>
      <c r="D952" s="17" t="s">
        <v>53</v>
      </c>
      <c r="E952" s="17" t="s">
        <v>54</v>
      </c>
      <c r="F952" s="25" t="n">
        <f aca="false">SUMPRODUCT(--((('Yellow Bosses'!$I$5:$I$53&gt;=2)+('Yellow Bosses'!$L$5:$L$53&gt;=2)+('Yellow Bosses'!$U$5:$U$53&gt;=2)+('Yellow Bosses'!$V$5:$V$53&gt;=2))&gt;0))</f>
        <v>29</v>
      </c>
      <c r="G952" s="26" t="n">
        <f aca="false">F952/49</f>
        <v>0.591836734693878</v>
      </c>
      <c r="H952" s="25" t="n">
        <f aca="false">49-SUMPRODUCT(--((('Yellow Bosses'!$I$5:$I$53&gt;=1)+('Yellow Bosses'!$L$5:$L$53&gt;=1)+('Yellow Bosses'!$U$5:$U$53&gt;=1)+('Yellow Bosses'!$V$5:$V$53&gt;=1))&gt;0))</f>
        <v>0</v>
      </c>
      <c r="I952" s="25" t="n">
        <f aca="false">SUMPRODUCT(--((('Yellow Bosses'!$I$5:$I$53&gt;0)+('Yellow Bosses'!$L$5:$L$53&gt;0)+('Yellow Bosses'!$U$5:$U$53&gt;0)+('Yellow Bosses'!$V$5:$V$53&gt;0))=0))</f>
        <v>0</v>
      </c>
      <c r="J952" s="25" t="n">
        <f aca="false">SUMPRODUCT(--(((Effectiveness!$F$5:$F$155&gt;=2)+(Effectiveness!$I$5:$I$155&gt;=2)+(Effectiveness!$R$5:$R$155&gt;=2)+(Effectiveness!$S$5:$S$155&gt;=2))&gt;0))</f>
        <v>73</v>
      </c>
      <c r="K952" s="26" t="n">
        <f aca="false">J952/151</f>
        <v>0.483443708609272</v>
      </c>
      <c r="L952" s="25" t="n">
        <f aca="false">MIN(INDEX('Move Reality'!$F$5:$F$19,MATCH(B952,'Move Reality'!$A$5:$A$19,0)),INDEX('Move Reality'!$F$5:$F$19,MATCH(C952,'Move Reality'!$A$5:$A$19,0)),INDEX('Move Reality'!$F$5:$F$19,MATCH(D952,'Move Reality'!$A$5:$A$19,0)),INDEX('Move Reality'!$F$5:$F$19,MATCH(E952,'Move Reality'!$A$5:$A$19,0)))</f>
        <v>1</v>
      </c>
      <c r="M952" s="28" t="str">
        <f aca="false">IF(L952&gt;=5,"YES","no - dead move")</f>
        <v>no - dead move</v>
      </c>
    </row>
    <row r="953" customFormat="false" ht="15" hidden="false" customHeight="false" outlineLevel="0" collapsed="false">
      <c r="A953" s="17" t="n">
        <v>949</v>
      </c>
      <c r="B953" s="17" t="s">
        <v>42</v>
      </c>
      <c r="C953" s="17" t="s">
        <v>45</v>
      </c>
      <c r="D953" s="17" t="s">
        <v>47</v>
      </c>
      <c r="E953" s="17" t="s">
        <v>49</v>
      </c>
      <c r="F953" s="25" t="n">
        <f aca="false">SUMPRODUCT(--((('Yellow Bosses'!$J$5:$J$53&gt;=2)+('Yellow Bosses'!$M$5:$M$53&gt;=2)+('Yellow Bosses'!$O$5:$O$53&gt;=2)+('Yellow Bosses'!$Q$5:$Q$53&gt;=2))&gt;0))</f>
        <v>29</v>
      </c>
      <c r="G953" s="26" t="n">
        <f aca="false">F953/49</f>
        <v>0.591836734693878</v>
      </c>
      <c r="H953" s="25" t="n">
        <f aca="false">49-SUMPRODUCT(--((('Yellow Bosses'!$J$5:$J$53&gt;=1)+('Yellow Bosses'!$M$5:$M$53&gt;=1)+('Yellow Bosses'!$O$5:$O$53&gt;=1)+('Yellow Bosses'!$Q$5:$Q$53&gt;=1))&gt;0))</f>
        <v>0</v>
      </c>
      <c r="I953" s="25" t="n">
        <f aca="false">SUMPRODUCT(--((('Yellow Bosses'!$J$5:$J$53&gt;0)+('Yellow Bosses'!$M$5:$M$53&gt;0)+('Yellow Bosses'!$O$5:$O$53&gt;0)+('Yellow Bosses'!$Q$5:$Q$53&gt;0))=0))</f>
        <v>0</v>
      </c>
      <c r="J953" s="25" t="n">
        <f aca="false">SUMPRODUCT(--(((Effectiveness!$G$5:$G$155&gt;=2)+(Effectiveness!$J$5:$J$155&gt;=2)+(Effectiveness!$L$5:$L$155&gt;=2)+(Effectiveness!$N$5:$N$155&gt;=2))&gt;0))</f>
        <v>73</v>
      </c>
      <c r="K953" s="26" t="n">
        <f aca="false">J953/151</f>
        <v>0.483443708609272</v>
      </c>
      <c r="L953" s="25" t="n">
        <f aca="false">MIN(INDEX('Move Reality'!$F$5:$F$19,MATCH(B953,'Move Reality'!$A$5:$A$19,0)),INDEX('Move Reality'!$F$5:$F$19,MATCH(C953,'Move Reality'!$A$5:$A$19,0)),INDEX('Move Reality'!$F$5:$F$19,MATCH(D953,'Move Reality'!$A$5:$A$19,0)),INDEX('Move Reality'!$F$5:$F$19,MATCH(E953,'Move Reality'!$A$5:$A$19,0)))</f>
        <v>2</v>
      </c>
      <c r="M953" s="28" t="str">
        <f aca="false">IF(L953&gt;=5,"YES","no - dead move")</f>
        <v>no - dead move</v>
      </c>
    </row>
    <row r="954" customFormat="false" ht="15" hidden="false" customHeight="false" outlineLevel="0" collapsed="false">
      <c r="A954" s="17" t="n">
        <v>950</v>
      </c>
      <c r="B954" s="17" t="s">
        <v>42</v>
      </c>
      <c r="C954" s="17" t="s">
        <v>45</v>
      </c>
      <c r="D954" s="17" t="s">
        <v>49</v>
      </c>
      <c r="E954" s="17" t="s">
        <v>54</v>
      </c>
      <c r="F954" s="25" t="n">
        <f aca="false">SUMPRODUCT(--((('Yellow Bosses'!$J$5:$J$53&gt;=2)+('Yellow Bosses'!$M$5:$M$53&gt;=2)+('Yellow Bosses'!$Q$5:$Q$53&gt;=2)+('Yellow Bosses'!$V$5:$V$53&gt;=2))&gt;0))</f>
        <v>29</v>
      </c>
      <c r="G954" s="26" t="n">
        <f aca="false">F954/49</f>
        <v>0.591836734693878</v>
      </c>
      <c r="H954" s="25" t="n">
        <f aca="false">49-SUMPRODUCT(--((('Yellow Bosses'!$J$5:$J$53&gt;=1)+('Yellow Bosses'!$M$5:$M$53&gt;=1)+('Yellow Bosses'!$Q$5:$Q$53&gt;=1)+('Yellow Bosses'!$V$5:$V$53&gt;=1))&gt;0))</f>
        <v>0</v>
      </c>
      <c r="I954" s="25" t="n">
        <f aca="false">SUMPRODUCT(--((('Yellow Bosses'!$J$5:$J$53&gt;0)+('Yellow Bosses'!$M$5:$M$53&gt;0)+('Yellow Bosses'!$Q$5:$Q$53&gt;0)+('Yellow Bosses'!$V$5:$V$53&gt;0))=0))</f>
        <v>0</v>
      </c>
      <c r="J954" s="25" t="n">
        <f aca="false">SUMPRODUCT(--(((Effectiveness!$G$5:$G$155&gt;=2)+(Effectiveness!$J$5:$J$155&gt;=2)+(Effectiveness!$N$5:$N$155&gt;=2)+(Effectiveness!$S$5:$S$155&gt;=2))&gt;0))</f>
        <v>73</v>
      </c>
      <c r="K954" s="26" t="n">
        <f aca="false">J954/151</f>
        <v>0.483443708609272</v>
      </c>
      <c r="L954" s="25" t="n">
        <f aca="false">MIN(INDEX('Move Reality'!$F$5:$F$19,MATCH(B954,'Move Reality'!$A$5:$A$19,0)),INDEX('Move Reality'!$F$5:$F$19,MATCH(C954,'Move Reality'!$A$5:$A$19,0)),INDEX('Move Reality'!$F$5:$F$19,MATCH(D954,'Move Reality'!$A$5:$A$19,0)),INDEX('Move Reality'!$F$5:$F$19,MATCH(E954,'Move Reality'!$A$5:$A$19,0)))</f>
        <v>1</v>
      </c>
      <c r="M954" s="28" t="str">
        <f aca="false">IF(L954&gt;=5,"YES","no - dead move")</f>
        <v>no - dead move</v>
      </c>
    </row>
    <row r="955" customFormat="false" ht="15" hidden="false" customHeight="false" outlineLevel="0" collapsed="false">
      <c r="A955" s="17" t="n">
        <v>951</v>
      </c>
      <c r="B955" s="17" t="s">
        <v>40</v>
      </c>
      <c r="C955" s="17" t="s">
        <v>41</v>
      </c>
      <c r="D955" s="17" t="s">
        <v>42</v>
      </c>
      <c r="E955" s="17" t="s">
        <v>52</v>
      </c>
      <c r="F955" s="25" t="n">
        <f aca="false">SUMPRODUCT(--((('Yellow Bosses'!$H$5:$H$53&gt;=2)+('Yellow Bosses'!$I$5:$I$53&gt;=2)+('Yellow Bosses'!$J$5:$J$53&gt;=2)+('Yellow Bosses'!$T$5:$T$53&gt;=2))&gt;0))</f>
        <v>29</v>
      </c>
      <c r="G955" s="26" t="n">
        <f aca="false">F955/49</f>
        <v>0.591836734693878</v>
      </c>
      <c r="H955" s="25" t="n">
        <f aca="false">49-SUMPRODUCT(--((('Yellow Bosses'!$H$5:$H$53&gt;=1)+('Yellow Bosses'!$I$5:$I$53&gt;=1)+('Yellow Bosses'!$J$5:$J$53&gt;=1)+('Yellow Bosses'!$T$5:$T$53&gt;=1))&gt;0))</f>
        <v>0</v>
      </c>
      <c r="I955" s="25" t="n">
        <f aca="false">SUMPRODUCT(--((('Yellow Bosses'!$H$5:$H$53&gt;0)+('Yellow Bosses'!$I$5:$I$53&gt;0)+('Yellow Bosses'!$J$5:$J$53&gt;0)+('Yellow Bosses'!$T$5:$T$53&gt;0))=0))</f>
        <v>0</v>
      </c>
      <c r="J955" s="25" t="n">
        <f aca="false">SUMPRODUCT(--(((Effectiveness!$E$5:$E$155&gt;=2)+(Effectiveness!$F$5:$F$155&gt;=2)+(Effectiveness!$G$5:$G$155&gt;=2)+(Effectiveness!$Q$5:$Q$155&gt;=2))&gt;0))</f>
        <v>69</v>
      </c>
      <c r="K955" s="26" t="n">
        <f aca="false">J955/151</f>
        <v>0.456953642384106</v>
      </c>
      <c r="L955" s="25" t="n">
        <f aca="false">MIN(INDEX('Move Reality'!$F$5:$F$19,MATCH(B955,'Move Reality'!$A$5:$A$19,0)),INDEX('Move Reality'!$F$5:$F$19,MATCH(C955,'Move Reality'!$A$5:$A$19,0)),INDEX('Move Reality'!$F$5:$F$19,MATCH(D955,'Move Reality'!$A$5:$A$19,0)),INDEX('Move Reality'!$F$5:$F$19,MATCH(E955,'Move Reality'!$A$5:$A$19,0)))</f>
        <v>6</v>
      </c>
      <c r="M955" s="28" t="str">
        <f aca="false">IF(L955&gt;=5,"YES","no - dead move")</f>
        <v>YES</v>
      </c>
    </row>
    <row r="956" customFormat="false" ht="15" hidden="false" customHeight="false" outlineLevel="0" collapsed="false">
      <c r="A956" s="17" t="n">
        <v>952</v>
      </c>
      <c r="B956" s="17" t="s">
        <v>41</v>
      </c>
      <c r="C956" s="17" t="s">
        <v>42</v>
      </c>
      <c r="D956" s="17" t="s">
        <v>47</v>
      </c>
      <c r="E956" s="17" t="s">
        <v>52</v>
      </c>
      <c r="F956" s="25" t="n">
        <f aca="false">SUMPRODUCT(--((('Yellow Bosses'!$I$5:$I$53&gt;=2)+('Yellow Bosses'!$J$5:$J$53&gt;=2)+('Yellow Bosses'!$O$5:$O$53&gt;=2)+('Yellow Bosses'!$T$5:$T$53&gt;=2))&gt;0))</f>
        <v>29</v>
      </c>
      <c r="G956" s="26" t="n">
        <f aca="false">F956/49</f>
        <v>0.591836734693878</v>
      </c>
      <c r="H956" s="25" t="n">
        <f aca="false">49-SUMPRODUCT(--((('Yellow Bosses'!$I$5:$I$53&gt;=1)+('Yellow Bosses'!$J$5:$J$53&gt;=1)+('Yellow Bosses'!$O$5:$O$53&gt;=1)+('Yellow Bosses'!$T$5:$T$53&gt;=1))&gt;0))</f>
        <v>0</v>
      </c>
      <c r="I956" s="25" t="n">
        <f aca="false">SUMPRODUCT(--((('Yellow Bosses'!$I$5:$I$53&gt;0)+('Yellow Bosses'!$J$5:$J$53&gt;0)+('Yellow Bosses'!$O$5:$O$53&gt;0)+('Yellow Bosses'!$T$5:$T$53&gt;0))=0))</f>
        <v>0</v>
      </c>
      <c r="J956" s="25" t="n">
        <f aca="false">SUMPRODUCT(--(((Effectiveness!$F$5:$F$155&gt;=2)+(Effectiveness!$G$5:$G$155&gt;=2)+(Effectiveness!$L$5:$L$155&gt;=2)+(Effectiveness!$Q$5:$Q$155&gt;=2))&gt;0))</f>
        <v>69</v>
      </c>
      <c r="K956" s="26" t="n">
        <f aca="false">J956/151</f>
        <v>0.456953642384106</v>
      </c>
      <c r="L956" s="25" t="n">
        <f aca="false">MIN(INDEX('Move Reality'!$F$5:$F$19,MATCH(B956,'Move Reality'!$A$5:$A$19,0)),INDEX('Move Reality'!$F$5:$F$19,MATCH(C956,'Move Reality'!$A$5:$A$19,0)),INDEX('Move Reality'!$F$5:$F$19,MATCH(D956,'Move Reality'!$A$5:$A$19,0)),INDEX('Move Reality'!$F$5:$F$19,MATCH(E956,'Move Reality'!$A$5:$A$19,0)))</f>
        <v>2</v>
      </c>
      <c r="M956" s="28" t="str">
        <f aca="false">IF(L956&gt;=5,"YES","no - dead move")</f>
        <v>no - dead move</v>
      </c>
    </row>
    <row r="957" customFormat="false" ht="15" hidden="false" customHeight="false" outlineLevel="0" collapsed="false">
      <c r="A957" s="17" t="n">
        <v>953</v>
      </c>
      <c r="B957" s="17" t="s">
        <v>41</v>
      </c>
      <c r="C957" s="17" t="s">
        <v>45</v>
      </c>
      <c r="D957" s="17" t="s">
        <v>49</v>
      </c>
      <c r="E957" s="17" t="s">
        <v>53</v>
      </c>
      <c r="F957" s="25" t="n">
        <f aca="false">SUMPRODUCT(--((('Yellow Bosses'!$I$5:$I$53&gt;=2)+('Yellow Bosses'!$M$5:$M$53&gt;=2)+('Yellow Bosses'!$Q$5:$Q$53&gt;=2)+('Yellow Bosses'!$U$5:$U$53&gt;=2))&gt;0))</f>
        <v>29</v>
      </c>
      <c r="G957" s="26" t="n">
        <f aca="false">F957/49</f>
        <v>0.591836734693878</v>
      </c>
      <c r="H957" s="25" t="n">
        <f aca="false">49-SUMPRODUCT(--((('Yellow Bosses'!$I$5:$I$53&gt;=1)+('Yellow Bosses'!$M$5:$M$53&gt;=1)+('Yellow Bosses'!$Q$5:$Q$53&gt;=1)+('Yellow Bosses'!$U$5:$U$53&gt;=1))&gt;0))</f>
        <v>0</v>
      </c>
      <c r="I957" s="25" t="n">
        <f aca="false">SUMPRODUCT(--((('Yellow Bosses'!$I$5:$I$53&gt;0)+('Yellow Bosses'!$M$5:$M$53&gt;0)+('Yellow Bosses'!$Q$5:$Q$53&gt;0)+('Yellow Bosses'!$U$5:$U$53&gt;0))=0))</f>
        <v>0</v>
      </c>
      <c r="J957" s="25" t="n">
        <f aca="false">SUMPRODUCT(--(((Effectiveness!$F$5:$F$155&gt;=2)+(Effectiveness!$J$5:$J$155&gt;=2)+(Effectiveness!$N$5:$N$155&gt;=2)+(Effectiveness!$R$5:$R$155&gt;=2))&gt;0))</f>
        <v>68</v>
      </c>
      <c r="K957" s="26" t="n">
        <f aca="false">J957/151</f>
        <v>0.450331125827815</v>
      </c>
      <c r="L957" s="25" t="n">
        <f aca="false">MIN(INDEX('Move Reality'!$F$5:$F$19,MATCH(B957,'Move Reality'!$A$5:$A$19,0)),INDEX('Move Reality'!$F$5:$F$19,MATCH(C957,'Move Reality'!$A$5:$A$19,0)),INDEX('Move Reality'!$F$5:$F$19,MATCH(D957,'Move Reality'!$A$5:$A$19,0)),INDEX('Move Reality'!$F$5:$F$19,MATCH(E957,'Move Reality'!$A$5:$A$19,0)))</f>
        <v>1</v>
      </c>
      <c r="M957" s="28" t="str">
        <f aca="false">IF(L957&gt;=5,"YES","no - dead move")</f>
        <v>no - dead move</v>
      </c>
    </row>
    <row r="958" customFormat="false" ht="15" hidden="false" customHeight="false" outlineLevel="0" collapsed="false">
      <c r="A958" s="17" t="n">
        <v>954</v>
      </c>
      <c r="B958" s="17" t="s">
        <v>41</v>
      </c>
      <c r="C958" s="17" t="s">
        <v>42</v>
      </c>
      <c r="D958" s="17" t="s">
        <v>49</v>
      </c>
      <c r="E958" s="17" t="s">
        <v>53</v>
      </c>
      <c r="F958" s="25" t="n">
        <f aca="false">SUMPRODUCT(--((('Yellow Bosses'!$I$5:$I$53&gt;=2)+('Yellow Bosses'!$J$5:$J$53&gt;=2)+('Yellow Bosses'!$Q$5:$Q$53&gt;=2)+('Yellow Bosses'!$U$5:$U$53&gt;=2))&gt;0))</f>
        <v>29</v>
      </c>
      <c r="G958" s="26" t="n">
        <f aca="false">F958/49</f>
        <v>0.591836734693878</v>
      </c>
      <c r="H958" s="25" t="n">
        <f aca="false">49-SUMPRODUCT(--((('Yellow Bosses'!$I$5:$I$53&gt;=1)+('Yellow Bosses'!$J$5:$J$53&gt;=1)+('Yellow Bosses'!$Q$5:$Q$53&gt;=1)+('Yellow Bosses'!$U$5:$U$53&gt;=1))&gt;0))</f>
        <v>0</v>
      </c>
      <c r="I958" s="25" t="n">
        <f aca="false">SUMPRODUCT(--((('Yellow Bosses'!$I$5:$I$53&gt;0)+('Yellow Bosses'!$J$5:$J$53&gt;0)+('Yellow Bosses'!$Q$5:$Q$53&gt;0)+('Yellow Bosses'!$U$5:$U$53&gt;0))=0))</f>
        <v>0</v>
      </c>
      <c r="J958" s="25" t="n">
        <f aca="false">SUMPRODUCT(--(((Effectiveness!$F$5:$F$155&gt;=2)+(Effectiveness!$G$5:$G$155&gt;=2)+(Effectiveness!$N$5:$N$155&gt;=2)+(Effectiveness!$R$5:$R$155&gt;=2))&gt;0))</f>
        <v>64</v>
      </c>
      <c r="K958" s="26" t="n">
        <f aca="false">J958/151</f>
        <v>0.423841059602649</v>
      </c>
      <c r="L958" s="25" t="n">
        <f aca="false">MIN(INDEX('Move Reality'!$F$5:$F$19,MATCH(B958,'Move Reality'!$A$5:$A$19,0)),INDEX('Move Reality'!$F$5:$F$19,MATCH(C958,'Move Reality'!$A$5:$A$19,0)),INDEX('Move Reality'!$F$5:$F$19,MATCH(D958,'Move Reality'!$A$5:$A$19,0)),INDEX('Move Reality'!$F$5:$F$19,MATCH(E958,'Move Reality'!$A$5:$A$19,0)))</f>
        <v>1</v>
      </c>
      <c r="M958" s="28" t="str">
        <f aca="false">IF(L958&gt;=5,"YES","no - dead move")</f>
        <v>no - dead move</v>
      </c>
    </row>
    <row r="959" customFormat="false" ht="15" hidden="false" customHeight="false" outlineLevel="0" collapsed="false">
      <c r="A959" s="17" t="n">
        <v>955</v>
      </c>
      <c r="B959" s="17" t="s">
        <v>41</v>
      </c>
      <c r="C959" s="17" t="s">
        <v>42</v>
      </c>
      <c r="D959" s="17" t="s">
        <v>49</v>
      </c>
      <c r="E959" s="17" t="s">
        <v>54</v>
      </c>
      <c r="F959" s="25" t="n">
        <f aca="false">SUMPRODUCT(--((('Yellow Bosses'!$I$5:$I$53&gt;=2)+('Yellow Bosses'!$J$5:$J$53&gt;=2)+('Yellow Bosses'!$Q$5:$Q$53&gt;=2)+('Yellow Bosses'!$V$5:$V$53&gt;=2))&gt;0))</f>
        <v>29</v>
      </c>
      <c r="G959" s="26" t="n">
        <f aca="false">F959/49</f>
        <v>0.591836734693878</v>
      </c>
      <c r="H959" s="25" t="n">
        <f aca="false">49-SUMPRODUCT(--((('Yellow Bosses'!$I$5:$I$53&gt;=1)+('Yellow Bosses'!$J$5:$J$53&gt;=1)+('Yellow Bosses'!$Q$5:$Q$53&gt;=1)+('Yellow Bosses'!$V$5:$V$53&gt;=1))&gt;0))</f>
        <v>0</v>
      </c>
      <c r="I959" s="25" t="n">
        <f aca="false">SUMPRODUCT(--((('Yellow Bosses'!$I$5:$I$53&gt;0)+('Yellow Bosses'!$J$5:$J$53&gt;0)+('Yellow Bosses'!$Q$5:$Q$53&gt;0)+('Yellow Bosses'!$V$5:$V$53&gt;0))=0))</f>
        <v>0</v>
      </c>
      <c r="J959" s="25" t="n">
        <f aca="false">SUMPRODUCT(--(((Effectiveness!$F$5:$F$155&gt;=2)+(Effectiveness!$G$5:$G$155&gt;=2)+(Effectiveness!$N$5:$N$155&gt;=2)+(Effectiveness!$S$5:$S$155&gt;=2))&gt;0))</f>
        <v>64</v>
      </c>
      <c r="K959" s="26" t="n">
        <f aca="false">J959/151</f>
        <v>0.423841059602649</v>
      </c>
      <c r="L959" s="25" t="n">
        <f aca="false">MIN(INDEX('Move Reality'!$F$5:$F$19,MATCH(B959,'Move Reality'!$A$5:$A$19,0)),INDEX('Move Reality'!$F$5:$F$19,MATCH(C959,'Move Reality'!$A$5:$A$19,0)),INDEX('Move Reality'!$F$5:$F$19,MATCH(D959,'Move Reality'!$A$5:$A$19,0)),INDEX('Move Reality'!$F$5:$F$19,MATCH(E959,'Move Reality'!$A$5:$A$19,0)))</f>
        <v>1</v>
      </c>
      <c r="M959" s="28" t="str">
        <f aca="false">IF(L959&gt;=5,"YES","no - dead move")</f>
        <v>no - dead move</v>
      </c>
    </row>
    <row r="960" customFormat="false" ht="15" hidden="false" customHeight="false" outlineLevel="0" collapsed="false">
      <c r="A960" s="17" t="n">
        <v>956</v>
      </c>
      <c r="B960" s="17" t="s">
        <v>42</v>
      </c>
      <c r="C960" s="17" t="s">
        <v>47</v>
      </c>
      <c r="D960" s="17" t="s">
        <v>52</v>
      </c>
      <c r="E960" s="17" t="s">
        <v>54</v>
      </c>
      <c r="F960" s="25" t="n">
        <f aca="false">SUMPRODUCT(--((('Yellow Bosses'!$J$5:$J$53&gt;=2)+('Yellow Bosses'!$O$5:$O$53&gt;=2)+('Yellow Bosses'!$T$5:$T$53&gt;=2)+('Yellow Bosses'!$V$5:$V$53&gt;=2))&gt;0))</f>
        <v>29</v>
      </c>
      <c r="G960" s="26" t="n">
        <f aca="false">F960/49</f>
        <v>0.591836734693878</v>
      </c>
      <c r="H960" s="25" t="n">
        <f aca="false">49-SUMPRODUCT(--((('Yellow Bosses'!$J$5:$J$53&gt;=1)+('Yellow Bosses'!$O$5:$O$53&gt;=1)+('Yellow Bosses'!$T$5:$T$53&gt;=1)+('Yellow Bosses'!$V$5:$V$53&gt;=1))&gt;0))</f>
        <v>0</v>
      </c>
      <c r="I960" s="25" t="n">
        <f aca="false">SUMPRODUCT(--((('Yellow Bosses'!$J$5:$J$53&gt;0)+('Yellow Bosses'!$O$5:$O$53&gt;0)+('Yellow Bosses'!$T$5:$T$53&gt;0)+('Yellow Bosses'!$V$5:$V$53&gt;0))=0))</f>
        <v>0</v>
      </c>
      <c r="J960" s="25" t="n">
        <f aca="false">SUMPRODUCT(--(((Effectiveness!$G$5:$G$155&gt;=2)+(Effectiveness!$L$5:$L$155&gt;=2)+(Effectiveness!$Q$5:$Q$155&gt;=2)+(Effectiveness!$S$5:$S$155&gt;=2))&gt;0))</f>
        <v>62</v>
      </c>
      <c r="K960" s="26" t="n">
        <f aca="false">J960/151</f>
        <v>0.410596026490066</v>
      </c>
      <c r="L960" s="25" t="n">
        <f aca="false">MIN(INDEX('Move Reality'!$F$5:$F$19,MATCH(B960,'Move Reality'!$A$5:$A$19,0)),INDEX('Move Reality'!$F$5:$F$19,MATCH(C960,'Move Reality'!$A$5:$A$19,0)),INDEX('Move Reality'!$F$5:$F$19,MATCH(D960,'Move Reality'!$A$5:$A$19,0)),INDEX('Move Reality'!$F$5:$F$19,MATCH(E960,'Move Reality'!$A$5:$A$19,0)))</f>
        <v>1</v>
      </c>
      <c r="M960" s="28" t="str">
        <f aca="false">IF(L960&gt;=5,"YES","no - dead move")</f>
        <v>no - dead move</v>
      </c>
    </row>
    <row r="961" customFormat="false" ht="15" hidden="false" customHeight="false" outlineLevel="0" collapsed="false">
      <c r="A961" s="17" t="n">
        <v>957</v>
      </c>
      <c r="B961" s="17" t="s">
        <v>41</v>
      </c>
      <c r="C961" s="17" t="s">
        <v>42</v>
      </c>
      <c r="D961" s="17" t="s">
        <v>53</v>
      </c>
      <c r="E961" s="17" t="s">
        <v>54</v>
      </c>
      <c r="F961" s="25" t="n">
        <f aca="false">SUMPRODUCT(--((('Yellow Bosses'!$I$5:$I$53&gt;=2)+('Yellow Bosses'!$J$5:$J$53&gt;=2)+('Yellow Bosses'!$U$5:$U$53&gt;=2)+('Yellow Bosses'!$V$5:$V$53&gt;=2))&gt;0))</f>
        <v>29</v>
      </c>
      <c r="G961" s="26" t="n">
        <f aca="false">F961/49</f>
        <v>0.591836734693878</v>
      </c>
      <c r="H961" s="25" t="n">
        <f aca="false">49-SUMPRODUCT(--((('Yellow Bosses'!$I$5:$I$53&gt;=1)+('Yellow Bosses'!$J$5:$J$53&gt;=1)+('Yellow Bosses'!$U$5:$U$53&gt;=1)+('Yellow Bosses'!$V$5:$V$53&gt;=1))&gt;0))</f>
        <v>0</v>
      </c>
      <c r="I961" s="25" t="n">
        <f aca="false">SUMPRODUCT(--((('Yellow Bosses'!$I$5:$I$53&gt;0)+('Yellow Bosses'!$J$5:$J$53&gt;0)+('Yellow Bosses'!$U$5:$U$53&gt;0)+('Yellow Bosses'!$V$5:$V$53&gt;0))=0))</f>
        <v>0</v>
      </c>
      <c r="J961" s="25" t="n">
        <f aca="false">SUMPRODUCT(--(((Effectiveness!$F$5:$F$155&gt;=2)+(Effectiveness!$G$5:$G$155&gt;=2)+(Effectiveness!$R$5:$R$155&gt;=2)+(Effectiveness!$S$5:$S$155&gt;=2))&gt;0))</f>
        <v>59</v>
      </c>
      <c r="K961" s="26" t="n">
        <f aca="false">J961/151</f>
        <v>0.390728476821192</v>
      </c>
      <c r="L961" s="25" t="n">
        <f aca="false">MIN(INDEX('Move Reality'!$F$5:$F$19,MATCH(B961,'Move Reality'!$A$5:$A$19,0)),INDEX('Move Reality'!$F$5:$F$19,MATCH(C961,'Move Reality'!$A$5:$A$19,0)),INDEX('Move Reality'!$F$5:$F$19,MATCH(D961,'Move Reality'!$A$5:$A$19,0)),INDEX('Move Reality'!$F$5:$F$19,MATCH(E961,'Move Reality'!$A$5:$A$19,0)))</f>
        <v>1</v>
      </c>
      <c r="M961" s="28" t="str">
        <f aca="false">IF(L961&gt;=5,"YES","no - dead move")</f>
        <v>no - dead move</v>
      </c>
    </row>
    <row r="962" customFormat="false" ht="15" hidden="false" customHeight="false" outlineLevel="0" collapsed="false">
      <c r="A962" s="17" t="n">
        <v>958</v>
      </c>
      <c r="B962" s="17" t="s">
        <v>40</v>
      </c>
      <c r="C962" s="17" t="s">
        <v>43</v>
      </c>
      <c r="D962" s="17" t="s">
        <v>46</v>
      </c>
      <c r="E962" s="17" t="s">
        <v>48</v>
      </c>
      <c r="F962" s="25" t="n">
        <f aca="false">SUMPRODUCT(--((('Yellow Bosses'!$H$5:$H$53&gt;=2)+('Yellow Bosses'!$K$5:$K$53&gt;=2)+('Yellow Bosses'!$N$5:$N$53&gt;=2)+('Yellow Bosses'!$P$5:$P$53&gt;=2))&gt;0))</f>
        <v>28</v>
      </c>
      <c r="G962" s="26" t="n">
        <f aca="false">F962/49</f>
        <v>0.571428571428571</v>
      </c>
      <c r="H962" s="25" t="n">
        <f aca="false">49-SUMPRODUCT(--((('Yellow Bosses'!$H$5:$H$53&gt;=1)+('Yellow Bosses'!$K$5:$K$53&gt;=1)+('Yellow Bosses'!$N$5:$N$53&gt;=1)+('Yellow Bosses'!$P$5:$P$53&gt;=1))&gt;0))</f>
        <v>0</v>
      </c>
      <c r="I962" s="25" t="n">
        <f aca="false">SUMPRODUCT(--((('Yellow Bosses'!$H$5:$H$53&gt;0)+('Yellow Bosses'!$K$5:$K$53&gt;0)+('Yellow Bosses'!$N$5:$N$53&gt;0)+('Yellow Bosses'!$P$5:$P$53&gt;0))=0))</f>
        <v>0</v>
      </c>
      <c r="J962" s="25" t="n">
        <f aca="false">SUMPRODUCT(--(((Effectiveness!$E$5:$E$155&gt;=2)+(Effectiveness!$H$5:$H$155&gt;=2)+(Effectiveness!$K$5:$K$155&gt;=2)+(Effectiveness!$M$5:$M$155&gt;=2))&gt;0))</f>
        <v>103</v>
      </c>
      <c r="K962" s="26" t="n">
        <f aca="false">J962/151</f>
        <v>0.682119205298013</v>
      </c>
      <c r="L962" s="25" t="n">
        <f aca="false">MIN(INDEX('Move Reality'!$F$5:$F$19,MATCH(B962,'Move Reality'!$A$5:$A$19,0)),INDEX('Move Reality'!$F$5:$F$19,MATCH(C962,'Move Reality'!$A$5:$A$19,0)),INDEX('Move Reality'!$F$5:$F$19,MATCH(D962,'Move Reality'!$A$5:$A$19,0)),INDEX('Move Reality'!$F$5:$F$19,MATCH(E962,'Move Reality'!$A$5:$A$19,0)))</f>
        <v>5</v>
      </c>
      <c r="M962" s="28" t="str">
        <f aca="false">IF(L962&gt;=5,"YES","no - dead move")</f>
        <v>YES</v>
      </c>
    </row>
    <row r="963" customFormat="false" ht="15" hidden="false" customHeight="false" outlineLevel="0" collapsed="false">
      <c r="A963" s="17" t="n">
        <v>959</v>
      </c>
      <c r="B963" s="17" t="s">
        <v>43</v>
      </c>
      <c r="C963" s="17" t="s">
        <v>46</v>
      </c>
      <c r="D963" s="17" t="s">
        <v>48</v>
      </c>
      <c r="E963" s="17" t="s">
        <v>53</v>
      </c>
      <c r="F963" s="25" t="n">
        <f aca="false">SUMPRODUCT(--((('Yellow Bosses'!$K$5:$K$53&gt;=2)+('Yellow Bosses'!$N$5:$N$53&gt;=2)+('Yellow Bosses'!$P$5:$P$53&gt;=2)+('Yellow Bosses'!$U$5:$U$53&gt;=2))&gt;0))</f>
        <v>28</v>
      </c>
      <c r="G963" s="26" t="n">
        <f aca="false">F963/49</f>
        <v>0.571428571428571</v>
      </c>
      <c r="H963" s="25" t="n">
        <f aca="false">49-SUMPRODUCT(--((('Yellow Bosses'!$K$5:$K$53&gt;=1)+('Yellow Bosses'!$N$5:$N$53&gt;=1)+('Yellow Bosses'!$P$5:$P$53&gt;=1)+('Yellow Bosses'!$U$5:$U$53&gt;=1))&gt;0))</f>
        <v>1</v>
      </c>
      <c r="I963" s="25" t="n">
        <f aca="false">SUMPRODUCT(--((('Yellow Bosses'!$K$5:$K$53&gt;0)+('Yellow Bosses'!$N$5:$N$53&gt;0)+('Yellow Bosses'!$P$5:$P$53&gt;0)+('Yellow Bosses'!$U$5:$U$53&gt;0))=0))</f>
        <v>0</v>
      </c>
      <c r="J963" s="25" t="n">
        <f aca="false">SUMPRODUCT(--(((Effectiveness!$H$5:$H$155&gt;=2)+(Effectiveness!$K$5:$K$155&gt;=2)+(Effectiveness!$M$5:$M$155&gt;=2)+(Effectiveness!$R$5:$R$155&gt;=2))&gt;0))</f>
        <v>103</v>
      </c>
      <c r="K963" s="26" t="n">
        <f aca="false">J963/151</f>
        <v>0.682119205298013</v>
      </c>
      <c r="L963" s="25" t="n">
        <f aca="false">MIN(INDEX('Move Reality'!$F$5:$F$19,MATCH(B963,'Move Reality'!$A$5:$A$19,0)),INDEX('Move Reality'!$F$5:$F$19,MATCH(C963,'Move Reality'!$A$5:$A$19,0)),INDEX('Move Reality'!$F$5:$F$19,MATCH(D963,'Move Reality'!$A$5:$A$19,0)),INDEX('Move Reality'!$F$5:$F$19,MATCH(E963,'Move Reality'!$A$5:$A$19,0)))</f>
        <v>1</v>
      </c>
      <c r="M963" s="28" t="str">
        <f aca="false">IF(L963&gt;=5,"YES","no - dead move")</f>
        <v>no - dead move</v>
      </c>
    </row>
    <row r="964" customFormat="false" ht="15" hidden="false" customHeight="false" outlineLevel="0" collapsed="false">
      <c r="A964" s="17" t="n">
        <v>960</v>
      </c>
      <c r="B964" s="17" t="s">
        <v>41</v>
      </c>
      <c r="C964" s="17" t="s">
        <v>43</v>
      </c>
      <c r="D964" s="17" t="s">
        <v>46</v>
      </c>
      <c r="E964" s="17" t="s">
        <v>49</v>
      </c>
      <c r="F964" s="25" t="n">
        <f aca="false">SUMPRODUCT(--((('Yellow Bosses'!$I$5:$I$53&gt;=2)+('Yellow Bosses'!$K$5:$K$53&gt;=2)+('Yellow Bosses'!$N$5:$N$53&gt;=2)+('Yellow Bosses'!$Q$5:$Q$53&gt;=2))&gt;0))</f>
        <v>28</v>
      </c>
      <c r="G964" s="26" t="n">
        <f aca="false">F964/49</f>
        <v>0.571428571428571</v>
      </c>
      <c r="H964" s="25" t="n">
        <f aca="false">49-SUMPRODUCT(--((('Yellow Bosses'!$I$5:$I$53&gt;=1)+('Yellow Bosses'!$K$5:$K$53&gt;=1)+('Yellow Bosses'!$N$5:$N$53&gt;=1)+('Yellow Bosses'!$Q$5:$Q$53&gt;=1))&gt;0))</f>
        <v>0</v>
      </c>
      <c r="I964" s="25" t="n">
        <f aca="false">SUMPRODUCT(--((('Yellow Bosses'!$I$5:$I$53&gt;0)+('Yellow Bosses'!$K$5:$K$53&gt;0)+('Yellow Bosses'!$N$5:$N$53&gt;0)+('Yellow Bosses'!$Q$5:$Q$53&gt;0))=0))</f>
        <v>0</v>
      </c>
      <c r="J964" s="25" t="n">
        <f aca="false">SUMPRODUCT(--(((Effectiveness!$F$5:$F$155&gt;=2)+(Effectiveness!$H$5:$H$155&gt;=2)+(Effectiveness!$K$5:$K$155&gt;=2)+(Effectiveness!$N$5:$N$155&gt;=2))&gt;0))</f>
        <v>100</v>
      </c>
      <c r="K964" s="26" t="n">
        <f aca="false">J964/151</f>
        <v>0.662251655629139</v>
      </c>
      <c r="L964" s="25" t="n">
        <f aca="false">MIN(INDEX('Move Reality'!$F$5:$F$19,MATCH(B964,'Move Reality'!$A$5:$A$19,0)),INDEX('Move Reality'!$F$5:$F$19,MATCH(C964,'Move Reality'!$A$5:$A$19,0)),INDEX('Move Reality'!$F$5:$F$19,MATCH(D964,'Move Reality'!$A$5:$A$19,0)),INDEX('Move Reality'!$F$5:$F$19,MATCH(E964,'Move Reality'!$A$5:$A$19,0)))</f>
        <v>5</v>
      </c>
      <c r="M964" s="28" t="str">
        <f aca="false">IF(L964&gt;=5,"YES","no - dead move")</f>
        <v>YES</v>
      </c>
    </row>
    <row r="965" customFormat="false" ht="15" hidden="false" customHeight="false" outlineLevel="0" collapsed="false">
      <c r="A965" s="17" t="n">
        <v>961</v>
      </c>
      <c r="B965" s="17" t="s">
        <v>43</v>
      </c>
      <c r="C965" s="17" t="s">
        <v>44</v>
      </c>
      <c r="D965" s="17" t="s">
        <v>46</v>
      </c>
      <c r="E965" s="17" t="s">
        <v>52</v>
      </c>
      <c r="F965" s="25" t="n">
        <f aca="false">SUMPRODUCT(--((('Yellow Bosses'!$K$5:$K$53&gt;=2)+('Yellow Bosses'!$L$5:$L$53&gt;=2)+('Yellow Bosses'!$N$5:$N$53&gt;=2)+('Yellow Bosses'!$T$5:$T$53&gt;=2))&gt;0))</f>
        <v>28</v>
      </c>
      <c r="G965" s="26" t="n">
        <f aca="false">F965/49</f>
        <v>0.571428571428571</v>
      </c>
      <c r="H965" s="25" t="n">
        <f aca="false">49-SUMPRODUCT(--((('Yellow Bosses'!$K$5:$K$53&gt;=1)+('Yellow Bosses'!$L$5:$L$53&gt;=1)+('Yellow Bosses'!$N$5:$N$53&gt;=1)+('Yellow Bosses'!$T$5:$T$53&gt;=1))&gt;0))</f>
        <v>0</v>
      </c>
      <c r="I965" s="25" t="n">
        <f aca="false">SUMPRODUCT(--((('Yellow Bosses'!$K$5:$K$53&gt;0)+('Yellow Bosses'!$L$5:$L$53&gt;0)+('Yellow Bosses'!$N$5:$N$53&gt;0)+('Yellow Bosses'!$T$5:$T$53&gt;0))=0))</f>
        <v>0</v>
      </c>
      <c r="J965" s="25" t="n">
        <f aca="false">SUMPRODUCT(--(((Effectiveness!$H$5:$H$155&gt;=2)+(Effectiveness!$I$5:$I$155&gt;=2)+(Effectiveness!$K$5:$K$155&gt;=2)+(Effectiveness!$Q$5:$Q$155&gt;=2))&gt;0))</f>
        <v>99</v>
      </c>
      <c r="K965" s="26" t="n">
        <f aca="false">J965/151</f>
        <v>0.655629139072848</v>
      </c>
      <c r="L965" s="25" t="n">
        <f aca="false">MIN(INDEX('Move Reality'!$F$5:$F$19,MATCH(B965,'Move Reality'!$A$5:$A$19,0)),INDEX('Move Reality'!$F$5:$F$19,MATCH(C965,'Move Reality'!$A$5:$A$19,0)),INDEX('Move Reality'!$F$5:$F$19,MATCH(D965,'Move Reality'!$A$5:$A$19,0)),INDEX('Move Reality'!$F$5:$F$19,MATCH(E965,'Move Reality'!$A$5:$A$19,0)))</f>
        <v>4</v>
      </c>
      <c r="M965" s="28" t="str">
        <f aca="false">IF(L965&gt;=5,"YES","no - dead move")</f>
        <v>no - dead move</v>
      </c>
    </row>
    <row r="966" customFormat="false" ht="15" hidden="false" customHeight="false" outlineLevel="0" collapsed="false">
      <c r="A966" s="17" t="n">
        <v>962</v>
      </c>
      <c r="B966" s="17" t="s">
        <v>40</v>
      </c>
      <c r="C966" s="17" t="s">
        <v>44</v>
      </c>
      <c r="D966" s="17" t="s">
        <v>46</v>
      </c>
      <c r="E966" s="17" t="s">
        <v>52</v>
      </c>
      <c r="F966" s="25" t="n">
        <f aca="false">SUMPRODUCT(--((('Yellow Bosses'!$H$5:$H$53&gt;=2)+('Yellow Bosses'!$L$5:$L$53&gt;=2)+('Yellow Bosses'!$N$5:$N$53&gt;=2)+('Yellow Bosses'!$T$5:$T$53&gt;=2))&gt;0))</f>
        <v>28</v>
      </c>
      <c r="G966" s="26" t="n">
        <f aca="false">F966/49</f>
        <v>0.571428571428571</v>
      </c>
      <c r="H966" s="25" t="n">
        <f aca="false">49-SUMPRODUCT(--((('Yellow Bosses'!$H$5:$H$53&gt;=1)+('Yellow Bosses'!$L$5:$L$53&gt;=1)+('Yellow Bosses'!$N$5:$N$53&gt;=1)+('Yellow Bosses'!$T$5:$T$53&gt;=1))&gt;0))</f>
        <v>0</v>
      </c>
      <c r="I966" s="25" t="n">
        <f aca="false">SUMPRODUCT(--((('Yellow Bosses'!$H$5:$H$53&gt;0)+('Yellow Bosses'!$L$5:$L$53&gt;0)+('Yellow Bosses'!$N$5:$N$53&gt;0)+('Yellow Bosses'!$T$5:$T$53&gt;0))=0))</f>
        <v>0</v>
      </c>
      <c r="J966" s="25" t="n">
        <f aca="false">SUMPRODUCT(--(((Effectiveness!$E$5:$E$155&gt;=2)+(Effectiveness!$I$5:$I$155&gt;=2)+(Effectiveness!$K$5:$K$155&gt;=2)+(Effectiveness!$Q$5:$Q$155&gt;=2))&gt;0))</f>
        <v>97</v>
      </c>
      <c r="K966" s="26" t="n">
        <f aca="false">J966/151</f>
        <v>0.642384105960265</v>
      </c>
      <c r="L966" s="25" t="n">
        <f aca="false">MIN(INDEX('Move Reality'!$F$5:$F$19,MATCH(B966,'Move Reality'!$A$5:$A$19,0)),INDEX('Move Reality'!$F$5:$F$19,MATCH(C966,'Move Reality'!$A$5:$A$19,0)),INDEX('Move Reality'!$F$5:$F$19,MATCH(D966,'Move Reality'!$A$5:$A$19,0)),INDEX('Move Reality'!$F$5:$F$19,MATCH(E966,'Move Reality'!$A$5:$A$19,0)))</f>
        <v>4</v>
      </c>
      <c r="M966" s="28" t="str">
        <f aca="false">IF(L966&gt;=5,"YES","no - dead move")</f>
        <v>no - dead move</v>
      </c>
    </row>
    <row r="967" customFormat="false" ht="15" hidden="false" customHeight="false" outlineLevel="0" collapsed="false">
      <c r="A967" s="17" t="n">
        <v>963</v>
      </c>
      <c r="B967" s="17" t="s">
        <v>41</v>
      </c>
      <c r="C967" s="17" t="s">
        <v>43</v>
      </c>
      <c r="D967" s="17" t="s">
        <v>46</v>
      </c>
      <c r="E967" s="17" t="s">
        <v>53</v>
      </c>
      <c r="F967" s="25" t="n">
        <f aca="false">SUMPRODUCT(--((('Yellow Bosses'!$I$5:$I$53&gt;=2)+('Yellow Bosses'!$K$5:$K$53&gt;=2)+('Yellow Bosses'!$N$5:$N$53&gt;=2)+('Yellow Bosses'!$U$5:$U$53&gt;=2))&gt;0))</f>
        <v>28</v>
      </c>
      <c r="G967" s="26" t="n">
        <f aca="false">F967/49</f>
        <v>0.571428571428571</v>
      </c>
      <c r="H967" s="25" t="n">
        <f aca="false">49-SUMPRODUCT(--((('Yellow Bosses'!$I$5:$I$53&gt;=1)+('Yellow Bosses'!$K$5:$K$53&gt;=1)+('Yellow Bosses'!$N$5:$N$53&gt;=1)+('Yellow Bosses'!$U$5:$U$53&gt;=1))&gt;0))</f>
        <v>0</v>
      </c>
      <c r="I967" s="25" t="n">
        <f aca="false">SUMPRODUCT(--((('Yellow Bosses'!$I$5:$I$53&gt;0)+('Yellow Bosses'!$K$5:$K$53&gt;0)+('Yellow Bosses'!$N$5:$N$53&gt;0)+('Yellow Bosses'!$U$5:$U$53&gt;0))=0))</f>
        <v>0</v>
      </c>
      <c r="J967" s="25" t="n">
        <f aca="false">SUMPRODUCT(--(((Effectiveness!$F$5:$F$155&gt;=2)+(Effectiveness!$H$5:$H$155&gt;=2)+(Effectiveness!$K$5:$K$155&gt;=2)+(Effectiveness!$R$5:$R$155&gt;=2))&gt;0))</f>
        <v>96</v>
      </c>
      <c r="K967" s="26" t="n">
        <f aca="false">J967/151</f>
        <v>0.635761589403974</v>
      </c>
      <c r="L967" s="25" t="n">
        <f aca="false">MIN(INDEX('Move Reality'!$F$5:$F$19,MATCH(B967,'Move Reality'!$A$5:$A$19,0)),INDEX('Move Reality'!$F$5:$F$19,MATCH(C967,'Move Reality'!$A$5:$A$19,0)),INDEX('Move Reality'!$F$5:$F$19,MATCH(D967,'Move Reality'!$A$5:$A$19,0)),INDEX('Move Reality'!$F$5:$F$19,MATCH(E967,'Move Reality'!$A$5:$A$19,0)))</f>
        <v>1</v>
      </c>
      <c r="M967" s="28" t="str">
        <f aca="false">IF(L967&gt;=5,"YES","no - dead move")</f>
        <v>no - dead move</v>
      </c>
    </row>
    <row r="968" customFormat="false" ht="15" hidden="false" customHeight="false" outlineLevel="0" collapsed="false">
      <c r="A968" s="17" t="n">
        <v>964</v>
      </c>
      <c r="B968" s="17" t="s">
        <v>41</v>
      </c>
      <c r="C968" s="17" t="s">
        <v>43</v>
      </c>
      <c r="D968" s="17" t="s">
        <v>46</v>
      </c>
      <c r="E968" s="17" t="s">
        <v>54</v>
      </c>
      <c r="F968" s="25" t="n">
        <f aca="false">SUMPRODUCT(--((('Yellow Bosses'!$I$5:$I$53&gt;=2)+('Yellow Bosses'!$K$5:$K$53&gt;=2)+('Yellow Bosses'!$N$5:$N$53&gt;=2)+('Yellow Bosses'!$V$5:$V$53&gt;=2))&gt;0))</f>
        <v>28</v>
      </c>
      <c r="G968" s="26" t="n">
        <f aca="false">F968/49</f>
        <v>0.571428571428571</v>
      </c>
      <c r="H968" s="25" t="n">
        <f aca="false">49-SUMPRODUCT(--((('Yellow Bosses'!$I$5:$I$53&gt;=1)+('Yellow Bosses'!$K$5:$K$53&gt;=1)+('Yellow Bosses'!$N$5:$N$53&gt;=1)+('Yellow Bosses'!$V$5:$V$53&gt;=1))&gt;0))</f>
        <v>0</v>
      </c>
      <c r="I968" s="25" t="n">
        <f aca="false">SUMPRODUCT(--((('Yellow Bosses'!$I$5:$I$53&gt;0)+('Yellow Bosses'!$K$5:$K$53&gt;0)+('Yellow Bosses'!$N$5:$N$53&gt;0)+('Yellow Bosses'!$V$5:$V$53&gt;0))=0))</f>
        <v>0</v>
      </c>
      <c r="J968" s="25" t="n">
        <f aca="false">SUMPRODUCT(--(((Effectiveness!$F$5:$F$155&gt;=2)+(Effectiveness!$H$5:$H$155&gt;=2)+(Effectiveness!$K$5:$K$155&gt;=2)+(Effectiveness!$S$5:$S$155&gt;=2))&gt;0))</f>
        <v>96</v>
      </c>
      <c r="K968" s="26" t="n">
        <f aca="false">J968/151</f>
        <v>0.635761589403974</v>
      </c>
      <c r="L968" s="25" t="n">
        <f aca="false">MIN(INDEX('Move Reality'!$F$5:$F$19,MATCH(B968,'Move Reality'!$A$5:$A$19,0)),INDEX('Move Reality'!$F$5:$F$19,MATCH(C968,'Move Reality'!$A$5:$A$19,0)),INDEX('Move Reality'!$F$5:$F$19,MATCH(D968,'Move Reality'!$A$5:$A$19,0)),INDEX('Move Reality'!$F$5:$F$19,MATCH(E968,'Move Reality'!$A$5:$A$19,0)))</f>
        <v>1</v>
      </c>
      <c r="M968" s="28" t="str">
        <f aca="false">IF(L968&gt;=5,"YES","no - dead move")</f>
        <v>no - dead move</v>
      </c>
    </row>
    <row r="969" customFormat="false" ht="15" hidden="false" customHeight="false" outlineLevel="0" collapsed="false">
      <c r="A969" s="17" t="n">
        <v>965</v>
      </c>
      <c r="B969" s="17" t="s">
        <v>43</v>
      </c>
      <c r="C969" s="17" t="s">
        <v>46</v>
      </c>
      <c r="D969" s="17" t="s">
        <v>47</v>
      </c>
      <c r="E969" s="17" t="s">
        <v>52</v>
      </c>
      <c r="F969" s="25" t="n">
        <f aca="false">SUMPRODUCT(--((('Yellow Bosses'!$K$5:$K$53&gt;=2)+('Yellow Bosses'!$N$5:$N$53&gt;=2)+('Yellow Bosses'!$O$5:$O$53&gt;=2)+('Yellow Bosses'!$T$5:$T$53&gt;=2))&gt;0))</f>
        <v>28</v>
      </c>
      <c r="G969" s="26" t="n">
        <f aca="false">F969/49</f>
        <v>0.571428571428571</v>
      </c>
      <c r="H969" s="25" t="n">
        <f aca="false">49-SUMPRODUCT(--((('Yellow Bosses'!$K$5:$K$53&gt;=1)+('Yellow Bosses'!$N$5:$N$53&gt;=1)+('Yellow Bosses'!$O$5:$O$53&gt;=1)+('Yellow Bosses'!$T$5:$T$53&gt;=1))&gt;0))</f>
        <v>2</v>
      </c>
      <c r="I969" s="25" t="n">
        <f aca="false">SUMPRODUCT(--((('Yellow Bosses'!$K$5:$K$53&gt;0)+('Yellow Bosses'!$N$5:$N$53&gt;0)+('Yellow Bosses'!$O$5:$O$53&gt;0)+('Yellow Bosses'!$T$5:$T$53&gt;0))=0))</f>
        <v>0</v>
      </c>
      <c r="J969" s="25" t="n">
        <f aca="false">SUMPRODUCT(--(((Effectiveness!$H$5:$H$155&gt;=2)+(Effectiveness!$K$5:$K$155&gt;=2)+(Effectiveness!$L$5:$L$155&gt;=2)+(Effectiveness!$Q$5:$Q$155&gt;=2))&gt;0))</f>
        <v>96</v>
      </c>
      <c r="K969" s="26" t="n">
        <f aca="false">J969/151</f>
        <v>0.635761589403974</v>
      </c>
      <c r="L969" s="25" t="n">
        <f aca="false">MIN(INDEX('Move Reality'!$F$5:$F$19,MATCH(B969,'Move Reality'!$A$5:$A$19,0)),INDEX('Move Reality'!$F$5:$F$19,MATCH(C969,'Move Reality'!$A$5:$A$19,0)),INDEX('Move Reality'!$F$5:$F$19,MATCH(D969,'Move Reality'!$A$5:$A$19,0)),INDEX('Move Reality'!$F$5:$F$19,MATCH(E969,'Move Reality'!$A$5:$A$19,0)))</f>
        <v>2</v>
      </c>
      <c r="M969" s="28" t="str">
        <f aca="false">IF(L969&gt;=5,"YES","no - dead move")</f>
        <v>no - dead move</v>
      </c>
    </row>
    <row r="970" customFormat="false" ht="15" hidden="false" customHeight="false" outlineLevel="0" collapsed="false">
      <c r="A970" s="17" t="n">
        <v>966</v>
      </c>
      <c r="B970" s="17" t="s">
        <v>42</v>
      </c>
      <c r="C970" s="17" t="s">
        <v>44</v>
      </c>
      <c r="D970" s="17" t="s">
        <v>46</v>
      </c>
      <c r="E970" s="17" t="s">
        <v>48</v>
      </c>
      <c r="F970" s="25" t="n">
        <f aca="false">SUMPRODUCT(--((('Yellow Bosses'!$J$5:$J$53&gt;=2)+('Yellow Bosses'!$L$5:$L$53&gt;=2)+('Yellow Bosses'!$N$5:$N$53&gt;=2)+('Yellow Bosses'!$P$5:$P$53&gt;=2))&gt;0))</f>
        <v>28</v>
      </c>
      <c r="G970" s="26" t="n">
        <f aca="false">F970/49</f>
        <v>0.571428571428571</v>
      </c>
      <c r="H970" s="25" t="n">
        <f aca="false">49-SUMPRODUCT(--((('Yellow Bosses'!$J$5:$J$53&gt;=1)+('Yellow Bosses'!$L$5:$L$53&gt;=1)+('Yellow Bosses'!$N$5:$N$53&gt;=1)+('Yellow Bosses'!$P$5:$P$53&gt;=1))&gt;0))</f>
        <v>2</v>
      </c>
      <c r="I970" s="25" t="n">
        <f aca="false">SUMPRODUCT(--((('Yellow Bosses'!$J$5:$J$53&gt;0)+('Yellow Bosses'!$L$5:$L$53&gt;0)+('Yellow Bosses'!$N$5:$N$53&gt;0)+('Yellow Bosses'!$P$5:$P$53&gt;0))=0))</f>
        <v>0</v>
      </c>
      <c r="J970" s="25" t="n">
        <f aca="false">SUMPRODUCT(--(((Effectiveness!$G$5:$G$155&gt;=2)+(Effectiveness!$I$5:$I$155&gt;=2)+(Effectiveness!$K$5:$K$155&gt;=2)+(Effectiveness!$M$5:$M$155&gt;=2))&gt;0))</f>
        <v>95</v>
      </c>
      <c r="K970" s="26" t="n">
        <f aca="false">J970/151</f>
        <v>0.629139072847682</v>
      </c>
      <c r="L970" s="25" t="n">
        <f aca="false">MIN(INDEX('Move Reality'!$F$5:$F$19,MATCH(B970,'Move Reality'!$A$5:$A$19,0)),INDEX('Move Reality'!$F$5:$F$19,MATCH(C970,'Move Reality'!$A$5:$A$19,0)),INDEX('Move Reality'!$F$5:$F$19,MATCH(D970,'Move Reality'!$A$5:$A$19,0)),INDEX('Move Reality'!$F$5:$F$19,MATCH(E970,'Move Reality'!$A$5:$A$19,0)))</f>
        <v>4</v>
      </c>
      <c r="M970" s="28" t="str">
        <f aca="false">IF(L970&gt;=5,"YES","no - dead move")</f>
        <v>no - dead move</v>
      </c>
    </row>
    <row r="971" customFormat="false" ht="15" hidden="false" customHeight="false" outlineLevel="0" collapsed="false">
      <c r="A971" s="17" t="n">
        <v>967</v>
      </c>
      <c r="B971" s="17" t="s">
        <v>43</v>
      </c>
      <c r="C971" s="17" t="s">
        <v>46</v>
      </c>
      <c r="D971" s="17" t="s">
        <v>52</v>
      </c>
      <c r="E971" s="17" t="s">
        <v>54</v>
      </c>
      <c r="F971" s="25" t="n">
        <f aca="false">SUMPRODUCT(--((('Yellow Bosses'!$K$5:$K$53&gt;=2)+('Yellow Bosses'!$N$5:$N$53&gt;=2)+('Yellow Bosses'!$T$5:$T$53&gt;=2)+('Yellow Bosses'!$V$5:$V$53&gt;=2))&gt;0))</f>
        <v>28</v>
      </c>
      <c r="G971" s="26" t="n">
        <f aca="false">F971/49</f>
        <v>0.571428571428571</v>
      </c>
      <c r="H971" s="25" t="n">
        <f aca="false">49-SUMPRODUCT(--((('Yellow Bosses'!$K$5:$K$53&gt;=1)+('Yellow Bosses'!$N$5:$N$53&gt;=1)+('Yellow Bosses'!$T$5:$T$53&gt;=1)+('Yellow Bosses'!$V$5:$V$53&gt;=1))&gt;0))</f>
        <v>0</v>
      </c>
      <c r="I971" s="25" t="n">
        <f aca="false">SUMPRODUCT(--((('Yellow Bosses'!$K$5:$K$53&gt;0)+('Yellow Bosses'!$N$5:$N$53&gt;0)+('Yellow Bosses'!$T$5:$T$53&gt;0)+('Yellow Bosses'!$V$5:$V$53&gt;0))=0))</f>
        <v>0</v>
      </c>
      <c r="J971" s="25" t="n">
        <f aca="false">SUMPRODUCT(--(((Effectiveness!$H$5:$H$155&gt;=2)+(Effectiveness!$K$5:$K$155&gt;=2)+(Effectiveness!$Q$5:$Q$155&gt;=2)+(Effectiveness!$S$5:$S$155&gt;=2))&gt;0))</f>
        <v>95</v>
      </c>
      <c r="K971" s="26" t="n">
        <f aca="false">J971/151</f>
        <v>0.629139072847682</v>
      </c>
      <c r="L971" s="25" t="n">
        <f aca="false">MIN(INDEX('Move Reality'!$F$5:$F$19,MATCH(B971,'Move Reality'!$A$5:$A$19,0)),INDEX('Move Reality'!$F$5:$F$19,MATCH(C971,'Move Reality'!$A$5:$A$19,0)),INDEX('Move Reality'!$F$5:$F$19,MATCH(D971,'Move Reality'!$A$5:$A$19,0)),INDEX('Move Reality'!$F$5:$F$19,MATCH(E971,'Move Reality'!$A$5:$A$19,0)))</f>
        <v>1</v>
      </c>
      <c r="M971" s="28" t="str">
        <f aca="false">IF(L971&gt;=5,"YES","no - dead move")</f>
        <v>no - dead move</v>
      </c>
    </row>
    <row r="972" customFormat="false" ht="15" hidden="false" customHeight="false" outlineLevel="0" collapsed="false">
      <c r="A972" s="17" t="n">
        <v>968</v>
      </c>
      <c r="B972" s="17" t="s">
        <v>40</v>
      </c>
      <c r="C972" s="17" t="s">
        <v>41</v>
      </c>
      <c r="D972" s="17" t="s">
        <v>43</v>
      </c>
      <c r="E972" s="17" t="s">
        <v>50</v>
      </c>
      <c r="F972" s="25" t="n">
        <f aca="false">SUMPRODUCT(--((('Yellow Bosses'!$H$5:$H$53&gt;=2)+('Yellow Bosses'!$I$5:$I$53&gt;=2)+('Yellow Bosses'!$K$5:$K$53&gt;=2)+('Yellow Bosses'!$R$5:$R$53&gt;=2))&gt;0))</f>
        <v>28</v>
      </c>
      <c r="G972" s="26" t="n">
        <f aca="false">F972/49</f>
        <v>0.571428571428571</v>
      </c>
      <c r="H972" s="25" t="n">
        <f aca="false">49-SUMPRODUCT(--((('Yellow Bosses'!$H$5:$H$53&gt;=1)+('Yellow Bosses'!$I$5:$I$53&gt;=1)+('Yellow Bosses'!$K$5:$K$53&gt;=1)+('Yellow Bosses'!$R$5:$R$53&gt;=1))&gt;0))</f>
        <v>0</v>
      </c>
      <c r="I972" s="25" t="n">
        <f aca="false">SUMPRODUCT(--((('Yellow Bosses'!$H$5:$H$53&gt;0)+('Yellow Bosses'!$I$5:$I$53&gt;0)+('Yellow Bosses'!$K$5:$K$53&gt;0)+('Yellow Bosses'!$R$5:$R$53&gt;0))=0))</f>
        <v>0</v>
      </c>
      <c r="J972" s="25" t="n">
        <f aca="false">SUMPRODUCT(--(((Effectiveness!$E$5:$E$155&gt;=2)+(Effectiveness!$F$5:$F$155&gt;=2)+(Effectiveness!$H$5:$H$155&gt;=2)+(Effectiveness!$O$5:$O$155&gt;=2))&gt;0))</f>
        <v>93</v>
      </c>
      <c r="K972" s="26" t="n">
        <f aca="false">J972/151</f>
        <v>0.615894039735099</v>
      </c>
      <c r="L972" s="25" t="n">
        <f aca="false">MIN(INDEX('Move Reality'!$F$5:$F$19,MATCH(B972,'Move Reality'!$A$5:$A$19,0)),INDEX('Move Reality'!$F$5:$F$19,MATCH(C972,'Move Reality'!$A$5:$A$19,0)),INDEX('Move Reality'!$F$5:$F$19,MATCH(D972,'Move Reality'!$A$5:$A$19,0)),INDEX('Move Reality'!$F$5:$F$19,MATCH(E972,'Move Reality'!$A$5:$A$19,0)))</f>
        <v>7</v>
      </c>
      <c r="M972" s="28" t="str">
        <f aca="false">IF(L972&gt;=5,"YES","no - dead move")</f>
        <v>YES</v>
      </c>
    </row>
    <row r="973" customFormat="false" ht="15" hidden="false" customHeight="false" outlineLevel="0" collapsed="false">
      <c r="A973" s="17" t="n">
        <v>969</v>
      </c>
      <c r="B973" s="17" t="s">
        <v>41</v>
      </c>
      <c r="C973" s="17" t="s">
        <v>43</v>
      </c>
      <c r="D973" s="17" t="s">
        <v>47</v>
      </c>
      <c r="E973" s="17" t="s">
        <v>50</v>
      </c>
      <c r="F973" s="25" t="n">
        <f aca="false">SUMPRODUCT(--((('Yellow Bosses'!$I$5:$I$53&gt;=2)+('Yellow Bosses'!$K$5:$K$53&gt;=2)+('Yellow Bosses'!$O$5:$O$53&gt;=2)+('Yellow Bosses'!$R$5:$R$53&gt;=2))&gt;0))</f>
        <v>28</v>
      </c>
      <c r="G973" s="26" t="n">
        <f aca="false">F973/49</f>
        <v>0.571428571428571</v>
      </c>
      <c r="H973" s="25" t="n">
        <f aca="false">49-SUMPRODUCT(--((('Yellow Bosses'!$I$5:$I$53&gt;=1)+('Yellow Bosses'!$K$5:$K$53&gt;=1)+('Yellow Bosses'!$O$5:$O$53&gt;=1)+('Yellow Bosses'!$R$5:$R$53&gt;=1))&gt;0))</f>
        <v>0</v>
      </c>
      <c r="I973" s="25" t="n">
        <f aca="false">SUMPRODUCT(--((('Yellow Bosses'!$I$5:$I$53&gt;0)+('Yellow Bosses'!$K$5:$K$53&gt;0)+('Yellow Bosses'!$O$5:$O$53&gt;0)+('Yellow Bosses'!$R$5:$R$53&gt;0))=0))</f>
        <v>0</v>
      </c>
      <c r="J973" s="25" t="n">
        <f aca="false">SUMPRODUCT(--(((Effectiveness!$F$5:$F$155&gt;=2)+(Effectiveness!$H$5:$H$155&gt;=2)+(Effectiveness!$L$5:$L$155&gt;=2)+(Effectiveness!$O$5:$O$155&gt;=2))&gt;0))</f>
        <v>93</v>
      </c>
      <c r="K973" s="26" t="n">
        <f aca="false">J973/151</f>
        <v>0.615894039735099</v>
      </c>
      <c r="L973" s="25" t="n">
        <f aca="false">MIN(INDEX('Move Reality'!$F$5:$F$19,MATCH(B973,'Move Reality'!$A$5:$A$19,0)),INDEX('Move Reality'!$F$5:$F$19,MATCH(C973,'Move Reality'!$A$5:$A$19,0)),INDEX('Move Reality'!$F$5:$F$19,MATCH(D973,'Move Reality'!$A$5:$A$19,0)),INDEX('Move Reality'!$F$5:$F$19,MATCH(E973,'Move Reality'!$A$5:$A$19,0)))</f>
        <v>2</v>
      </c>
      <c r="M973" s="28" t="str">
        <f aca="false">IF(L973&gt;=5,"YES","no - dead move")</f>
        <v>no - dead move</v>
      </c>
    </row>
    <row r="974" customFormat="false" ht="15" hidden="false" customHeight="false" outlineLevel="0" collapsed="false">
      <c r="A974" s="17" t="n">
        <v>970</v>
      </c>
      <c r="B974" s="17" t="s">
        <v>41</v>
      </c>
      <c r="C974" s="17" t="s">
        <v>43</v>
      </c>
      <c r="D974" s="17" t="s">
        <v>49</v>
      </c>
      <c r="E974" s="17" t="s">
        <v>50</v>
      </c>
      <c r="F974" s="25" t="n">
        <f aca="false">SUMPRODUCT(--((('Yellow Bosses'!$I$5:$I$53&gt;=2)+('Yellow Bosses'!$K$5:$K$53&gt;=2)+('Yellow Bosses'!$Q$5:$Q$53&gt;=2)+('Yellow Bosses'!$R$5:$R$53&gt;=2))&gt;0))</f>
        <v>28</v>
      </c>
      <c r="G974" s="26" t="n">
        <f aca="false">F974/49</f>
        <v>0.571428571428571</v>
      </c>
      <c r="H974" s="25" t="n">
        <f aca="false">49-SUMPRODUCT(--((('Yellow Bosses'!$I$5:$I$53&gt;=1)+('Yellow Bosses'!$K$5:$K$53&gt;=1)+('Yellow Bosses'!$Q$5:$Q$53&gt;=1)+('Yellow Bosses'!$R$5:$R$53&gt;=1))&gt;0))</f>
        <v>0</v>
      </c>
      <c r="I974" s="25" t="n">
        <f aca="false">SUMPRODUCT(--((('Yellow Bosses'!$I$5:$I$53&gt;0)+('Yellow Bosses'!$K$5:$K$53&gt;0)+('Yellow Bosses'!$Q$5:$Q$53&gt;0)+('Yellow Bosses'!$R$5:$R$53&gt;0))=0))</f>
        <v>0</v>
      </c>
      <c r="J974" s="25" t="n">
        <f aca="false">SUMPRODUCT(--(((Effectiveness!$F$5:$F$155&gt;=2)+(Effectiveness!$H$5:$H$155&gt;=2)+(Effectiveness!$N$5:$N$155&gt;=2)+(Effectiveness!$O$5:$O$155&gt;=2))&gt;0))</f>
        <v>93</v>
      </c>
      <c r="K974" s="26" t="n">
        <f aca="false">J974/151</f>
        <v>0.615894039735099</v>
      </c>
      <c r="L974" s="25" t="n">
        <f aca="false">MIN(INDEX('Move Reality'!$F$5:$F$19,MATCH(B974,'Move Reality'!$A$5:$A$19,0)),INDEX('Move Reality'!$F$5:$F$19,MATCH(C974,'Move Reality'!$A$5:$A$19,0)),INDEX('Move Reality'!$F$5:$F$19,MATCH(D974,'Move Reality'!$A$5:$A$19,0)),INDEX('Move Reality'!$F$5:$F$19,MATCH(E974,'Move Reality'!$A$5:$A$19,0)))</f>
        <v>5</v>
      </c>
      <c r="M974" s="28" t="str">
        <f aca="false">IF(L974&gt;=5,"YES","no - dead move")</f>
        <v>YES</v>
      </c>
    </row>
    <row r="975" customFormat="false" ht="15" hidden="false" customHeight="false" outlineLevel="0" collapsed="false">
      <c r="A975" s="17" t="n">
        <v>971</v>
      </c>
      <c r="B975" s="17" t="s">
        <v>41</v>
      </c>
      <c r="C975" s="17" t="s">
        <v>43</v>
      </c>
      <c r="D975" s="17" t="s">
        <v>50</v>
      </c>
      <c r="E975" s="17" t="s">
        <v>53</v>
      </c>
      <c r="F975" s="25" t="n">
        <f aca="false">SUMPRODUCT(--((('Yellow Bosses'!$I$5:$I$53&gt;=2)+('Yellow Bosses'!$K$5:$K$53&gt;=2)+('Yellow Bosses'!$R$5:$R$53&gt;=2)+('Yellow Bosses'!$U$5:$U$53&gt;=2))&gt;0))</f>
        <v>28</v>
      </c>
      <c r="G975" s="26" t="n">
        <f aca="false">F975/49</f>
        <v>0.571428571428571</v>
      </c>
      <c r="H975" s="25" t="n">
        <f aca="false">49-SUMPRODUCT(--((('Yellow Bosses'!$I$5:$I$53&gt;=1)+('Yellow Bosses'!$K$5:$K$53&gt;=1)+('Yellow Bosses'!$R$5:$R$53&gt;=1)+('Yellow Bosses'!$U$5:$U$53&gt;=1))&gt;0))</f>
        <v>0</v>
      </c>
      <c r="I975" s="25" t="n">
        <f aca="false">SUMPRODUCT(--((('Yellow Bosses'!$I$5:$I$53&gt;0)+('Yellow Bosses'!$K$5:$K$53&gt;0)+('Yellow Bosses'!$R$5:$R$53&gt;0)+('Yellow Bosses'!$U$5:$U$53&gt;0))=0))</f>
        <v>0</v>
      </c>
      <c r="J975" s="25" t="n">
        <f aca="false">SUMPRODUCT(--(((Effectiveness!$F$5:$F$155&gt;=2)+(Effectiveness!$H$5:$H$155&gt;=2)+(Effectiveness!$O$5:$O$155&gt;=2)+(Effectiveness!$R$5:$R$155&gt;=2))&gt;0))</f>
        <v>93</v>
      </c>
      <c r="K975" s="26" t="n">
        <f aca="false">J975/151</f>
        <v>0.615894039735099</v>
      </c>
      <c r="L975" s="25" t="n">
        <f aca="false">MIN(INDEX('Move Reality'!$F$5:$F$19,MATCH(B975,'Move Reality'!$A$5:$A$19,0)),INDEX('Move Reality'!$F$5:$F$19,MATCH(C975,'Move Reality'!$A$5:$A$19,0)),INDEX('Move Reality'!$F$5:$F$19,MATCH(D975,'Move Reality'!$A$5:$A$19,0)),INDEX('Move Reality'!$F$5:$F$19,MATCH(E975,'Move Reality'!$A$5:$A$19,0)))</f>
        <v>1</v>
      </c>
      <c r="M975" s="28" t="str">
        <f aca="false">IF(L975&gt;=5,"YES","no - dead move")</f>
        <v>no - dead move</v>
      </c>
    </row>
    <row r="976" customFormat="false" ht="15" hidden="false" customHeight="false" outlineLevel="0" collapsed="false">
      <c r="A976" s="17" t="n">
        <v>972</v>
      </c>
      <c r="B976" s="17" t="s">
        <v>40</v>
      </c>
      <c r="C976" s="17" t="s">
        <v>43</v>
      </c>
      <c r="D976" s="17" t="s">
        <v>44</v>
      </c>
      <c r="E976" s="17" t="s">
        <v>49</v>
      </c>
      <c r="F976" s="25" t="n">
        <f aca="false">SUMPRODUCT(--((('Yellow Bosses'!$H$5:$H$53&gt;=2)+('Yellow Bosses'!$K$5:$K$53&gt;=2)+('Yellow Bosses'!$L$5:$L$53&gt;=2)+('Yellow Bosses'!$Q$5:$Q$53&gt;=2))&gt;0))</f>
        <v>28</v>
      </c>
      <c r="G976" s="26" t="n">
        <f aca="false">F976/49</f>
        <v>0.571428571428571</v>
      </c>
      <c r="H976" s="25" t="n">
        <f aca="false">49-SUMPRODUCT(--((('Yellow Bosses'!$H$5:$H$53&gt;=1)+('Yellow Bosses'!$K$5:$K$53&gt;=1)+('Yellow Bosses'!$L$5:$L$53&gt;=1)+('Yellow Bosses'!$Q$5:$Q$53&gt;=1))&gt;0))</f>
        <v>0</v>
      </c>
      <c r="I976" s="25" t="n">
        <f aca="false">SUMPRODUCT(--((('Yellow Bosses'!$H$5:$H$53&gt;0)+('Yellow Bosses'!$K$5:$K$53&gt;0)+('Yellow Bosses'!$L$5:$L$53&gt;0)+('Yellow Bosses'!$Q$5:$Q$53&gt;0))=0))</f>
        <v>0</v>
      </c>
      <c r="J976" s="25" t="n">
        <f aca="false">SUMPRODUCT(--(((Effectiveness!$E$5:$E$155&gt;=2)+(Effectiveness!$H$5:$H$155&gt;=2)+(Effectiveness!$I$5:$I$155&gt;=2)+(Effectiveness!$N$5:$N$155&gt;=2))&gt;0))</f>
        <v>89</v>
      </c>
      <c r="K976" s="26" t="n">
        <f aca="false">J976/151</f>
        <v>0.589403973509934</v>
      </c>
      <c r="L976" s="25" t="n">
        <f aca="false">MIN(INDEX('Move Reality'!$F$5:$F$19,MATCH(B976,'Move Reality'!$A$5:$A$19,0)),INDEX('Move Reality'!$F$5:$F$19,MATCH(C976,'Move Reality'!$A$5:$A$19,0)),INDEX('Move Reality'!$F$5:$F$19,MATCH(D976,'Move Reality'!$A$5:$A$19,0)),INDEX('Move Reality'!$F$5:$F$19,MATCH(E976,'Move Reality'!$A$5:$A$19,0)))</f>
        <v>4</v>
      </c>
      <c r="M976" s="28" t="str">
        <f aca="false">IF(L976&gt;=5,"YES","no - dead move")</f>
        <v>no - dead move</v>
      </c>
    </row>
    <row r="977" customFormat="false" ht="15" hidden="false" customHeight="false" outlineLevel="0" collapsed="false">
      <c r="A977" s="17" t="n">
        <v>973</v>
      </c>
      <c r="B977" s="17" t="s">
        <v>43</v>
      </c>
      <c r="C977" s="17" t="s">
        <v>44</v>
      </c>
      <c r="D977" s="17" t="s">
        <v>47</v>
      </c>
      <c r="E977" s="17" t="s">
        <v>49</v>
      </c>
      <c r="F977" s="25" t="n">
        <f aca="false">SUMPRODUCT(--((('Yellow Bosses'!$K$5:$K$53&gt;=2)+('Yellow Bosses'!$L$5:$L$53&gt;=2)+('Yellow Bosses'!$O$5:$O$53&gt;=2)+('Yellow Bosses'!$Q$5:$Q$53&gt;=2))&gt;0))</f>
        <v>28</v>
      </c>
      <c r="G977" s="26" t="n">
        <f aca="false">F977/49</f>
        <v>0.571428571428571</v>
      </c>
      <c r="H977" s="25" t="n">
        <f aca="false">49-SUMPRODUCT(--((('Yellow Bosses'!$K$5:$K$53&gt;=1)+('Yellow Bosses'!$L$5:$L$53&gt;=1)+('Yellow Bosses'!$O$5:$O$53&gt;=1)+('Yellow Bosses'!$Q$5:$Q$53&gt;=1))&gt;0))</f>
        <v>0</v>
      </c>
      <c r="I977" s="25" t="n">
        <f aca="false">SUMPRODUCT(--((('Yellow Bosses'!$K$5:$K$53&gt;0)+('Yellow Bosses'!$L$5:$L$53&gt;0)+('Yellow Bosses'!$O$5:$O$53&gt;0)+('Yellow Bosses'!$Q$5:$Q$53&gt;0))=0))</f>
        <v>0</v>
      </c>
      <c r="J977" s="25" t="n">
        <f aca="false">SUMPRODUCT(--(((Effectiveness!$H$5:$H$155&gt;=2)+(Effectiveness!$I$5:$I$155&gt;=2)+(Effectiveness!$L$5:$L$155&gt;=2)+(Effectiveness!$N$5:$N$155&gt;=2))&gt;0))</f>
        <v>89</v>
      </c>
      <c r="K977" s="26" t="n">
        <f aca="false">J977/151</f>
        <v>0.589403973509934</v>
      </c>
      <c r="L977" s="25" t="n">
        <f aca="false">MIN(INDEX('Move Reality'!$F$5:$F$19,MATCH(B977,'Move Reality'!$A$5:$A$19,0)),INDEX('Move Reality'!$F$5:$F$19,MATCH(C977,'Move Reality'!$A$5:$A$19,0)),INDEX('Move Reality'!$F$5:$F$19,MATCH(D977,'Move Reality'!$A$5:$A$19,0)),INDEX('Move Reality'!$F$5:$F$19,MATCH(E977,'Move Reality'!$A$5:$A$19,0)))</f>
        <v>2</v>
      </c>
      <c r="M977" s="28" t="str">
        <f aca="false">IF(L977&gt;=5,"YES","no - dead move")</f>
        <v>no - dead move</v>
      </c>
    </row>
    <row r="978" customFormat="false" ht="15" hidden="false" customHeight="false" outlineLevel="0" collapsed="false">
      <c r="A978" s="17" t="n">
        <v>974</v>
      </c>
      <c r="B978" s="17" t="s">
        <v>40</v>
      </c>
      <c r="C978" s="17" t="s">
        <v>43</v>
      </c>
      <c r="D978" s="17" t="s">
        <v>50</v>
      </c>
      <c r="E978" s="17" t="s">
        <v>54</v>
      </c>
      <c r="F978" s="25" t="n">
        <f aca="false">SUMPRODUCT(--((('Yellow Bosses'!$H$5:$H$53&gt;=2)+('Yellow Bosses'!$K$5:$K$53&gt;=2)+('Yellow Bosses'!$R$5:$R$53&gt;=2)+('Yellow Bosses'!$V$5:$V$53&gt;=2))&gt;0))</f>
        <v>28</v>
      </c>
      <c r="G978" s="26" t="n">
        <f aca="false">F978/49</f>
        <v>0.571428571428571</v>
      </c>
      <c r="H978" s="25" t="n">
        <f aca="false">49-SUMPRODUCT(--((('Yellow Bosses'!$H$5:$H$53&gt;=1)+('Yellow Bosses'!$K$5:$K$53&gt;=1)+('Yellow Bosses'!$R$5:$R$53&gt;=1)+('Yellow Bosses'!$V$5:$V$53&gt;=1))&gt;0))</f>
        <v>0</v>
      </c>
      <c r="I978" s="25" t="n">
        <f aca="false">SUMPRODUCT(--((('Yellow Bosses'!$H$5:$H$53&gt;0)+('Yellow Bosses'!$K$5:$K$53&gt;0)+('Yellow Bosses'!$R$5:$R$53&gt;0)+('Yellow Bosses'!$V$5:$V$53&gt;0))=0))</f>
        <v>0</v>
      </c>
      <c r="J978" s="25" t="n">
        <f aca="false">SUMPRODUCT(--(((Effectiveness!$E$5:$E$155&gt;=2)+(Effectiveness!$H$5:$H$155&gt;=2)+(Effectiveness!$O$5:$O$155&gt;=2)+(Effectiveness!$S$5:$S$155&gt;=2))&gt;0))</f>
        <v>87</v>
      </c>
      <c r="K978" s="26" t="n">
        <f aca="false">J978/151</f>
        <v>0.576158940397351</v>
      </c>
      <c r="L978" s="25" t="n">
        <f aca="false">MIN(INDEX('Move Reality'!$F$5:$F$19,MATCH(B978,'Move Reality'!$A$5:$A$19,0)),INDEX('Move Reality'!$F$5:$F$19,MATCH(C978,'Move Reality'!$A$5:$A$19,0)),INDEX('Move Reality'!$F$5:$F$19,MATCH(D978,'Move Reality'!$A$5:$A$19,0)),INDEX('Move Reality'!$F$5:$F$19,MATCH(E978,'Move Reality'!$A$5:$A$19,0)))</f>
        <v>1</v>
      </c>
      <c r="M978" s="28" t="str">
        <f aca="false">IF(L978&gt;=5,"YES","no - dead move")</f>
        <v>no - dead move</v>
      </c>
    </row>
    <row r="979" customFormat="false" ht="15" hidden="false" customHeight="false" outlineLevel="0" collapsed="false">
      <c r="A979" s="17" t="n">
        <v>975</v>
      </c>
      <c r="B979" s="17" t="s">
        <v>40</v>
      </c>
      <c r="C979" s="17" t="s">
        <v>45</v>
      </c>
      <c r="D979" s="17" t="s">
        <v>47</v>
      </c>
      <c r="E979" s="17" t="s">
        <v>48</v>
      </c>
      <c r="F979" s="25" t="n">
        <f aca="false">SUMPRODUCT(--((('Yellow Bosses'!$H$5:$H$53&gt;=2)+('Yellow Bosses'!$M$5:$M$53&gt;=2)+('Yellow Bosses'!$O$5:$O$53&gt;=2)+('Yellow Bosses'!$P$5:$P$53&gt;=2))&gt;0))</f>
        <v>28</v>
      </c>
      <c r="G979" s="26" t="n">
        <f aca="false">F979/49</f>
        <v>0.571428571428571</v>
      </c>
      <c r="H979" s="25" t="n">
        <f aca="false">49-SUMPRODUCT(--((('Yellow Bosses'!$H$5:$H$53&gt;=1)+('Yellow Bosses'!$M$5:$M$53&gt;=1)+('Yellow Bosses'!$O$5:$O$53&gt;=1)+('Yellow Bosses'!$P$5:$P$53&gt;=1))&gt;0))</f>
        <v>0</v>
      </c>
      <c r="I979" s="25" t="n">
        <f aca="false">SUMPRODUCT(--((('Yellow Bosses'!$H$5:$H$53&gt;0)+('Yellow Bosses'!$M$5:$M$53&gt;0)+('Yellow Bosses'!$O$5:$O$53&gt;0)+('Yellow Bosses'!$P$5:$P$53&gt;0))=0))</f>
        <v>0</v>
      </c>
      <c r="J979" s="25" t="n">
        <f aca="false">SUMPRODUCT(--(((Effectiveness!$E$5:$E$155&gt;=2)+(Effectiveness!$J$5:$J$155&gt;=2)+(Effectiveness!$L$5:$L$155&gt;=2)+(Effectiveness!$M$5:$M$155&gt;=2))&gt;0))</f>
        <v>87</v>
      </c>
      <c r="K979" s="26" t="n">
        <f aca="false">J979/151</f>
        <v>0.576158940397351</v>
      </c>
      <c r="L979" s="25" t="n">
        <f aca="false">MIN(INDEX('Move Reality'!$F$5:$F$19,MATCH(B979,'Move Reality'!$A$5:$A$19,0)),INDEX('Move Reality'!$F$5:$F$19,MATCH(C979,'Move Reality'!$A$5:$A$19,0)),INDEX('Move Reality'!$F$5:$F$19,MATCH(D979,'Move Reality'!$A$5:$A$19,0)),INDEX('Move Reality'!$F$5:$F$19,MATCH(E979,'Move Reality'!$A$5:$A$19,0)))</f>
        <v>2</v>
      </c>
      <c r="M979" s="28" t="str">
        <f aca="false">IF(L979&gt;=5,"YES","no - dead move")</f>
        <v>no - dead move</v>
      </c>
    </row>
    <row r="980" customFormat="false" ht="15" hidden="false" customHeight="false" outlineLevel="0" collapsed="false">
      <c r="A980" s="17" t="n">
        <v>976</v>
      </c>
      <c r="B980" s="17" t="s">
        <v>42</v>
      </c>
      <c r="C980" s="17" t="s">
        <v>45</v>
      </c>
      <c r="D980" s="17" t="s">
        <v>47</v>
      </c>
      <c r="E980" s="17" t="s">
        <v>48</v>
      </c>
      <c r="F980" s="25" t="n">
        <f aca="false">SUMPRODUCT(--((('Yellow Bosses'!$J$5:$J$53&gt;=2)+('Yellow Bosses'!$M$5:$M$53&gt;=2)+('Yellow Bosses'!$O$5:$O$53&gt;=2)+('Yellow Bosses'!$P$5:$P$53&gt;=2))&gt;0))</f>
        <v>28</v>
      </c>
      <c r="G980" s="26" t="n">
        <f aca="false">F980/49</f>
        <v>0.571428571428571</v>
      </c>
      <c r="H980" s="25" t="n">
        <f aca="false">49-SUMPRODUCT(--((('Yellow Bosses'!$J$5:$J$53&gt;=1)+('Yellow Bosses'!$M$5:$M$53&gt;=1)+('Yellow Bosses'!$O$5:$O$53&gt;=1)+('Yellow Bosses'!$P$5:$P$53&gt;=1))&gt;0))</f>
        <v>0</v>
      </c>
      <c r="I980" s="25" t="n">
        <f aca="false">SUMPRODUCT(--((('Yellow Bosses'!$J$5:$J$53&gt;0)+('Yellow Bosses'!$M$5:$M$53&gt;0)+('Yellow Bosses'!$O$5:$O$53&gt;0)+('Yellow Bosses'!$P$5:$P$53&gt;0))=0))</f>
        <v>0</v>
      </c>
      <c r="J980" s="25" t="n">
        <f aca="false">SUMPRODUCT(--(((Effectiveness!$G$5:$G$155&gt;=2)+(Effectiveness!$J$5:$J$155&gt;=2)+(Effectiveness!$L$5:$L$155&gt;=2)+(Effectiveness!$M$5:$M$155&gt;=2))&gt;0))</f>
        <v>87</v>
      </c>
      <c r="K980" s="26" t="n">
        <f aca="false">J980/151</f>
        <v>0.576158940397351</v>
      </c>
      <c r="L980" s="25" t="n">
        <f aca="false">MIN(INDEX('Move Reality'!$F$5:$F$19,MATCH(B980,'Move Reality'!$A$5:$A$19,0)),INDEX('Move Reality'!$F$5:$F$19,MATCH(C980,'Move Reality'!$A$5:$A$19,0)),INDEX('Move Reality'!$F$5:$F$19,MATCH(D980,'Move Reality'!$A$5:$A$19,0)),INDEX('Move Reality'!$F$5:$F$19,MATCH(E980,'Move Reality'!$A$5:$A$19,0)))</f>
        <v>2</v>
      </c>
      <c r="M980" s="28" t="str">
        <f aca="false">IF(L980&gt;=5,"YES","no - dead move")</f>
        <v>no - dead move</v>
      </c>
    </row>
    <row r="981" customFormat="false" ht="15" hidden="false" customHeight="false" outlineLevel="0" collapsed="false">
      <c r="A981" s="17" t="n">
        <v>977</v>
      </c>
      <c r="B981" s="17" t="s">
        <v>43</v>
      </c>
      <c r="C981" s="17" t="s">
        <v>50</v>
      </c>
      <c r="D981" s="17" t="s">
        <v>53</v>
      </c>
      <c r="E981" s="17" t="s">
        <v>54</v>
      </c>
      <c r="F981" s="25" t="n">
        <f aca="false">SUMPRODUCT(--((('Yellow Bosses'!$K$5:$K$53&gt;=2)+('Yellow Bosses'!$R$5:$R$53&gt;=2)+('Yellow Bosses'!$U$5:$U$53&gt;=2)+('Yellow Bosses'!$V$5:$V$53&gt;=2))&gt;0))</f>
        <v>28</v>
      </c>
      <c r="G981" s="26" t="n">
        <f aca="false">F981/49</f>
        <v>0.571428571428571</v>
      </c>
      <c r="H981" s="25" t="n">
        <f aca="false">49-SUMPRODUCT(--((('Yellow Bosses'!$K$5:$K$53&gt;=1)+('Yellow Bosses'!$R$5:$R$53&gt;=1)+('Yellow Bosses'!$U$5:$U$53&gt;=1)+('Yellow Bosses'!$V$5:$V$53&gt;=1))&gt;0))</f>
        <v>0</v>
      </c>
      <c r="I981" s="25" t="n">
        <f aca="false">SUMPRODUCT(--((('Yellow Bosses'!$K$5:$K$53&gt;0)+('Yellow Bosses'!$R$5:$R$53&gt;0)+('Yellow Bosses'!$U$5:$U$53&gt;0)+('Yellow Bosses'!$V$5:$V$53&gt;0))=0))</f>
        <v>0</v>
      </c>
      <c r="J981" s="25" t="n">
        <f aca="false">SUMPRODUCT(--(((Effectiveness!$H$5:$H$155&gt;=2)+(Effectiveness!$O$5:$O$155&gt;=2)+(Effectiveness!$R$5:$R$155&gt;=2)+(Effectiveness!$S$5:$S$155&gt;=2))&gt;0))</f>
        <v>87</v>
      </c>
      <c r="K981" s="26" t="n">
        <f aca="false">J981/151</f>
        <v>0.576158940397351</v>
      </c>
      <c r="L981" s="25" t="n">
        <f aca="false">MIN(INDEX('Move Reality'!$F$5:$F$19,MATCH(B981,'Move Reality'!$A$5:$A$19,0)),INDEX('Move Reality'!$F$5:$F$19,MATCH(C981,'Move Reality'!$A$5:$A$19,0)),INDEX('Move Reality'!$F$5:$F$19,MATCH(D981,'Move Reality'!$A$5:$A$19,0)),INDEX('Move Reality'!$F$5:$F$19,MATCH(E981,'Move Reality'!$A$5:$A$19,0)))</f>
        <v>1</v>
      </c>
      <c r="M981" s="28" t="str">
        <f aca="false">IF(L981&gt;=5,"YES","no - dead move")</f>
        <v>no - dead move</v>
      </c>
    </row>
    <row r="982" customFormat="false" ht="15" hidden="false" customHeight="false" outlineLevel="0" collapsed="false">
      <c r="A982" s="17" t="n">
        <v>978</v>
      </c>
      <c r="B982" s="17" t="s">
        <v>45</v>
      </c>
      <c r="C982" s="17" t="s">
        <v>47</v>
      </c>
      <c r="D982" s="17" t="s">
        <v>48</v>
      </c>
      <c r="E982" s="17" t="s">
        <v>53</v>
      </c>
      <c r="F982" s="25" t="n">
        <f aca="false">SUMPRODUCT(--((('Yellow Bosses'!$M$5:$M$53&gt;=2)+('Yellow Bosses'!$O$5:$O$53&gt;=2)+('Yellow Bosses'!$P$5:$P$53&gt;=2)+('Yellow Bosses'!$U$5:$U$53&gt;=2))&gt;0))</f>
        <v>28</v>
      </c>
      <c r="G982" s="26" t="n">
        <f aca="false">F982/49</f>
        <v>0.571428571428571</v>
      </c>
      <c r="H982" s="25" t="n">
        <f aca="false">49-SUMPRODUCT(--((('Yellow Bosses'!$M$5:$M$53&gt;=1)+('Yellow Bosses'!$O$5:$O$53&gt;=1)+('Yellow Bosses'!$P$5:$P$53&gt;=1)+('Yellow Bosses'!$U$5:$U$53&gt;=1))&gt;0))</f>
        <v>0</v>
      </c>
      <c r="I982" s="25" t="n">
        <f aca="false">SUMPRODUCT(--((('Yellow Bosses'!$M$5:$M$53&gt;0)+('Yellow Bosses'!$O$5:$O$53&gt;0)+('Yellow Bosses'!$P$5:$P$53&gt;0)+('Yellow Bosses'!$U$5:$U$53&gt;0))=0))</f>
        <v>0</v>
      </c>
      <c r="J982" s="25" t="n">
        <f aca="false">SUMPRODUCT(--(((Effectiveness!$J$5:$J$155&gt;=2)+(Effectiveness!$L$5:$L$155&gt;=2)+(Effectiveness!$M$5:$M$155&gt;=2)+(Effectiveness!$R$5:$R$155&gt;=2))&gt;0))</f>
        <v>87</v>
      </c>
      <c r="K982" s="26" t="n">
        <f aca="false">J982/151</f>
        <v>0.576158940397351</v>
      </c>
      <c r="L982" s="25" t="n">
        <f aca="false">MIN(INDEX('Move Reality'!$F$5:$F$19,MATCH(B982,'Move Reality'!$A$5:$A$19,0)),INDEX('Move Reality'!$F$5:$F$19,MATCH(C982,'Move Reality'!$A$5:$A$19,0)),INDEX('Move Reality'!$F$5:$F$19,MATCH(D982,'Move Reality'!$A$5:$A$19,0)),INDEX('Move Reality'!$F$5:$F$19,MATCH(E982,'Move Reality'!$A$5:$A$19,0)))</f>
        <v>1</v>
      </c>
      <c r="M982" s="28" t="str">
        <f aca="false">IF(L982&gt;=5,"YES","no - dead move")</f>
        <v>no - dead move</v>
      </c>
    </row>
    <row r="983" customFormat="false" ht="15" hidden="false" customHeight="false" outlineLevel="0" collapsed="false">
      <c r="A983" s="17" t="n">
        <v>979</v>
      </c>
      <c r="B983" s="17" t="s">
        <v>45</v>
      </c>
      <c r="C983" s="17" t="s">
        <v>47</v>
      </c>
      <c r="D983" s="17" t="s">
        <v>48</v>
      </c>
      <c r="E983" s="17" t="s">
        <v>54</v>
      </c>
      <c r="F983" s="25" t="n">
        <f aca="false">SUMPRODUCT(--((('Yellow Bosses'!$M$5:$M$53&gt;=2)+('Yellow Bosses'!$O$5:$O$53&gt;=2)+('Yellow Bosses'!$P$5:$P$53&gt;=2)+('Yellow Bosses'!$V$5:$V$53&gt;=2))&gt;0))</f>
        <v>28</v>
      </c>
      <c r="G983" s="26" t="n">
        <f aca="false">F983/49</f>
        <v>0.571428571428571</v>
      </c>
      <c r="H983" s="25" t="n">
        <f aca="false">49-SUMPRODUCT(--((('Yellow Bosses'!$M$5:$M$53&gt;=1)+('Yellow Bosses'!$O$5:$O$53&gt;=1)+('Yellow Bosses'!$P$5:$P$53&gt;=1)+('Yellow Bosses'!$V$5:$V$53&gt;=1))&gt;0))</f>
        <v>0</v>
      </c>
      <c r="I983" s="25" t="n">
        <f aca="false">SUMPRODUCT(--((('Yellow Bosses'!$M$5:$M$53&gt;0)+('Yellow Bosses'!$O$5:$O$53&gt;0)+('Yellow Bosses'!$P$5:$P$53&gt;0)+('Yellow Bosses'!$V$5:$V$53&gt;0))=0))</f>
        <v>0</v>
      </c>
      <c r="J983" s="25" t="n">
        <f aca="false">SUMPRODUCT(--(((Effectiveness!$J$5:$J$155&gt;=2)+(Effectiveness!$L$5:$L$155&gt;=2)+(Effectiveness!$M$5:$M$155&gt;=2)+(Effectiveness!$S$5:$S$155&gt;=2))&gt;0))</f>
        <v>87</v>
      </c>
      <c r="K983" s="26" t="n">
        <f aca="false">J983/151</f>
        <v>0.576158940397351</v>
      </c>
      <c r="L983" s="25" t="n">
        <f aca="false">MIN(INDEX('Move Reality'!$F$5:$F$19,MATCH(B983,'Move Reality'!$A$5:$A$19,0)),INDEX('Move Reality'!$F$5:$F$19,MATCH(C983,'Move Reality'!$A$5:$A$19,0)),INDEX('Move Reality'!$F$5:$F$19,MATCH(D983,'Move Reality'!$A$5:$A$19,0)),INDEX('Move Reality'!$F$5:$F$19,MATCH(E983,'Move Reality'!$A$5:$A$19,0)))</f>
        <v>1</v>
      </c>
      <c r="M983" s="28" t="str">
        <f aca="false">IF(L983&gt;=5,"YES","no - dead move")</f>
        <v>no - dead move</v>
      </c>
    </row>
    <row r="984" customFormat="false" ht="15" hidden="false" customHeight="false" outlineLevel="0" collapsed="false">
      <c r="A984" s="17" t="n">
        <v>980</v>
      </c>
      <c r="B984" s="17" t="s">
        <v>40</v>
      </c>
      <c r="C984" s="17" t="s">
        <v>44</v>
      </c>
      <c r="D984" s="17" t="s">
        <v>47</v>
      </c>
      <c r="E984" s="17" t="s">
        <v>48</v>
      </c>
      <c r="F984" s="25" t="n">
        <f aca="false">SUMPRODUCT(--((('Yellow Bosses'!$H$5:$H$53&gt;=2)+('Yellow Bosses'!$L$5:$L$53&gt;=2)+('Yellow Bosses'!$O$5:$O$53&gt;=2)+('Yellow Bosses'!$P$5:$P$53&gt;=2))&gt;0))</f>
        <v>28</v>
      </c>
      <c r="G984" s="26" t="n">
        <f aca="false">F984/49</f>
        <v>0.571428571428571</v>
      </c>
      <c r="H984" s="25" t="n">
        <f aca="false">49-SUMPRODUCT(--((('Yellow Bosses'!$H$5:$H$53&gt;=1)+('Yellow Bosses'!$L$5:$L$53&gt;=1)+('Yellow Bosses'!$O$5:$O$53&gt;=1)+('Yellow Bosses'!$P$5:$P$53&gt;=1))&gt;0))</f>
        <v>0</v>
      </c>
      <c r="I984" s="25" t="n">
        <f aca="false">SUMPRODUCT(--((('Yellow Bosses'!$H$5:$H$53&gt;0)+('Yellow Bosses'!$L$5:$L$53&gt;0)+('Yellow Bosses'!$O$5:$O$53&gt;0)+('Yellow Bosses'!$P$5:$P$53&gt;0))=0))</f>
        <v>0</v>
      </c>
      <c r="J984" s="25" t="n">
        <f aca="false">SUMPRODUCT(--(((Effectiveness!$E$5:$E$155&gt;=2)+(Effectiveness!$I$5:$I$155&gt;=2)+(Effectiveness!$L$5:$L$155&gt;=2)+(Effectiveness!$M$5:$M$155&gt;=2))&gt;0))</f>
        <v>86</v>
      </c>
      <c r="K984" s="26" t="n">
        <f aca="false">J984/151</f>
        <v>0.56953642384106</v>
      </c>
      <c r="L984" s="25" t="n">
        <f aca="false">MIN(INDEX('Move Reality'!$F$5:$F$19,MATCH(B984,'Move Reality'!$A$5:$A$19,0)),INDEX('Move Reality'!$F$5:$F$19,MATCH(C984,'Move Reality'!$A$5:$A$19,0)),INDEX('Move Reality'!$F$5:$F$19,MATCH(D984,'Move Reality'!$A$5:$A$19,0)),INDEX('Move Reality'!$F$5:$F$19,MATCH(E984,'Move Reality'!$A$5:$A$19,0)))</f>
        <v>2</v>
      </c>
      <c r="M984" s="28" t="str">
        <f aca="false">IF(L984&gt;=5,"YES","no - dead move")</f>
        <v>no - dead move</v>
      </c>
    </row>
    <row r="985" customFormat="false" ht="15" hidden="false" customHeight="false" outlineLevel="0" collapsed="false">
      <c r="A985" s="17" t="n">
        <v>981</v>
      </c>
      <c r="B985" s="17" t="s">
        <v>44</v>
      </c>
      <c r="C985" s="17" t="s">
        <v>47</v>
      </c>
      <c r="D985" s="17" t="s">
        <v>48</v>
      </c>
      <c r="E985" s="17" t="s">
        <v>53</v>
      </c>
      <c r="F985" s="25" t="n">
        <f aca="false">SUMPRODUCT(--((('Yellow Bosses'!$L$5:$L$53&gt;=2)+('Yellow Bosses'!$O$5:$O$53&gt;=2)+('Yellow Bosses'!$P$5:$P$53&gt;=2)+('Yellow Bosses'!$U$5:$U$53&gt;=2))&gt;0))</f>
        <v>28</v>
      </c>
      <c r="G985" s="26" t="n">
        <f aca="false">F985/49</f>
        <v>0.571428571428571</v>
      </c>
      <c r="H985" s="25" t="n">
        <f aca="false">49-SUMPRODUCT(--((('Yellow Bosses'!$L$5:$L$53&gt;=1)+('Yellow Bosses'!$O$5:$O$53&gt;=1)+('Yellow Bosses'!$P$5:$P$53&gt;=1)+('Yellow Bosses'!$U$5:$U$53&gt;=1))&gt;0))</f>
        <v>0</v>
      </c>
      <c r="I985" s="25" t="n">
        <f aca="false">SUMPRODUCT(--((('Yellow Bosses'!$L$5:$L$53&gt;0)+('Yellow Bosses'!$O$5:$O$53&gt;0)+('Yellow Bosses'!$P$5:$P$53&gt;0)+('Yellow Bosses'!$U$5:$U$53&gt;0))=0))</f>
        <v>0</v>
      </c>
      <c r="J985" s="25" t="n">
        <f aca="false">SUMPRODUCT(--(((Effectiveness!$I$5:$I$155&gt;=2)+(Effectiveness!$L$5:$L$155&gt;=2)+(Effectiveness!$M$5:$M$155&gt;=2)+(Effectiveness!$R$5:$R$155&gt;=2))&gt;0))</f>
        <v>86</v>
      </c>
      <c r="K985" s="26" t="n">
        <f aca="false">J985/151</f>
        <v>0.56953642384106</v>
      </c>
      <c r="L985" s="25" t="n">
        <f aca="false">MIN(INDEX('Move Reality'!$F$5:$F$19,MATCH(B985,'Move Reality'!$A$5:$A$19,0)),INDEX('Move Reality'!$F$5:$F$19,MATCH(C985,'Move Reality'!$A$5:$A$19,0)),INDEX('Move Reality'!$F$5:$F$19,MATCH(D985,'Move Reality'!$A$5:$A$19,0)),INDEX('Move Reality'!$F$5:$F$19,MATCH(E985,'Move Reality'!$A$5:$A$19,0)))</f>
        <v>1</v>
      </c>
      <c r="M985" s="28" t="str">
        <f aca="false">IF(L985&gt;=5,"YES","no - dead move")</f>
        <v>no - dead move</v>
      </c>
    </row>
    <row r="986" customFormat="false" ht="15" hidden="false" customHeight="false" outlineLevel="0" collapsed="false">
      <c r="A986" s="17" t="n">
        <v>982</v>
      </c>
      <c r="B986" s="17" t="s">
        <v>40</v>
      </c>
      <c r="C986" s="17" t="s">
        <v>42</v>
      </c>
      <c r="D986" s="17" t="s">
        <v>45</v>
      </c>
      <c r="E986" s="17" t="s">
        <v>48</v>
      </c>
      <c r="F986" s="25" t="n">
        <f aca="false">SUMPRODUCT(--((('Yellow Bosses'!$H$5:$H$53&gt;=2)+('Yellow Bosses'!$J$5:$J$53&gt;=2)+('Yellow Bosses'!$M$5:$M$53&gt;=2)+('Yellow Bosses'!$P$5:$P$53&gt;=2))&gt;0))</f>
        <v>28</v>
      </c>
      <c r="G986" s="26" t="n">
        <f aca="false">F986/49</f>
        <v>0.571428571428571</v>
      </c>
      <c r="H986" s="25" t="n">
        <f aca="false">49-SUMPRODUCT(--((('Yellow Bosses'!$H$5:$H$53&gt;=1)+('Yellow Bosses'!$J$5:$J$53&gt;=1)+('Yellow Bosses'!$M$5:$M$53&gt;=1)+('Yellow Bosses'!$P$5:$P$53&gt;=1))&gt;0))</f>
        <v>0</v>
      </c>
      <c r="I986" s="25" t="n">
        <f aca="false">SUMPRODUCT(--((('Yellow Bosses'!$H$5:$H$53&gt;0)+('Yellow Bosses'!$J$5:$J$53&gt;0)+('Yellow Bosses'!$M$5:$M$53&gt;0)+('Yellow Bosses'!$P$5:$P$53&gt;0))=0))</f>
        <v>0</v>
      </c>
      <c r="J986" s="25" t="n">
        <f aca="false">SUMPRODUCT(--(((Effectiveness!$E$5:$E$155&gt;=2)+(Effectiveness!$G$5:$G$155&gt;=2)+(Effectiveness!$J$5:$J$155&gt;=2)+(Effectiveness!$M$5:$M$155&gt;=2))&gt;0))</f>
        <v>84</v>
      </c>
      <c r="K986" s="26" t="n">
        <f aca="false">J986/151</f>
        <v>0.556291390728477</v>
      </c>
      <c r="L986" s="25" t="n">
        <f aca="false">MIN(INDEX('Move Reality'!$F$5:$F$19,MATCH(B986,'Move Reality'!$A$5:$A$19,0)),INDEX('Move Reality'!$F$5:$F$19,MATCH(C986,'Move Reality'!$A$5:$A$19,0)),INDEX('Move Reality'!$F$5:$F$19,MATCH(D986,'Move Reality'!$A$5:$A$19,0)),INDEX('Move Reality'!$F$5:$F$19,MATCH(E986,'Move Reality'!$A$5:$A$19,0)))</f>
        <v>9</v>
      </c>
      <c r="M986" s="28" t="str">
        <f aca="false">IF(L986&gt;=5,"YES","no - dead move")</f>
        <v>YES</v>
      </c>
    </row>
    <row r="987" customFormat="false" ht="15" hidden="false" customHeight="false" outlineLevel="0" collapsed="false">
      <c r="A987" s="17" t="n">
        <v>983</v>
      </c>
      <c r="B987" s="17" t="s">
        <v>40</v>
      </c>
      <c r="C987" s="17" t="s">
        <v>45</v>
      </c>
      <c r="D987" s="17" t="s">
        <v>48</v>
      </c>
      <c r="E987" s="17" t="s">
        <v>53</v>
      </c>
      <c r="F987" s="25" t="n">
        <f aca="false">SUMPRODUCT(--((('Yellow Bosses'!$H$5:$H$53&gt;=2)+('Yellow Bosses'!$M$5:$M$53&gt;=2)+('Yellow Bosses'!$P$5:$P$53&gt;=2)+('Yellow Bosses'!$U$5:$U$53&gt;=2))&gt;0))</f>
        <v>28</v>
      </c>
      <c r="G987" s="26" t="n">
        <f aca="false">F987/49</f>
        <v>0.571428571428571</v>
      </c>
      <c r="H987" s="25" t="n">
        <f aca="false">49-SUMPRODUCT(--((('Yellow Bosses'!$H$5:$H$53&gt;=1)+('Yellow Bosses'!$M$5:$M$53&gt;=1)+('Yellow Bosses'!$P$5:$P$53&gt;=1)+('Yellow Bosses'!$U$5:$U$53&gt;=1))&gt;0))</f>
        <v>0</v>
      </c>
      <c r="I987" s="25" t="n">
        <f aca="false">SUMPRODUCT(--((('Yellow Bosses'!$H$5:$H$53&gt;0)+('Yellow Bosses'!$M$5:$M$53&gt;0)+('Yellow Bosses'!$P$5:$P$53&gt;0)+('Yellow Bosses'!$U$5:$U$53&gt;0))=0))</f>
        <v>0</v>
      </c>
      <c r="J987" s="25" t="n">
        <f aca="false">SUMPRODUCT(--(((Effectiveness!$E$5:$E$155&gt;=2)+(Effectiveness!$J$5:$J$155&gt;=2)+(Effectiveness!$M$5:$M$155&gt;=2)+(Effectiveness!$R$5:$R$155&gt;=2))&gt;0))</f>
        <v>84</v>
      </c>
      <c r="K987" s="26" t="n">
        <f aca="false">J987/151</f>
        <v>0.556291390728477</v>
      </c>
      <c r="L987" s="25" t="n">
        <f aca="false">MIN(INDEX('Move Reality'!$F$5:$F$19,MATCH(B987,'Move Reality'!$A$5:$A$19,0)),INDEX('Move Reality'!$F$5:$F$19,MATCH(C987,'Move Reality'!$A$5:$A$19,0)),INDEX('Move Reality'!$F$5:$F$19,MATCH(D987,'Move Reality'!$A$5:$A$19,0)),INDEX('Move Reality'!$F$5:$F$19,MATCH(E987,'Move Reality'!$A$5:$A$19,0)))</f>
        <v>1</v>
      </c>
      <c r="M987" s="28" t="str">
        <f aca="false">IF(L987&gt;=5,"YES","no - dead move")</f>
        <v>no - dead move</v>
      </c>
    </row>
    <row r="988" customFormat="false" ht="15" hidden="false" customHeight="false" outlineLevel="0" collapsed="false">
      <c r="A988" s="17" t="n">
        <v>984</v>
      </c>
      <c r="B988" s="17" t="s">
        <v>40</v>
      </c>
      <c r="C988" s="17" t="s">
        <v>45</v>
      </c>
      <c r="D988" s="17" t="s">
        <v>48</v>
      </c>
      <c r="E988" s="17" t="s">
        <v>54</v>
      </c>
      <c r="F988" s="25" t="n">
        <f aca="false">SUMPRODUCT(--((('Yellow Bosses'!$H$5:$H$53&gt;=2)+('Yellow Bosses'!$M$5:$M$53&gt;=2)+('Yellow Bosses'!$P$5:$P$53&gt;=2)+('Yellow Bosses'!$V$5:$V$53&gt;=2))&gt;0))</f>
        <v>28</v>
      </c>
      <c r="G988" s="26" t="n">
        <f aca="false">F988/49</f>
        <v>0.571428571428571</v>
      </c>
      <c r="H988" s="25" t="n">
        <f aca="false">49-SUMPRODUCT(--((('Yellow Bosses'!$H$5:$H$53&gt;=1)+('Yellow Bosses'!$M$5:$M$53&gt;=1)+('Yellow Bosses'!$P$5:$P$53&gt;=1)+('Yellow Bosses'!$V$5:$V$53&gt;=1))&gt;0))</f>
        <v>0</v>
      </c>
      <c r="I988" s="25" t="n">
        <f aca="false">SUMPRODUCT(--((('Yellow Bosses'!$H$5:$H$53&gt;0)+('Yellow Bosses'!$M$5:$M$53&gt;0)+('Yellow Bosses'!$P$5:$P$53&gt;0)+('Yellow Bosses'!$V$5:$V$53&gt;0))=0))</f>
        <v>0</v>
      </c>
      <c r="J988" s="25" t="n">
        <f aca="false">SUMPRODUCT(--(((Effectiveness!$E$5:$E$155&gt;=2)+(Effectiveness!$J$5:$J$155&gt;=2)+(Effectiveness!$M$5:$M$155&gt;=2)+(Effectiveness!$S$5:$S$155&gt;=2))&gt;0))</f>
        <v>84</v>
      </c>
      <c r="K988" s="26" t="n">
        <f aca="false">J988/151</f>
        <v>0.556291390728477</v>
      </c>
      <c r="L988" s="25" t="n">
        <f aca="false">MIN(INDEX('Move Reality'!$F$5:$F$19,MATCH(B988,'Move Reality'!$A$5:$A$19,0)),INDEX('Move Reality'!$F$5:$F$19,MATCH(C988,'Move Reality'!$A$5:$A$19,0)),INDEX('Move Reality'!$F$5:$F$19,MATCH(D988,'Move Reality'!$A$5:$A$19,0)),INDEX('Move Reality'!$F$5:$F$19,MATCH(E988,'Move Reality'!$A$5:$A$19,0)))</f>
        <v>1</v>
      </c>
      <c r="M988" s="28" t="str">
        <f aca="false">IF(L988&gt;=5,"YES","no - dead move")</f>
        <v>no - dead move</v>
      </c>
    </row>
    <row r="989" customFormat="false" ht="15" hidden="false" customHeight="false" outlineLevel="0" collapsed="false">
      <c r="A989" s="17" t="n">
        <v>985</v>
      </c>
      <c r="B989" s="17" t="s">
        <v>42</v>
      </c>
      <c r="C989" s="17" t="s">
        <v>45</v>
      </c>
      <c r="D989" s="17" t="s">
        <v>48</v>
      </c>
      <c r="E989" s="17" t="s">
        <v>53</v>
      </c>
      <c r="F989" s="25" t="n">
        <f aca="false">SUMPRODUCT(--((('Yellow Bosses'!$J$5:$J$53&gt;=2)+('Yellow Bosses'!$M$5:$M$53&gt;=2)+('Yellow Bosses'!$P$5:$P$53&gt;=2)+('Yellow Bosses'!$U$5:$U$53&gt;=2))&gt;0))</f>
        <v>28</v>
      </c>
      <c r="G989" s="26" t="n">
        <f aca="false">F989/49</f>
        <v>0.571428571428571</v>
      </c>
      <c r="H989" s="25" t="n">
        <f aca="false">49-SUMPRODUCT(--((('Yellow Bosses'!$J$5:$J$53&gt;=1)+('Yellow Bosses'!$M$5:$M$53&gt;=1)+('Yellow Bosses'!$P$5:$P$53&gt;=1)+('Yellow Bosses'!$U$5:$U$53&gt;=1))&gt;0))</f>
        <v>0</v>
      </c>
      <c r="I989" s="25" t="n">
        <f aca="false">SUMPRODUCT(--((('Yellow Bosses'!$J$5:$J$53&gt;0)+('Yellow Bosses'!$M$5:$M$53&gt;0)+('Yellow Bosses'!$P$5:$P$53&gt;0)+('Yellow Bosses'!$U$5:$U$53&gt;0))=0))</f>
        <v>0</v>
      </c>
      <c r="J989" s="25" t="n">
        <f aca="false">SUMPRODUCT(--(((Effectiveness!$G$5:$G$155&gt;=2)+(Effectiveness!$J$5:$J$155&gt;=2)+(Effectiveness!$M$5:$M$155&gt;=2)+(Effectiveness!$R$5:$R$155&gt;=2))&gt;0))</f>
        <v>84</v>
      </c>
      <c r="K989" s="26" t="n">
        <f aca="false">J989/151</f>
        <v>0.556291390728477</v>
      </c>
      <c r="L989" s="25" t="n">
        <f aca="false">MIN(INDEX('Move Reality'!$F$5:$F$19,MATCH(B989,'Move Reality'!$A$5:$A$19,0)),INDEX('Move Reality'!$F$5:$F$19,MATCH(C989,'Move Reality'!$A$5:$A$19,0)),INDEX('Move Reality'!$F$5:$F$19,MATCH(D989,'Move Reality'!$A$5:$A$19,0)),INDEX('Move Reality'!$F$5:$F$19,MATCH(E989,'Move Reality'!$A$5:$A$19,0)))</f>
        <v>1</v>
      </c>
      <c r="M989" s="28" t="str">
        <f aca="false">IF(L989&gt;=5,"YES","no - dead move")</f>
        <v>no - dead move</v>
      </c>
    </row>
    <row r="990" customFormat="false" ht="15" hidden="false" customHeight="false" outlineLevel="0" collapsed="false">
      <c r="A990" s="17" t="n">
        <v>986</v>
      </c>
      <c r="B990" s="17" t="s">
        <v>42</v>
      </c>
      <c r="C990" s="17" t="s">
        <v>45</v>
      </c>
      <c r="D990" s="17" t="s">
        <v>48</v>
      </c>
      <c r="E990" s="17" t="s">
        <v>54</v>
      </c>
      <c r="F990" s="25" t="n">
        <f aca="false">SUMPRODUCT(--((('Yellow Bosses'!$J$5:$J$53&gt;=2)+('Yellow Bosses'!$M$5:$M$53&gt;=2)+('Yellow Bosses'!$P$5:$P$53&gt;=2)+('Yellow Bosses'!$V$5:$V$53&gt;=2))&gt;0))</f>
        <v>28</v>
      </c>
      <c r="G990" s="26" t="n">
        <f aca="false">F990/49</f>
        <v>0.571428571428571</v>
      </c>
      <c r="H990" s="25" t="n">
        <f aca="false">49-SUMPRODUCT(--((('Yellow Bosses'!$J$5:$J$53&gt;=1)+('Yellow Bosses'!$M$5:$M$53&gt;=1)+('Yellow Bosses'!$P$5:$P$53&gt;=1)+('Yellow Bosses'!$V$5:$V$53&gt;=1))&gt;0))</f>
        <v>0</v>
      </c>
      <c r="I990" s="25" t="n">
        <f aca="false">SUMPRODUCT(--((('Yellow Bosses'!$J$5:$J$53&gt;0)+('Yellow Bosses'!$M$5:$M$53&gt;0)+('Yellow Bosses'!$P$5:$P$53&gt;0)+('Yellow Bosses'!$V$5:$V$53&gt;0))=0))</f>
        <v>0</v>
      </c>
      <c r="J990" s="25" t="n">
        <f aca="false">SUMPRODUCT(--(((Effectiveness!$G$5:$G$155&gt;=2)+(Effectiveness!$J$5:$J$155&gt;=2)+(Effectiveness!$M$5:$M$155&gt;=2)+(Effectiveness!$S$5:$S$155&gt;=2))&gt;0))</f>
        <v>84</v>
      </c>
      <c r="K990" s="26" t="n">
        <f aca="false">J990/151</f>
        <v>0.556291390728477</v>
      </c>
      <c r="L990" s="25" t="n">
        <f aca="false">MIN(INDEX('Move Reality'!$F$5:$F$19,MATCH(B990,'Move Reality'!$A$5:$A$19,0)),INDEX('Move Reality'!$F$5:$F$19,MATCH(C990,'Move Reality'!$A$5:$A$19,0)),INDEX('Move Reality'!$F$5:$F$19,MATCH(D990,'Move Reality'!$A$5:$A$19,0)),INDEX('Move Reality'!$F$5:$F$19,MATCH(E990,'Move Reality'!$A$5:$A$19,0)))</f>
        <v>1</v>
      </c>
      <c r="M990" s="28" t="str">
        <f aca="false">IF(L990&gt;=5,"YES","no - dead move")</f>
        <v>no - dead move</v>
      </c>
    </row>
    <row r="991" customFormat="false" ht="15" hidden="false" customHeight="false" outlineLevel="0" collapsed="false">
      <c r="A991" s="17" t="n">
        <v>987</v>
      </c>
      <c r="B991" s="17" t="s">
        <v>45</v>
      </c>
      <c r="C991" s="17" t="s">
        <v>48</v>
      </c>
      <c r="D991" s="17" t="s">
        <v>53</v>
      </c>
      <c r="E991" s="17" t="s">
        <v>54</v>
      </c>
      <c r="F991" s="25" t="n">
        <f aca="false">SUMPRODUCT(--((('Yellow Bosses'!$M$5:$M$53&gt;=2)+('Yellow Bosses'!$P$5:$P$53&gt;=2)+('Yellow Bosses'!$U$5:$U$53&gt;=2)+('Yellow Bosses'!$V$5:$V$53&gt;=2))&gt;0))</f>
        <v>28</v>
      </c>
      <c r="G991" s="26" t="n">
        <f aca="false">F991/49</f>
        <v>0.571428571428571</v>
      </c>
      <c r="H991" s="25" t="n">
        <f aca="false">49-SUMPRODUCT(--((('Yellow Bosses'!$M$5:$M$53&gt;=1)+('Yellow Bosses'!$P$5:$P$53&gt;=1)+('Yellow Bosses'!$U$5:$U$53&gt;=1)+('Yellow Bosses'!$V$5:$V$53&gt;=1))&gt;0))</f>
        <v>0</v>
      </c>
      <c r="I991" s="25" t="n">
        <f aca="false">SUMPRODUCT(--((('Yellow Bosses'!$M$5:$M$53&gt;0)+('Yellow Bosses'!$P$5:$P$53&gt;0)+('Yellow Bosses'!$U$5:$U$53&gt;0)+('Yellow Bosses'!$V$5:$V$53&gt;0))=0))</f>
        <v>0</v>
      </c>
      <c r="J991" s="25" t="n">
        <f aca="false">SUMPRODUCT(--(((Effectiveness!$J$5:$J$155&gt;=2)+(Effectiveness!$M$5:$M$155&gt;=2)+(Effectiveness!$R$5:$R$155&gt;=2)+(Effectiveness!$S$5:$S$155&gt;=2))&gt;0))</f>
        <v>84</v>
      </c>
      <c r="K991" s="26" t="n">
        <f aca="false">J991/151</f>
        <v>0.556291390728477</v>
      </c>
      <c r="L991" s="25" t="n">
        <f aca="false">MIN(INDEX('Move Reality'!$F$5:$F$19,MATCH(B991,'Move Reality'!$A$5:$A$19,0)),INDEX('Move Reality'!$F$5:$F$19,MATCH(C991,'Move Reality'!$A$5:$A$19,0)),INDEX('Move Reality'!$F$5:$F$19,MATCH(D991,'Move Reality'!$A$5:$A$19,0)),INDEX('Move Reality'!$F$5:$F$19,MATCH(E991,'Move Reality'!$A$5:$A$19,0)))</f>
        <v>1</v>
      </c>
      <c r="M991" s="28" t="str">
        <f aca="false">IF(L991&gt;=5,"YES","no - dead move")</f>
        <v>no - dead move</v>
      </c>
    </row>
    <row r="992" customFormat="false" ht="15" hidden="false" customHeight="false" outlineLevel="0" collapsed="false">
      <c r="A992" s="17" t="n">
        <v>988</v>
      </c>
      <c r="B992" s="17" t="s">
        <v>41</v>
      </c>
      <c r="C992" s="17" t="s">
        <v>46</v>
      </c>
      <c r="D992" s="17" t="s">
        <v>52</v>
      </c>
      <c r="E992" s="17" t="s">
        <v>54</v>
      </c>
      <c r="F992" s="25" t="n">
        <f aca="false">SUMPRODUCT(--((('Yellow Bosses'!$I$5:$I$53&gt;=2)+('Yellow Bosses'!$N$5:$N$53&gt;=2)+('Yellow Bosses'!$T$5:$T$53&gt;=2)+('Yellow Bosses'!$V$5:$V$53&gt;=2))&gt;0))</f>
        <v>28</v>
      </c>
      <c r="G992" s="26" t="n">
        <f aca="false">F992/49</f>
        <v>0.571428571428571</v>
      </c>
      <c r="H992" s="25" t="n">
        <f aca="false">49-SUMPRODUCT(--((('Yellow Bosses'!$I$5:$I$53&gt;=1)+('Yellow Bosses'!$N$5:$N$53&gt;=1)+('Yellow Bosses'!$T$5:$T$53&gt;=1)+('Yellow Bosses'!$V$5:$V$53&gt;=1))&gt;0))</f>
        <v>0</v>
      </c>
      <c r="I992" s="25" t="n">
        <f aca="false">SUMPRODUCT(--((('Yellow Bosses'!$I$5:$I$53&gt;0)+('Yellow Bosses'!$N$5:$N$53&gt;0)+('Yellow Bosses'!$T$5:$T$53&gt;0)+('Yellow Bosses'!$V$5:$V$53&gt;0))=0))</f>
        <v>0</v>
      </c>
      <c r="J992" s="25" t="n">
        <f aca="false">SUMPRODUCT(--(((Effectiveness!$F$5:$F$155&gt;=2)+(Effectiveness!$K$5:$K$155&gt;=2)+(Effectiveness!$Q$5:$Q$155&gt;=2)+(Effectiveness!$S$5:$S$155&gt;=2))&gt;0))</f>
        <v>83</v>
      </c>
      <c r="K992" s="26" t="n">
        <f aca="false">J992/151</f>
        <v>0.549668874172186</v>
      </c>
      <c r="L992" s="25" t="n">
        <f aca="false">MIN(INDEX('Move Reality'!$F$5:$F$19,MATCH(B992,'Move Reality'!$A$5:$A$19,0)),INDEX('Move Reality'!$F$5:$F$19,MATCH(C992,'Move Reality'!$A$5:$A$19,0)),INDEX('Move Reality'!$F$5:$F$19,MATCH(D992,'Move Reality'!$A$5:$A$19,0)),INDEX('Move Reality'!$F$5:$F$19,MATCH(E992,'Move Reality'!$A$5:$A$19,0)))</f>
        <v>1</v>
      </c>
      <c r="M992" s="28" t="str">
        <f aca="false">IF(L992&gt;=5,"YES","no - dead move")</f>
        <v>no - dead move</v>
      </c>
    </row>
    <row r="993" customFormat="false" ht="15" hidden="false" customHeight="false" outlineLevel="0" collapsed="false">
      <c r="A993" s="17" t="n">
        <v>989</v>
      </c>
      <c r="B993" s="17" t="s">
        <v>42</v>
      </c>
      <c r="C993" s="17" t="s">
        <v>43</v>
      </c>
      <c r="D993" s="17" t="s">
        <v>47</v>
      </c>
      <c r="E993" s="17" t="s">
        <v>53</v>
      </c>
      <c r="F993" s="25" t="n">
        <f aca="false">SUMPRODUCT(--((('Yellow Bosses'!$J$5:$J$53&gt;=2)+('Yellow Bosses'!$K$5:$K$53&gt;=2)+('Yellow Bosses'!$O$5:$O$53&gt;=2)+('Yellow Bosses'!$U$5:$U$53&gt;=2))&gt;0))</f>
        <v>28</v>
      </c>
      <c r="G993" s="26" t="n">
        <f aca="false">F993/49</f>
        <v>0.571428571428571</v>
      </c>
      <c r="H993" s="25" t="n">
        <f aca="false">49-SUMPRODUCT(--((('Yellow Bosses'!$J$5:$J$53&gt;=1)+('Yellow Bosses'!$K$5:$K$53&gt;=1)+('Yellow Bosses'!$O$5:$O$53&gt;=1)+('Yellow Bosses'!$U$5:$U$53&gt;=1))&gt;0))</f>
        <v>0</v>
      </c>
      <c r="I993" s="25" t="n">
        <f aca="false">SUMPRODUCT(--((('Yellow Bosses'!$J$5:$J$53&gt;0)+('Yellow Bosses'!$K$5:$K$53&gt;0)+('Yellow Bosses'!$O$5:$O$53&gt;0)+('Yellow Bosses'!$U$5:$U$53&gt;0))=0))</f>
        <v>0</v>
      </c>
      <c r="J993" s="25" t="n">
        <f aca="false">SUMPRODUCT(--(((Effectiveness!$G$5:$G$155&gt;=2)+(Effectiveness!$H$5:$H$155&gt;=2)+(Effectiveness!$L$5:$L$155&gt;=2)+(Effectiveness!$R$5:$R$155&gt;=2))&gt;0))</f>
        <v>83</v>
      </c>
      <c r="K993" s="26" t="n">
        <f aca="false">J993/151</f>
        <v>0.549668874172186</v>
      </c>
      <c r="L993" s="25" t="n">
        <f aca="false">MIN(INDEX('Move Reality'!$F$5:$F$19,MATCH(B993,'Move Reality'!$A$5:$A$19,0)),INDEX('Move Reality'!$F$5:$F$19,MATCH(C993,'Move Reality'!$A$5:$A$19,0)),INDEX('Move Reality'!$F$5:$F$19,MATCH(D993,'Move Reality'!$A$5:$A$19,0)),INDEX('Move Reality'!$F$5:$F$19,MATCH(E993,'Move Reality'!$A$5:$A$19,0)))</f>
        <v>1</v>
      </c>
      <c r="M993" s="28" t="str">
        <f aca="false">IF(L993&gt;=5,"YES","no - dead move")</f>
        <v>no - dead move</v>
      </c>
    </row>
    <row r="994" customFormat="false" ht="15" hidden="false" customHeight="false" outlineLevel="0" collapsed="false">
      <c r="A994" s="17" t="n">
        <v>990</v>
      </c>
      <c r="B994" s="17" t="s">
        <v>42</v>
      </c>
      <c r="C994" s="17" t="s">
        <v>43</v>
      </c>
      <c r="D994" s="17" t="s">
        <v>47</v>
      </c>
      <c r="E994" s="17" t="s">
        <v>54</v>
      </c>
      <c r="F994" s="25" t="n">
        <f aca="false">SUMPRODUCT(--((('Yellow Bosses'!$J$5:$J$53&gt;=2)+('Yellow Bosses'!$K$5:$K$53&gt;=2)+('Yellow Bosses'!$O$5:$O$53&gt;=2)+('Yellow Bosses'!$V$5:$V$53&gt;=2))&gt;0))</f>
        <v>28</v>
      </c>
      <c r="G994" s="26" t="n">
        <f aca="false">F994/49</f>
        <v>0.571428571428571</v>
      </c>
      <c r="H994" s="25" t="n">
        <f aca="false">49-SUMPRODUCT(--((('Yellow Bosses'!$J$5:$J$53&gt;=1)+('Yellow Bosses'!$K$5:$K$53&gt;=1)+('Yellow Bosses'!$O$5:$O$53&gt;=1)+('Yellow Bosses'!$V$5:$V$53&gt;=1))&gt;0))</f>
        <v>0</v>
      </c>
      <c r="I994" s="25" t="n">
        <f aca="false">SUMPRODUCT(--((('Yellow Bosses'!$J$5:$J$53&gt;0)+('Yellow Bosses'!$K$5:$K$53&gt;0)+('Yellow Bosses'!$O$5:$O$53&gt;0)+('Yellow Bosses'!$V$5:$V$53&gt;0))=0))</f>
        <v>0</v>
      </c>
      <c r="J994" s="25" t="n">
        <f aca="false">SUMPRODUCT(--(((Effectiveness!$G$5:$G$155&gt;=2)+(Effectiveness!$H$5:$H$155&gt;=2)+(Effectiveness!$L$5:$L$155&gt;=2)+(Effectiveness!$S$5:$S$155&gt;=2))&gt;0))</f>
        <v>83</v>
      </c>
      <c r="K994" s="26" t="n">
        <f aca="false">J994/151</f>
        <v>0.549668874172186</v>
      </c>
      <c r="L994" s="25" t="n">
        <f aca="false">MIN(INDEX('Move Reality'!$F$5:$F$19,MATCH(B994,'Move Reality'!$A$5:$A$19,0)),INDEX('Move Reality'!$F$5:$F$19,MATCH(C994,'Move Reality'!$A$5:$A$19,0)),INDEX('Move Reality'!$F$5:$F$19,MATCH(D994,'Move Reality'!$A$5:$A$19,0)),INDEX('Move Reality'!$F$5:$F$19,MATCH(E994,'Move Reality'!$A$5:$A$19,0)))</f>
        <v>1</v>
      </c>
      <c r="M994" s="28" t="str">
        <f aca="false">IF(L994&gt;=5,"YES","no - dead move")</f>
        <v>no - dead move</v>
      </c>
    </row>
    <row r="995" customFormat="false" ht="15" hidden="false" customHeight="false" outlineLevel="0" collapsed="false">
      <c r="A995" s="17" t="n">
        <v>991</v>
      </c>
      <c r="B995" s="17" t="s">
        <v>40</v>
      </c>
      <c r="C995" s="17" t="s">
        <v>41</v>
      </c>
      <c r="D995" s="17" t="s">
        <v>46</v>
      </c>
      <c r="E995" s="17" t="s">
        <v>50</v>
      </c>
      <c r="F995" s="25" t="n">
        <f aca="false">SUMPRODUCT(--((('Yellow Bosses'!$H$5:$H$53&gt;=2)+('Yellow Bosses'!$I$5:$I$53&gt;=2)+('Yellow Bosses'!$N$5:$N$53&gt;=2)+('Yellow Bosses'!$R$5:$R$53&gt;=2))&gt;0))</f>
        <v>28</v>
      </c>
      <c r="G995" s="26" t="n">
        <f aca="false">F995/49</f>
        <v>0.571428571428571</v>
      </c>
      <c r="H995" s="25" t="n">
        <f aca="false">49-SUMPRODUCT(--((('Yellow Bosses'!$H$5:$H$53&gt;=1)+('Yellow Bosses'!$I$5:$I$53&gt;=1)+('Yellow Bosses'!$N$5:$N$53&gt;=1)+('Yellow Bosses'!$R$5:$R$53&gt;=1))&gt;0))</f>
        <v>0</v>
      </c>
      <c r="I995" s="25" t="n">
        <f aca="false">SUMPRODUCT(--((('Yellow Bosses'!$H$5:$H$53&gt;0)+('Yellow Bosses'!$I$5:$I$53&gt;0)+('Yellow Bosses'!$N$5:$N$53&gt;0)+('Yellow Bosses'!$R$5:$R$53&gt;0))=0))</f>
        <v>0</v>
      </c>
      <c r="J995" s="25" t="n">
        <f aca="false">SUMPRODUCT(--(((Effectiveness!$E$5:$E$155&gt;=2)+(Effectiveness!$F$5:$F$155&gt;=2)+(Effectiveness!$K$5:$K$155&gt;=2)+(Effectiveness!$O$5:$O$155&gt;=2))&gt;0))</f>
        <v>82</v>
      </c>
      <c r="K995" s="26" t="n">
        <f aca="false">J995/151</f>
        <v>0.543046357615894</v>
      </c>
      <c r="L995" s="25" t="n">
        <f aca="false">MIN(INDEX('Move Reality'!$F$5:$F$19,MATCH(B995,'Move Reality'!$A$5:$A$19,0)),INDEX('Move Reality'!$F$5:$F$19,MATCH(C995,'Move Reality'!$A$5:$A$19,0)),INDEX('Move Reality'!$F$5:$F$19,MATCH(D995,'Move Reality'!$A$5:$A$19,0)),INDEX('Move Reality'!$F$5:$F$19,MATCH(E995,'Move Reality'!$A$5:$A$19,0)))</f>
        <v>5</v>
      </c>
      <c r="M995" s="28" t="str">
        <f aca="false">IF(L995&gt;=5,"YES","no - dead move")</f>
        <v>YES</v>
      </c>
    </row>
    <row r="996" customFormat="false" ht="15" hidden="false" customHeight="false" outlineLevel="0" collapsed="false">
      <c r="A996" s="17" t="n">
        <v>992</v>
      </c>
      <c r="B996" s="17" t="s">
        <v>41</v>
      </c>
      <c r="C996" s="17" t="s">
        <v>46</v>
      </c>
      <c r="D996" s="17" t="s">
        <v>47</v>
      </c>
      <c r="E996" s="17" t="s">
        <v>50</v>
      </c>
      <c r="F996" s="25" t="n">
        <f aca="false">SUMPRODUCT(--((('Yellow Bosses'!$I$5:$I$53&gt;=2)+('Yellow Bosses'!$N$5:$N$53&gt;=2)+('Yellow Bosses'!$O$5:$O$53&gt;=2)+('Yellow Bosses'!$R$5:$R$53&gt;=2))&gt;0))</f>
        <v>28</v>
      </c>
      <c r="G996" s="26" t="n">
        <f aca="false">F996/49</f>
        <v>0.571428571428571</v>
      </c>
      <c r="H996" s="25" t="n">
        <f aca="false">49-SUMPRODUCT(--((('Yellow Bosses'!$I$5:$I$53&gt;=1)+('Yellow Bosses'!$N$5:$N$53&gt;=1)+('Yellow Bosses'!$O$5:$O$53&gt;=1)+('Yellow Bosses'!$R$5:$R$53&gt;=1))&gt;0))</f>
        <v>0</v>
      </c>
      <c r="I996" s="25" t="n">
        <f aca="false">SUMPRODUCT(--((('Yellow Bosses'!$I$5:$I$53&gt;0)+('Yellow Bosses'!$N$5:$N$53&gt;0)+('Yellow Bosses'!$O$5:$O$53&gt;0)+('Yellow Bosses'!$R$5:$R$53&gt;0))=0))</f>
        <v>0</v>
      </c>
      <c r="J996" s="25" t="n">
        <f aca="false">SUMPRODUCT(--(((Effectiveness!$F$5:$F$155&gt;=2)+(Effectiveness!$K$5:$K$155&gt;=2)+(Effectiveness!$L$5:$L$155&gt;=2)+(Effectiveness!$O$5:$O$155&gt;=2))&gt;0))</f>
        <v>82</v>
      </c>
      <c r="K996" s="26" t="n">
        <f aca="false">J996/151</f>
        <v>0.543046357615894</v>
      </c>
      <c r="L996" s="25" t="n">
        <f aca="false">MIN(INDEX('Move Reality'!$F$5:$F$19,MATCH(B996,'Move Reality'!$A$5:$A$19,0)),INDEX('Move Reality'!$F$5:$F$19,MATCH(C996,'Move Reality'!$A$5:$A$19,0)),INDEX('Move Reality'!$F$5:$F$19,MATCH(D996,'Move Reality'!$A$5:$A$19,0)),INDEX('Move Reality'!$F$5:$F$19,MATCH(E996,'Move Reality'!$A$5:$A$19,0)))</f>
        <v>2</v>
      </c>
      <c r="M996" s="28" t="str">
        <f aca="false">IF(L996&gt;=5,"YES","no - dead move")</f>
        <v>no - dead move</v>
      </c>
    </row>
    <row r="997" customFormat="false" ht="15" hidden="false" customHeight="false" outlineLevel="0" collapsed="false">
      <c r="A997" s="17" t="n">
        <v>993</v>
      </c>
      <c r="B997" s="17" t="s">
        <v>41</v>
      </c>
      <c r="C997" s="17" t="s">
        <v>46</v>
      </c>
      <c r="D997" s="17" t="s">
        <v>49</v>
      </c>
      <c r="E997" s="17" t="s">
        <v>50</v>
      </c>
      <c r="F997" s="25" t="n">
        <f aca="false">SUMPRODUCT(--((('Yellow Bosses'!$I$5:$I$53&gt;=2)+('Yellow Bosses'!$N$5:$N$53&gt;=2)+('Yellow Bosses'!$Q$5:$Q$53&gt;=2)+('Yellow Bosses'!$R$5:$R$53&gt;=2))&gt;0))</f>
        <v>28</v>
      </c>
      <c r="G997" s="26" t="n">
        <f aca="false">F997/49</f>
        <v>0.571428571428571</v>
      </c>
      <c r="H997" s="25" t="n">
        <f aca="false">49-SUMPRODUCT(--((('Yellow Bosses'!$I$5:$I$53&gt;=1)+('Yellow Bosses'!$N$5:$N$53&gt;=1)+('Yellow Bosses'!$Q$5:$Q$53&gt;=1)+('Yellow Bosses'!$R$5:$R$53&gt;=1))&gt;0))</f>
        <v>0</v>
      </c>
      <c r="I997" s="25" t="n">
        <f aca="false">SUMPRODUCT(--((('Yellow Bosses'!$I$5:$I$53&gt;0)+('Yellow Bosses'!$N$5:$N$53&gt;0)+('Yellow Bosses'!$Q$5:$Q$53&gt;0)+('Yellow Bosses'!$R$5:$R$53&gt;0))=0))</f>
        <v>0</v>
      </c>
      <c r="J997" s="25" t="n">
        <f aca="false">SUMPRODUCT(--(((Effectiveness!$F$5:$F$155&gt;=2)+(Effectiveness!$K$5:$K$155&gt;=2)+(Effectiveness!$N$5:$N$155&gt;=2)+(Effectiveness!$O$5:$O$155&gt;=2))&gt;0))</f>
        <v>82</v>
      </c>
      <c r="K997" s="26" t="n">
        <f aca="false">J997/151</f>
        <v>0.543046357615894</v>
      </c>
      <c r="L997" s="25" t="n">
        <f aca="false">MIN(INDEX('Move Reality'!$F$5:$F$19,MATCH(B997,'Move Reality'!$A$5:$A$19,0)),INDEX('Move Reality'!$F$5:$F$19,MATCH(C997,'Move Reality'!$A$5:$A$19,0)),INDEX('Move Reality'!$F$5:$F$19,MATCH(D997,'Move Reality'!$A$5:$A$19,0)),INDEX('Move Reality'!$F$5:$F$19,MATCH(E997,'Move Reality'!$A$5:$A$19,0)))</f>
        <v>5</v>
      </c>
      <c r="M997" s="28" t="str">
        <f aca="false">IF(L997&gt;=5,"YES","no - dead move")</f>
        <v>YES</v>
      </c>
    </row>
    <row r="998" customFormat="false" ht="15" hidden="false" customHeight="false" outlineLevel="0" collapsed="false">
      <c r="A998" s="17" t="n">
        <v>994</v>
      </c>
      <c r="B998" s="17" t="s">
        <v>41</v>
      </c>
      <c r="C998" s="17" t="s">
        <v>46</v>
      </c>
      <c r="D998" s="17" t="s">
        <v>50</v>
      </c>
      <c r="E998" s="17" t="s">
        <v>53</v>
      </c>
      <c r="F998" s="25" t="n">
        <f aca="false">SUMPRODUCT(--((('Yellow Bosses'!$I$5:$I$53&gt;=2)+('Yellow Bosses'!$N$5:$N$53&gt;=2)+('Yellow Bosses'!$R$5:$R$53&gt;=2)+('Yellow Bosses'!$U$5:$U$53&gt;=2))&gt;0))</f>
        <v>28</v>
      </c>
      <c r="G998" s="26" t="n">
        <f aca="false">F998/49</f>
        <v>0.571428571428571</v>
      </c>
      <c r="H998" s="25" t="n">
        <f aca="false">49-SUMPRODUCT(--((('Yellow Bosses'!$I$5:$I$53&gt;=1)+('Yellow Bosses'!$N$5:$N$53&gt;=1)+('Yellow Bosses'!$R$5:$R$53&gt;=1)+('Yellow Bosses'!$U$5:$U$53&gt;=1))&gt;0))</f>
        <v>2</v>
      </c>
      <c r="I998" s="25" t="n">
        <f aca="false">SUMPRODUCT(--((('Yellow Bosses'!$I$5:$I$53&gt;0)+('Yellow Bosses'!$N$5:$N$53&gt;0)+('Yellow Bosses'!$R$5:$R$53&gt;0)+('Yellow Bosses'!$U$5:$U$53&gt;0))=0))</f>
        <v>0</v>
      </c>
      <c r="J998" s="25" t="n">
        <f aca="false">SUMPRODUCT(--(((Effectiveness!$F$5:$F$155&gt;=2)+(Effectiveness!$K$5:$K$155&gt;=2)+(Effectiveness!$O$5:$O$155&gt;=2)+(Effectiveness!$R$5:$R$155&gt;=2))&gt;0))</f>
        <v>82</v>
      </c>
      <c r="K998" s="26" t="n">
        <f aca="false">J998/151</f>
        <v>0.543046357615894</v>
      </c>
      <c r="L998" s="25" t="n">
        <f aca="false">MIN(INDEX('Move Reality'!$F$5:$F$19,MATCH(B998,'Move Reality'!$A$5:$A$19,0)),INDEX('Move Reality'!$F$5:$F$19,MATCH(C998,'Move Reality'!$A$5:$A$19,0)),INDEX('Move Reality'!$F$5:$F$19,MATCH(D998,'Move Reality'!$A$5:$A$19,0)),INDEX('Move Reality'!$F$5:$F$19,MATCH(E998,'Move Reality'!$A$5:$A$19,0)))</f>
        <v>1</v>
      </c>
      <c r="M998" s="28" t="str">
        <f aca="false">IF(L998&gt;=5,"YES","no - dead move")</f>
        <v>no - dead move</v>
      </c>
    </row>
    <row r="999" customFormat="false" ht="15" hidden="false" customHeight="false" outlineLevel="0" collapsed="false">
      <c r="A999" s="17" t="n">
        <v>995</v>
      </c>
      <c r="B999" s="17" t="s">
        <v>44</v>
      </c>
      <c r="C999" s="17" t="s">
        <v>45</v>
      </c>
      <c r="D999" s="17" t="s">
        <v>47</v>
      </c>
      <c r="E999" s="17" t="s">
        <v>53</v>
      </c>
      <c r="F999" s="25" t="n">
        <f aca="false">SUMPRODUCT(--((('Yellow Bosses'!$L$5:$L$53&gt;=2)+('Yellow Bosses'!$M$5:$M$53&gt;=2)+('Yellow Bosses'!$O$5:$O$53&gt;=2)+('Yellow Bosses'!$U$5:$U$53&gt;=2))&gt;0))</f>
        <v>28</v>
      </c>
      <c r="G999" s="26" t="n">
        <f aca="false">F999/49</f>
        <v>0.571428571428571</v>
      </c>
      <c r="H999" s="25" t="n">
        <f aca="false">49-SUMPRODUCT(--((('Yellow Bosses'!$L$5:$L$53&gt;=1)+('Yellow Bosses'!$M$5:$M$53&gt;=1)+('Yellow Bosses'!$O$5:$O$53&gt;=1)+('Yellow Bosses'!$U$5:$U$53&gt;=1))&gt;0))</f>
        <v>0</v>
      </c>
      <c r="I999" s="25" t="n">
        <f aca="false">SUMPRODUCT(--((('Yellow Bosses'!$L$5:$L$53&gt;0)+('Yellow Bosses'!$M$5:$M$53&gt;0)+('Yellow Bosses'!$O$5:$O$53&gt;0)+('Yellow Bosses'!$U$5:$U$53&gt;0))=0))</f>
        <v>0</v>
      </c>
      <c r="J999" s="25" t="n">
        <f aca="false">SUMPRODUCT(--(((Effectiveness!$I$5:$I$155&gt;=2)+(Effectiveness!$J$5:$J$155&gt;=2)+(Effectiveness!$L$5:$L$155&gt;=2)+(Effectiveness!$R$5:$R$155&gt;=2))&gt;0))</f>
        <v>82</v>
      </c>
      <c r="K999" s="26" t="n">
        <f aca="false">J999/151</f>
        <v>0.543046357615894</v>
      </c>
      <c r="L999" s="25" t="n">
        <f aca="false">MIN(INDEX('Move Reality'!$F$5:$F$19,MATCH(B999,'Move Reality'!$A$5:$A$19,0)),INDEX('Move Reality'!$F$5:$F$19,MATCH(C999,'Move Reality'!$A$5:$A$19,0)),INDEX('Move Reality'!$F$5:$F$19,MATCH(D999,'Move Reality'!$A$5:$A$19,0)),INDEX('Move Reality'!$F$5:$F$19,MATCH(E999,'Move Reality'!$A$5:$A$19,0)))</f>
        <v>1</v>
      </c>
      <c r="M999" s="28" t="str">
        <f aca="false">IF(L999&gt;=5,"YES","no - dead move")</f>
        <v>no - dead move</v>
      </c>
    </row>
    <row r="1000" customFormat="false" ht="15" hidden="false" customHeight="false" outlineLevel="0" collapsed="false">
      <c r="A1000" s="17" t="n">
        <v>996</v>
      </c>
      <c r="B1000" s="17" t="s">
        <v>42</v>
      </c>
      <c r="C1000" s="17" t="s">
        <v>46</v>
      </c>
      <c r="D1000" s="17" t="s">
        <v>47</v>
      </c>
      <c r="E1000" s="17" t="s">
        <v>52</v>
      </c>
      <c r="F1000" s="25" t="n">
        <f aca="false">SUMPRODUCT(--((('Yellow Bosses'!$J$5:$J$53&gt;=2)+('Yellow Bosses'!$N$5:$N$53&gt;=2)+('Yellow Bosses'!$O$5:$O$53&gt;=2)+('Yellow Bosses'!$T$5:$T$53&gt;=2))&gt;0))</f>
        <v>28</v>
      </c>
      <c r="G1000" s="26" t="n">
        <f aca="false">F1000/49</f>
        <v>0.571428571428571</v>
      </c>
      <c r="H1000" s="25" t="n">
        <f aca="false">49-SUMPRODUCT(--((('Yellow Bosses'!$J$5:$J$53&gt;=1)+('Yellow Bosses'!$N$5:$N$53&gt;=1)+('Yellow Bosses'!$O$5:$O$53&gt;=1)+('Yellow Bosses'!$T$5:$T$53&gt;=1))&gt;0))</f>
        <v>0</v>
      </c>
      <c r="I1000" s="25" t="n">
        <f aca="false">SUMPRODUCT(--((('Yellow Bosses'!$J$5:$J$53&gt;0)+('Yellow Bosses'!$N$5:$N$53&gt;0)+('Yellow Bosses'!$O$5:$O$53&gt;0)+('Yellow Bosses'!$T$5:$T$53&gt;0))=0))</f>
        <v>0</v>
      </c>
      <c r="J1000" s="25" t="n">
        <f aca="false">SUMPRODUCT(--(((Effectiveness!$G$5:$G$155&gt;=2)+(Effectiveness!$K$5:$K$155&gt;=2)+(Effectiveness!$L$5:$L$155&gt;=2)+(Effectiveness!$Q$5:$Q$155&gt;=2))&gt;0))</f>
        <v>80</v>
      </c>
      <c r="K1000" s="26" t="n">
        <f aca="false">J1000/151</f>
        <v>0.529801324503311</v>
      </c>
      <c r="L1000" s="25" t="n">
        <f aca="false">MIN(INDEX('Move Reality'!$F$5:$F$19,MATCH(B1000,'Move Reality'!$A$5:$A$19,0)),INDEX('Move Reality'!$F$5:$F$19,MATCH(C1000,'Move Reality'!$A$5:$A$19,0)),INDEX('Move Reality'!$F$5:$F$19,MATCH(D1000,'Move Reality'!$A$5:$A$19,0)),INDEX('Move Reality'!$F$5:$F$19,MATCH(E1000,'Move Reality'!$A$5:$A$19,0)))</f>
        <v>2</v>
      </c>
      <c r="M1000" s="28" t="str">
        <f aca="false">IF(L1000&gt;=5,"YES","no - dead move")</f>
        <v>no - dead move</v>
      </c>
    </row>
    <row r="1001" customFormat="false" ht="15" hidden="false" customHeight="false" outlineLevel="0" collapsed="false">
      <c r="A1001" s="17" t="n">
        <v>997</v>
      </c>
      <c r="B1001" s="17" t="s">
        <v>40</v>
      </c>
      <c r="C1001" s="17" t="s">
        <v>44</v>
      </c>
      <c r="D1001" s="17" t="s">
        <v>45</v>
      </c>
      <c r="E1001" s="17" t="s">
        <v>53</v>
      </c>
      <c r="F1001" s="25" t="n">
        <f aca="false">SUMPRODUCT(--((('Yellow Bosses'!$H$5:$H$53&gt;=2)+('Yellow Bosses'!$L$5:$L$53&gt;=2)+('Yellow Bosses'!$M$5:$M$53&gt;=2)+('Yellow Bosses'!$U$5:$U$53&gt;=2))&gt;0))</f>
        <v>28</v>
      </c>
      <c r="G1001" s="26" t="n">
        <f aca="false">F1001/49</f>
        <v>0.571428571428571</v>
      </c>
      <c r="H1001" s="25" t="n">
        <f aca="false">49-SUMPRODUCT(--((('Yellow Bosses'!$H$5:$H$53&gt;=1)+('Yellow Bosses'!$L$5:$L$53&gt;=1)+('Yellow Bosses'!$M$5:$M$53&gt;=1)+('Yellow Bosses'!$U$5:$U$53&gt;=1))&gt;0))</f>
        <v>0</v>
      </c>
      <c r="I1001" s="25" t="n">
        <f aca="false">SUMPRODUCT(--((('Yellow Bosses'!$H$5:$H$53&gt;0)+('Yellow Bosses'!$L$5:$L$53&gt;0)+('Yellow Bosses'!$M$5:$M$53&gt;0)+('Yellow Bosses'!$U$5:$U$53&gt;0))=0))</f>
        <v>0</v>
      </c>
      <c r="J1001" s="25" t="n">
        <f aca="false">SUMPRODUCT(--(((Effectiveness!$E$5:$E$155&gt;=2)+(Effectiveness!$I$5:$I$155&gt;=2)+(Effectiveness!$J$5:$J$155&gt;=2)+(Effectiveness!$R$5:$R$155&gt;=2))&gt;0))</f>
        <v>79</v>
      </c>
      <c r="K1001" s="26" t="n">
        <f aca="false">J1001/151</f>
        <v>0.52317880794702</v>
      </c>
      <c r="L1001" s="25" t="n">
        <f aca="false">MIN(INDEX('Move Reality'!$F$5:$F$19,MATCH(B1001,'Move Reality'!$A$5:$A$19,0)),INDEX('Move Reality'!$F$5:$F$19,MATCH(C1001,'Move Reality'!$A$5:$A$19,0)),INDEX('Move Reality'!$F$5:$F$19,MATCH(D1001,'Move Reality'!$A$5:$A$19,0)),INDEX('Move Reality'!$F$5:$F$19,MATCH(E1001,'Move Reality'!$A$5:$A$19,0)))</f>
        <v>1</v>
      </c>
      <c r="M1001" s="28" t="str">
        <f aca="false">IF(L1001&gt;=5,"YES","no - dead move")</f>
        <v>no - dead move</v>
      </c>
    </row>
    <row r="1002" customFormat="false" ht="15" hidden="false" customHeight="false" outlineLevel="0" collapsed="false">
      <c r="A1002" s="17" t="n">
        <v>998</v>
      </c>
      <c r="B1002" s="17" t="s">
        <v>42</v>
      </c>
      <c r="C1002" s="17" t="s">
        <v>46</v>
      </c>
      <c r="D1002" s="17" t="s">
        <v>52</v>
      </c>
      <c r="E1002" s="17" t="s">
        <v>54</v>
      </c>
      <c r="F1002" s="25" t="n">
        <f aca="false">SUMPRODUCT(--((('Yellow Bosses'!$J$5:$J$53&gt;=2)+('Yellow Bosses'!$N$5:$N$53&gt;=2)+('Yellow Bosses'!$T$5:$T$53&gt;=2)+('Yellow Bosses'!$V$5:$V$53&gt;=2))&gt;0))</f>
        <v>28</v>
      </c>
      <c r="G1002" s="26" t="n">
        <f aca="false">F1002/49</f>
        <v>0.571428571428571</v>
      </c>
      <c r="H1002" s="25" t="n">
        <f aca="false">49-SUMPRODUCT(--((('Yellow Bosses'!$J$5:$J$53&gt;=1)+('Yellow Bosses'!$N$5:$N$53&gt;=1)+('Yellow Bosses'!$T$5:$T$53&gt;=1)+('Yellow Bosses'!$V$5:$V$53&gt;=1))&gt;0))</f>
        <v>0</v>
      </c>
      <c r="I1002" s="25" t="n">
        <f aca="false">SUMPRODUCT(--((('Yellow Bosses'!$J$5:$J$53&gt;0)+('Yellow Bosses'!$N$5:$N$53&gt;0)+('Yellow Bosses'!$T$5:$T$53&gt;0)+('Yellow Bosses'!$V$5:$V$53&gt;0))=0))</f>
        <v>0</v>
      </c>
      <c r="J1002" s="25" t="n">
        <f aca="false">SUMPRODUCT(--(((Effectiveness!$G$5:$G$155&gt;=2)+(Effectiveness!$K$5:$K$155&gt;=2)+(Effectiveness!$Q$5:$Q$155&gt;=2)+(Effectiveness!$S$5:$S$155&gt;=2))&gt;0))</f>
        <v>79</v>
      </c>
      <c r="K1002" s="26" t="n">
        <f aca="false">J1002/151</f>
        <v>0.52317880794702</v>
      </c>
      <c r="L1002" s="25" t="n">
        <f aca="false">MIN(INDEX('Move Reality'!$F$5:$F$19,MATCH(B1002,'Move Reality'!$A$5:$A$19,0)),INDEX('Move Reality'!$F$5:$F$19,MATCH(C1002,'Move Reality'!$A$5:$A$19,0)),INDEX('Move Reality'!$F$5:$F$19,MATCH(D1002,'Move Reality'!$A$5:$A$19,0)),INDEX('Move Reality'!$F$5:$F$19,MATCH(E1002,'Move Reality'!$A$5:$A$19,0)))</f>
        <v>1</v>
      </c>
      <c r="M1002" s="28" t="str">
        <f aca="false">IF(L1002&gt;=5,"YES","no - dead move")</f>
        <v>no - dead move</v>
      </c>
    </row>
    <row r="1003" customFormat="false" ht="15" hidden="false" customHeight="false" outlineLevel="0" collapsed="false">
      <c r="A1003" s="17" t="n">
        <v>999</v>
      </c>
      <c r="B1003" s="17" t="s">
        <v>44</v>
      </c>
      <c r="C1003" s="17" t="s">
        <v>45</v>
      </c>
      <c r="D1003" s="17" t="s">
        <v>53</v>
      </c>
      <c r="E1003" s="17" t="s">
        <v>54</v>
      </c>
      <c r="F1003" s="25" t="n">
        <f aca="false">SUMPRODUCT(--((('Yellow Bosses'!$L$5:$L$53&gt;=2)+('Yellow Bosses'!$M$5:$M$53&gt;=2)+('Yellow Bosses'!$U$5:$U$53&gt;=2)+('Yellow Bosses'!$V$5:$V$53&gt;=2))&gt;0))</f>
        <v>28</v>
      </c>
      <c r="G1003" s="26" t="n">
        <f aca="false">F1003/49</f>
        <v>0.571428571428571</v>
      </c>
      <c r="H1003" s="25" t="n">
        <f aca="false">49-SUMPRODUCT(--((('Yellow Bosses'!$L$5:$L$53&gt;=1)+('Yellow Bosses'!$M$5:$M$53&gt;=1)+('Yellow Bosses'!$U$5:$U$53&gt;=1)+('Yellow Bosses'!$V$5:$V$53&gt;=1))&gt;0))</f>
        <v>0</v>
      </c>
      <c r="I1003" s="25" t="n">
        <f aca="false">SUMPRODUCT(--((('Yellow Bosses'!$L$5:$L$53&gt;0)+('Yellow Bosses'!$M$5:$M$53&gt;0)+('Yellow Bosses'!$U$5:$U$53&gt;0)+('Yellow Bosses'!$V$5:$V$53&gt;0))=0))</f>
        <v>0</v>
      </c>
      <c r="J1003" s="25" t="n">
        <f aca="false">SUMPRODUCT(--(((Effectiveness!$I$5:$I$155&gt;=2)+(Effectiveness!$J$5:$J$155&gt;=2)+(Effectiveness!$R$5:$R$155&gt;=2)+(Effectiveness!$S$5:$S$155&gt;=2))&gt;0))</f>
        <v>79</v>
      </c>
      <c r="K1003" s="26" t="n">
        <f aca="false">J1003/151</f>
        <v>0.52317880794702</v>
      </c>
      <c r="L1003" s="25" t="n">
        <f aca="false">MIN(INDEX('Move Reality'!$F$5:$F$19,MATCH(B1003,'Move Reality'!$A$5:$A$19,0)),INDEX('Move Reality'!$F$5:$F$19,MATCH(C1003,'Move Reality'!$A$5:$A$19,0)),INDEX('Move Reality'!$F$5:$F$19,MATCH(D1003,'Move Reality'!$A$5:$A$19,0)),INDEX('Move Reality'!$F$5:$F$19,MATCH(E1003,'Move Reality'!$A$5:$A$19,0)))</f>
        <v>1</v>
      </c>
      <c r="M1003" s="28" t="str">
        <f aca="false">IF(L1003&gt;=5,"YES","no - dead move")</f>
        <v>no - dead move</v>
      </c>
    </row>
    <row r="1004" customFormat="false" ht="15" hidden="false" customHeight="false" outlineLevel="0" collapsed="false">
      <c r="A1004" s="17" t="n">
        <v>1000</v>
      </c>
      <c r="B1004" s="17" t="s">
        <v>40</v>
      </c>
      <c r="C1004" s="17" t="s">
        <v>47</v>
      </c>
      <c r="D1004" s="17" t="s">
        <v>48</v>
      </c>
      <c r="E1004" s="17" t="s">
        <v>49</v>
      </c>
      <c r="F1004" s="25" t="n">
        <f aca="false">SUMPRODUCT(--((('Yellow Bosses'!$H$5:$H$53&gt;=2)+('Yellow Bosses'!$O$5:$O$53&gt;=2)+('Yellow Bosses'!$P$5:$P$53&gt;=2)+('Yellow Bosses'!$Q$5:$Q$53&gt;=2))&gt;0))</f>
        <v>28</v>
      </c>
      <c r="G1004" s="26" t="n">
        <f aca="false">F1004/49</f>
        <v>0.571428571428571</v>
      </c>
      <c r="H1004" s="25" t="n">
        <f aca="false">49-SUMPRODUCT(--((('Yellow Bosses'!$H$5:$H$53&gt;=1)+('Yellow Bosses'!$O$5:$O$53&gt;=1)+('Yellow Bosses'!$P$5:$P$53&gt;=1)+('Yellow Bosses'!$Q$5:$Q$53&gt;=1))&gt;0))</f>
        <v>1</v>
      </c>
      <c r="I1004" s="25" t="n">
        <f aca="false">SUMPRODUCT(--((('Yellow Bosses'!$H$5:$H$53&gt;0)+('Yellow Bosses'!$O$5:$O$53&gt;0)+('Yellow Bosses'!$P$5:$P$53&gt;0)+('Yellow Bosses'!$Q$5:$Q$53&gt;0))=0))</f>
        <v>0</v>
      </c>
      <c r="J1004" s="25" t="n">
        <f aca="false">SUMPRODUCT(--(((Effectiveness!$E$5:$E$155&gt;=2)+(Effectiveness!$L$5:$L$155&gt;=2)+(Effectiveness!$M$5:$M$155&gt;=2)+(Effectiveness!$N$5:$N$155&gt;=2))&gt;0))</f>
        <v>77</v>
      </c>
      <c r="K1004" s="26" t="n">
        <f aca="false">J1004/151</f>
        <v>0.509933774834437</v>
      </c>
      <c r="L1004" s="25" t="n">
        <f aca="false">MIN(INDEX('Move Reality'!$F$5:$F$19,MATCH(B1004,'Move Reality'!$A$5:$A$19,0)),INDEX('Move Reality'!$F$5:$F$19,MATCH(C1004,'Move Reality'!$A$5:$A$19,0)),INDEX('Move Reality'!$F$5:$F$19,MATCH(D1004,'Move Reality'!$A$5:$A$19,0)),INDEX('Move Reality'!$F$5:$F$19,MATCH(E1004,'Move Reality'!$A$5:$A$19,0)))</f>
        <v>2</v>
      </c>
      <c r="M1004" s="28" t="str">
        <f aca="false">IF(L1004&gt;=5,"YES","no - dead move")</f>
        <v>no - dead move</v>
      </c>
    </row>
    <row r="1005" customFormat="false" ht="15" hidden="false" customHeight="false" outlineLevel="0" collapsed="false">
      <c r="A1005" s="17" t="n">
        <v>1001</v>
      </c>
      <c r="B1005" s="17" t="s">
        <v>40</v>
      </c>
      <c r="C1005" s="17" t="s">
        <v>48</v>
      </c>
      <c r="D1005" s="17" t="s">
        <v>49</v>
      </c>
      <c r="E1005" s="17" t="s">
        <v>53</v>
      </c>
      <c r="F1005" s="25" t="n">
        <f aca="false">SUMPRODUCT(--((('Yellow Bosses'!$H$5:$H$53&gt;=2)+('Yellow Bosses'!$P$5:$P$53&gt;=2)+('Yellow Bosses'!$Q$5:$Q$53&gt;=2)+('Yellow Bosses'!$U$5:$U$53&gt;=2))&gt;0))</f>
        <v>28</v>
      </c>
      <c r="G1005" s="26" t="n">
        <f aca="false">F1005/49</f>
        <v>0.571428571428571</v>
      </c>
      <c r="H1005" s="25" t="n">
        <f aca="false">49-SUMPRODUCT(--((('Yellow Bosses'!$H$5:$H$53&gt;=1)+('Yellow Bosses'!$P$5:$P$53&gt;=1)+('Yellow Bosses'!$Q$5:$Q$53&gt;=1)+('Yellow Bosses'!$U$5:$U$53&gt;=1))&gt;0))</f>
        <v>0</v>
      </c>
      <c r="I1005" s="25" t="n">
        <f aca="false">SUMPRODUCT(--((('Yellow Bosses'!$H$5:$H$53&gt;0)+('Yellow Bosses'!$P$5:$P$53&gt;0)+('Yellow Bosses'!$Q$5:$Q$53&gt;0)+('Yellow Bosses'!$U$5:$U$53&gt;0))=0))</f>
        <v>0</v>
      </c>
      <c r="J1005" s="25" t="n">
        <f aca="false">SUMPRODUCT(--(((Effectiveness!$E$5:$E$155&gt;=2)+(Effectiveness!$M$5:$M$155&gt;=2)+(Effectiveness!$N$5:$N$155&gt;=2)+(Effectiveness!$R$5:$R$155&gt;=2))&gt;0))</f>
        <v>77</v>
      </c>
      <c r="K1005" s="26" t="n">
        <f aca="false">J1005/151</f>
        <v>0.509933774834437</v>
      </c>
      <c r="L1005" s="25" t="n">
        <f aca="false">MIN(INDEX('Move Reality'!$F$5:$F$19,MATCH(B1005,'Move Reality'!$A$5:$A$19,0)),INDEX('Move Reality'!$F$5:$F$19,MATCH(C1005,'Move Reality'!$A$5:$A$19,0)),INDEX('Move Reality'!$F$5:$F$19,MATCH(D1005,'Move Reality'!$A$5:$A$19,0)),INDEX('Move Reality'!$F$5:$F$19,MATCH(E1005,'Move Reality'!$A$5:$A$19,0)))</f>
        <v>1</v>
      </c>
      <c r="M1005" s="28" t="str">
        <f aca="false">IF(L1005&gt;=5,"YES","no - dead move")</f>
        <v>no - dead move</v>
      </c>
    </row>
    <row r="1006" customFormat="false" ht="15" hidden="false" customHeight="false" outlineLevel="0" collapsed="false">
      <c r="A1006" s="17" t="n">
        <v>1002</v>
      </c>
      <c r="B1006" s="17" t="s">
        <v>47</v>
      </c>
      <c r="C1006" s="17" t="s">
        <v>48</v>
      </c>
      <c r="D1006" s="17" t="s">
        <v>49</v>
      </c>
      <c r="E1006" s="17" t="s">
        <v>53</v>
      </c>
      <c r="F1006" s="25" t="n">
        <f aca="false">SUMPRODUCT(--((('Yellow Bosses'!$O$5:$O$53&gt;=2)+('Yellow Bosses'!$P$5:$P$53&gt;=2)+('Yellow Bosses'!$Q$5:$Q$53&gt;=2)+('Yellow Bosses'!$U$5:$U$53&gt;=2))&gt;0))</f>
        <v>28</v>
      </c>
      <c r="G1006" s="26" t="n">
        <f aca="false">F1006/49</f>
        <v>0.571428571428571</v>
      </c>
      <c r="H1006" s="25" t="n">
        <f aca="false">49-SUMPRODUCT(--((('Yellow Bosses'!$O$5:$O$53&gt;=1)+('Yellow Bosses'!$P$5:$P$53&gt;=1)+('Yellow Bosses'!$Q$5:$Q$53&gt;=1)+('Yellow Bosses'!$U$5:$U$53&gt;=1))&gt;0))</f>
        <v>0</v>
      </c>
      <c r="I1006" s="25" t="n">
        <f aca="false">SUMPRODUCT(--((('Yellow Bosses'!$O$5:$O$53&gt;0)+('Yellow Bosses'!$P$5:$P$53&gt;0)+('Yellow Bosses'!$Q$5:$Q$53&gt;0)+('Yellow Bosses'!$U$5:$U$53&gt;0))=0))</f>
        <v>0</v>
      </c>
      <c r="J1006" s="25" t="n">
        <f aca="false">SUMPRODUCT(--(((Effectiveness!$L$5:$L$155&gt;=2)+(Effectiveness!$M$5:$M$155&gt;=2)+(Effectiveness!$N$5:$N$155&gt;=2)+(Effectiveness!$R$5:$R$155&gt;=2))&gt;0))</f>
        <v>77</v>
      </c>
      <c r="K1006" s="26" t="n">
        <f aca="false">J1006/151</f>
        <v>0.509933774834437</v>
      </c>
      <c r="L1006" s="25" t="n">
        <f aca="false">MIN(INDEX('Move Reality'!$F$5:$F$19,MATCH(B1006,'Move Reality'!$A$5:$A$19,0)),INDEX('Move Reality'!$F$5:$F$19,MATCH(C1006,'Move Reality'!$A$5:$A$19,0)),INDEX('Move Reality'!$F$5:$F$19,MATCH(D1006,'Move Reality'!$A$5:$A$19,0)),INDEX('Move Reality'!$F$5:$F$19,MATCH(E1006,'Move Reality'!$A$5:$A$19,0)))</f>
        <v>1</v>
      </c>
      <c r="M1006" s="28" t="str">
        <f aca="false">IF(L1006&gt;=5,"YES","no - dead move")</f>
        <v>no - dead move</v>
      </c>
    </row>
    <row r="1007" customFormat="false" ht="15" hidden="false" customHeight="false" outlineLevel="0" collapsed="false">
      <c r="A1007" s="17" t="n">
        <v>1003</v>
      </c>
      <c r="B1007" s="17" t="s">
        <v>40</v>
      </c>
      <c r="C1007" s="17" t="s">
        <v>44</v>
      </c>
      <c r="D1007" s="17" t="s">
        <v>49</v>
      </c>
      <c r="E1007" s="17" t="s">
        <v>53</v>
      </c>
      <c r="F1007" s="25" t="n">
        <f aca="false">SUMPRODUCT(--((('Yellow Bosses'!$H$5:$H$53&gt;=2)+('Yellow Bosses'!$L$5:$L$53&gt;=2)+('Yellow Bosses'!$Q$5:$Q$53&gt;=2)+('Yellow Bosses'!$U$5:$U$53&gt;=2))&gt;0))</f>
        <v>28</v>
      </c>
      <c r="G1007" s="26" t="n">
        <f aca="false">F1007/49</f>
        <v>0.571428571428571</v>
      </c>
      <c r="H1007" s="25" t="n">
        <f aca="false">49-SUMPRODUCT(--((('Yellow Bosses'!$H$5:$H$53&gt;=1)+('Yellow Bosses'!$L$5:$L$53&gt;=1)+('Yellow Bosses'!$Q$5:$Q$53&gt;=1)+('Yellow Bosses'!$U$5:$U$53&gt;=1))&gt;0))</f>
        <v>0</v>
      </c>
      <c r="I1007" s="25" t="n">
        <f aca="false">SUMPRODUCT(--((('Yellow Bosses'!$H$5:$H$53&gt;0)+('Yellow Bosses'!$L$5:$L$53&gt;0)+('Yellow Bosses'!$Q$5:$Q$53&gt;0)+('Yellow Bosses'!$U$5:$U$53&gt;0))=0))</f>
        <v>0</v>
      </c>
      <c r="J1007" s="25" t="n">
        <f aca="false">SUMPRODUCT(--(((Effectiveness!$E$5:$E$155&gt;=2)+(Effectiveness!$I$5:$I$155&gt;=2)+(Effectiveness!$N$5:$N$155&gt;=2)+(Effectiveness!$R$5:$R$155&gt;=2))&gt;0))</f>
        <v>75</v>
      </c>
      <c r="K1007" s="26" t="n">
        <f aca="false">J1007/151</f>
        <v>0.496688741721854</v>
      </c>
      <c r="L1007" s="25" t="n">
        <f aca="false">MIN(INDEX('Move Reality'!$F$5:$F$19,MATCH(B1007,'Move Reality'!$A$5:$A$19,0)),INDEX('Move Reality'!$F$5:$F$19,MATCH(C1007,'Move Reality'!$A$5:$A$19,0)),INDEX('Move Reality'!$F$5:$F$19,MATCH(D1007,'Move Reality'!$A$5:$A$19,0)),INDEX('Move Reality'!$F$5:$F$19,MATCH(E1007,'Move Reality'!$A$5:$A$19,0)))</f>
        <v>1</v>
      </c>
      <c r="M1007" s="28" t="str">
        <f aca="false">IF(L1007&gt;=5,"YES","no - dead move")</f>
        <v>no - dead move</v>
      </c>
    </row>
    <row r="1008" customFormat="false" ht="15" hidden="false" customHeight="false" outlineLevel="0" collapsed="false">
      <c r="A1008" s="17" t="n">
        <v>1004</v>
      </c>
      <c r="B1008" s="17" t="s">
        <v>40</v>
      </c>
      <c r="C1008" s="17" t="s">
        <v>44</v>
      </c>
      <c r="D1008" s="17" t="s">
        <v>49</v>
      </c>
      <c r="E1008" s="17" t="s">
        <v>54</v>
      </c>
      <c r="F1008" s="25" t="n">
        <f aca="false">SUMPRODUCT(--((('Yellow Bosses'!$H$5:$H$53&gt;=2)+('Yellow Bosses'!$L$5:$L$53&gt;=2)+('Yellow Bosses'!$Q$5:$Q$53&gt;=2)+('Yellow Bosses'!$V$5:$V$53&gt;=2))&gt;0))</f>
        <v>28</v>
      </c>
      <c r="G1008" s="26" t="n">
        <f aca="false">F1008/49</f>
        <v>0.571428571428571</v>
      </c>
      <c r="H1008" s="25" t="n">
        <f aca="false">49-SUMPRODUCT(--((('Yellow Bosses'!$H$5:$H$53&gt;=1)+('Yellow Bosses'!$L$5:$L$53&gt;=1)+('Yellow Bosses'!$Q$5:$Q$53&gt;=1)+('Yellow Bosses'!$V$5:$V$53&gt;=1))&gt;0))</f>
        <v>0</v>
      </c>
      <c r="I1008" s="25" t="n">
        <f aca="false">SUMPRODUCT(--((('Yellow Bosses'!$H$5:$H$53&gt;0)+('Yellow Bosses'!$L$5:$L$53&gt;0)+('Yellow Bosses'!$Q$5:$Q$53&gt;0)+('Yellow Bosses'!$V$5:$V$53&gt;0))=0))</f>
        <v>0</v>
      </c>
      <c r="J1008" s="25" t="n">
        <f aca="false">SUMPRODUCT(--(((Effectiveness!$E$5:$E$155&gt;=2)+(Effectiveness!$I$5:$I$155&gt;=2)+(Effectiveness!$N$5:$N$155&gt;=2)+(Effectiveness!$S$5:$S$155&gt;=2))&gt;0))</f>
        <v>75</v>
      </c>
      <c r="K1008" s="26" t="n">
        <f aca="false">J1008/151</f>
        <v>0.496688741721854</v>
      </c>
      <c r="L1008" s="25" t="n">
        <f aca="false">MIN(INDEX('Move Reality'!$F$5:$F$19,MATCH(B1008,'Move Reality'!$A$5:$A$19,0)),INDEX('Move Reality'!$F$5:$F$19,MATCH(C1008,'Move Reality'!$A$5:$A$19,0)),INDEX('Move Reality'!$F$5:$F$19,MATCH(D1008,'Move Reality'!$A$5:$A$19,0)),INDEX('Move Reality'!$F$5:$F$19,MATCH(E1008,'Move Reality'!$A$5:$A$19,0)))</f>
        <v>1</v>
      </c>
      <c r="M1008" s="28" t="str">
        <f aca="false">IF(L1008&gt;=5,"YES","no - dead move")</f>
        <v>no - dead move</v>
      </c>
    </row>
    <row r="1009" customFormat="false" ht="15" hidden="false" customHeight="false" outlineLevel="0" collapsed="false">
      <c r="A1009" s="17" t="n">
        <v>1005</v>
      </c>
      <c r="B1009" s="17" t="s">
        <v>44</v>
      </c>
      <c r="C1009" s="17" t="s">
        <v>47</v>
      </c>
      <c r="D1009" s="17" t="s">
        <v>49</v>
      </c>
      <c r="E1009" s="17" t="s">
        <v>53</v>
      </c>
      <c r="F1009" s="25" t="n">
        <f aca="false">SUMPRODUCT(--((('Yellow Bosses'!$L$5:$L$53&gt;=2)+('Yellow Bosses'!$O$5:$O$53&gt;=2)+('Yellow Bosses'!$Q$5:$Q$53&gt;=2)+('Yellow Bosses'!$U$5:$U$53&gt;=2))&gt;0))</f>
        <v>28</v>
      </c>
      <c r="G1009" s="26" t="n">
        <f aca="false">F1009/49</f>
        <v>0.571428571428571</v>
      </c>
      <c r="H1009" s="25" t="n">
        <f aca="false">49-SUMPRODUCT(--((('Yellow Bosses'!$L$5:$L$53&gt;=1)+('Yellow Bosses'!$O$5:$O$53&gt;=1)+('Yellow Bosses'!$Q$5:$Q$53&gt;=1)+('Yellow Bosses'!$U$5:$U$53&gt;=1))&gt;0))</f>
        <v>0</v>
      </c>
      <c r="I1009" s="25" t="n">
        <f aca="false">SUMPRODUCT(--((('Yellow Bosses'!$L$5:$L$53&gt;0)+('Yellow Bosses'!$O$5:$O$53&gt;0)+('Yellow Bosses'!$Q$5:$Q$53&gt;0)+('Yellow Bosses'!$U$5:$U$53&gt;0))=0))</f>
        <v>0</v>
      </c>
      <c r="J1009" s="25" t="n">
        <f aca="false">SUMPRODUCT(--(((Effectiveness!$I$5:$I$155&gt;=2)+(Effectiveness!$L$5:$L$155&gt;=2)+(Effectiveness!$N$5:$N$155&gt;=2)+(Effectiveness!$R$5:$R$155&gt;=2))&gt;0))</f>
        <v>75</v>
      </c>
      <c r="K1009" s="26" t="n">
        <f aca="false">J1009/151</f>
        <v>0.496688741721854</v>
      </c>
      <c r="L1009" s="25" t="n">
        <f aca="false">MIN(INDEX('Move Reality'!$F$5:$F$19,MATCH(B1009,'Move Reality'!$A$5:$A$19,0)),INDEX('Move Reality'!$F$5:$F$19,MATCH(C1009,'Move Reality'!$A$5:$A$19,0)),INDEX('Move Reality'!$F$5:$F$19,MATCH(D1009,'Move Reality'!$A$5:$A$19,0)),INDEX('Move Reality'!$F$5:$F$19,MATCH(E1009,'Move Reality'!$A$5:$A$19,0)))</f>
        <v>1</v>
      </c>
      <c r="M1009" s="28" t="str">
        <f aca="false">IF(L1009&gt;=5,"YES","no - dead move")</f>
        <v>no - dead move</v>
      </c>
    </row>
    <row r="1010" customFormat="false" ht="15" hidden="false" customHeight="false" outlineLevel="0" collapsed="false">
      <c r="A1010" s="17" t="n">
        <v>1006</v>
      </c>
      <c r="B1010" s="17" t="s">
        <v>44</v>
      </c>
      <c r="C1010" s="17" t="s">
        <v>47</v>
      </c>
      <c r="D1010" s="17" t="s">
        <v>49</v>
      </c>
      <c r="E1010" s="17" t="s">
        <v>54</v>
      </c>
      <c r="F1010" s="25" t="n">
        <f aca="false">SUMPRODUCT(--((('Yellow Bosses'!$L$5:$L$53&gt;=2)+('Yellow Bosses'!$O$5:$O$53&gt;=2)+('Yellow Bosses'!$Q$5:$Q$53&gt;=2)+('Yellow Bosses'!$V$5:$V$53&gt;=2))&gt;0))</f>
        <v>28</v>
      </c>
      <c r="G1010" s="26" t="n">
        <f aca="false">F1010/49</f>
        <v>0.571428571428571</v>
      </c>
      <c r="H1010" s="25" t="n">
        <f aca="false">49-SUMPRODUCT(--((('Yellow Bosses'!$L$5:$L$53&gt;=1)+('Yellow Bosses'!$O$5:$O$53&gt;=1)+('Yellow Bosses'!$Q$5:$Q$53&gt;=1)+('Yellow Bosses'!$V$5:$V$53&gt;=1))&gt;0))</f>
        <v>0</v>
      </c>
      <c r="I1010" s="25" t="n">
        <f aca="false">SUMPRODUCT(--((('Yellow Bosses'!$L$5:$L$53&gt;0)+('Yellow Bosses'!$O$5:$O$53&gt;0)+('Yellow Bosses'!$Q$5:$Q$53&gt;0)+('Yellow Bosses'!$V$5:$V$53&gt;0))=0))</f>
        <v>0</v>
      </c>
      <c r="J1010" s="25" t="n">
        <f aca="false">SUMPRODUCT(--(((Effectiveness!$I$5:$I$155&gt;=2)+(Effectiveness!$L$5:$L$155&gt;=2)+(Effectiveness!$N$5:$N$155&gt;=2)+(Effectiveness!$S$5:$S$155&gt;=2))&gt;0))</f>
        <v>75</v>
      </c>
      <c r="K1010" s="26" t="n">
        <f aca="false">J1010/151</f>
        <v>0.496688741721854</v>
      </c>
      <c r="L1010" s="25" t="n">
        <f aca="false">MIN(INDEX('Move Reality'!$F$5:$F$19,MATCH(B1010,'Move Reality'!$A$5:$A$19,0)),INDEX('Move Reality'!$F$5:$F$19,MATCH(C1010,'Move Reality'!$A$5:$A$19,0)),INDEX('Move Reality'!$F$5:$F$19,MATCH(D1010,'Move Reality'!$A$5:$A$19,0)),INDEX('Move Reality'!$F$5:$F$19,MATCH(E1010,'Move Reality'!$A$5:$A$19,0)))</f>
        <v>1</v>
      </c>
      <c r="M1010" s="28" t="str">
        <f aca="false">IF(L1010&gt;=5,"YES","no - dead move")</f>
        <v>no - dead move</v>
      </c>
    </row>
    <row r="1011" customFormat="false" ht="15" hidden="false" customHeight="false" outlineLevel="0" collapsed="false">
      <c r="A1011" s="17" t="n">
        <v>1007</v>
      </c>
      <c r="B1011" s="17" t="s">
        <v>40</v>
      </c>
      <c r="C1011" s="17" t="s">
        <v>46</v>
      </c>
      <c r="D1011" s="17" t="s">
        <v>50</v>
      </c>
      <c r="E1011" s="17" t="s">
        <v>54</v>
      </c>
      <c r="F1011" s="25" t="n">
        <f aca="false">SUMPRODUCT(--((('Yellow Bosses'!$H$5:$H$53&gt;=2)+('Yellow Bosses'!$N$5:$N$53&gt;=2)+('Yellow Bosses'!$R$5:$R$53&gt;=2)+('Yellow Bosses'!$V$5:$V$53&gt;=2))&gt;0))</f>
        <v>28</v>
      </c>
      <c r="G1011" s="26" t="n">
        <f aca="false">F1011/49</f>
        <v>0.571428571428571</v>
      </c>
      <c r="H1011" s="25" t="n">
        <f aca="false">49-SUMPRODUCT(--((('Yellow Bosses'!$H$5:$H$53&gt;=1)+('Yellow Bosses'!$N$5:$N$53&gt;=1)+('Yellow Bosses'!$R$5:$R$53&gt;=1)+('Yellow Bosses'!$V$5:$V$53&gt;=1))&gt;0))</f>
        <v>0</v>
      </c>
      <c r="I1011" s="25" t="n">
        <f aca="false">SUMPRODUCT(--((('Yellow Bosses'!$H$5:$H$53&gt;0)+('Yellow Bosses'!$N$5:$N$53&gt;0)+('Yellow Bosses'!$R$5:$R$53&gt;0)+('Yellow Bosses'!$V$5:$V$53&gt;0))=0))</f>
        <v>0</v>
      </c>
      <c r="J1011" s="25" t="n">
        <f aca="false">SUMPRODUCT(--(((Effectiveness!$E$5:$E$155&gt;=2)+(Effectiveness!$K$5:$K$155&gt;=2)+(Effectiveness!$O$5:$O$155&gt;=2)+(Effectiveness!$S$5:$S$155&gt;=2))&gt;0))</f>
        <v>73</v>
      </c>
      <c r="K1011" s="26" t="n">
        <f aca="false">J1011/151</f>
        <v>0.483443708609272</v>
      </c>
      <c r="L1011" s="25" t="n">
        <f aca="false">MIN(INDEX('Move Reality'!$F$5:$F$19,MATCH(B1011,'Move Reality'!$A$5:$A$19,0)),INDEX('Move Reality'!$F$5:$F$19,MATCH(C1011,'Move Reality'!$A$5:$A$19,0)),INDEX('Move Reality'!$F$5:$F$19,MATCH(D1011,'Move Reality'!$A$5:$A$19,0)),INDEX('Move Reality'!$F$5:$F$19,MATCH(E1011,'Move Reality'!$A$5:$A$19,0)))</f>
        <v>1</v>
      </c>
      <c r="M1011" s="28" t="str">
        <f aca="false">IF(L1011&gt;=5,"YES","no - dead move")</f>
        <v>no - dead move</v>
      </c>
    </row>
    <row r="1012" customFormat="false" ht="15" hidden="false" customHeight="false" outlineLevel="0" collapsed="false">
      <c r="A1012" s="17" t="n">
        <v>1008</v>
      </c>
      <c r="B1012" s="17" t="s">
        <v>46</v>
      </c>
      <c r="C1012" s="17" t="s">
        <v>50</v>
      </c>
      <c r="D1012" s="17" t="s">
        <v>53</v>
      </c>
      <c r="E1012" s="17" t="s">
        <v>54</v>
      </c>
      <c r="F1012" s="25" t="n">
        <f aca="false">SUMPRODUCT(--((('Yellow Bosses'!$N$5:$N$53&gt;=2)+('Yellow Bosses'!$R$5:$R$53&gt;=2)+('Yellow Bosses'!$U$5:$U$53&gt;=2)+('Yellow Bosses'!$V$5:$V$53&gt;=2))&gt;0))</f>
        <v>28</v>
      </c>
      <c r="G1012" s="26" t="n">
        <f aca="false">F1012/49</f>
        <v>0.571428571428571</v>
      </c>
      <c r="H1012" s="25" t="n">
        <f aca="false">49-SUMPRODUCT(--((('Yellow Bosses'!$N$5:$N$53&gt;=1)+('Yellow Bosses'!$R$5:$R$53&gt;=1)+('Yellow Bosses'!$U$5:$U$53&gt;=1)+('Yellow Bosses'!$V$5:$V$53&gt;=1))&gt;0))</f>
        <v>0</v>
      </c>
      <c r="I1012" s="25" t="n">
        <f aca="false">SUMPRODUCT(--((('Yellow Bosses'!$N$5:$N$53&gt;0)+('Yellow Bosses'!$R$5:$R$53&gt;0)+('Yellow Bosses'!$U$5:$U$53&gt;0)+('Yellow Bosses'!$V$5:$V$53&gt;0))=0))</f>
        <v>0</v>
      </c>
      <c r="J1012" s="25" t="n">
        <f aca="false">SUMPRODUCT(--(((Effectiveness!$K$5:$K$155&gt;=2)+(Effectiveness!$O$5:$O$155&gt;=2)+(Effectiveness!$R$5:$R$155&gt;=2)+(Effectiveness!$S$5:$S$155&gt;=2))&gt;0))</f>
        <v>73</v>
      </c>
      <c r="K1012" s="26" t="n">
        <f aca="false">J1012/151</f>
        <v>0.483443708609272</v>
      </c>
      <c r="L1012" s="25" t="n">
        <f aca="false">MIN(INDEX('Move Reality'!$F$5:$F$19,MATCH(B1012,'Move Reality'!$A$5:$A$19,0)),INDEX('Move Reality'!$F$5:$F$19,MATCH(C1012,'Move Reality'!$A$5:$A$19,0)),INDEX('Move Reality'!$F$5:$F$19,MATCH(D1012,'Move Reality'!$A$5:$A$19,0)),INDEX('Move Reality'!$F$5:$F$19,MATCH(E1012,'Move Reality'!$A$5:$A$19,0)))</f>
        <v>1</v>
      </c>
      <c r="M1012" s="28" t="str">
        <f aca="false">IF(L1012&gt;=5,"YES","no - dead move")</f>
        <v>no - dead move</v>
      </c>
    </row>
    <row r="1013" customFormat="false" ht="15" hidden="false" customHeight="false" outlineLevel="0" collapsed="false">
      <c r="A1013" s="17" t="n">
        <v>1009</v>
      </c>
      <c r="B1013" s="17" t="s">
        <v>49</v>
      </c>
      <c r="C1013" s="17" t="s">
        <v>52</v>
      </c>
      <c r="D1013" s="17" t="s">
        <v>53</v>
      </c>
      <c r="E1013" s="17" t="s">
        <v>54</v>
      </c>
      <c r="F1013" s="25" t="n">
        <f aca="false">SUMPRODUCT(--((('Yellow Bosses'!$Q$5:$Q$53&gt;=2)+('Yellow Bosses'!$T$5:$T$53&gt;=2)+('Yellow Bosses'!$U$5:$U$53&gt;=2)+('Yellow Bosses'!$V$5:$V$53&gt;=2))&gt;0))</f>
        <v>28</v>
      </c>
      <c r="G1013" s="26" t="n">
        <f aca="false">F1013/49</f>
        <v>0.571428571428571</v>
      </c>
      <c r="H1013" s="25" t="n">
        <f aca="false">49-SUMPRODUCT(--((('Yellow Bosses'!$Q$5:$Q$53&gt;=1)+('Yellow Bosses'!$T$5:$T$53&gt;=1)+('Yellow Bosses'!$U$5:$U$53&gt;=1)+('Yellow Bosses'!$V$5:$V$53&gt;=1))&gt;0))</f>
        <v>0</v>
      </c>
      <c r="I1013" s="25" t="n">
        <f aca="false">SUMPRODUCT(--((('Yellow Bosses'!$Q$5:$Q$53&gt;0)+('Yellow Bosses'!$T$5:$T$53&gt;0)+('Yellow Bosses'!$U$5:$U$53&gt;0)+('Yellow Bosses'!$V$5:$V$53&gt;0))=0))</f>
        <v>0</v>
      </c>
      <c r="J1013" s="25" t="n">
        <f aca="false">SUMPRODUCT(--(((Effectiveness!$N$5:$N$155&gt;=2)+(Effectiveness!$Q$5:$Q$155&gt;=2)+(Effectiveness!$R$5:$R$155&gt;=2)+(Effectiveness!$S$5:$S$155&gt;=2))&gt;0))</f>
        <v>68</v>
      </c>
      <c r="K1013" s="26" t="n">
        <f aca="false">J1013/151</f>
        <v>0.450331125827815</v>
      </c>
      <c r="L1013" s="25" t="n">
        <f aca="false">MIN(INDEX('Move Reality'!$F$5:$F$19,MATCH(B1013,'Move Reality'!$A$5:$A$19,0)),INDEX('Move Reality'!$F$5:$F$19,MATCH(C1013,'Move Reality'!$A$5:$A$19,0)),INDEX('Move Reality'!$F$5:$F$19,MATCH(D1013,'Move Reality'!$A$5:$A$19,0)),INDEX('Move Reality'!$F$5:$F$19,MATCH(E1013,'Move Reality'!$A$5:$A$19,0)))</f>
        <v>1</v>
      </c>
      <c r="M1013" s="28" t="str">
        <f aca="false">IF(L1013&gt;=5,"YES","no - dead move")</f>
        <v>no - dead move</v>
      </c>
    </row>
    <row r="1014" customFormat="false" ht="15" hidden="false" customHeight="false" outlineLevel="0" collapsed="false">
      <c r="A1014" s="17" t="n">
        <v>1010</v>
      </c>
      <c r="B1014" s="17" t="s">
        <v>41</v>
      </c>
      <c r="C1014" s="17" t="s">
        <v>50</v>
      </c>
      <c r="D1014" s="17" t="s">
        <v>51</v>
      </c>
      <c r="E1014" s="17" t="s">
        <v>54</v>
      </c>
      <c r="F1014" s="25" t="n">
        <f aca="false">SUMPRODUCT(--((('Yellow Bosses'!$I$5:$I$53&gt;=2)+('Yellow Bosses'!$R$5:$R$53&gt;=2)+('Yellow Bosses'!$S$5:$S$53&gt;=2)+('Yellow Bosses'!$V$5:$V$53&gt;=2))&gt;0))</f>
        <v>28</v>
      </c>
      <c r="G1014" s="26" t="n">
        <f aca="false">F1014/49</f>
        <v>0.571428571428571</v>
      </c>
      <c r="H1014" s="25" t="n">
        <f aca="false">49-SUMPRODUCT(--((('Yellow Bosses'!$I$5:$I$53&gt;=1)+('Yellow Bosses'!$R$5:$R$53&gt;=1)+('Yellow Bosses'!$S$5:$S$53&gt;=1)+('Yellow Bosses'!$V$5:$V$53&gt;=1))&gt;0))</f>
        <v>0</v>
      </c>
      <c r="I1014" s="25" t="n">
        <f aca="false">SUMPRODUCT(--((('Yellow Bosses'!$I$5:$I$53&gt;0)+('Yellow Bosses'!$R$5:$R$53&gt;0)+('Yellow Bosses'!$S$5:$S$53&gt;0)+('Yellow Bosses'!$V$5:$V$53&gt;0))=0))</f>
        <v>0</v>
      </c>
      <c r="J1014" s="25" t="n">
        <f aca="false">SUMPRODUCT(--(((Effectiveness!$F$5:$F$155&gt;=2)+(Effectiveness!$O$5:$O$155&gt;=2)+(Effectiveness!$P$5:$P$155&gt;=2)+(Effectiveness!$S$5:$S$155&gt;=2))&gt;0))</f>
        <v>67</v>
      </c>
      <c r="K1014" s="26" t="n">
        <f aca="false">J1014/151</f>
        <v>0.443708609271523</v>
      </c>
      <c r="L1014" s="25" t="n">
        <f aca="false">MIN(INDEX('Move Reality'!$F$5:$F$19,MATCH(B1014,'Move Reality'!$A$5:$A$19,0)),INDEX('Move Reality'!$F$5:$F$19,MATCH(C1014,'Move Reality'!$A$5:$A$19,0)),INDEX('Move Reality'!$F$5:$F$19,MATCH(D1014,'Move Reality'!$A$5:$A$19,0)),INDEX('Move Reality'!$F$5:$F$19,MATCH(E1014,'Move Reality'!$A$5:$A$19,0)))</f>
        <v>1</v>
      </c>
      <c r="M1014" s="28" t="str">
        <f aca="false">IF(L1014&gt;=5,"YES","no - dead move")</f>
        <v>no - dead move</v>
      </c>
    </row>
    <row r="1015" customFormat="false" ht="15" hidden="false" customHeight="false" outlineLevel="0" collapsed="false">
      <c r="A1015" s="17" t="n">
        <v>1011</v>
      </c>
      <c r="B1015" s="17" t="s">
        <v>40</v>
      </c>
      <c r="C1015" s="17" t="s">
        <v>42</v>
      </c>
      <c r="D1015" s="17" t="s">
        <v>50</v>
      </c>
      <c r="E1015" s="17" t="s">
        <v>53</v>
      </c>
      <c r="F1015" s="25" t="n">
        <f aca="false">SUMPRODUCT(--((('Yellow Bosses'!$H$5:$H$53&gt;=2)+('Yellow Bosses'!$J$5:$J$53&gt;=2)+('Yellow Bosses'!$R$5:$R$53&gt;=2)+('Yellow Bosses'!$U$5:$U$53&gt;=2))&gt;0))</f>
        <v>28</v>
      </c>
      <c r="G1015" s="26" t="n">
        <f aca="false">F1015/49</f>
        <v>0.571428571428571</v>
      </c>
      <c r="H1015" s="25" t="n">
        <f aca="false">49-SUMPRODUCT(--((('Yellow Bosses'!$H$5:$H$53&gt;=1)+('Yellow Bosses'!$J$5:$J$53&gt;=1)+('Yellow Bosses'!$R$5:$R$53&gt;=1)+('Yellow Bosses'!$U$5:$U$53&gt;=1))&gt;0))</f>
        <v>0</v>
      </c>
      <c r="I1015" s="25" t="n">
        <f aca="false">SUMPRODUCT(--((('Yellow Bosses'!$H$5:$H$53&gt;0)+('Yellow Bosses'!$J$5:$J$53&gt;0)+('Yellow Bosses'!$R$5:$R$53&gt;0)+('Yellow Bosses'!$U$5:$U$53&gt;0))=0))</f>
        <v>0</v>
      </c>
      <c r="J1015" s="25" t="n">
        <f aca="false">SUMPRODUCT(--(((Effectiveness!$E$5:$E$155&gt;=2)+(Effectiveness!$G$5:$G$155&gt;=2)+(Effectiveness!$O$5:$O$155&gt;=2)+(Effectiveness!$R$5:$R$155&gt;=2))&gt;0))</f>
        <v>66</v>
      </c>
      <c r="K1015" s="26" t="n">
        <f aca="false">J1015/151</f>
        <v>0.437086092715232</v>
      </c>
      <c r="L1015" s="25" t="n">
        <f aca="false">MIN(INDEX('Move Reality'!$F$5:$F$19,MATCH(B1015,'Move Reality'!$A$5:$A$19,0)),INDEX('Move Reality'!$F$5:$F$19,MATCH(C1015,'Move Reality'!$A$5:$A$19,0)),INDEX('Move Reality'!$F$5:$F$19,MATCH(D1015,'Move Reality'!$A$5:$A$19,0)),INDEX('Move Reality'!$F$5:$F$19,MATCH(E1015,'Move Reality'!$A$5:$A$19,0)))</f>
        <v>1</v>
      </c>
      <c r="M1015" s="28" t="str">
        <f aca="false">IF(L1015&gt;=5,"YES","no - dead move")</f>
        <v>no - dead move</v>
      </c>
    </row>
    <row r="1016" customFormat="false" ht="15" hidden="false" customHeight="false" outlineLevel="0" collapsed="false">
      <c r="A1016" s="17" t="n">
        <v>1012</v>
      </c>
      <c r="B1016" s="17" t="s">
        <v>40</v>
      </c>
      <c r="C1016" s="17" t="s">
        <v>45</v>
      </c>
      <c r="D1016" s="17" t="s">
        <v>49</v>
      </c>
      <c r="E1016" s="17" t="s">
        <v>53</v>
      </c>
      <c r="F1016" s="25" t="n">
        <f aca="false">SUMPRODUCT(--((('Yellow Bosses'!$H$5:$H$53&gt;=2)+('Yellow Bosses'!$M$5:$M$53&gt;=2)+('Yellow Bosses'!$Q$5:$Q$53&gt;=2)+('Yellow Bosses'!$U$5:$U$53&gt;=2))&gt;0))</f>
        <v>28</v>
      </c>
      <c r="G1016" s="26" t="n">
        <f aca="false">F1016/49</f>
        <v>0.571428571428571</v>
      </c>
      <c r="H1016" s="25" t="n">
        <f aca="false">49-SUMPRODUCT(--((('Yellow Bosses'!$H$5:$H$53&gt;=1)+('Yellow Bosses'!$M$5:$M$53&gt;=1)+('Yellow Bosses'!$Q$5:$Q$53&gt;=1)+('Yellow Bosses'!$U$5:$U$53&gt;=1))&gt;0))</f>
        <v>0</v>
      </c>
      <c r="I1016" s="25" t="n">
        <f aca="false">SUMPRODUCT(--((('Yellow Bosses'!$H$5:$H$53&gt;0)+('Yellow Bosses'!$M$5:$M$53&gt;0)+('Yellow Bosses'!$Q$5:$Q$53&gt;0)+('Yellow Bosses'!$U$5:$U$53&gt;0))=0))</f>
        <v>0</v>
      </c>
      <c r="J1016" s="25" t="n">
        <f aca="false">SUMPRODUCT(--(((Effectiveness!$E$5:$E$155&gt;=2)+(Effectiveness!$J$5:$J$155&gt;=2)+(Effectiveness!$N$5:$N$155&gt;=2)+(Effectiveness!$R$5:$R$155&gt;=2))&gt;0))</f>
        <v>66</v>
      </c>
      <c r="K1016" s="26" t="n">
        <f aca="false">J1016/151</f>
        <v>0.437086092715232</v>
      </c>
      <c r="L1016" s="25" t="n">
        <f aca="false">MIN(INDEX('Move Reality'!$F$5:$F$19,MATCH(B1016,'Move Reality'!$A$5:$A$19,0)),INDEX('Move Reality'!$F$5:$F$19,MATCH(C1016,'Move Reality'!$A$5:$A$19,0)),INDEX('Move Reality'!$F$5:$F$19,MATCH(D1016,'Move Reality'!$A$5:$A$19,0)),INDEX('Move Reality'!$F$5:$F$19,MATCH(E1016,'Move Reality'!$A$5:$A$19,0)))</f>
        <v>1</v>
      </c>
      <c r="M1016" s="28" t="str">
        <f aca="false">IF(L1016&gt;=5,"YES","no - dead move")</f>
        <v>no - dead move</v>
      </c>
    </row>
    <row r="1017" customFormat="false" ht="15" hidden="false" customHeight="false" outlineLevel="0" collapsed="false">
      <c r="A1017" s="17" t="n">
        <v>1013</v>
      </c>
      <c r="B1017" s="17" t="s">
        <v>45</v>
      </c>
      <c r="C1017" s="17" t="s">
        <v>47</v>
      </c>
      <c r="D1017" s="17" t="s">
        <v>49</v>
      </c>
      <c r="E1017" s="17" t="s">
        <v>53</v>
      </c>
      <c r="F1017" s="25" t="n">
        <f aca="false">SUMPRODUCT(--((('Yellow Bosses'!$M$5:$M$53&gt;=2)+('Yellow Bosses'!$O$5:$O$53&gt;=2)+('Yellow Bosses'!$Q$5:$Q$53&gt;=2)+('Yellow Bosses'!$U$5:$U$53&gt;=2))&gt;0))</f>
        <v>28</v>
      </c>
      <c r="G1017" s="26" t="n">
        <f aca="false">F1017/49</f>
        <v>0.571428571428571</v>
      </c>
      <c r="H1017" s="25" t="n">
        <f aca="false">49-SUMPRODUCT(--((('Yellow Bosses'!$M$5:$M$53&gt;=1)+('Yellow Bosses'!$O$5:$O$53&gt;=1)+('Yellow Bosses'!$Q$5:$Q$53&gt;=1)+('Yellow Bosses'!$U$5:$U$53&gt;=1))&gt;0))</f>
        <v>0</v>
      </c>
      <c r="I1017" s="25" t="n">
        <f aca="false">SUMPRODUCT(--((('Yellow Bosses'!$M$5:$M$53&gt;0)+('Yellow Bosses'!$O$5:$O$53&gt;0)+('Yellow Bosses'!$Q$5:$Q$53&gt;0)+('Yellow Bosses'!$U$5:$U$53&gt;0))=0))</f>
        <v>0</v>
      </c>
      <c r="J1017" s="25" t="n">
        <f aca="false">SUMPRODUCT(--(((Effectiveness!$J$5:$J$155&gt;=2)+(Effectiveness!$L$5:$L$155&gt;=2)+(Effectiveness!$N$5:$N$155&gt;=2)+(Effectiveness!$R$5:$R$155&gt;=2))&gt;0))</f>
        <v>66</v>
      </c>
      <c r="K1017" s="26" t="n">
        <f aca="false">J1017/151</f>
        <v>0.437086092715232</v>
      </c>
      <c r="L1017" s="25" t="n">
        <f aca="false">MIN(INDEX('Move Reality'!$F$5:$F$19,MATCH(B1017,'Move Reality'!$A$5:$A$19,0)),INDEX('Move Reality'!$F$5:$F$19,MATCH(C1017,'Move Reality'!$A$5:$A$19,0)),INDEX('Move Reality'!$F$5:$F$19,MATCH(D1017,'Move Reality'!$A$5:$A$19,0)),INDEX('Move Reality'!$F$5:$F$19,MATCH(E1017,'Move Reality'!$A$5:$A$19,0)))</f>
        <v>1</v>
      </c>
      <c r="M1017" s="28" t="str">
        <f aca="false">IF(L1017&gt;=5,"YES","no - dead move")</f>
        <v>no - dead move</v>
      </c>
    </row>
    <row r="1018" customFormat="false" ht="15" hidden="false" customHeight="false" outlineLevel="0" collapsed="false">
      <c r="A1018" s="17" t="n">
        <v>1014</v>
      </c>
      <c r="B1018" s="17" t="s">
        <v>45</v>
      </c>
      <c r="C1018" s="17" t="s">
        <v>49</v>
      </c>
      <c r="D1018" s="17" t="s">
        <v>53</v>
      </c>
      <c r="E1018" s="17" t="s">
        <v>54</v>
      </c>
      <c r="F1018" s="25" t="n">
        <f aca="false">SUMPRODUCT(--((('Yellow Bosses'!$M$5:$M$53&gt;=2)+('Yellow Bosses'!$Q$5:$Q$53&gt;=2)+('Yellow Bosses'!$U$5:$U$53&gt;=2)+('Yellow Bosses'!$V$5:$V$53&gt;=2))&gt;0))</f>
        <v>28</v>
      </c>
      <c r="G1018" s="26" t="n">
        <f aca="false">F1018/49</f>
        <v>0.571428571428571</v>
      </c>
      <c r="H1018" s="25" t="n">
        <f aca="false">49-SUMPRODUCT(--((('Yellow Bosses'!$M$5:$M$53&gt;=1)+('Yellow Bosses'!$Q$5:$Q$53&gt;=1)+('Yellow Bosses'!$U$5:$U$53&gt;=1)+('Yellow Bosses'!$V$5:$V$53&gt;=1))&gt;0))</f>
        <v>0</v>
      </c>
      <c r="I1018" s="25" t="n">
        <f aca="false">SUMPRODUCT(--((('Yellow Bosses'!$M$5:$M$53&gt;0)+('Yellow Bosses'!$Q$5:$Q$53&gt;0)+('Yellow Bosses'!$U$5:$U$53&gt;0)+('Yellow Bosses'!$V$5:$V$53&gt;0))=0))</f>
        <v>0</v>
      </c>
      <c r="J1018" s="25" t="n">
        <f aca="false">SUMPRODUCT(--(((Effectiveness!$J$5:$J$155&gt;=2)+(Effectiveness!$N$5:$N$155&gt;=2)+(Effectiveness!$R$5:$R$155&gt;=2)+(Effectiveness!$S$5:$S$155&gt;=2))&gt;0))</f>
        <v>66</v>
      </c>
      <c r="K1018" s="26" t="n">
        <f aca="false">J1018/151</f>
        <v>0.437086092715232</v>
      </c>
      <c r="L1018" s="25" t="n">
        <f aca="false">MIN(INDEX('Move Reality'!$F$5:$F$19,MATCH(B1018,'Move Reality'!$A$5:$A$19,0)),INDEX('Move Reality'!$F$5:$F$19,MATCH(C1018,'Move Reality'!$A$5:$A$19,0)),INDEX('Move Reality'!$F$5:$F$19,MATCH(D1018,'Move Reality'!$A$5:$A$19,0)),INDEX('Move Reality'!$F$5:$F$19,MATCH(E1018,'Move Reality'!$A$5:$A$19,0)))</f>
        <v>1</v>
      </c>
      <c r="M1018" s="28" t="str">
        <f aca="false">IF(L1018&gt;=5,"YES","no - dead move")</f>
        <v>no - dead move</v>
      </c>
    </row>
    <row r="1019" customFormat="false" ht="15" hidden="false" customHeight="false" outlineLevel="0" collapsed="false">
      <c r="A1019" s="17" t="n">
        <v>1015</v>
      </c>
      <c r="B1019" s="17" t="s">
        <v>47</v>
      </c>
      <c r="C1019" s="17" t="s">
        <v>50</v>
      </c>
      <c r="D1019" s="17" t="s">
        <v>51</v>
      </c>
      <c r="E1019" s="17" t="s">
        <v>54</v>
      </c>
      <c r="F1019" s="25" t="n">
        <f aca="false">SUMPRODUCT(--((('Yellow Bosses'!$O$5:$O$53&gt;=2)+('Yellow Bosses'!$R$5:$R$53&gt;=2)+('Yellow Bosses'!$S$5:$S$53&gt;=2)+('Yellow Bosses'!$V$5:$V$53&gt;=2))&gt;0))</f>
        <v>28</v>
      </c>
      <c r="G1019" s="26" t="n">
        <f aca="false">F1019/49</f>
        <v>0.571428571428571</v>
      </c>
      <c r="H1019" s="25" t="n">
        <f aca="false">49-SUMPRODUCT(--((('Yellow Bosses'!$O$5:$O$53&gt;=1)+('Yellow Bosses'!$R$5:$R$53&gt;=1)+('Yellow Bosses'!$S$5:$S$53&gt;=1)+('Yellow Bosses'!$V$5:$V$53&gt;=1))&gt;0))</f>
        <v>0</v>
      </c>
      <c r="I1019" s="25" t="n">
        <f aca="false">SUMPRODUCT(--((('Yellow Bosses'!$O$5:$O$53&gt;0)+('Yellow Bosses'!$R$5:$R$53&gt;0)+('Yellow Bosses'!$S$5:$S$53&gt;0)+('Yellow Bosses'!$V$5:$V$53&gt;0))=0))</f>
        <v>0</v>
      </c>
      <c r="J1019" s="25" t="n">
        <f aca="false">SUMPRODUCT(--(((Effectiveness!$L$5:$L$155&gt;=2)+(Effectiveness!$O$5:$O$155&gt;=2)+(Effectiveness!$P$5:$P$155&gt;=2)+(Effectiveness!$S$5:$S$155&gt;=2))&gt;0))</f>
        <v>66</v>
      </c>
      <c r="K1019" s="26" t="n">
        <f aca="false">J1019/151</f>
        <v>0.437086092715232</v>
      </c>
      <c r="L1019" s="25" t="n">
        <f aca="false">MIN(INDEX('Move Reality'!$F$5:$F$19,MATCH(B1019,'Move Reality'!$A$5:$A$19,0)),INDEX('Move Reality'!$F$5:$F$19,MATCH(C1019,'Move Reality'!$A$5:$A$19,0)),INDEX('Move Reality'!$F$5:$F$19,MATCH(D1019,'Move Reality'!$A$5:$A$19,0)),INDEX('Move Reality'!$F$5:$F$19,MATCH(E1019,'Move Reality'!$A$5:$A$19,0)))</f>
        <v>1</v>
      </c>
      <c r="M1019" s="28" t="str">
        <f aca="false">IF(L1019&gt;=5,"YES","no - dead move")</f>
        <v>no - dead move</v>
      </c>
    </row>
    <row r="1020" customFormat="false" ht="15" hidden="false" customHeight="false" outlineLevel="0" collapsed="false">
      <c r="A1020" s="17" t="n">
        <v>1016</v>
      </c>
      <c r="B1020" s="17" t="s">
        <v>49</v>
      </c>
      <c r="C1020" s="17" t="s">
        <v>50</v>
      </c>
      <c r="D1020" s="17" t="s">
        <v>51</v>
      </c>
      <c r="E1020" s="17" t="s">
        <v>54</v>
      </c>
      <c r="F1020" s="25" t="n">
        <f aca="false">SUMPRODUCT(--((('Yellow Bosses'!$Q$5:$Q$53&gt;=2)+('Yellow Bosses'!$R$5:$R$53&gt;=2)+('Yellow Bosses'!$S$5:$S$53&gt;=2)+('Yellow Bosses'!$V$5:$V$53&gt;=2))&gt;0))</f>
        <v>28</v>
      </c>
      <c r="G1020" s="26" t="n">
        <f aca="false">F1020/49</f>
        <v>0.571428571428571</v>
      </c>
      <c r="H1020" s="25" t="n">
        <f aca="false">49-SUMPRODUCT(--((('Yellow Bosses'!$Q$5:$Q$53&gt;=1)+('Yellow Bosses'!$R$5:$R$53&gt;=1)+('Yellow Bosses'!$S$5:$S$53&gt;=1)+('Yellow Bosses'!$V$5:$V$53&gt;=1))&gt;0))</f>
        <v>0</v>
      </c>
      <c r="I1020" s="25" t="n">
        <f aca="false">SUMPRODUCT(--((('Yellow Bosses'!$Q$5:$Q$53&gt;0)+('Yellow Bosses'!$R$5:$R$53&gt;0)+('Yellow Bosses'!$S$5:$S$53&gt;0)+('Yellow Bosses'!$V$5:$V$53&gt;0))=0))</f>
        <v>0</v>
      </c>
      <c r="J1020" s="25" t="n">
        <f aca="false">SUMPRODUCT(--(((Effectiveness!$N$5:$N$155&gt;=2)+(Effectiveness!$O$5:$O$155&gt;=2)+(Effectiveness!$P$5:$P$155&gt;=2)+(Effectiveness!$S$5:$S$155&gt;=2))&gt;0))</f>
        <v>66</v>
      </c>
      <c r="K1020" s="26" t="n">
        <f aca="false">J1020/151</f>
        <v>0.437086092715232</v>
      </c>
      <c r="L1020" s="25" t="n">
        <f aca="false">MIN(INDEX('Move Reality'!$F$5:$F$19,MATCH(B1020,'Move Reality'!$A$5:$A$19,0)),INDEX('Move Reality'!$F$5:$F$19,MATCH(C1020,'Move Reality'!$A$5:$A$19,0)),INDEX('Move Reality'!$F$5:$F$19,MATCH(D1020,'Move Reality'!$A$5:$A$19,0)),INDEX('Move Reality'!$F$5:$F$19,MATCH(E1020,'Move Reality'!$A$5:$A$19,0)))</f>
        <v>1</v>
      </c>
      <c r="M1020" s="28" t="str">
        <f aca="false">IF(L1020&gt;=5,"YES","no - dead move")</f>
        <v>no - dead move</v>
      </c>
    </row>
    <row r="1021" customFormat="false" ht="15" hidden="false" customHeight="false" outlineLevel="0" collapsed="false">
      <c r="A1021" s="17" t="n">
        <v>1017</v>
      </c>
      <c r="B1021" s="17" t="s">
        <v>40</v>
      </c>
      <c r="C1021" s="17" t="s">
        <v>42</v>
      </c>
      <c r="D1021" s="17" t="s">
        <v>49</v>
      </c>
      <c r="E1021" s="17" t="s">
        <v>53</v>
      </c>
      <c r="F1021" s="25" t="n">
        <f aca="false">SUMPRODUCT(--((('Yellow Bosses'!$H$5:$H$53&gt;=2)+('Yellow Bosses'!$J$5:$J$53&gt;=2)+('Yellow Bosses'!$Q$5:$Q$53&gt;=2)+('Yellow Bosses'!$U$5:$U$53&gt;=2))&gt;0))</f>
        <v>28</v>
      </c>
      <c r="G1021" s="26" t="n">
        <f aca="false">F1021/49</f>
        <v>0.571428571428571</v>
      </c>
      <c r="H1021" s="25" t="n">
        <f aca="false">49-SUMPRODUCT(--((('Yellow Bosses'!$H$5:$H$53&gt;=1)+('Yellow Bosses'!$J$5:$J$53&gt;=1)+('Yellow Bosses'!$Q$5:$Q$53&gt;=1)+('Yellow Bosses'!$U$5:$U$53&gt;=1))&gt;0))</f>
        <v>0</v>
      </c>
      <c r="I1021" s="25" t="n">
        <f aca="false">SUMPRODUCT(--((('Yellow Bosses'!$H$5:$H$53&gt;0)+('Yellow Bosses'!$J$5:$J$53&gt;0)+('Yellow Bosses'!$Q$5:$Q$53&gt;0)+('Yellow Bosses'!$U$5:$U$53&gt;0))=0))</f>
        <v>0</v>
      </c>
      <c r="J1021" s="25" t="n">
        <f aca="false">SUMPRODUCT(--(((Effectiveness!$E$5:$E$155&gt;=2)+(Effectiveness!$G$5:$G$155&gt;=2)+(Effectiveness!$N$5:$N$155&gt;=2)+(Effectiveness!$R$5:$R$155&gt;=2))&gt;0))</f>
        <v>62</v>
      </c>
      <c r="K1021" s="26" t="n">
        <f aca="false">J1021/151</f>
        <v>0.410596026490066</v>
      </c>
      <c r="L1021" s="25" t="n">
        <f aca="false">MIN(INDEX('Move Reality'!$F$5:$F$19,MATCH(B1021,'Move Reality'!$A$5:$A$19,0)),INDEX('Move Reality'!$F$5:$F$19,MATCH(C1021,'Move Reality'!$A$5:$A$19,0)),INDEX('Move Reality'!$F$5:$F$19,MATCH(D1021,'Move Reality'!$A$5:$A$19,0)),INDEX('Move Reality'!$F$5:$F$19,MATCH(E1021,'Move Reality'!$A$5:$A$19,0)))</f>
        <v>1</v>
      </c>
      <c r="M1021" s="28" t="str">
        <f aca="false">IF(L1021&gt;=5,"YES","no - dead move")</f>
        <v>no - dead move</v>
      </c>
    </row>
    <row r="1022" customFormat="false" ht="15" hidden="false" customHeight="false" outlineLevel="0" collapsed="false">
      <c r="A1022" s="17" t="n">
        <v>1018</v>
      </c>
      <c r="B1022" s="17" t="s">
        <v>40</v>
      </c>
      <c r="C1022" s="17" t="s">
        <v>42</v>
      </c>
      <c r="D1022" s="17" t="s">
        <v>49</v>
      </c>
      <c r="E1022" s="17" t="s">
        <v>54</v>
      </c>
      <c r="F1022" s="25" t="n">
        <f aca="false">SUMPRODUCT(--((('Yellow Bosses'!$H$5:$H$53&gt;=2)+('Yellow Bosses'!$J$5:$J$53&gt;=2)+('Yellow Bosses'!$Q$5:$Q$53&gt;=2)+('Yellow Bosses'!$V$5:$V$53&gt;=2))&gt;0))</f>
        <v>28</v>
      </c>
      <c r="G1022" s="26" t="n">
        <f aca="false">F1022/49</f>
        <v>0.571428571428571</v>
      </c>
      <c r="H1022" s="25" t="n">
        <f aca="false">49-SUMPRODUCT(--((('Yellow Bosses'!$H$5:$H$53&gt;=1)+('Yellow Bosses'!$J$5:$J$53&gt;=1)+('Yellow Bosses'!$Q$5:$Q$53&gt;=1)+('Yellow Bosses'!$V$5:$V$53&gt;=1))&gt;0))</f>
        <v>0</v>
      </c>
      <c r="I1022" s="25" t="n">
        <f aca="false">SUMPRODUCT(--((('Yellow Bosses'!$H$5:$H$53&gt;0)+('Yellow Bosses'!$J$5:$J$53&gt;0)+('Yellow Bosses'!$Q$5:$Q$53&gt;0)+('Yellow Bosses'!$V$5:$V$53&gt;0))=0))</f>
        <v>0</v>
      </c>
      <c r="J1022" s="25" t="n">
        <f aca="false">SUMPRODUCT(--(((Effectiveness!$E$5:$E$155&gt;=2)+(Effectiveness!$G$5:$G$155&gt;=2)+(Effectiveness!$N$5:$N$155&gt;=2)+(Effectiveness!$S$5:$S$155&gt;=2))&gt;0))</f>
        <v>62</v>
      </c>
      <c r="K1022" s="26" t="n">
        <f aca="false">J1022/151</f>
        <v>0.410596026490066</v>
      </c>
      <c r="L1022" s="25" t="n">
        <f aca="false">MIN(INDEX('Move Reality'!$F$5:$F$19,MATCH(B1022,'Move Reality'!$A$5:$A$19,0)),INDEX('Move Reality'!$F$5:$F$19,MATCH(C1022,'Move Reality'!$A$5:$A$19,0)),INDEX('Move Reality'!$F$5:$F$19,MATCH(D1022,'Move Reality'!$A$5:$A$19,0)),INDEX('Move Reality'!$F$5:$F$19,MATCH(E1022,'Move Reality'!$A$5:$A$19,0)))</f>
        <v>1</v>
      </c>
      <c r="M1022" s="28" t="str">
        <f aca="false">IF(L1022&gt;=5,"YES","no - dead move")</f>
        <v>no - dead move</v>
      </c>
    </row>
    <row r="1023" customFormat="false" ht="15" hidden="false" customHeight="false" outlineLevel="0" collapsed="false">
      <c r="A1023" s="17" t="n">
        <v>1019</v>
      </c>
      <c r="B1023" s="17" t="s">
        <v>42</v>
      </c>
      <c r="C1023" s="17" t="s">
        <v>47</v>
      </c>
      <c r="D1023" s="17" t="s">
        <v>49</v>
      </c>
      <c r="E1023" s="17" t="s">
        <v>53</v>
      </c>
      <c r="F1023" s="25" t="n">
        <f aca="false">SUMPRODUCT(--((('Yellow Bosses'!$J$5:$J$53&gt;=2)+('Yellow Bosses'!$O$5:$O$53&gt;=2)+('Yellow Bosses'!$Q$5:$Q$53&gt;=2)+('Yellow Bosses'!$U$5:$U$53&gt;=2))&gt;0))</f>
        <v>28</v>
      </c>
      <c r="G1023" s="26" t="n">
        <f aca="false">F1023/49</f>
        <v>0.571428571428571</v>
      </c>
      <c r="H1023" s="25" t="n">
        <f aca="false">49-SUMPRODUCT(--((('Yellow Bosses'!$J$5:$J$53&gt;=1)+('Yellow Bosses'!$O$5:$O$53&gt;=1)+('Yellow Bosses'!$Q$5:$Q$53&gt;=1)+('Yellow Bosses'!$U$5:$U$53&gt;=1))&gt;0))</f>
        <v>0</v>
      </c>
      <c r="I1023" s="25" t="n">
        <f aca="false">SUMPRODUCT(--((('Yellow Bosses'!$J$5:$J$53&gt;0)+('Yellow Bosses'!$O$5:$O$53&gt;0)+('Yellow Bosses'!$Q$5:$Q$53&gt;0)+('Yellow Bosses'!$U$5:$U$53&gt;0))=0))</f>
        <v>0</v>
      </c>
      <c r="J1023" s="25" t="n">
        <f aca="false">SUMPRODUCT(--(((Effectiveness!$G$5:$G$155&gt;=2)+(Effectiveness!$L$5:$L$155&gt;=2)+(Effectiveness!$N$5:$N$155&gt;=2)+(Effectiveness!$R$5:$R$155&gt;=2))&gt;0))</f>
        <v>62</v>
      </c>
      <c r="K1023" s="26" t="n">
        <f aca="false">J1023/151</f>
        <v>0.410596026490066</v>
      </c>
      <c r="L1023" s="25" t="n">
        <f aca="false">MIN(INDEX('Move Reality'!$F$5:$F$19,MATCH(B1023,'Move Reality'!$A$5:$A$19,0)),INDEX('Move Reality'!$F$5:$F$19,MATCH(C1023,'Move Reality'!$A$5:$A$19,0)),INDEX('Move Reality'!$F$5:$F$19,MATCH(D1023,'Move Reality'!$A$5:$A$19,0)),INDEX('Move Reality'!$F$5:$F$19,MATCH(E1023,'Move Reality'!$A$5:$A$19,0)))</f>
        <v>1</v>
      </c>
      <c r="M1023" s="28" t="str">
        <f aca="false">IF(L1023&gt;=5,"YES","no - dead move")</f>
        <v>no - dead move</v>
      </c>
    </row>
    <row r="1024" customFormat="false" ht="15" hidden="false" customHeight="false" outlineLevel="0" collapsed="false">
      <c r="A1024" s="17" t="n">
        <v>1020</v>
      </c>
      <c r="B1024" s="17" t="s">
        <v>42</v>
      </c>
      <c r="C1024" s="17" t="s">
        <v>47</v>
      </c>
      <c r="D1024" s="17" t="s">
        <v>49</v>
      </c>
      <c r="E1024" s="17" t="s">
        <v>54</v>
      </c>
      <c r="F1024" s="25" t="n">
        <f aca="false">SUMPRODUCT(--((('Yellow Bosses'!$J$5:$J$53&gt;=2)+('Yellow Bosses'!$O$5:$O$53&gt;=2)+('Yellow Bosses'!$Q$5:$Q$53&gt;=2)+('Yellow Bosses'!$V$5:$V$53&gt;=2))&gt;0))</f>
        <v>28</v>
      </c>
      <c r="G1024" s="26" t="n">
        <f aca="false">F1024/49</f>
        <v>0.571428571428571</v>
      </c>
      <c r="H1024" s="25" t="n">
        <f aca="false">49-SUMPRODUCT(--((('Yellow Bosses'!$J$5:$J$53&gt;=1)+('Yellow Bosses'!$O$5:$O$53&gt;=1)+('Yellow Bosses'!$Q$5:$Q$53&gt;=1)+('Yellow Bosses'!$V$5:$V$53&gt;=1))&gt;0))</f>
        <v>0</v>
      </c>
      <c r="I1024" s="25" t="n">
        <f aca="false">SUMPRODUCT(--((('Yellow Bosses'!$J$5:$J$53&gt;0)+('Yellow Bosses'!$O$5:$O$53&gt;0)+('Yellow Bosses'!$Q$5:$Q$53&gt;0)+('Yellow Bosses'!$V$5:$V$53&gt;0))=0))</f>
        <v>0</v>
      </c>
      <c r="J1024" s="25" t="n">
        <f aca="false">SUMPRODUCT(--(((Effectiveness!$G$5:$G$155&gt;=2)+(Effectiveness!$L$5:$L$155&gt;=2)+(Effectiveness!$N$5:$N$155&gt;=2)+(Effectiveness!$S$5:$S$155&gt;=2))&gt;0))</f>
        <v>62</v>
      </c>
      <c r="K1024" s="26" t="n">
        <f aca="false">J1024/151</f>
        <v>0.410596026490066</v>
      </c>
      <c r="L1024" s="25" t="n">
        <f aca="false">MIN(INDEX('Move Reality'!$F$5:$F$19,MATCH(B1024,'Move Reality'!$A$5:$A$19,0)),INDEX('Move Reality'!$F$5:$F$19,MATCH(C1024,'Move Reality'!$A$5:$A$19,0)),INDEX('Move Reality'!$F$5:$F$19,MATCH(D1024,'Move Reality'!$A$5:$A$19,0)),INDEX('Move Reality'!$F$5:$F$19,MATCH(E1024,'Move Reality'!$A$5:$A$19,0)))</f>
        <v>1</v>
      </c>
      <c r="M1024" s="28" t="str">
        <f aca="false">IF(L1024&gt;=5,"YES","no - dead move")</f>
        <v>no - dead move</v>
      </c>
    </row>
    <row r="1025" customFormat="false" ht="15" hidden="false" customHeight="false" outlineLevel="0" collapsed="false">
      <c r="A1025" s="17" t="n">
        <v>1021</v>
      </c>
      <c r="B1025" s="17" t="s">
        <v>40</v>
      </c>
      <c r="C1025" s="17" t="s">
        <v>50</v>
      </c>
      <c r="D1025" s="17" t="s">
        <v>51</v>
      </c>
      <c r="E1025" s="17" t="s">
        <v>54</v>
      </c>
      <c r="F1025" s="25" t="n">
        <f aca="false">SUMPRODUCT(--((('Yellow Bosses'!$H$5:$H$53&gt;=2)+('Yellow Bosses'!$R$5:$R$53&gt;=2)+('Yellow Bosses'!$S$5:$S$53&gt;=2)+('Yellow Bosses'!$V$5:$V$53&gt;=2))&gt;0))</f>
        <v>28</v>
      </c>
      <c r="G1025" s="26" t="n">
        <f aca="false">F1025/49</f>
        <v>0.571428571428571</v>
      </c>
      <c r="H1025" s="25" t="n">
        <f aca="false">49-SUMPRODUCT(--((('Yellow Bosses'!$H$5:$H$53&gt;=1)+('Yellow Bosses'!$R$5:$R$53&gt;=1)+('Yellow Bosses'!$S$5:$S$53&gt;=1)+('Yellow Bosses'!$V$5:$V$53&gt;=1))&gt;0))</f>
        <v>0</v>
      </c>
      <c r="I1025" s="25" t="n">
        <f aca="false">SUMPRODUCT(--((('Yellow Bosses'!$H$5:$H$53&gt;0)+('Yellow Bosses'!$R$5:$R$53&gt;0)+('Yellow Bosses'!$S$5:$S$53&gt;0)+('Yellow Bosses'!$V$5:$V$53&gt;0))=0))</f>
        <v>0</v>
      </c>
      <c r="J1025" s="25" t="n">
        <f aca="false">SUMPRODUCT(--(((Effectiveness!$E$5:$E$155&gt;=2)+(Effectiveness!$O$5:$O$155&gt;=2)+(Effectiveness!$P$5:$P$155&gt;=2)+(Effectiveness!$S$5:$S$155&gt;=2))&gt;0))</f>
        <v>61</v>
      </c>
      <c r="K1025" s="26" t="n">
        <f aca="false">J1025/151</f>
        <v>0.403973509933775</v>
      </c>
      <c r="L1025" s="25" t="n">
        <f aca="false">MIN(INDEX('Move Reality'!$F$5:$F$19,MATCH(B1025,'Move Reality'!$A$5:$A$19,0)),INDEX('Move Reality'!$F$5:$F$19,MATCH(C1025,'Move Reality'!$A$5:$A$19,0)),INDEX('Move Reality'!$F$5:$F$19,MATCH(D1025,'Move Reality'!$A$5:$A$19,0)),INDEX('Move Reality'!$F$5:$F$19,MATCH(E1025,'Move Reality'!$A$5:$A$19,0)))</f>
        <v>1</v>
      </c>
      <c r="M1025" s="28" t="str">
        <f aca="false">IF(L1025&gt;=5,"YES","no - dead move")</f>
        <v>no - dead move</v>
      </c>
    </row>
    <row r="1026" customFormat="false" ht="15" hidden="false" customHeight="false" outlineLevel="0" collapsed="false">
      <c r="A1026" s="17" t="n">
        <v>1022</v>
      </c>
      <c r="B1026" s="17" t="s">
        <v>50</v>
      </c>
      <c r="C1026" s="17" t="s">
        <v>51</v>
      </c>
      <c r="D1026" s="17" t="s">
        <v>53</v>
      </c>
      <c r="E1026" s="17" t="s">
        <v>54</v>
      </c>
      <c r="F1026" s="25" t="n">
        <f aca="false">SUMPRODUCT(--((('Yellow Bosses'!$R$5:$R$53&gt;=2)+('Yellow Bosses'!$S$5:$S$53&gt;=2)+('Yellow Bosses'!$U$5:$U$53&gt;=2)+('Yellow Bosses'!$V$5:$V$53&gt;=2))&gt;0))</f>
        <v>28</v>
      </c>
      <c r="G1026" s="26" t="n">
        <f aca="false">F1026/49</f>
        <v>0.571428571428571</v>
      </c>
      <c r="H1026" s="25" t="n">
        <f aca="false">49-SUMPRODUCT(--((('Yellow Bosses'!$R$5:$R$53&gt;=1)+('Yellow Bosses'!$S$5:$S$53&gt;=1)+('Yellow Bosses'!$U$5:$U$53&gt;=1)+('Yellow Bosses'!$V$5:$V$53&gt;=1))&gt;0))</f>
        <v>0</v>
      </c>
      <c r="I1026" s="25" t="n">
        <f aca="false">SUMPRODUCT(--((('Yellow Bosses'!$R$5:$R$53&gt;0)+('Yellow Bosses'!$S$5:$S$53&gt;0)+('Yellow Bosses'!$U$5:$U$53&gt;0)+('Yellow Bosses'!$V$5:$V$53&gt;0))=0))</f>
        <v>0</v>
      </c>
      <c r="J1026" s="25" t="n">
        <f aca="false">SUMPRODUCT(--(((Effectiveness!$O$5:$O$155&gt;=2)+(Effectiveness!$P$5:$P$155&gt;=2)+(Effectiveness!$R$5:$R$155&gt;=2)+(Effectiveness!$S$5:$S$155&gt;=2))&gt;0))</f>
        <v>61</v>
      </c>
      <c r="K1026" s="26" t="n">
        <f aca="false">J1026/151</f>
        <v>0.403973509933775</v>
      </c>
      <c r="L1026" s="25" t="n">
        <f aca="false">MIN(INDEX('Move Reality'!$F$5:$F$19,MATCH(B1026,'Move Reality'!$A$5:$A$19,0)),INDEX('Move Reality'!$F$5:$F$19,MATCH(C1026,'Move Reality'!$A$5:$A$19,0)),INDEX('Move Reality'!$F$5:$F$19,MATCH(D1026,'Move Reality'!$A$5:$A$19,0)),INDEX('Move Reality'!$F$5:$F$19,MATCH(E1026,'Move Reality'!$A$5:$A$19,0)))</f>
        <v>1</v>
      </c>
      <c r="M1026" s="28" t="str">
        <f aca="false">IF(L1026&gt;=5,"YES","no - dead move")</f>
        <v>no - dead move</v>
      </c>
    </row>
    <row r="1027" customFormat="false" ht="15" hidden="false" customHeight="false" outlineLevel="0" collapsed="false">
      <c r="A1027" s="17" t="n">
        <v>1023</v>
      </c>
      <c r="B1027" s="17" t="s">
        <v>40</v>
      </c>
      <c r="C1027" s="17" t="s">
        <v>42</v>
      </c>
      <c r="D1027" s="17" t="s">
        <v>52</v>
      </c>
      <c r="E1027" s="17" t="s">
        <v>53</v>
      </c>
      <c r="F1027" s="25" t="n">
        <f aca="false">SUMPRODUCT(--((('Yellow Bosses'!$H$5:$H$53&gt;=2)+('Yellow Bosses'!$J$5:$J$53&gt;=2)+('Yellow Bosses'!$T$5:$T$53&gt;=2)+('Yellow Bosses'!$U$5:$U$53&gt;=2))&gt;0))</f>
        <v>28</v>
      </c>
      <c r="G1027" s="26" t="n">
        <f aca="false">F1027/49</f>
        <v>0.571428571428571</v>
      </c>
      <c r="H1027" s="25" t="n">
        <f aca="false">49-SUMPRODUCT(--((('Yellow Bosses'!$H$5:$H$53&gt;=1)+('Yellow Bosses'!$J$5:$J$53&gt;=1)+('Yellow Bosses'!$T$5:$T$53&gt;=1)+('Yellow Bosses'!$U$5:$U$53&gt;=1))&gt;0))</f>
        <v>0</v>
      </c>
      <c r="I1027" s="25" t="n">
        <f aca="false">SUMPRODUCT(--((('Yellow Bosses'!$H$5:$H$53&gt;0)+('Yellow Bosses'!$J$5:$J$53&gt;0)+('Yellow Bosses'!$T$5:$T$53&gt;0)+('Yellow Bosses'!$U$5:$U$53&gt;0))=0))</f>
        <v>0</v>
      </c>
      <c r="J1027" s="25" t="n">
        <f aca="false">SUMPRODUCT(--(((Effectiveness!$E$5:$E$155&gt;=2)+(Effectiveness!$G$5:$G$155&gt;=2)+(Effectiveness!$Q$5:$Q$155&gt;=2)+(Effectiveness!$R$5:$R$155&gt;=2))&gt;0))</f>
        <v>60</v>
      </c>
      <c r="K1027" s="26" t="n">
        <f aca="false">J1027/151</f>
        <v>0.397350993377483</v>
      </c>
      <c r="L1027" s="25" t="n">
        <f aca="false">MIN(INDEX('Move Reality'!$F$5:$F$19,MATCH(B1027,'Move Reality'!$A$5:$A$19,0)),INDEX('Move Reality'!$F$5:$F$19,MATCH(C1027,'Move Reality'!$A$5:$A$19,0)),INDEX('Move Reality'!$F$5:$F$19,MATCH(D1027,'Move Reality'!$A$5:$A$19,0)),INDEX('Move Reality'!$F$5:$F$19,MATCH(E1027,'Move Reality'!$A$5:$A$19,0)))</f>
        <v>1</v>
      </c>
      <c r="M1027" s="28" t="str">
        <f aca="false">IF(L1027&gt;=5,"YES","no - dead move")</f>
        <v>no - dead move</v>
      </c>
    </row>
    <row r="1028" customFormat="false" ht="15" hidden="false" customHeight="false" outlineLevel="0" collapsed="false">
      <c r="A1028" s="17" t="n">
        <v>1024</v>
      </c>
      <c r="B1028" s="17" t="s">
        <v>40</v>
      </c>
      <c r="C1028" s="17" t="s">
        <v>43</v>
      </c>
      <c r="D1028" s="17" t="s">
        <v>46</v>
      </c>
      <c r="E1028" s="17" t="s">
        <v>49</v>
      </c>
      <c r="F1028" s="25" t="n">
        <f aca="false">SUMPRODUCT(--((('Yellow Bosses'!$H$5:$H$53&gt;=2)+('Yellow Bosses'!$K$5:$K$53&gt;=2)+('Yellow Bosses'!$N$5:$N$53&gt;=2)+('Yellow Bosses'!$Q$5:$Q$53&gt;=2))&gt;0))</f>
        <v>27</v>
      </c>
      <c r="G1028" s="26" t="n">
        <f aca="false">F1028/49</f>
        <v>0.551020408163265</v>
      </c>
      <c r="H1028" s="25" t="n">
        <f aca="false">49-SUMPRODUCT(--((('Yellow Bosses'!$H$5:$H$53&gt;=1)+('Yellow Bosses'!$K$5:$K$53&gt;=1)+('Yellow Bosses'!$N$5:$N$53&gt;=1)+('Yellow Bosses'!$Q$5:$Q$53&gt;=1))&gt;0))</f>
        <v>0</v>
      </c>
      <c r="I1028" s="25" t="n">
        <f aca="false">SUMPRODUCT(--((('Yellow Bosses'!$H$5:$H$53&gt;0)+('Yellow Bosses'!$K$5:$K$53&gt;0)+('Yellow Bosses'!$N$5:$N$53&gt;0)+('Yellow Bosses'!$Q$5:$Q$53&gt;0))=0))</f>
        <v>0</v>
      </c>
      <c r="J1028" s="25" t="n">
        <f aca="false">SUMPRODUCT(--(((Effectiveness!$E$5:$E$155&gt;=2)+(Effectiveness!$H$5:$H$155&gt;=2)+(Effectiveness!$K$5:$K$155&gt;=2)+(Effectiveness!$N$5:$N$155&gt;=2))&gt;0))</f>
        <v>99</v>
      </c>
      <c r="K1028" s="26" t="n">
        <f aca="false">J1028/151</f>
        <v>0.655629139072848</v>
      </c>
      <c r="L1028" s="25" t="n">
        <f aca="false">MIN(INDEX('Move Reality'!$F$5:$F$19,MATCH(B1028,'Move Reality'!$A$5:$A$19,0)),INDEX('Move Reality'!$F$5:$F$19,MATCH(C1028,'Move Reality'!$A$5:$A$19,0)),INDEX('Move Reality'!$F$5:$F$19,MATCH(D1028,'Move Reality'!$A$5:$A$19,0)),INDEX('Move Reality'!$F$5:$F$19,MATCH(E1028,'Move Reality'!$A$5:$A$19,0)))</f>
        <v>5</v>
      </c>
      <c r="M1028" s="28" t="str">
        <f aca="false">IF(L1028&gt;=5,"YES","no - dead move")</f>
        <v>YES</v>
      </c>
    </row>
    <row r="1029" customFormat="false" ht="15" hidden="false" customHeight="false" outlineLevel="0" collapsed="false">
      <c r="A1029" s="17" t="n">
        <v>1025</v>
      </c>
      <c r="B1029" s="17" t="s">
        <v>41</v>
      </c>
      <c r="C1029" s="17" t="s">
        <v>43</v>
      </c>
      <c r="D1029" s="17" t="s">
        <v>44</v>
      </c>
      <c r="E1029" s="17" t="s">
        <v>46</v>
      </c>
      <c r="F1029" s="25" t="n">
        <f aca="false">SUMPRODUCT(--((('Yellow Bosses'!$I$5:$I$53&gt;=2)+('Yellow Bosses'!$K$5:$K$53&gt;=2)+('Yellow Bosses'!$L$5:$L$53&gt;=2)+('Yellow Bosses'!$N$5:$N$53&gt;=2))&gt;0))</f>
        <v>27</v>
      </c>
      <c r="G1029" s="26" t="n">
        <f aca="false">F1029/49</f>
        <v>0.551020408163265</v>
      </c>
      <c r="H1029" s="25" t="n">
        <f aca="false">49-SUMPRODUCT(--((('Yellow Bosses'!$I$5:$I$53&gt;=1)+('Yellow Bosses'!$K$5:$K$53&gt;=1)+('Yellow Bosses'!$L$5:$L$53&gt;=1)+('Yellow Bosses'!$N$5:$N$53&gt;=1))&gt;0))</f>
        <v>0</v>
      </c>
      <c r="I1029" s="25" t="n">
        <f aca="false">SUMPRODUCT(--((('Yellow Bosses'!$I$5:$I$53&gt;0)+('Yellow Bosses'!$K$5:$K$53&gt;0)+('Yellow Bosses'!$L$5:$L$53&gt;0)+('Yellow Bosses'!$N$5:$N$53&gt;0))=0))</f>
        <v>0</v>
      </c>
      <c r="J1029" s="25" t="n">
        <f aca="false">SUMPRODUCT(--(((Effectiveness!$F$5:$F$155&gt;=2)+(Effectiveness!$H$5:$H$155&gt;=2)+(Effectiveness!$I$5:$I$155&gt;=2)+(Effectiveness!$K$5:$K$155&gt;=2))&gt;0))</f>
        <v>99</v>
      </c>
      <c r="K1029" s="26" t="n">
        <f aca="false">J1029/151</f>
        <v>0.655629139072848</v>
      </c>
      <c r="L1029" s="25" t="n">
        <f aca="false">MIN(INDEX('Move Reality'!$F$5:$F$19,MATCH(B1029,'Move Reality'!$A$5:$A$19,0)),INDEX('Move Reality'!$F$5:$F$19,MATCH(C1029,'Move Reality'!$A$5:$A$19,0)),INDEX('Move Reality'!$F$5:$F$19,MATCH(D1029,'Move Reality'!$A$5:$A$19,0)),INDEX('Move Reality'!$F$5:$F$19,MATCH(E1029,'Move Reality'!$A$5:$A$19,0)))</f>
        <v>4</v>
      </c>
      <c r="M1029" s="28" t="str">
        <f aca="false">IF(L1029&gt;=5,"YES","no - dead move")</f>
        <v>no - dead move</v>
      </c>
    </row>
    <row r="1030" customFormat="false" ht="15" hidden="false" customHeight="false" outlineLevel="0" collapsed="false">
      <c r="A1030" s="17" t="n">
        <v>1026</v>
      </c>
      <c r="B1030" s="17" t="s">
        <v>43</v>
      </c>
      <c r="C1030" s="17" t="s">
        <v>45</v>
      </c>
      <c r="D1030" s="17" t="s">
        <v>46</v>
      </c>
      <c r="E1030" s="17" t="s">
        <v>47</v>
      </c>
      <c r="F1030" s="25" t="n">
        <f aca="false">SUMPRODUCT(--((('Yellow Bosses'!$K$5:$K$53&gt;=2)+('Yellow Bosses'!$M$5:$M$53&gt;=2)+('Yellow Bosses'!$N$5:$N$53&gt;=2)+('Yellow Bosses'!$O$5:$O$53&gt;=2))&gt;0))</f>
        <v>27</v>
      </c>
      <c r="G1030" s="26" t="n">
        <f aca="false">F1030/49</f>
        <v>0.551020408163265</v>
      </c>
      <c r="H1030" s="25" t="n">
        <f aca="false">49-SUMPRODUCT(--((('Yellow Bosses'!$K$5:$K$53&gt;=1)+('Yellow Bosses'!$M$5:$M$53&gt;=1)+('Yellow Bosses'!$N$5:$N$53&gt;=1)+('Yellow Bosses'!$O$5:$O$53&gt;=1))&gt;0))</f>
        <v>0</v>
      </c>
      <c r="I1030" s="25" t="n">
        <f aca="false">SUMPRODUCT(--((('Yellow Bosses'!$K$5:$K$53&gt;0)+('Yellow Bosses'!$M$5:$M$53&gt;0)+('Yellow Bosses'!$N$5:$N$53&gt;0)+('Yellow Bosses'!$O$5:$O$53&gt;0))=0))</f>
        <v>0</v>
      </c>
      <c r="J1030" s="25" t="n">
        <f aca="false">SUMPRODUCT(--(((Effectiveness!$H$5:$H$155&gt;=2)+(Effectiveness!$J$5:$J$155&gt;=2)+(Effectiveness!$K$5:$K$155&gt;=2)+(Effectiveness!$L$5:$L$155&gt;=2))&gt;0))</f>
        <v>99</v>
      </c>
      <c r="K1030" s="26" t="n">
        <f aca="false">J1030/151</f>
        <v>0.655629139072848</v>
      </c>
      <c r="L1030" s="25" t="n">
        <f aca="false">MIN(INDEX('Move Reality'!$F$5:$F$19,MATCH(B1030,'Move Reality'!$A$5:$A$19,0)),INDEX('Move Reality'!$F$5:$F$19,MATCH(C1030,'Move Reality'!$A$5:$A$19,0)),INDEX('Move Reality'!$F$5:$F$19,MATCH(D1030,'Move Reality'!$A$5:$A$19,0)),INDEX('Move Reality'!$F$5:$F$19,MATCH(E1030,'Move Reality'!$A$5:$A$19,0)))</f>
        <v>2</v>
      </c>
      <c r="M1030" s="28" t="str">
        <f aca="false">IF(L1030&gt;=5,"YES","no - dead move")</f>
        <v>no - dead move</v>
      </c>
    </row>
    <row r="1031" customFormat="false" ht="15" hidden="false" customHeight="false" outlineLevel="0" collapsed="false">
      <c r="A1031" s="17" t="n">
        <v>1027</v>
      </c>
      <c r="B1031" s="17" t="s">
        <v>43</v>
      </c>
      <c r="C1031" s="17" t="s">
        <v>46</v>
      </c>
      <c r="D1031" s="17" t="s">
        <v>47</v>
      </c>
      <c r="E1031" s="17" t="s">
        <v>49</v>
      </c>
      <c r="F1031" s="25" t="n">
        <f aca="false">SUMPRODUCT(--((('Yellow Bosses'!$K$5:$K$53&gt;=2)+('Yellow Bosses'!$N$5:$N$53&gt;=2)+('Yellow Bosses'!$O$5:$O$53&gt;=2)+('Yellow Bosses'!$Q$5:$Q$53&gt;=2))&gt;0))</f>
        <v>27</v>
      </c>
      <c r="G1031" s="26" t="n">
        <f aca="false">F1031/49</f>
        <v>0.551020408163265</v>
      </c>
      <c r="H1031" s="25" t="n">
        <f aca="false">49-SUMPRODUCT(--((('Yellow Bosses'!$K$5:$K$53&gt;=1)+('Yellow Bosses'!$N$5:$N$53&gt;=1)+('Yellow Bosses'!$O$5:$O$53&gt;=1)+('Yellow Bosses'!$Q$5:$Q$53&gt;=1))&gt;0))</f>
        <v>0</v>
      </c>
      <c r="I1031" s="25" t="n">
        <f aca="false">SUMPRODUCT(--((('Yellow Bosses'!$K$5:$K$53&gt;0)+('Yellow Bosses'!$N$5:$N$53&gt;0)+('Yellow Bosses'!$O$5:$O$53&gt;0)+('Yellow Bosses'!$Q$5:$Q$53&gt;0))=0))</f>
        <v>0</v>
      </c>
      <c r="J1031" s="25" t="n">
        <f aca="false">SUMPRODUCT(--(((Effectiveness!$H$5:$H$155&gt;=2)+(Effectiveness!$K$5:$K$155&gt;=2)+(Effectiveness!$L$5:$L$155&gt;=2)+(Effectiveness!$N$5:$N$155&gt;=2))&gt;0))</f>
        <v>99</v>
      </c>
      <c r="K1031" s="26" t="n">
        <f aca="false">J1031/151</f>
        <v>0.655629139072848</v>
      </c>
      <c r="L1031" s="25" t="n">
        <f aca="false">MIN(INDEX('Move Reality'!$F$5:$F$19,MATCH(B1031,'Move Reality'!$A$5:$A$19,0)),INDEX('Move Reality'!$F$5:$F$19,MATCH(C1031,'Move Reality'!$A$5:$A$19,0)),INDEX('Move Reality'!$F$5:$F$19,MATCH(D1031,'Move Reality'!$A$5:$A$19,0)),INDEX('Move Reality'!$F$5:$F$19,MATCH(E1031,'Move Reality'!$A$5:$A$19,0)))</f>
        <v>2</v>
      </c>
      <c r="M1031" s="28" t="str">
        <f aca="false">IF(L1031&gt;=5,"YES","no - dead move")</f>
        <v>no - dead move</v>
      </c>
    </row>
    <row r="1032" customFormat="false" ht="15" hidden="false" customHeight="false" outlineLevel="0" collapsed="false">
      <c r="A1032" s="17" t="n">
        <v>1028</v>
      </c>
      <c r="B1032" s="17" t="s">
        <v>40</v>
      </c>
      <c r="C1032" s="17" t="s">
        <v>43</v>
      </c>
      <c r="D1032" s="17" t="s">
        <v>45</v>
      </c>
      <c r="E1032" s="17" t="s">
        <v>46</v>
      </c>
      <c r="F1032" s="25" t="n">
        <f aca="false">SUMPRODUCT(--((('Yellow Bosses'!$H$5:$H$53&gt;=2)+('Yellow Bosses'!$K$5:$K$53&gt;=2)+('Yellow Bosses'!$M$5:$M$53&gt;=2)+('Yellow Bosses'!$N$5:$N$53&gt;=2))&gt;0))</f>
        <v>27</v>
      </c>
      <c r="G1032" s="26" t="n">
        <f aca="false">F1032/49</f>
        <v>0.551020408163265</v>
      </c>
      <c r="H1032" s="25" t="n">
        <f aca="false">49-SUMPRODUCT(--((('Yellow Bosses'!$H$5:$H$53&gt;=1)+('Yellow Bosses'!$K$5:$K$53&gt;=1)+('Yellow Bosses'!$M$5:$M$53&gt;=1)+('Yellow Bosses'!$N$5:$N$53&gt;=1))&gt;0))</f>
        <v>0</v>
      </c>
      <c r="I1032" s="25" t="n">
        <f aca="false">SUMPRODUCT(--((('Yellow Bosses'!$H$5:$H$53&gt;0)+('Yellow Bosses'!$K$5:$K$53&gt;0)+('Yellow Bosses'!$M$5:$M$53&gt;0)+('Yellow Bosses'!$N$5:$N$53&gt;0))=0))</f>
        <v>0</v>
      </c>
      <c r="J1032" s="25" t="n">
        <f aca="false">SUMPRODUCT(--(((Effectiveness!$E$5:$E$155&gt;=2)+(Effectiveness!$H$5:$H$155&gt;=2)+(Effectiveness!$J$5:$J$155&gt;=2)+(Effectiveness!$K$5:$K$155&gt;=2))&gt;0))</f>
        <v>96</v>
      </c>
      <c r="K1032" s="26" t="n">
        <f aca="false">J1032/151</f>
        <v>0.635761589403974</v>
      </c>
      <c r="L1032" s="25" t="n">
        <f aca="false">MIN(INDEX('Move Reality'!$F$5:$F$19,MATCH(B1032,'Move Reality'!$A$5:$A$19,0)),INDEX('Move Reality'!$F$5:$F$19,MATCH(C1032,'Move Reality'!$A$5:$A$19,0)),INDEX('Move Reality'!$F$5:$F$19,MATCH(D1032,'Move Reality'!$A$5:$A$19,0)),INDEX('Move Reality'!$F$5:$F$19,MATCH(E1032,'Move Reality'!$A$5:$A$19,0)))</f>
        <v>5</v>
      </c>
      <c r="M1032" s="28" t="str">
        <f aca="false">IF(L1032&gt;=5,"YES","no - dead move")</f>
        <v>YES</v>
      </c>
    </row>
    <row r="1033" customFormat="false" ht="15" hidden="false" customHeight="false" outlineLevel="0" collapsed="false">
      <c r="A1033" s="17" t="n">
        <v>1029</v>
      </c>
      <c r="B1033" s="17" t="s">
        <v>43</v>
      </c>
      <c r="C1033" s="17" t="s">
        <v>44</v>
      </c>
      <c r="D1033" s="17" t="s">
        <v>45</v>
      </c>
      <c r="E1033" s="17" t="s">
        <v>46</v>
      </c>
      <c r="F1033" s="25" t="n">
        <f aca="false">SUMPRODUCT(--((('Yellow Bosses'!$K$5:$K$53&gt;=2)+('Yellow Bosses'!$L$5:$L$53&gt;=2)+('Yellow Bosses'!$M$5:$M$53&gt;=2)+('Yellow Bosses'!$N$5:$N$53&gt;=2))&gt;0))</f>
        <v>27</v>
      </c>
      <c r="G1033" s="26" t="n">
        <f aca="false">F1033/49</f>
        <v>0.551020408163265</v>
      </c>
      <c r="H1033" s="25" t="n">
        <f aca="false">49-SUMPRODUCT(--((('Yellow Bosses'!$K$5:$K$53&gt;=1)+('Yellow Bosses'!$L$5:$L$53&gt;=1)+('Yellow Bosses'!$M$5:$M$53&gt;=1)+('Yellow Bosses'!$N$5:$N$53&gt;=1))&gt;0))</f>
        <v>0</v>
      </c>
      <c r="I1033" s="25" t="n">
        <f aca="false">SUMPRODUCT(--((('Yellow Bosses'!$K$5:$K$53&gt;0)+('Yellow Bosses'!$L$5:$L$53&gt;0)+('Yellow Bosses'!$M$5:$M$53&gt;0)+('Yellow Bosses'!$N$5:$N$53&gt;0))=0))</f>
        <v>0</v>
      </c>
      <c r="J1033" s="25" t="n">
        <f aca="false">SUMPRODUCT(--(((Effectiveness!$H$5:$H$155&gt;=2)+(Effectiveness!$I$5:$I$155&gt;=2)+(Effectiveness!$J$5:$J$155&gt;=2)+(Effectiveness!$K$5:$K$155&gt;=2))&gt;0))</f>
        <v>96</v>
      </c>
      <c r="K1033" s="26" t="n">
        <f aca="false">J1033/151</f>
        <v>0.635761589403974</v>
      </c>
      <c r="L1033" s="25" t="n">
        <f aca="false">MIN(INDEX('Move Reality'!$F$5:$F$19,MATCH(B1033,'Move Reality'!$A$5:$A$19,0)),INDEX('Move Reality'!$F$5:$F$19,MATCH(C1033,'Move Reality'!$A$5:$A$19,0)),INDEX('Move Reality'!$F$5:$F$19,MATCH(D1033,'Move Reality'!$A$5:$A$19,0)),INDEX('Move Reality'!$F$5:$F$19,MATCH(E1033,'Move Reality'!$A$5:$A$19,0)))</f>
        <v>4</v>
      </c>
      <c r="M1033" s="28" t="str">
        <f aca="false">IF(L1033&gt;=5,"YES","no - dead move")</f>
        <v>no - dead move</v>
      </c>
    </row>
    <row r="1034" customFormat="false" ht="15" hidden="false" customHeight="false" outlineLevel="0" collapsed="false">
      <c r="A1034" s="17" t="n">
        <v>1030</v>
      </c>
      <c r="B1034" s="17" t="s">
        <v>43</v>
      </c>
      <c r="C1034" s="17" t="s">
        <v>45</v>
      </c>
      <c r="D1034" s="17" t="s">
        <v>46</v>
      </c>
      <c r="E1034" s="17" t="s">
        <v>54</v>
      </c>
      <c r="F1034" s="25" t="n">
        <f aca="false">SUMPRODUCT(--((('Yellow Bosses'!$K$5:$K$53&gt;=2)+('Yellow Bosses'!$M$5:$M$53&gt;=2)+('Yellow Bosses'!$N$5:$N$53&gt;=2)+('Yellow Bosses'!$V$5:$V$53&gt;=2))&gt;0))</f>
        <v>27</v>
      </c>
      <c r="G1034" s="26" t="n">
        <f aca="false">F1034/49</f>
        <v>0.551020408163265</v>
      </c>
      <c r="H1034" s="25" t="n">
        <f aca="false">49-SUMPRODUCT(--((('Yellow Bosses'!$K$5:$K$53&gt;=1)+('Yellow Bosses'!$M$5:$M$53&gt;=1)+('Yellow Bosses'!$N$5:$N$53&gt;=1)+('Yellow Bosses'!$V$5:$V$53&gt;=1))&gt;0))</f>
        <v>0</v>
      </c>
      <c r="I1034" s="25" t="n">
        <f aca="false">SUMPRODUCT(--((('Yellow Bosses'!$K$5:$K$53&gt;0)+('Yellow Bosses'!$M$5:$M$53&gt;0)+('Yellow Bosses'!$N$5:$N$53&gt;0)+('Yellow Bosses'!$V$5:$V$53&gt;0))=0))</f>
        <v>0</v>
      </c>
      <c r="J1034" s="25" t="n">
        <f aca="false">SUMPRODUCT(--(((Effectiveness!$H$5:$H$155&gt;=2)+(Effectiveness!$J$5:$J$155&gt;=2)+(Effectiveness!$K$5:$K$155&gt;=2)+(Effectiveness!$S$5:$S$155&gt;=2))&gt;0))</f>
        <v>96</v>
      </c>
      <c r="K1034" s="26" t="n">
        <f aca="false">J1034/151</f>
        <v>0.635761589403974</v>
      </c>
      <c r="L1034" s="25" t="n">
        <f aca="false">MIN(INDEX('Move Reality'!$F$5:$F$19,MATCH(B1034,'Move Reality'!$A$5:$A$19,0)),INDEX('Move Reality'!$F$5:$F$19,MATCH(C1034,'Move Reality'!$A$5:$A$19,0)),INDEX('Move Reality'!$F$5:$F$19,MATCH(D1034,'Move Reality'!$A$5:$A$19,0)),INDEX('Move Reality'!$F$5:$F$19,MATCH(E1034,'Move Reality'!$A$5:$A$19,0)))</f>
        <v>1</v>
      </c>
      <c r="M1034" s="28" t="str">
        <f aca="false">IF(L1034&gt;=5,"YES","no - dead move")</f>
        <v>no - dead move</v>
      </c>
    </row>
    <row r="1035" customFormat="false" ht="15" hidden="false" customHeight="false" outlineLevel="0" collapsed="false">
      <c r="A1035" s="17" t="n">
        <v>1031</v>
      </c>
      <c r="B1035" s="17" t="s">
        <v>40</v>
      </c>
      <c r="C1035" s="17" t="s">
        <v>43</v>
      </c>
      <c r="D1035" s="17" t="s">
        <v>47</v>
      </c>
      <c r="E1035" s="17" t="s">
        <v>50</v>
      </c>
      <c r="F1035" s="25" t="n">
        <f aca="false">SUMPRODUCT(--((('Yellow Bosses'!$H$5:$H$53&gt;=2)+('Yellow Bosses'!$K$5:$K$53&gt;=2)+('Yellow Bosses'!$O$5:$O$53&gt;=2)+('Yellow Bosses'!$R$5:$R$53&gt;=2))&gt;0))</f>
        <v>27</v>
      </c>
      <c r="G1035" s="26" t="n">
        <f aca="false">F1035/49</f>
        <v>0.551020408163265</v>
      </c>
      <c r="H1035" s="25" t="n">
        <f aca="false">49-SUMPRODUCT(--((('Yellow Bosses'!$H$5:$H$53&gt;=1)+('Yellow Bosses'!$K$5:$K$53&gt;=1)+('Yellow Bosses'!$O$5:$O$53&gt;=1)+('Yellow Bosses'!$R$5:$R$53&gt;=1))&gt;0))</f>
        <v>0</v>
      </c>
      <c r="I1035" s="25" t="n">
        <f aca="false">SUMPRODUCT(--((('Yellow Bosses'!$H$5:$H$53&gt;0)+('Yellow Bosses'!$K$5:$K$53&gt;0)+('Yellow Bosses'!$O$5:$O$53&gt;0)+('Yellow Bosses'!$R$5:$R$53&gt;0))=0))</f>
        <v>0</v>
      </c>
      <c r="J1035" s="25" t="n">
        <f aca="false">SUMPRODUCT(--(((Effectiveness!$E$5:$E$155&gt;=2)+(Effectiveness!$H$5:$H$155&gt;=2)+(Effectiveness!$L$5:$L$155&gt;=2)+(Effectiveness!$O$5:$O$155&gt;=2))&gt;0))</f>
        <v>92</v>
      </c>
      <c r="K1035" s="26" t="n">
        <f aca="false">J1035/151</f>
        <v>0.609271523178808</v>
      </c>
      <c r="L1035" s="25" t="n">
        <f aca="false">MIN(INDEX('Move Reality'!$F$5:$F$19,MATCH(B1035,'Move Reality'!$A$5:$A$19,0)),INDEX('Move Reality'!$F$5:$F$19,MATCH(C1035,'Move Reality'!$A$5:$A$19,0)),INDEX('Move Reality'!$F$5:$F$19,MATCH(D1035,'Move Reality'!$A$5:$A$19,0)),INDEX('Move Reality'!$F$5:$F$19,MATCH(E1035,'Move Reality'!$A$5:$A$19,0)))</f>
        <v>2</v>
      </c>
      <c r="M1035" s="28" t="str">
        <f aca="false">IF(L1035&gt;=5,"YES","no - dead move")</f>
        <v>no - dead move</v>
      </c>
    </row>
    <row r="1036" customFormat="false" ht="15" hidden="false" customHeight="false" outlineLevel="0" collapsed="false">
      <c r="A1036" s="17" t="n">
        <v>1032</v>
      </c>
      <c r="B1036" s="17" t="s">
        <v>40</v>
      </c>
      <c r="C1036" s="17" t="s">
        <v>43</v>
      </c>
      <c r="D1036" s="17" t="s">
        <v>49</v>
      </c>
      <c r="E1036" s="17" t="s">
        <v>50</v>
      </c>
      <c r="F1036" s="25" t="n">
        <f aca="false">SUMPRODUCT(--((('Yellow Bosses'!$H$5:$H$53&gt;=2)+('Yellow Bosses'!$K$5:$K$53&gt;=2)+('Yellow Bosses'!$Q$5:$Q$53&gt;=2)+('Yellow Bosses'!$R$5:$R$53&gt;=2))&gt;0))</f>
        <v>27</v>
      </c>
      <c r="G1036" s="26" t="n">
        <f aca="false">F1036/49</f>
        <v>0.551020408163265</v>
      </c>
      <c r="H1036" s="25" t="n">
        <f aca="false">49-SUMPRODUCT(--((('Yellow Bosses'!$H$5:$H$53&gt;=1)+('Yellow Bosses'!$K$5:$K$53&gt;=1)+('Yellow Bosses'!$Q$5:$Q$53&gt;=1)+('Yellow Bosses'!$R$5:$R$53&gt;=1))&gt;0))</f>
        <v>0</v>
      </c>
      <c r="I1036" s="25" t="n">
        <f aca="false">SUMPRODUCT(--((('Yellow Bosses'!$H$5:$H$53&gt;0)+('Yellow Bosses'!$K$5:$K$53&gt;0)+('Yellow Bosses'!$Q$5:$Q$53&gt;0)+('Yellow Bosses'!$R$5:$R$53&gt;0))=0))</f>
        <v>0</v>
      </c>
      <c r="J1036" s="25" t="n">
        <f aca="false">SUMPRODUCT(--(((Effectiveness!$E$5:$E$155&gt;=2)+(Effectiveness!$H$5:$H$155&gt;=2)+(Effectiveness!$N$5:$N$155&gt;=2)+(Effectiveness!$O$5:$O$155&gt;=2))&gt;0))</f>
        <v>92</v>
      </c>
      <c r="K1036" s="26" t="n">
        <f aca="false">J1036/151</f>
        <v>0.609271523178808</v>
      </c>
      <c r="L1036" s="25" t="n">
        <f aca="false">MIN(INDEX('Move Reality'!$F$5:$F$19,MATCH(B1036,'Move Reality'!$A$5:$A$19,0)),INDEX('Move Reality'!$F$5:$F$19,MATCH(C1036,'Move Reality'!$A$5:$A$19,0)),INDEX('Move Reality'!$F$5:$F$19,MATCH(D1036,'Move Reality'!$A$5:$A$19,0)),INDEX('Move Reality'!$F$5:$F$19,MATCH(E1036,'Move Reality'!$A$5:$A$19,0)))</f>
        <v>5</v>
      </c>
      <c r="M1036" s="28" t="str">
        <f aca="false">IF(L1036&gt;=5,"YES","no - dead move")</f>
        <v>YES</v>
      </c>
    </row>
    <row r="1037" customFormat="false" ht="15" hidden="false" customHeight="false" outlineLevel="0" collapsed="false">
      <c r="A1037" s="17" t="n">
        <v>1033</v>
      </c>
      <c r="B1037" s="17" t="s">
        <v>40</v>
      </c>
      <c r="C1037" s="17" t="s">
        <v>44</v>
      </c>
      <c r="D1037" s="17" t="s">
        <v>46</v>
      </c>
      <c r="E1037" s="17" t="s">
        <v>48</v>
      </c>
      <c r="F1037" s="25" t="n">
        <f aca="false">SUMPRODUCT(--((('Yellow Bosses'!$H$5:$H$53&gt;=2)+('Yellow Bosses'!$L$5:$L$53&gt;=2)+('Yellow Bosses'!$N$5:$N$53&gt;=2)+('Yellow Bosses'!$P$5:$P$53&gt;=2))&gt;0))</f>
        <v>27</v>
      </c>
      <c r="G1037" s="26" t="n">
        <f aca="false">F1037/49</f>
        <v>0.551020408163265</v>
      </c>
      <c r="H1037" s="25" t="n">
        <f aca="false">49-SUMPRODUCT(--((('Yellow Bosses'!$H$5:$H$53&gt;=1)+('Yellow Bosses'!$L$5:$L$53&gt;=1)+('Yellow Bosses'!$N$5:$N$53&gt;=1)+('Yellow Bosses'!$P$5:$P$53&gt;=1))&gt;0))</f>
        <v>0</v>
      </c>
      <c r="I1037" s="25" t="n">
        <f aca="false">SUMPRODUCT(--((('Yellow Bosses'!$H$5:$H$53&gt;0)+('Yellow Bosses'!$L$5:$L$53&gt;0)+('Yellow Bosses'!$N$5:$N$53&gt;0)+('Yellow Bosses'!$P$5:$P$53&gt;0))=0))</f>
        <v>0</v>
      </c>
      <c r="J1037" s="25" t="n">
        <f aca="false">SUMPRODUCT(--(((Effectiveness!$E$5:$E$155&gt;=2)+(Effectiveness!$I$5:$I$155&gt;=2)+(Effectiveness!$K$5:$K$155&gt;=2)+(Effectiveness!$M$5:$M$155&gt;=2))&gt;0))</f>
        <v>92</v>
      </c>
      <c r="K1037" s="26" t="n">
        <f aca="false">J1037/151</f>
        <v>0.609271523178808</v>
      </c>
      <c r="L1037" s="25" t="n">
        <f aca="false">MIN(INDEX('Move Reality'!$F$5:$F$19,MATCH(B1037,'Move Reality'!$A$5:$A$19,0)),INDEX('Move Reality'!$F$5:$F$19,MATCH(C1037,'Move Reality'!$A$5:$A$19,0)),INDEX('Move Reality'!$F$5:$F$19,MATCH(D1037,'Move Reality'!$A$5:$A$19,0)),INDEX('Move Reality'!$F$5:$F$19,MATCH(E1037,'Move Reality'!$A$5:$A$19,0)))</f>
        <v>4</v>
      </c>
      <c r="M1037" s="28" t="str">
        <f aca="false">IF(L1037&gt;=5,"YES","no - dead move")</f>
        <v>no - dead move</v>
      </c>
    </row>
    <row r="1038" customFormat="false" ht="15" hidden="false" customHeight="false" outlineLevel="0" collapsed="false">
      <c r="A1038" s="17" t="n">
        <v>1034</v>
      </c>
      <c r="B1038" s="17" t="s">
        <v>43</v>
      </c>
      <c r="C1038" s="17" t="s">
        <v>47</v>
      </c>
      <c r="D1038" s="17" t="s">
        <v>49</v>
      </c>
      <c r="E1038" s="17" t="s">
        <v>50</v>
      </c>
      <c r="F1038" s="25" t="n">
        <f aca="false">SUMPRODUCT(--((('Yellow Bosses'!$K$5:$K$53&gt;=2)+('Yellow Bosses'!$O$5:$O$53&gt;=2)+('Yellow Bosses'!$Q$5:$Q$53&gt;=2)+('Yellow Bosses'!$R$5:$R$53&gt;=2))&gt;0))</f>
        <v>27</v>
      </c>
      <c r="G1038" s="26" t="n">
        <f aca="false">F1038/49</f>
        <v>0.551020408163265</v>
      </c>
      <c r="H1038" s="25" t="n">
        <f aca="false">49-SUMPRODUCT(--((('Yellow Bosses'!$K$5:$K$53&gt;=1)+('Yellow Bosses'!$O$5:$O$53&gt;=1)+('Yellow Bosses'!$Q$5:$Q$53&gt;=1)+('Yellow Bosses'!$R$5:$R$53&gt;=1))&gt;0))</f>
        <v>0</v>
      </c>
      <c r="I1038" s="25" t="n">
        <f aca="false">SUMPRODUCT(--((('Yellow Bosses'!$K$5:$K$53&gt;0)+('Yellow Bosses'!$O$5:$O$53&gt;0)+('Yellow Bosses'!$Q$5:$Q$53&gt;0)+('Yellow Bosses'!$R$5:$R$53&gt;0))=0))</f>
        <v>0</v>
      </c>
      <c r="J1038" s="25" t="n">
        <f aca="false">SUMPRODUCT(--(((Effectiveness!$H$5:$H$155&gt;=2)+(Effectiveness!$L$5:$L$155&gt;=2)+(Effectiveness!$N$5:$N$155&gt;=2)+(Effectiveness!$O$5:$O$155&gt;=2))&gt;0))</f>
        <v>92</v>
      </c>
      <c r="K1038" s="26" t="n">
        <f aca="false">J1038/151</f>
        <v>0.609271523178808</v>
      </c>
      <c r="L1038" s="25" t="n">
        <f aca="false">MIN(INDEX('Move Reality'!$F$5:$F$19,MATCH(B1038,'Move Reality'!$A$5:$A$19,0)),INDEX('Move Reality'!$F$5:$F$19,MATCH(C1038,'Move Reality'!$A$5:$A$19,0)),INDEX('Move Reality'!$F$5:$F$19,MATCH(D1038,'Move Reality'!$A$5:$A$19,0)),INDEX('Move Reality'!$F$5:$F$19,MATCH(E1038,'Move Reality'!$A$5:$A$19,0)))</f>
        <v>2</v>
      </c>
      <c r="M1038" s="28" t="str">
        <f aca="false">IF(L1038&gt;=5,"YES","no - dead move")</f>
        <v>no - dead move</v>
      </c>
    </row>
    <row r="1039" customFormat="false" ht="15" hidden="false" customHeight="false" outlineLevel="0" collapsed="false">
      <c r="A1039" s="17" t="n">
        <v>1035</v>
      </c>
      <c r="B1039" s="17" t="s">
        <v>43</v>
      </c>
      <c r="C1039" s="17" t="s">
        <v>47</v>
      </c>
      <c r="D1039" s="17" t="s">
        <v>50</v>
      </c>
      <c r="E1039" s="17" t="s">
        <v>53</v>
      </c>
      <c r="F1039" s="25" t="n">
        <f aca="false">SUMPRODUCT(--((('Yellow Bosses'!$K$5:$K$53&gt;=2)+('Yellow Bosses'!$O$5:$O$53&gt;=2)+('Yellow Bosses'!$R$5:$R$53&gt;=2)+('Yellow Bosses'!$U$5:$U$53&gt;=2))&gt;0))</f>
        <v>27</v>
      </c>
      <c r="G1039" s="26" t="n">
        <f aca="false">F1039/49</f>
        <v>0.551020408163265</v>
      </c>
      <c r="H1039" s="25" t="n">
        <f aca="false">49-SUMPRODUCT(--((('Yellow Bosses'!$K$5:$K$53&gt;=1)+('Yellow Bosses'!$O$5:$O$53&gt;=1)+('Yellow Bosses'!$R$5:$R$53&gt;=1)+('Yellow Bosses'!$U$5:$U$53&gt;=1))&gt;0))</f>
        <v>0</v>
      </c>
      <c r="I1039" s="25" t="n">
        <f aca="false">SUMPRODUCT(--((('Yellow Bosses'!$K$5:$K$53&gt;0)+('Yellow Bosses'!$O$5:$O$53&gt;0)+('Yellow Bosses'!$R$5:$R$53&gt;0)+('Yellow Bosses'!$U$5:$U$53&gt;0))=0))</f>
        <v>0</v>
      </c>
      <c r="J1039" s="25" t="n">
        <f aca="false">SUMPRODUCT(--(((Effectiveness!$H$5:$H$155&gt;=2)+(Effectiveness!$L$5:$L$155&gt;=2)+(Effectiveness!$O$5:$O$155&gt;=2)+(Effectiveness!$R$5:$R$155&gt;=2))&gt;0))</f>
        <v>92</v>
      </c>
      <c r="K1039" s="26" t="n">
        <f aca="false">J1039/151</f>
        <v>0.609271523178808</v>
      </c>
      <c r="L1039" s="25" t="n">
        <f aca="false">MIN(INDEX('Move Reality'!$F$5:$F$19,MATCH(B1039,'Move Reality'!$A$5:$A$19,0)),INDEX('Move Reality'!$F$5:$F$19,MATCH(C1039,'Move Reality'!$A$5:$A$19,0)),INDEX('Move Reality'!$F$5:$F$19,MATCH(D1039,'Move Reality'!$A$5:$A$19,0)),INDEX('Move Reality'!$F$5:$F$19,MATCH(E1039,'Move Reality'!$A$5:$A$19,0)))</f>
        <v>1</v>
      </c>
      <c r="M1039" s="28" t="str">
        <f aca="false">IF(L1039&gt;=5,"YES","no - dead move")</f>
        <v>no - dead move</v>
      </c>
    </row>
    <row r="1040" customFormat="false" ht="15" hidden="false" customHeight="false" outlineLevel="0" collapsed="false">
      <c r="A1040" s="17" t="n">
        <v>1036</v>
      </c>
      <c r="B1040" s="17" t="s">
        <v>43</v>
      </c>
      <c r="C1040" s="17" t="s">
        <v>49</v>
      </c>
      <c r="D1040" s="17" t="s">
        <v>50</v>
      </c>
      <c r="E1040" s="17" t="s">
        <v>53</v>
      </c>
      <c r="F1040" s="25" t="n">
        <f aca="false">SUMPRODUCT(--((('Yellow Bosses'!$K$5:$K$53&gt;=2)+('Yellow Bosses'!$Q$5:$Q$53&gt;=2)+('Yellow Bosses'!$R$5:$R$53&gt;=2)+('Yellow Bosses'!$U$5:$U$53&gt;=2))&gt;0))</f>
        <v>27</v>
      </c>
      <c r="G1040" s="26" t="n">
        <f aca="false">F1040/49</f>
        <v>0.551020408163265</v>
      </c>
      <c r="H1040" s="25" t="n">
        <f aca="false">49-SUMPRODUCT(--((('Yellow Bosses'!$K$5:$K$53&gt;=1)+('Yellow Bosses'!$Q$5:$Q$53&gt;=1)+('Yellow Bosses'!$R$5:$R$53&gt;=1)+('Yellow Bosses'!$U$5:$U$53&gt;=1))&gt;0))</f>
        <v>0</v>
      </c>
      <c r="I1040" s="25" t="n">
        <f aca="false">SUMPRODUCT(--((('Yellow Bosses'!$K$5:$K$53&gt;0)+('Yellow Bosses'!$Q$5:$Q$53&gt;0)+('Yellow Bosses'!$R$5:$R$53&gt;0)+('Yellow Bosses'!$U$5:$U$53&gt;0))=0))</f>
        <v>0</v>
      </c>
      <c r="J1040" s="25" t="n">
        <f aca="false">SUMPRODUCT(--(((Effectiveness!$H$5:$H$155&gt;=2)+(Effectiveness!$N$5:$N$155&gt;=2)+(Effectiveness!$O$5:$O$155&gt;=2)+(Effectiveness!$R$5:$R$155&gt;=2))&gt;0))</f>
        <v>92</v>
      </c>
      <c r="K1040" s="26" t="n">
        <f aca="false">J1040/151</f>
        <v>0.609271523178808</v>
      </c>
      <c r="L1040" s="25" t="n">
        <f aca="false">MIN(INDEX('Move Reality'!$F$5:$F$19,MATCH(B1040,'Move Reality'!$A$5:$A$19,0)),INDEX('Move Reality'!$F$5:$F$19,MATCH(C1040,'Move Reality'!$A$5:$A$19,0)),INDEX('Move Reality'!$F$5:$F$19,MATCH(D1040,'Move Reality'!$A$5:$A$19,0)),INDEX('Move Reality'!$F$5:$F$19,MATCH(E1040,'Move Reality'!$A$5:$A$19,0)))</f>
        <v>1</v>
      </c>
      <c r="M1040" s="28" t="str">
        <f aca="false">IF(L1040&gt;=5,"YES","no - dead move")</f>
        <v>no - dead move</v>
      </c>
    </row>
    <row r="1041" customFormat="false" ht="15" hidden="false" customHeight="false" outlineLevel="0" collapsed="false">
      <c r="A1041" s="17" t="n">
        <v>1037</v>
      </c>
      <c r="B1041" s="17" t="s">
        <v>44</v>
      </c>
      <c r="C1041" s="17" t="s">
        <v>46</v>
      </c>
      <c r="D1041" s="17" t="s">
        <v>48</v>
      </c>
      <c r="E1041" s="17" t="s">
        <v>53</v>
      </c>
      <c r="F1041" s="25" t="n">
        <f aca="false">SUMPRODUCT(--((('Yellow Bosses'!$L$5:$L$53&gt;=2)+('Yellow Bosses'!$N$5:$N$53&gt;=2)+('Yellow Bosses'!$P$5:$P$53&gt;=2)+('Yellow Bosses'!$U$5:$U$53&gt;=2))&gt;0))</f>
        <v>27</v>
      </c>
      <c r="G1041" s="26" t="n">
        <f aca="false">F1041/49</f>
        <v>0.551020408163265</v>
      </c>
      <c r="H1041" s="25" t="n">
        <f aca="false">49-SUMPRODUCT(--((('Yellow Bosses'!$L$5:$L$53&gt;=1)+('Yellow Bosses'!$N$5:$N$53&gt;=1)+('Yellow Bosses'!$P$5:$P$53&gt;=1)+('Yellow Bosses'!$U$5:$U$53&gt;=1))&gt;0))</f>
        <v>1</v>
      </c>
      <c r="I1041" s="25" t="n">
        <f aca="false">SUMPRODUCT(--((('Yellow Bosses'!$L$5:$L$53&gt;0)+('Yellow Bosses'!$N$5:$N$53&gt;0)+('Yellow Bosses'!$P$5:$P$53&gt;0)+('Yellow Bosses'!$U$5:$U$53&gt;0))=0))</f>
        <v>0</v>
      </c>
      <c r="J1041" s="25" t="n">
        <f aca="false">SUMPRODUCT(--(((Effectiveness!$I$5:$I$155&gt;=2)+(Effectiveness!$K$5:$K$155&gt;=2)+(Effectiveness!$M$5:$M$155&gt;=2)+(Effectiveness!$R$5:$R$155&gt;=2))&gt;0))</f>
        <v>92</v>
      </c>
      <c r="K1041" s="26" t="n">
        <f aca="false">J1041/151</f>
        <v>0.609271523178808</v>
      </c>
      <c r="L1041" s="25" t="n">
        <f aca="false">MIN(INDEX('Move Reality'!$F$5:$F$19,MATCH(B1041,'Move Reality'!$A$5:$A$19,0)),INDEX('Move Reality'!$F$5:$F$19,MATCH(C1041,'Move Reality'!$A$5:$A$19,0)),INDEX('Move Reality'!$F$5:$F$19,MATCH(D1041,'Move Reality'!$A$5:$A$19,0)),INDEX('Move Reality'!$F$5:$F$19,MATCH(E1041,'Move Reality'!$A$5:$A$19,0)))</f>
        <v>1</v>
      </c>
      <c r="M1041" s="28" t="str">
        <f aca="false">IF(L1041&gt;=5,"YES","no - dead move")</f>
        <v>no - dead move</v>
      </c>
    </row>
    <row r="1042" customFormat="false" ht="15" hidden="false" customHeight="false" outlineLevel="0" collapsed="false">
      <c r="A1042" s="17" t="n">
        <v>1038</v>
      </c>
      <c r="B1042" s="17" t="s">
        <v>42</v>
      </c>
      <c r="C1042" s="17" t="s">
        <v>43</v>
      </c>
      <c r="D1042" s="17" t="s">
        <v>46</v>
      </c>
      <c r="E1042" s="17" t="s">
        <v>53</v>
      </c>
      <c r="F1042" s="25" t="n">
        <f aca="false">SUMPRODUCT(--((('Yellow Bosses'!$J$5:$J$53&gt;=2)+('Yellow Bosses'!$K$5:$K$53&gt;=2)+('Yellow Bosses'!$N$5:$N$53&gt;=2)+('Yellow Bosses'!$U$5:$U$53&gt;=2))&gt;0))</f>
        <v>27</v>
      </c>
      <c r="G1042" s="26" t="n">
        <f aca="false">F1042/49</f>
        <v>0.551020408163265</v>
      </c>
      <c r="H1042" s="25" t="n">
        <f aca="false">49-SUMPRODUCT(--((('Yellow Bosses'!$J$5:$J$53&gt;=1)+('Yellow Bosses'!$K$5:$K$53&gt;=1)+('Yellow Bosses'!$N$5:$N$53&gt;=1)+('Yellow Bosses'!$U$5:$U$53&gt;=1))&gt;0))</f>
        <v>1</v>
      </c>
      <c r="I1042" s="25" t="n">
        <f aca="false">SUMPRODUCT(--((('Yellow Bosses'!$J$5:$J$53&gt;0)+('Yellow Bosses'!$K$5:$K$53&gt;0)+('Yellow Bosses'!$N$5:$N$53&gt;0)+('Yellow Bosses'!$U$5:$U$53&gt;0))=0))</f>
        <v>0</v>
      </c>
      <c r="J1042" s="25" t="n">
        <f aca="false">SUMPRODUCT(--(((Effectiveness!$G$5:$G$155&gt;=2)+(Effectiveness!$H$5:$H$155&gt;=2)+(Effectiveness!$K$5:$K$155&gt;=2)+(Effectiveness!$R$5:$R$155&gt;=2))&gt;0))</f>
        <v>91</v>
      </c>
      <c r="K1042" s="26" t="n">
        <f aca="false">J1042/151</f>
        <v>0.602649006622517</v>
      </c>
      <c r="L1042" s="25" t="n">
        <f aca="false">MIN(INDEX('Move Reality'!$F$5:$F$19,MATCH(B1042,'Move Reality'!$A$5:$A$19,0)),INDEX('Move Reality'!$F$5:$F$19,MATCH(C1042,'Move Reality'!$A$5:$A$19,0)),INDEX('Move Reality'!$F$5:$F$19,MATCH(D1042,'Move Reality'!$A$5:$A$19,0)),INDEX('Move Reality'!$F$5:$F$19,MATCH(E1042,'Move Reality'!$A$5:$A$19,0)))</f>
        <v>1</v>
      </c>
      <c r="M1042" s="28" t="str">
        <f aca="false">IF(L1042&gt;=5,"YES","no - dead move")</f>
        <v>no - dead move</v>
      </c>
    </row>
    <row r="1043" customFormat="false" ht="15" hidden="false" customHeight="false" outlineLevel="0" collapsed="false">
      <c r="A1043" s="17" t="n">
        <v>1039</v>
      </c>
      <c r="B1043" s="17" t="s">
        <v>42</v>
      </c>
      <c r="C1043" s="17" t="s">
        <v>43</v>
      </c>
      <c r="D1043" s="17" t="s">
        <v>46</v>
      </c>
      <c r="E1043" s="17" t="s">
        <v>54</v>
      </c>
      <c r="F1043" s="25" t="n">
        <f aca="false">SUMPRODUCT(--((('Yellow Bosses'!$J$5:$J$53&gt;=2)+('Yellow Bosses'!$K$5:$K$53&gt;=2)+('Yellow Bosses'!$N$5:$N$53&gt;=2)+('Yellow Bosses'!$V$5:$V$53&gt;=2))&gt;0))</f>
        <v>27</v>
      </c>
      <c r="G1043" s="26" t="n">
        <f aca="false">F1043/49</f>
        <v>0.551020408163265</v>
      </c>
      <c r="H1043" s="25" t="n">
        <f aca="false">49-SUMPRODUCT(--((('Yellow Bosses'!$J$5:$J$53&gt;=1)+('Yellow Bosses'!$K$5:$K$53&gt;=1)+('Yellow Bosses'!$N$5:$N$53&gt;=1)+('Yellow Bosses'!$V$5:$V$53&gt;=1))&gt;0))</f>
        <v>0</v>
      </c>
      <c r="I1043" s="25" t="n">
        <f aca="false">SUMPRODUCT(--((('Yellow Bosses'!$J$5:$J$53&gt;0)+('Yellow Bosses'!$K$5:$K$53&gt;0)+('Yellow Bosses'!$N$5:$N$53&gt;0)+('Yellow Bosses'!$V$5:$V$53&gt;0))=0))</f>
        <v>0</v>
      </c>
      <c r="J1043" s="25" t="n">
        <f aca="false">SUMPRODUCT(--(((Effectiveness!$G$5:$G$155&gt;=2)+(Effectiveness!$H$5:$H$155&gt;=2)+(Effectiveness!$K$5:$K$155&gt;=2)+(Effectiveness!$S$5:$S$155&gt;=2))&gt;0))</f>
        <v>91</v>
      </c>
      <c r="K1043" s="26" t="n">
        <f aca="false">J1043/151</f>
        <v>0.602649006622517</v>
      </c>
      <c r="L1043" s="25" t="n">
        <f aca="false">MIN(INDEX('Move Reality'!$F$5:$F$19,MATCH(B1043,'Move Reality'!$A$5:$A$19,0)),INDEX('Move Reality'!$F$5:$F$19,MATCH(C1043,'Move Reality'!$A$5:$A$19,0)),INDEX('Move Reality'!$F$5:$F$19,MATCH(D1043,'Move Reality'!$A$5:$A$19,0)),INDEX('Move Reality'!$F$5:$F$19,MATCH(E1043,'Move Reality'!$A$5:$A$19,0)))</f>
        <v>1</v>
      </c>
      <c r="M1043" s="28" t="str">
        <f aca="false">IF(L1043&gt;=5,"YES","no - dead move")</f>
        <v>no - dead move</v>
      </c>
    </row>
    <row r="1044" customFormat="false" ht="15" hidden="false" customHeight="false" outlineLevel="0" collapsed="false">
      <c r="A1044" s="17" t="n">
        <v>1040</v>
      </c>
      <c r="B1044" s="17" t="s">
        <v>40</v>
      </c>
      <c r="C1044" s="17" t="s">
        <v>43</v>
      </c>
      <c r="D1044" s="17" t="s">
        <v>49</v>
      </c>
      <c r="E1044" s="17" t="s">
        <v>52</v>
      </c>
      <c r="F1044" s="25" t="n">
        <f aca="false">SUMPRODUCT(--((('Yellow Bosses'!$H$5:$H$53&gt;=2)+('Yellow Bosses'!$K$5:$K$53&gt;=2)+('Yellow Bosses'!$Q$5:$Q$53&gt;=2)+('Yellow Bosses'!$T$5:$T$53&gt;=2))&gt;0))</f>
        <v>27</v>
      </c>
      <c r="G1044" s="26" t="n">
        <f aca="false">F1044/49</f>
        <v>0.551020408163265</v>
      </c>
      <c r="H1044" s="25" t="n">
        <f aca="false">49-SUMPRODUCT(--((('Yellow Bosses'!$H$5:$H$53&gt;=1)+('Yellow Bosses'!$K$5:$K$53&gt;=1)+('Yellow Bosses'!$Q$5:$Q$53&gt;=1)+('Yellow Bosses'!$T$5:$T$53&gt;=1))&gt;0))</f>
        <v>5</v>
      </c>
      <c r="I1044" s="25" t="n">
        <f aca="false">SUMPRODUCT(--((('Yellow Bosses'!$H$5:$H$53&gt;0)+('Yellow Bosses'!$K$5:$K$53&gt;0)+('Yellow Bosses'!$Q$5:$Q$53&gt;0)+('Yellow Bosses'!$T$5:$T$53&gt;0))=0))</f>
        <v>0</v>
      </c>
      <c r="J1044" s="25" t="n">
        <f aca="false">SUMPRODUCT(--(((Effectiveness!$E$5:$E$155&gt;=2)+(Effectiveness!$H$5:$H$155&gt;=2)+(Effectiveness!$N$5:$N$155&gt;=2)+(Effectiveness!$Q$5:$Q$155&gt;=2))&gt;0))</f>
        <v>90</v>
      </c>
      <c r="K1044" s="26" t="n">
        <f aca="false">J1044/151</f>
        <v>0.596026490066225</v>
      </c>
      <c r="L1044" s="25" t="n">
        <f aca="false">MIN(INDEX('Move Reality'!$F$5:$F$19,MATCH(B1044,'Move Reality'!$A$5:$A$19,0)),INDEX('Move Reality'!$F$5:$F$19,MATCH(C1044,'Move Reality'!$A$5:$A$19,0)),INDEX('Move Reality'!$F$5:$F$19,MATCH(D1044,'Move Reality'!$A$5:$A$19,0)),INDEX('Move Reality'!$F$5:$F$19,MATCH(E1044,'Move Reality'!$A$5:$A$19,0)))</f>
        <v>5</v>
      </c>
      <c r="M1044" s="28" t="str">
        <f aca="false">IF(L1044&gt;=5,"YES","no - dead move")</f>
        <v>YES</v>
      </c>
    </row>
    <row r="1045" customFormat="false" ht="15" hidden="false" customHeight="false" outlineLevel="0" collapsed="false">
      <c r="A1045" s="17" t="n">
        <v>1041</v>
      </c>
      <c r="B1045" s="17" t="s">
        <v>41</v>
      </c>
      <c r="C1045" s="17" t="s">
        <v>43</v>
      </c>
      <c r="D1045" s="17" t="s">
        <v>49</v>
      </c>
      <c r="E1045" s="17" t="s">
        <v>52</v>
      </c>
      <c r="F1045" s="25" t="n">
        <f aca="false">SUMPRODUCT(--((('Yellow Bosses'!$I$5:$I$53&gt;=2)+('Yellow Bosses'!$K$5:$K$53&gt;=2)+('Yellow Bosses'!$Q$5:$Q$53&gt;=2)+('Yellow Bosses'!$T$5:$T$53&gt;=2))&gt;0))</f>
        <v>27</v>
      </c>
      <c r="G1045" s="26" t="n">
        <f aca="false">F1045/49</f>
        <v>0.551020408163265</v>
      </c>
      <c r="H1045" s="25" t="n">
        <f aca="false">49-SUMPRODUCT(--((('Yellow Bosses'!$I$5:$I$53&gt;=1)+('Yellow Bosses'!$K$5:$K$53&gt;=1)+('Yellow Bosses'!$Q$5:$Q$53&gt;=1)+('Yellow Bosses'!$T$5:$T$53&gt;=1))&gt;0))</f>
        <v>5</v>
      </c>
      <c r="I1045" s="25" t="n">
        <f aca="false">SUMPRODUCT(--((('Yellow Bosses'!$I$5:$I$53&gt;0)+('Yellow Bosses'!$K$5:$K$53&gt;0)+('Yellow Bosses'!$Q$5:$Q$53&gt;0)+('Yellow Bosses'!$T$5:$T$53&gt;0))=0))</f>
        <v>0</v>
      </c>
      <c r="J1045" s="25" t="n">
        <f aca="false">SUMPRODUCT(--(((Effectiveness!$F$5:$F$155&gt;=2)+(Effectiveness!$H$5:$H$155&gt;=2)+(Effectiveness!$N$5:$N$155&gt;=2)+(Effectiveness!$Q$5:$Q$155&gt;=2))&gt;0))</f>
        <v>90</v>
      </c>
      <c r="K1045" s="26" t="n">
        <f aca="false">J1045/151</f>
        <v>0.596026490066225</v>
      </c>
      <c r="L1045" s="25" t="n">
        <f aca="false">MIN(INDEX('Move Reality'!$F$5:$F$19,MATCH(B1045,'Move Reality'!$A$5:$A$19,0)),INDEX('Move Reality'!$F$5:$F$19,MATCH(C1045,'Move Reality'!$A$5:$A$19,0)),INDEX('Move Reality'!$F$5:$F$19,MATCH(D1045,'Move Reality'!$A$5:$A$19,0)),INDEX('Move Reality'!$F$5:$F$19,MATCH(E1045,'Move Reality'!$A$5:$A$19,0)))</f>
        <v>5</v>
      </c>
      <c r="M1045" s="28" t="str">
        <f aca="false">IF(L1045&gt;=5,"YES","no - dead move")</f>
        <v>YES</v>
      </c>
    </row>
    <row r="1046" customFormat="false" ht="15" hidden="false" customHeight="false" outlineLevel="0" collapsed="false">
      <c r="A1046" s="17" t="n">
        <v>1042</v>
      </c>
      <c r="B1046" s="17" t="s">
        <v>41</v>
      </c>
      <c r="C1046" s="17" t="s">
        <v>44</v>
      </c>
      <c r="D1046" s="17" t="s">
        <v>46</v>
      </c>
      <c r="E1046" s="17" t="s">
        <v>49</v>
      </c>
      <c r="F1046" s="25" t="n">
        <f aca="false">SUMPRODUCT(--((('Yellow Bosses'!$I$5:$I$53&gt;=2)+('Yellow Bosses'!$L$5:$L$53&gt;=2)+('Yellow Bosses'!$N$5:$N$53&gt;=2)+('Yellow Bosses'!$Q$5:$Q$53&gt;=2))&gt;0))</f>
        <v>27</v>
      </c>
      <c r="G1046" s="26" t="n">
        <f aca="false">F1046/49</f>
        <v>0.551020408163265</v>
      </c>
      <c r="H1046" s="25" t="n">
        <f aca="false">49-SUMPRODUCT(--((('Yellow Bosses'!$I$5:$I$53&gt;=1)+('Yellow Bosses'!$L$5:$L$53&gt;=1)+('Yellow Bosses'!$N$5:$N$53&gt;=1)+('Yellow Bosses'!$Q$5:$Q$53&gt;=1))&gt;0))</f>
        <v>0</v>
      </c>
      <c r="I1046" s="25" t="n">
        <f aca="false">SUMPRODUCT(--((('Yellow Bosses'!$I$5:$I$53&gt;0)+('Yellow Bosses'!$L$5:$L$53&gt;0)+('Yellow Bosses'!$N$5:$N$53&gt;0)+('Yellow Bosses'!$Q$5:$Q$53&gt;0))=0))</f>
        <v>0</v>
      </c>
      <c r="J1046" s="25" t="n">
        <f aca="false">SUMPRODUCT(--(((Effectiveness!$F$5:$F$155&gt;=2)+(Effectiveness!$I$5:$I$155&gt;=2)+(Effectiveness!$K$5:$K$155&gt;=2)+(Effectiveness!$N$5:$N$155&gt;=2))&gt;0))</f>
        <v>90</v>
      </c>
      <c r="K1046" s="26" t="n">
        <f aca="false">J1046/151</f>
        <v>0.596026490066225</v>
      </c>
      <c r="L1046" s="25" t="n">
        <f aca="false">MIN(INDEX('Move Reality'!$F$5:$F$19,MATCH(B1046,'Move Reality'!$A$5:$A$19,0)),INDEX('Move Reality'!$F$5:$F$19,MATCH(C1046,'Move Reality'!$A$5:$A$19,0)),INDEX('Move Reality'!$F$5:$F$19,MATCH(D1046,'Move Reality'!$A$5:$A$19,0)),INDEX('Move Reality'!$F$5:$F$19,MATCH(E1046,'Move Reality'!$A$5:$A$19,0)))</f>
        <v>4</v>
      </c>
      <c r="M1046" s="28" t="str">
        <f aca="false">IF(L1046&gt;=5,"YES","no - dead move")</f>
        <v>no - dead move</v>
      </c>
    </row>
    <row r="1047" customFormat="false" ht="15" hidden="false" customHeight="false" outlineLevel="0" collapsed="false">
      <c r="A1047" s="17" t="n">
        <v>1043</v>
      </c>
      <c r="B1047" s="17" t="s">
        <v>43</v>
      </c>
      <c r="C1047" s="17" t="s">
        <v>47</v>
      </c>
      <c r="D1047" s="17" t="s">
        <v>49</v>
      </c>
      <c r="E1047" s="17" t="s">
        <v>52</v>
      </c>
      <c r="F1047" s="25" t="n">
        <f aca="false">SUMPRODUCT(--((('Yellow Bosses'!$K$5:$K$53&gt;=2)+('Yellow Bosses'!$O$5:$O$53&gt;=2)+('Yellow Bosses'!$Q$5:$Q$53&gt;=2)+('Yellow Bosses'!$T$5:$T$53&gt;=2))&gt;0))</f>
        <v>27</v>
      </c>
      <c r="G1047" s="26" t="n">
        <f aca="false">F1047/49</f>
        <v>0.551020408163265</v>
      </c>
      <c r="H1047" s="25" t="n">
        <f aca="false">49-SUMPRODUCT(--((('Yellow Bosses'!$K$5:$K$53&gt;=1)+('Yellow Bosses'!$O$5:$O$53&gt;=1)+('Yellow Bosses'!$Q$5:$Q$53&gt;=1)+('Yellow Bosses'!$T$5:$T$53&gt;=1))&gt;0))</f>
        <v>5</v>
      </c>
      <c r="I1047" s="25" t="n">
        <f aca="false">SUMPRODUCT(--((('Yellow Bosses'!$K$5:$K$53&gt;0)+('Yellow Bosses'!$O$5:$O$53&gt;0)+('Yellow Bosses'!$Q$5:$Q$53&gt;0)+('Yellow Bosses'!$T$5:$T$53&gt;0))=0))</f>
        <v>0</v>
      </c>
      <c r="J1047" s="25" t="n">
        <f aca="false">SUMPRODUCT(--(((Effectiveness!$H$5:$H$155&gt;=2)+(Effectiveness!$L$5:$L$155&gt;=2)+(Effectiveness!$N$5:$N$155&gt;=2)+(Effectiveness!$Q$5:$Q$155&gt;=2))&gt;0))</f>
        <v>90</v>
      </c>
      <c r="K1047" s="26" t="n">
        <f aca="false">J1047/151</f>
        <v>0.596026490066225</v>
      </c>
      <c r="L1047" s="25" t="n">
        <f aca="false">MIN(INDEX('Move Reality'!$F$5:$F$19,MATCH(B1047,'Move Reality'!$A$5:$A$19,0)),INDEX('Move Reality'!$F$5:$F$19,MATCH(C1047,'Move Reality'!$A$5:$A$19,0)),INDEX('Move Reality'!$F$5:$F$19,MATCH(D1047,'Move Reality'!$A$5:$A$19,0)),INDEX('Move Reality'!$F$5:$F$19,MATCH(E1047,'Move Reality'!$A$5:$A$19,0)))</f>
        <v>2</v>
      </c>
      <c r="M1047" s="28" t="str">
        <f aca="false">IF(L1047&gt;=5,"YES","no - dead move")</f>
        <v>no - dead move</v>
      </c>
    </row>
    <row r="1048" customFormat="false" ht="15" hidden="false" customHeight="false" outlineLevel="0" collapsed="false">
      <c r="A1048" s="17" t="n">
        <v>1044</v>
      </c>
      <c r="B1048" s="17" t="s">
        <v>40</v>
      </c>
      <c r="C1048" s="17" t="s">
        <v>43</v>
      </c>
      <c r="D1048" s="17" t="s">
        <v>48</v>
      </c>
      <c r="E1048" s="17" t="s">
        <v>53</v>
      </c>
      <c r="F1048" s="25" t="n">
        <f aca="false">SUMPRODUCT(--((('Yellow Bosses'!$H$5:$H$53&gt;=2)+('Yellow Bosses'!$K$5:$K$53&gt;=2)+('Yellow Bosses'!$P$5:$P$53&gt;=2)+('Yellow Bosses'!$U$5:$U$53&gt;=2))&gt;0))</f>
        <v>27</v>
      </c>
      <c r="G1048" s="26" t="n">
        <f aca="false">F1048/49</f>
        <v>0.551020408163265</v>
      </c>
      <c r="H1048" s="25" t="n">
        <f aca="false">49-SUMPRODUCT(--((('Yellow Bosses'!$H$5:$H$53&gt;=1)+('Yellow Bosses'!$K$5:$K$53&gt;=1)+('Yellow Bosses'!$P$5:$P$53&gt;=1)+('Yellow Bosses'!$U$5:$U$53&gt;=1))&gt;0))</f>
        <v>0</v>
      </c>
      <c r="I1048" s="25" t="n">
        <f aca="false">SUMPRODUCT(--((('Yellow Bosses'!$H$5:$H$53&gt;0)+('Yellow Bosses'!$K$5:$K$53&gt;0)+('Yellow Bosses'!$P$5:$P$53&gt;0)+('Yellow Bosses'!$U$5:$U$53&gt;0))=0))</f>
        <v>0</v>
      </c>
      <c r="J1048" s="25" t="n">
        <f aca="false">SUMPRODUCT(--(((Effectiveness!$E$5:$E$155&gt;=2)+(Effectiveness!$H$5:$H$155&gt;=2)+(Effectiveness!$M$5:$M$155&gt;=2)+(Effectiveness!$R$5:$R$155&gt;=2))&gt;0))</f>
        <v>87</v>
      </c>
      <c r="K1048" s="26" t="n">
        <f aca="false">J1048/151</f>
        <v>0.576158940397351</v>
      </c>
      <c r="L1048" s="25" t="n">
        <f aca="false">MIN(INDEX('Move Reality'!$F$5:$F$19,MATCH(B1048,'Move Reality'!$A$5:$A$19,0)),INDEX('Move Reality'!$F$5:$F$19,MATCH(C1048,'Move Reality'!$A$5:$A$19,0)),INDEX('Move Reality'!$F$5:$F$19,MATCH(D1048,'Move Reality'!$A$5:$A$19,0)),INDEX('Move Reality'!$F$5:$F$19,MATCH(E1048,'Move Reality'!$A$5:$A$19,0)))</f>
        <v>1</v>
      </c>
      <c r="M1048" s="28" t="str">
        <f aca="false">IF(L1048&gt;=5,"YES","no - dead move")</f>
        <v>no - dead move</v>
      </c>
    </row>
    <row r="1049" customFormat="false" ht="15" hidden="false" customHeight="false" outlineLevel="0" collapsed="false">
      <c r="A1049" s="17" t="n">
        <v>1045</v>
      </c>
      <c r="B1049" s="17" t="s">
        <v>41</v>
      </c>
      <c r="C1049" s="17" t="s">
        <v>43</v>
      </c>
      <c r="D1049" s="17" t="s">
        <v>52</v>
      </c>
      <c r="E1049" s="17" t="s">
        <v>53</v>
      </c>
      <c r="F1049" s="25" t="n">
        <f aca="false">SUMPRODUCT(--((('Yellow Bosses'!$I$5:$I$53&gt;=2)+('Yellow Bosses'!$K$5:$K$53&gt;=2)+('Yellow Bosses'!$T$5:$T$53&gt;=2)+('Yellow Bosses'!$U$5:$U$53&gt;=2))&gt;0))</f>
        <v>27</v>
      </c>
      <c r="G1049" s="26" t="n">
        <f aca="false">F1049/49</f>
        <v>0.551020408163265</v>
      </c>
      <c r="H1049" s="25" t="n">
        <f aca="false">49-SUMPRODUCT(--((('Yellow Bosses'!$I$5:$I$53&gt;=1)+('Yellow Bosses'!$K$5:$K$53&gt;=1)+('Yellow Bosses'!$T$5:$T$53&gt;=1)+('Yellow Bosses'!$U$5:$U$53&gt;=1))&gt;0))</f>
        <v>0</v>
      </c>
      <c r="I1049" s="25" t="n">
        <f aca="false">SUMPRODUCT(--((('Yellow Bosses'!$I$5:$I$53&gt;0)+('Yellow Bosses'!$K$5:$K$53&gt;0)+('Yellow Bosses'!$T$5:$T$53&gt;0)+('Yellow Bosses'!$U$5:$U$53&gt;0))=0))</f>
        <v>0</v>
      </c>
      <c r="J1049" s="25" t="n">
        <f aca="false">SUMPRODUCT(--(((Effectiveness!$F$5:$F$155&gt;=2)+(Effectiveness!$H$5:$H$155&gt;=2)+(Effectiveness!$Q$5:$Q$155&gt;=2)+(Effectiveness!$R$5:$R$155&gt;=2))&gt;0))</f>
        <v>86</v>
      </c>
      <c r="K1049" s="26" t="n">
        <f aca="false">J1049/151</f>
        <v>0.56953642384106</v>
      </c>
      <c r="L1049" s="25" t="n">
        <f aca="false">MIN(INDEX('Move Reality'!$F$5:$F$19,MATCH(B1049,'Move Reality'!$A$5:$A$19,0)),INDEX('Move Reality'!$F$5:$F$19,MATCH(C1049,'Move Reality'!$A$5:$A$19,0)),INDEX('Move Reality'!$F$5:$F$19,MATCH(D1049,'Move Reality'!$A$5:$A$19,0)),INDEX('Move Reality'!$F$5:$F$19,MATCH(E1049,'Move Reality'!$A$5:$A$19,0)))</f>
        <v>1</v>
      </c>
      <c r="M1049" s="28" t="str">
        <f aca="false">IF(L1049&gt;=5,"YES","no - dead move")</f>
        <v>no - dead move</v>
      </c>
    </row>
    <row r="1050" customFormat="false" ht="15" hidden="false" customHeight="false" outlineLevel="0" collapsed="false">
      <c r="A1050" s="17" t="n">
        <v>1046</v>
      </c>
      <c r="B1050" s="17" t="s">
        <v>41</v>
      </c>
      <c r="C1050" s="17" t="s">
        <v>44</v>
      </c>
      <c r="D1050" s="17" t="s">
        <v>46</v>
      </c>
      <c r="E1050" s="17" t="s">
        <v>53</v>
      </c>
      <c r="F1050" s="25" t="n">
        <f aca="false">SUMPRODUCT(--((('Yellow Bosses'!$I$5:$I$53&gt;=2)+('Yellow Bosses'!$L$5:$L$53&gt;=2)+('Yellow Bosses'!$N$5:$N$53&gt;=2)+('Yellow Bosses'!$U$5:$U$53&gt;=2))&gt;0))</f>
        <v>27</v>
      </c>
      <c r="G1050" s="26" t="n">
        <f aca="false">F1050/49</f>
        <v>0.551020408163265</v>
      </c>
      <c r="H1050" s="25" t="n">
        <f aca="false">49-SUMPRODUCT(--((('Yellow Bosses'!$I$5:$I$53&gt;=1)+('Yellow Bosses'!$L$5:$L$53&gt;=1)+('Yellow Bosses'!$N$5:$N$53&gt;=1)+('Yellow Bosses'!$U$5:$U$53&gt;=1))&gt;0))</f>
        <v>0</v>
      </c>
      <c r="I1050" s="25" t="n">
        <f aca="false">SUMPRODUCT(--((('Yellow Bosses'!$I$5:$I$53&gt;0)+('Yellow Bosses'!$L$5:$L$53&gt;0)+('Yellow Bosses'!$N$5:$N$53&gt;0)+('Yellow Bosses'!$U$5:$U$53&gt;0))=0))</f>
        <v>0</v>
      </c>
      <c r="J1050" s="25" t="n">
        <f aca="false">SUMPRODUCT(--(((Effectiveness!$F$5:$F$155&gt;=2)+(Effectiveness!$I$5:$I$155&gt;=2)+(Effectiveness!$K$5:$K$155&gt;=2)+(Effectiveness!$R$5:$R$155&gt;=2))&gt;0))</f>
        <v>86</v>
      </c>
      <c r="K1050" s="26" t="n">
        <f aca="false">J1050/151</f>
        <v>0.56953642384106</v>
      </c>
      <c r="L1050" s="25" t="n">
        <f aca="false">MIN(INDEX('Move Reality'!$F$5:$F$19,MATCH(B1050,'Move Reality'!$A$5:$A$19,0)),INDEX('Move Reality'!$F$5:$F$19,MATCH(C1050,'Move Reality'!$A$5:$A$19,0)),INDEX('Move Reality'!$F$5:$F$19,MATCH(D1050,'Move Reality'!$A$5:$A$19,0)),INDEX('Move Reality'!$F$5:$F$19,MATCH(E1050,'Move Reality'!$A$5:$A$19,0)))</f>
        <v>1</v>
      </c>
      <c r="M1050" s="28" t="str">
        <f aca="false">IF(L1050&gt;=5,"YES","no - dead move")</f>
        <v>no - dead move</v>
      </c>
    </row>
    <row r="1051" customFormat="false" ht="15" hidden="false" customHeight="false" outlineLevel="0" collapsed="false">
      <c r="A1051" s="17" t="n">
        <v>1047</v>
      </c>
      <c r="B1051" s="17" t="s">
        <v>41</v>
      </c>
      <c r="C1051" s="17" t="s">
        <v>44</v>
      </c>
      <c r="D1051" s="17" t="s">
        <v>46</v>
      </c>
      <c r="E1051" s="17" t="s">
        <v>54</v>
      </c>
      <c r="F1051" s="25" t="n">
        <f aca="false">SUMPRODUCT(--((('Yellow Bosses'!$I$5:$I$53&gt;=2)+('Yellow Bosses'!$L$5:$L$53&gt;=2)+('Yellow Bosses'!$N$5:$N$53&gt;=2)+('Yellow Bosses'!$V$5:$V$53&gt;=2))&gt;0))</f>
        <v>27</v>
      </c>
      <c r="G1051" s="26" t="n">
        <f aca="false">F1051/49</f>
        <v>0.551020408163265</v>
      </c>
      <c r="H1051" s="25" t="n">
        <f aca="false">49-SUMPRODUCT(--((('Yellow Bosses'!$I$5:$I$53&gt;=1)+('Yellow Bosses'!$L$5:$L$53&gt;=1)+('Yellow Bosses'!$N$5:$N$53&gt;=1)+('Yellow Bosses'!$V$5:$V$53&gt;=1))&gt;0))</f>
        <v>0</v>
      </c>
      <c r="I1051" s="25" t="n">
        <f aca="false">SUMPRODUCT(--((('Yellow Bosses'!$I$5:$I$53&gt;0)+('Yellow Bosses'!$L$5:$L$53&gt;0)+('Yellow Bosses'!$N$5:$N$53&gt;0)+('Yellow Bosses'!$V$5:$V$53&gt;0))=0))</f>
        <v>0</v>
      </c>
      <c r="J1051" s="25" t="n">
        <f aca="false">SUMPRODUCT(--(((Effectiveness!$F$5:$F$155&gt;=2)+(Effectiveness!$I$5:$I$155&gt;=2)+(Effectiveness!$K$5:$K$155&gt;=2)+(Effectiveness!$S$5:$S$155&gt;=2))&gt;0))</f>
        <v>86</v>
      </c>
      <c r="K1051" s="26" t="n">
        <f aca="false">J1051/151</f>
        <v>0.56953642384106</v>
      </c>
      <c r="L1051" s="25" t="n">
        <f aca="false">MIN(INDEX('Move Reality'!$F$5:$F$19,MATCH(B1051,'Move Reality'!$A$5:$A$19,0)),INDEX('Move Reality'!$F$5:$F$19,MATCH(C1051,'Move Reality'!$A$5:$A$19,0)),INDEX('Move Reality'!$F$5:$F$19,MATCH(D1051,'Move Reality'!$A$5:$A$19,0)),INDEX('Move Reality'!$F$5:$F$19,MATCH(E1051,'Move Reality'!$A$5:$A$19,0)))</f>
        <v>1</v>
      </c>
      <c r="M1051" s="28" t="str">
        <f aca="false">IF(L1051&gt;=5,"YES","no - dead move")</f>
        <v>no - dead move</v>
      </c>
    </row>
    <row r="1052" customFormat="false" ht="15" hidden="false" customHeight="false" outlineLevel="0" collapsed="false">
      <c r="A1052" s="17" t="n">
        <v>1048</v>
      </c>
      <c r="B1052" s="17" t="s">
        <v>40</v>
      </c>
      <c r="C1052" s="17" t="s">
        <v>43</v>
      </c>
      <c r="D1052" s="17" t="s">
        <v>44</v>
      </c>
      <c r="E1052" s="17" t="s">
        <v>52</v>
      </c>
      <c r="F1052" s="25" t="n">
        <f aca="false">SUMPRODUCT(--((('Yellow Bosses'!$H$5:$H$53&gt;=2)+('Yellow Bosses'!$K$5:$K$53&gt;=2)+('Yellow Bosses'!$L$5:$L$53&gt;=2)+('Yellow Bosses'!$T$5:$T$53&gt;=2))&gt;0))</f>
        <v>27</v>
      </c>
      <c r="G1052" s="26" t="n">
        <f aca="false">F1052/49</f>
        <v>0.551020408163265</v>
      </c>
      <c r="H1052" s="25" t="n">
        <f aca="false">49-SUMPRODUCT(--((('Yellow Bosses'!$H$5:$H$53&gt;=1)+('Yellow Bosses'!$K$5:$K$53&gt;=1)+('Yellow Bosses'!$L$5:$L$53&gt;=1)+('Yellow Bosses'!$T$5:$T$53&gt;=1))&gt;0))</f>
        <v>0</v>
      </c>
      <c r="I1052" s="25" t="n">
        <f aca="false">SUMPRODUCT(--((('Yellow Bosses'!$H$5:$H$53&gt;0)+('Yellow Bosses'!$K$5:$K$53&gt;0)+('Yellow Bosses'!$L$5:$L$53&gt;0)+('Yellow Bosses'!$T$5:$T$53&gt;0))=0))</f>
        <v>0</v>
      </c>
      <c r="J1052" s="25" t="n">
        <f aca="false">SUMPRODUCT(--(((Effectiveness!$E$5:$E$155&gt;=2)+(Effectiveness!$H$5:$H$155&gt;=2)+(Effectiveness!$I$5:$I$155&gt;=2)+(Effectiveness!$Q$5:$Q$155&gt;=2))&gt;0))</f>
        <v>83</v>
      </c>
      <c r="K1052" s="26" t="n">
        <f aca="false">J1052/151</f>
        <v>0.549668874172186</v>
      </c>
      <c r="L1052" s="25" t="n">
        <f aca="false">MIN(INDEX('Move Reality'!$F$5:$F$19,MATCH(B1052,'Move Reality'!$A$5:$A$19,0)),INDEX('Move Reality'!$F$5:$F$19,MATCH(C1052,'Move Reality'!$A$5:$A$19,0)),INDEX('Move Reality'!$F$5:$F$19,MATCH(D1052,'Move Reality'!$A$5:$A$19,0)),INDEX('Move Reality'!$F$5:$F$19,MATCH(E1052,'Move Reality'!$A$5:$A$19,0)))</f>
        <v>4</v>
      </c>
      <c r="M1052" s="28" t="str">
        <f aca="false">IF(L1052&gt;=5,"YES","no - dead move")</f>
        <v>no - dead move</v>
      </c>
    </row>
    <row r="1053" customFormat="false" ht="15" hidden="false" customHeight="false" outlineLevel="0" collapsed="false">
      <c r="A1053" s="17" t="n">
        <v>1049</v>
      </c>
      <c r="B1053" s="17" t="s">
        <v>43</v>
      </c>
      <c r="C1053" s="17" t="s">
        <v>49</v>
      </c>
      <c r="D1053" s="17" t="s">
        <v>53</v>
      </c>
      <c r="E1053" s="17" t="s">
        <v>54</v>
      </c>
      <c r="F1053" s="25" t="n">
        <f aca="false">SUMPRODUCT(--((('Yellow Bosses'!$K$5:$K$53&gt;=2)+('Yellow Bosses'!$Q$5:$Q$53&gt;=2)+('Yellow Bosses'!$U$5:$U$53&gt;=2)+('Yellow Bosses'!$V$5:$V$53&gt;=2))&gt;0))</f>
        <v>27</v>
      </c>
      <c r="G1053" s="26" t="n">
        <f aca="false">F1053/49</f>
        <v>0.551020408163265</v>
      </c>
      <c r="H1053" s="25" t="n">
        <f aca="false">49-SUMPRODUCT(--((('Yellow Bosses'!$K$5:$K$53&gt;=1)+('Yellow Bosses'!$Q$5:$Q$53&gt;=1)+('Yellow Bosses'!$U$5:$U$53&gt;=1)+('Yellow Bosses'!$V$5:$V$53&gt;=1))&gt;0))</f>
        <v>0</v>
      </c>
      <c r="I1053" s="25" t="n">
        <f aca="false">SUMPRODUCT(--((('Yellow Bosses'!$K$5:$K$53&gt;0)+('Yellow Bosses'!$Q$5:$Q$53&gt;0)+('Yellow Bosses'!$U$5:$U$53&gt;0)+('Yellow Bosses'!$V$5:$V$53&gt;0))=0))</f>
        <v>0</v>
      </c>
      <c r="J1053" s="25" t="n">
        <f aca="false">SUMPRODUCT(--(((Effectiveness!$H$5:$H$155&gt;=2)+(Effectiveness!$N$5:$N$155&gt;=2)+(Effectiveness!$R$5:$R$155&gt;=2)+(Effectiveness!$S$5:$S$155&gt;=2))&gt;0))</f>
        <v>83</v>
      </c>
      <c r="K1053" s="26" t="n">
        <f aca="false">J1053/151</f>
        <v>0.549668874172186</v>
      </c>
      <c r="L1053" s="25" t="n">
        <f aca="false">MIN(INDEX('Move Reality'!$F$5:$F$19,MATCH(B1053,'Move Reality'!$A$5:$A$19,0)),INDEX('Move Reality'!$F$5:$F$19,MATCH(C1053,'Move Reality'!$A$5:$A$19,0)),INDEX('Move Reality'!$F$5:$F$19,MATCH(D1053,'Move Reality'!$A$5:$A$19,0)),INDEX('Move Reality'!$F$5:$F$19,MATCH(E1053,'Move Reality'!$A$5:$A$19,0)))</f>
        <v>1</v>
      </c>
      <c r="M1053" s="28" t="str">
        <f aca="false">IF(L1053&gt;=5,"YES","no - dead move")</f>
        <v>no - dead move</v>
      </c>
    </row>
    <row r="1054" customFormat="false" ht="15" hidden="false" customHeight="false" outlineLevel="0" collapsed="false">
      <c r="A1054" s="17" t="n">
        <v>1050</v>
      </c>
      <c r="B1054" s="17" t="s">
        <v>40</v>
      </c>
      <c r="C1054" s="17" t="s">
        <v>41</v>
      </c>
      <c r="D1054" s="17" t="s">
        <v>45</v>
      </c>
      <c r="E1054" s="17" t="s">
        <v>46</v>
      </c>
      <c r="F1054" s="25" t="n">
        <f aca="false">SUMPRODUCT(--((('Yellow Bosses'!$H$5:$H$53&gt;=2)+('Yellow Bosses'!$I$5:$I$53&gt;=2)+('Yellow Bosses'!$M$5:$M$53&gt;=2)+('Yellow Bosses'!$N$5:$N$53&gt;=2))&gt;0))</f>
        <v>27</v>
      </c>
      <c r="G1054" s="26" t="n">
        <f aca="false">F1054/49</f>
        <v>0.551020408163265</v>
      </c>
      <c r="H1054" s="25" t="n">
        <f aca="false">49-SUMPRODUCT(--((('Yellow Bosses'!$H$5:$H$53&gt;=1)+('Yellow Bosses'!$I$5:$I$53&gt;=1)+('Yellow Bosses'!$M$5:$M$53&gt;=1)+('Yellow Bosses'!$N$5:$N$53&gt;=1))&gt;0))</f>
        <v>0</v>
      </c>
      <c r="I1054" s="25" t="n">
        <f aca="false">SUMPRODUCT(--((('Yellow Bosses'!$H$5:$H$53&gt;0)+('Yellow Bosses'!$I$5:$I$53&gt;0)+('Yellow Bosses'!$M$5:$M$53&gt;0)+('Yellow Bosses'!$N$5:$N$53&gt;0))=0))</f>
        <v>0</v>
      </c>
      <c r="J1054" s="25" t="n">
        <f aca="false">SUMPRODUCT(--(((Effectiveness!$E$5:$E$155&gt;=2)+(Effectiveness!$F$5:$F$155&gt;=2)+(Effectiveness!$J$5:$J$155&gt;=2)+(Effectiveness!$K$5:$K$155&gt;=2))&gt;0))</f>
        <v>80</v>
      </c>
      <c r="K1054" s="26" t="n">
        <f aca="false">J1054/151</f>
        <v>0.529801324503311</v>
      </c>
      <c r="L1054" s="25" t="n">
        <f aca="false">MIN(INDEX('Move Reality'!$F$5:$F$19,MATCH(B1054,'Move Reality'!$A$5:$A$19,0)),INDEX('Move Reality'!$F$5:$F$19,MATCH(C1054,'Move Reality'!$A$5:$A$19,0)),INDEX('Move Reality'!$F$5:$F$19,MATCH(D1054,'Move Reality'!$A$5:$A$19,0)),INDEX('Move Reality'!$F$5:$F$19,MATCH(E1054,'Move Reality'!$A$5:$A$19,0)))</f>
        <v>5</v>
      </c>
      <c r="M1054" s="28" t="str">
        <f aca="false">IF(L1054&gt;=5,"YES","no - dead move")</f>
        <v>YES</v>
      </c>
    </row>
    <row r="1055" customFormat="false" ht="15" hidden="false" customHeight="false" outlineLevel="0" collapsed="false">
      <c r="A1055" s="17" t="n">
        <v>1051</v>
      </c>
      <c r="B1055" s="17" t="s">
        <v>40</v>
      </c>
      <c r="C1055" s="17" t="s">
        <v>41</v>
      </c>
      <c r="D1055" s="17" t="s">
        <v>46</v>
      </c>
      <c r="E1055" s="17" t="s">
        <v>51</v>
      </c>
      <c r="F1055" s="25" t="n">
        <f aca="false">SUMPRODUCT(--((('Yellow Bosses'!$H$5:$H$53&gt;=2)+('Yellow Bosses'!$I$5:$I$53&gt;=2)+('Yellow Bosses'!$N$5:$N$53&gt;=2)+('Yellow Bosses'!$S$5:$S$53&gt;=2))&gt;0))</f>
        <v>27</v>
      </c>
      <c r="G1055" s="26" t="n">
        <f aca="false">F1055/49</f>
        <v>0.551020408163265</v>
      </c>
      <c r="H1055" s="25" t="n">
        <f aca="false">49-SUMPRODUCT(--((('Yellow Bosses'!$H$5:$H$53&gt;=1)+('Yellow Bosses'!$I$5:$I$53&gt;=1)+('Yellow Bosses'!$N$5:$N$53&gt;=1)+('Yellow Bosses'!$S$5:$S$53&gt;=1))&gt;0))</f>
        <v>0</v>
      </c>
      <c r="I1055" s="25" t="n">
        <f aca="false">SUMPRODUCT(--((('Yellow Bosses'!$H$5:$H$53&gt;0)+('Yellow Bosses'!$I$5:$I$53&gt;0)+('Yellow Bosses'!$N$5:$N$53&gt;0)+('Yellow Bosses'!$S$5:$S$53&gt;0))=0))</f>
        <v>0</v>
      </c>
      <c r="J1055" s="25" t="n">
        <f aca="false">SUMPRODUCT(--(((Effectiveness!$E$5:$E$155&gt;=2)+(Effectiveness!$F$5:$F$155&gt;=2)+(Effectiveness!$K$5:$K$155&gt;=2)+(Effectiveness!$P$5:$P$155&gt;=2))&gt;0))</f>
        <v>80</v>
      </c>
      <c r="K1055" s="26" t="n">
        <f aca="false">J1055/151</f>
        <v>0.529801324503311</v>
      </c>
      <c r="L1055" s="25" t="n">
        <f aca="false">MIN(INDEX('Move Reality'!$F$5:$F$19,MATCH(B1055,'Move Reality'!$A$5:$A$19,0)),INDEX('Move Reality'!$F$5:$F$19,MATCH(C1055,'Move Reality'!$A$5:$A$19,0)),INDEX('Move Reality'!$F$5:$F$19,MATCH(D1055,'Move Reality'!$A$5:$A$19,0)),INDEX('Move Reality'!$F$5:$F$19,MATCH(E1055,'Move Reality'!$A$5:$A$19,0)))</f>
        <v>1</v>
      </c>
      <c r="M1055" s="28" t="str">
        <f aca="false">IF(L1055&gt;=5,"YES","no - dead move")</f>
        <v>no - dead move</v>
      </c>
    </row>
    <row r="1056" customFormat="false" ht="15" hidden="false" customHeight="false" outlineLevel="0" collapsed="false">
      <c r="A1056" s="17" t="n">
        <v>1052</v>
      </c>
      <c r="B1056" s="17" t="s">
        <v>40</v>
      </c>
      <c r="C1056" s="17" t="s">
        <v>46</v>
      </c>
      <c r="D1056" s="17" t="s">
        <v>47</v>
      </c>
      <c r="E1056" s="17" t="s">
        <v>50</v>
      </c>
      <c r="F1056" s="25" t="n">
        <f aca="false">SUMPRODUCT(--((('Yellow Bosses'!$H$5:$H$53&gt;=2)+('Yellow Bosses'!$N$5:$N$53&gt;=2)+('Yellow Bosses'!$O$5:$O$53&gt;=2)+('Yellow Bosses'!$R$5:$R$53&gt;=2))&gt;0))</f>
        <v>27</v>
      </c>
      <c r="G1056" s="26" t="n">
        <f aca="false">F1056/49</f>
        <v>0.551020408163265</v>
      </c>
      <c r="H1056" s="25" t="n">
        <f aca="false">49-SUMPRODUCT(--((('Yellow Bosses'!$H$5:$H$53&gt;=1)+('Yellow Bosses'!$N$5:$N$53&gt;=1)+('Yellow Bosses'!$O$5:$O$53&gt;=1)+('Yellow Bosses'!$R$5:$R$53&gt;=1))&gt;0))</f>
        <v>0</v>
      </c>
      <c r="I1056" s="25" t="n">
        <f aca="false">SUMPRODUCT(--((('Yellow Bosses'!$H$5:$H$53&gt;0)+('Yellow Bosses'!$N$5:$N$53&gt;0)+('Yellow Bosses'!$O$5:$O$53&gt;0)+('Yellow Bosses'!$R$5:$R$53&gt;0))=0))</f>
        <v>0</v>
      </c>
      <c r="J1056" s="25" t="n">
        <f aca="false">SUMPRODUCT(--(((Effectiveness!$E$5:$E$155&gt;=2)+(Effectiveness!$K$5:$K$155&gt;=2)+(Effectiveness!$L$5:$L$155&gt;=2)+(Effectiveness!$O$5:$O$155&gt;=2))&gt;0))</f>
        <v>80</v>
      </c>
      <c r="K1056" s="26" t="n">
        <f aca="false">J1056/151</f>
        <v>0.529801324503311</v>
      </c>
      <c r="L1056" s="25" t="n">
        <f aca="false">MIN(INDEX('Move Reality'!$F$5:$F$19,MATCH(B1056,'Move Reality'!$A$5:$A$19,0)),INDEX('Move Reality'!$F$5:$F$19,MATCH(C1056,'Move Reality'!$A$5:$A$19,0)),INDEX('Move Reality'!$F$5:$F$19,MATCH(D1056,'Move Reality'!$A$5:$A$19,0)),INDEX('Move Reality'!$F$5:$F$19,MATCH(E1056,'Move Reality'!$A$5:$A$19,0)))</f>
        <v>2</v>
      </c>
      <c r="M1056" s="28" t="str">
        <f aca="false">IF(L1056&gt;=5,"YES","no - dead move")</f>
        <v>no - dead move</v>
      </c>
    </row>
    <row r="1057" customFormat="false" ht="15" hidden="false" customHeight="false" outlineLevel="0" collapsed="false">
      <c r="A1057" s="17" t="n">
        <v>1053</v>
      </c>
      <c r="B1057" s="17" t="s">
        <v>40</v>
      </c>
      <c r="C1057" s="17" t="s">
        <v>46</v>
      </c>
      <c r="D1057" s="17" t="s">
        <v>49</v>
      </c>
      <c r="E1057" s="17" t="s">
        <v>50</v>
      </c>
      <c r="F1057" s="25" t="n">
        <f aca="false">SUMPRODUCT(--((('Yellow Bosses'!$H$5:$H$53&gt;=2)+('Yellow Bosses'!$N$5:$N$53&gt;=2)+('Yellow Bosses'!$Q$5:$Q$53&gt;=2)+('Yellow Bosses'!$R$5:$R$53&gt;=2))&gt;0))</f>
        <v>27</v>
      </c>
      <c r="G1057" s="26" t="n">
        <f aca="false">F1057/49</f>
        <v>0.551020408163265</v>
      </c>
      <c r="H1057" s="25" t="n">
        <f aca="false">49-SUMPRODUCT(--((('Yellow Bosses'!$H$5:$H$53&gt;=1)+('Yellow Bosses'!$N$5:$N$53&gt;=1)+('Yellow Bosses'!$Q$5:$Q$53&gt;=1)+('Yellow Bosses'!$R$5:$R$53&gt;=1))&gt;0))</f>
        <v>0</v>
      </c>
      <c r="I1057" s="25" t="n">
        <f aca="false">SUMPRODUCT(--((('Yellow Bosses'!$H$5:$H$53&gt;0)+('Yellow Bosses'!$N$5:$N$53&gt;0)+('Yellow Bosses'!$Q$5:$Q$53&gt;0)+('Yellow Bosses'!$R$5:$R$53&gt;0))=0))</f>
        <v>0</v>
      </c>
      <c r="J1057" s="25" t="n">
        <f aca="false">SUMPRODUCT(--(((Effectiveness!$E$5:$E$155&gt;=2)+(Effectiveness!$K$5:$K$155&gt;=2)+(Effectiveness!$N$5:$N$155&gt;=2)+(Effectiveness!$O$5:$O$155&gt;=2))&gt;0))</f>
        <v>80</v>
      </c>
      <c r="K1057" s="26" t="n">
        <f aca="false">J1057/151</f>
        <v>0.529801324503311</v>
      </c>
      <c r="L1057" s="25" t="n">
        <f aca="false">MIN(INDEX('Move Reality'!$F$5:$F$19,MATCH(B1057,'Move Reality'!$A$5:$A$19,0)),INDEX('Move Reality'!$F$5:$F$19,MATCH(C1057,'Move Reality'!$A$5:$A$19,0)),INDEX('Move Reality'!$F$5:$F$19,MATCH(D1057,'Move Reality'!$A$5:$A$19,0)),INDEX('Move Reality'!$F$5:$F$19,MATCH(E1057,'Move Reality'!$A$5:$A$19,0)))</f>
        <v>5</v>
      </c>
      <c r="M1057" s="28" t="str">
        <f aca="false">IF(L1057&gt;=5,"YES","no - dead move")</f>
        <v>YES</v>
      </c>
    </row>
    <row r="1058" customFormat="false" ht="15" hidden="false" customHeight="false" outlineLevel="0" collapsed="false">
      <c r="A1058" s="17" t="n">
        <v>1054</v>
      </c>
      <c r="B1058" s="17" t="s">
        <v>41</v>
      </c>
      <c r="C1058" s="17" t="s">
        <v>45</v>
      </c>
      <c r="D1058" s="17" t="s">
        <v>46</v>
      </c>
      <c r="E1058" s="17" t="s">
        <v>47</v>
      </c>
      <c r="F1058" s="25" t="n">
        <f aca="false">SUMPRODUCT(--((('Yellow Bosses'!$I$5:$I$53&gt;=2)+('Yellow Bosses'!$M$5:$M$53&gt;=2)+('Yellow Bosses'!$N$5:$N$53&gt;=2)+('Yellow Bosses'!$O$5:$O$53&gt;=2))&gt;0))</f>
        <v>27</v>
      </c>
      <c r="G1058" s="26" t="n">
        <f aca="false">F1058/49</f>
        <v>0.551020408163265</v>
      </c>
      <c r="H1058" s="25" t="n">
        <f aca="false">49-SUMPRODUCT(--((('Yellow Bosses'!$I$5:$I$53&gt;=1)+('Yellow Bosses'!$M$5:$M$53&gt;=1)+('Yellow Bosses'!$N$5:$N$53&gt;=1)+('Yellow Bosses'!$O$5:$O$53&gt;=1))&gt;0))</f>
        <v>0</v>
      </c>
      <c r="I1058" s="25" t="n">
        <f aca="false">SUMPRODUCT(--((('Yellow Bosses'!$I$5:$I$53&gt;0)+('Yellow Bosses'!$M$5:$M$53&gt;0)+('Yellow Bosses'!$N$5:$N$53&gt;0)+('Yellow Bosses'!$O$5:$O$53&gt;0))=0))</f>
        <v>0</v>
      </c>
      <c r="J1058" s="25" t="n">
        <f aca="false">SUMPRODUCT(--(((Effectiveness!$F$5:$F$155&gt;=2)+(Effectiveness!$J$5:$J$155&gt;=2)+(Effectiveness!$K$5:$K$155&gt;=2)+(Effectiveness!$L$5:$L$155&gt;=2))&gt;0))</f>
        <v>80</v>
      </c>
      <c r="K1058" s="26" t="n">
        <f aca="false">J1058/151</f>
        <v>0.529801324503311</v>
      </c>
      <c r="L1058" s="25" t="n">
        <f aca="false">MIN(INDEX('Move Reality'!$F$5:$F$19,MATCH(B1058,'Move Reality'!$A$5:$A$19,0)),INDEX('Move Reality'!$F$5:$F$19,MATCH(C1058,'Move Reality'!$A$5:$A$19,0)),INDEX('Move Reality'!$F$5:$F$19,MATCH(D1058,'Move Reality'!$A$5:$A$19,0)),INDEX('Move Reality'!$F$5:$F$19,MATCH(E1058,'Move Reality'!$A$5:$A$19,0)))</f>
        <v>2</v>
      </c>
      <c r="M1058" s="28" t="str">
        <f aca="false">IF(L1058&gt;=5,"YES","no - dead move")</f>
        <v>no - dead move</v>
      </c>
    </row>
    <row r="1059" customFormat="false" ht="15" hidden="false" customHeight="false" outlineLevel="0" collapsed="false">
      <c r="A1059" s="17" t="n">
        <v>1055</v>
      </c>
      <c r="B1059" s="17" t="s">
        <v>41</v>
      </c>
      <c r="C1059" s="17" t="s">
        <v>45</v>
      </c>
      <c r="D1059" s="17" t="s">
        <v>46</v>
      </c>
      <c r="E1059" s="17" t="s">
        <v>54</v>
      </c>
      <c r="F1059" s="25" t="n">
        <f aca="false">SUMPRODUCT(--((('Yellow Bosses'!$I$5:$I$53&gt;=2)+('Yellow Bosses'!$M$5:$M$53&gt;=2)+('Yellow Bosses'!$N$5:$N$53&gt;=2)+('Yellow Bosses'!$V$5:$V$53&gt;=2))&gt;0))</f>
        <v>27</v>
      </c>
      <c r="G1059" s="26" t="n">
        <f aca="false">F1059/49</f>
        <v>0.551020408163265</v>
      </c>
      <c r="H1059" s="25" t="n">
        <f aca="false">49-SUMPRODUCT(--((('Yellow Bosses'!$I$5:$I$53&gt;=1)+('Yellow Bosses'!$M$5:$M$53&gt;=1)+('Yellow Bosses'!$N$5:$N$53&gt;=1)+('Yellow Bosses'!$V$5:$V$53&gt;=1))&gt;0))</f>
        <v>0</v>
      </c>
      <c r="I1059" s="25" t="n">
        <f aca="false">SUMPRODUCT(--((('Yellow Bosses'!$I$5:$I$53&gt;0)+('Yellow Bosses'!$M$5:$M$53&gt;0)+('Yellow Bosses'!$N$5:$N$53&gt;0)+('Yellow Bosses'!$V$5:$V$53&gt;0))=0))</f>
        <v>0</v>
      </c>
      <c r="J1059" s="25" t="n">
        <f aca="false">SUMPRODUCT(--(((Effectiveness!$F$5:$F$155&gt;=2)+(Effectiveness!$J$5:$J$155&gt;=2)+(Effectiveness!$K$5:$K$155&gt;=2)+(Effectiveness!$S$5:$S$155&gt;=2))&gt;0))</f>
        <v>80</v>
      </c>
      <c r="K1059" s="26" t="n">
        <f aca="false">J1059/151</f>
        <v>0.529801324503311</v>
      </c>
      <c r="L1059" s="25" t="n">
        <f aca="false">MIN(INDEX('Move Reality'!$F$5:$F$19,MATCH(B1059,'Move Reality'!$A$5:$A$19,0)),INDEX('Move Reality'!$F$5:$F$19,MATCH(C1059,'Move Reality'!$A$5:$A$19,0)),INDEX('Move Reality'!$F$5:$F$19,MATCH(D1059,'Move Reality'!$A$5:$A$19,0)),INDEX('Move Reality'!$F$5:$F$19,MATCH(E1059,'Move Reality'!$A$5:$A$19,0)))</f>
        <v>1</v>
      </c>
      <c r="M1059" s="28" t="str">
        <f aca="false">IF(L1059&gt;=5,"YES","no - dead move")</f>
        <v>no - dead move</v>
      </c>
    </row>
    <row r="1060" customFormat="false" ht="15" hidden="false" customHeight="false" outlineLevel="0" collapsed="false">
      <c r="A1060" s="17" t="n">
        <v>1056</v>
      </c>
      <c r="B1060" s="17" t="s">
        <v>41</v>
      </c>
      <c r="C1060" s="17" t="s">
        <v>46</v>
      </c>
      <c r="D1060" s="17" t="s">
        <v>47</v>
      </c>
      <c r="E1060" s="17" t="s">
        <v>51</v>
      </c>
      <c r="F1060" s="25" t="n">
        <f aca="false">SUMPRODUCT(--((('Yellow Bosses'!$I$5:$I$53&gt;=2)+('Yellow Bosses'!$N$5:$N$53&gt;=2)+('Yellow Bosses'!$O$5:$O$53&gt;=2)+('Yellow Bosses'!$S$5:$S$53&gt;=2))&gt;0))</f>
        <v>27</v>
      </c>
      <c r="G1060" s="26" t="n">
        <f aca="false">F1060/49</f>
        <v>0.551020408163265</v>
      </c>
      <c r="H1060" s="25" t="n">
        <f aca="false">49-SUMPRODUCT(--((('Yellow Bosses'!$I$5:$I$53&gt;=1)+('Yellow Bosses'!$N$5:$N$53&gt;=1)+('Yellow Bosses'!$O$5:$O$53&gt;=1)+('Yellow Bosses'!$S$5:$S$53&gt;=1))&gt;0))</f>
        <v>0</v>
      </c>
      <c r="I1060" s="25" t="n">
        <f aca="false">SUMPRODUCT(--((('Yellow Bosses'!$I$5:$I$53&gt;0)+('Yellow Bosses'!$N$5:$N$53&gt;0)+('Yellow Bosses'!$O$5:$O$53&gt;0)+('Yellow Bosses'!$S$5:$S$53&gt;0))=0))</f>
        <v>0</v>
      </c>
      <c r="J1060" s="25" t="n">
        <f aca="false">SUMPRODUCT(--(((Effectiveness!$F$5:$F$155&gt;=2)+(Effectiveness!$K$5:$K$155&gt;=2)+(Effectiveness!$L$5:$L$155&gt;=2)+(Effectiveness!$P$5:$P$155&gt;=2))&gt;0))</f>
        <v>80</v>
      </c>
      <c r="K1060" s="26" t="n">
        <f aca="false">J1060/151</f>
        <v>0.529801324503311</v>
      </c>
      <c r="L1060" s="25" t="n">
        <f aca="false">MIN(INDEX('Move Reality'!$F$5:$F$19,MATCH(B1060,'Move Reality'!$A$5:$A$19,0)),INDEX('Move Reality'!$F$5:$F$19,MATCH(C1060,'Move Reality'!$A$5:$A$19,0)),INDEX('Move Reality'!$F$5:$F$19,MATCH(D1060,'Move Reality'!$A$5:$A$19,0)),INDEX('Move Reality'!$F$5:$F$19,MATCH(E1060,'Move Reality'!$A$5:$A$19,0)))</f>
        <v>1</v>
      </c>
      <c r="M1060" s="28" t="str">
        <f aca="false">IF(L1060&gt;=5,"YES","no - dead move")</f>
        <v>no - dead move</v>
      </c>
    </row>
    <row r="1061" customFormat="false" ht="15" hidden="false" customHeight="false" outlineLevel="0" collapsed="false">
      <c r="A1061" s="17" t="n">
        <v>1057</v>
      </c>
      <c r="B1061" s="17" t="s">
        <v>46</v>
      </c>
      <c r="C1061" s="17" t="s">
        <v>47</v>
      </c>
      <c r="D1061" s="17" t="s">
        <v>49</v>
      </c>
      <c r="E1061" s="17" t="s">
        <v>50</v>
      </c>
      <c r="F1061" s="25" t="n">
        <f aca="false">SUMPRODUCT(--((('Yellow Bosses'!$N$5:$N$53&gt;=2)+('Yellow Bosses'!$O$5:$O$53&gt;=2)+('Yellow Bosses'!$Q$5:$Q$53&gt;=2)+('Yellow Bosses'!$R$5:$R$53&gt;=2))&gt;0))</f>
        <v>27</v>
      </c>
      <c r="G1061" s="26" t="n">
        <f aca="false">F1061/49</f>
        <v>0.551020408163265</v>
      </c>
      <c r="H1061" s="25" t="n">
        <f aca="false">49-SUMPRODUCT(--((('Yellow Bosses'!$N$5:$N$53&gt;=1)+('Yellow Bosses'!$O$5:$O$53&gt;=1)+('Yellow Bosses'!$Q$5:$Q$53&gt;=1)+('Yellow Bosses'!$R$5:$R$53&gt;=1))&gt;0))</f>
        <v>0</v>
      </c>
      <c r="I1061" s="25" t="n">
        <f aca="false">SUMPRODUCT(--((('Yellow Bosses'!$N$5:$N$53&gt;0)+('Yellow Bosses'!$O$5:$O$53&gt;0)+('Yellow Bosses'!$Q$5:$Q$53&gt;0)+('Yellow Bosses'!$R$5:$R$53&gt;0))=0))</f>
        <v>0</v>
      </c>
      <c r="J1061" s="25" t="n">
        <f aca="false">SUMPRODUCT(--(((Effectiveness!$K$5:$K$155&gt;=2)+(Effectiveness!$L$5:$L$155&gt;=2)+(Effectiveness!$N$5:$N$155&gt;=2)+(Effectiveness!$O$5:$O$155&gt;=2))&gt;0))</f>
        <v>80</v>
      </c>
      <c r="K1061" s="26" t="n">
        <f aca="false">J1061/151</f>
        <v>0.529801324503311</v>
      </c>
      <c r="L1061" s="25" t="n">
        <f aca="false">MIN(INDEX('Move Reality'!$F$5:$F$19,MATCH(B1061,'Move Reality'!$A$5:$A$19,0)),INDEX('Move Reality'!$F$5:$F$19,MATCH(C1061,'Move Reality'!$A$5:$A$19,0)),INDEX('Move Reality'!$F$5:$F$19,MATCH(D1061,'Move Reality'!$A$5:$A$19,0)),INDEX('Move Reality'!$F$5:$F$19,MATCH(E1061,'Move Reality'!$A$5:$A$19,0)))</f>
        <v>2</v>
      </c>
      <c r="M1061" s="28" t="str">
        <f aca="false">IF(L1061&gt;=5,"YES","no - dead move")</f>
        <v>no - dead move</v>
      </c>
    </row>
    <row r="1062" customFormat="false" ht="15" hidden="false" customHeight="false" outlineLevel="0" collapsed="false">
      <c r="A1062" s="17" t="n">
        <v>1058</v>
      </c>
      <c r="B1062" s="17" t="s">
        <v>46</v>
      </c>
      <c r="C1062" s="17" t="s">
        <v>47</v>
      </c>
      <c r="D1062" s="17" t="s">
        <v>50</v>
      </c>
      <c r="E1062" s="17" t="s">
        <v>53</v>
      </c>
      <c r="F1062" s="25" t="n">
        <f aca="false">SUMPRODUCT(--((('Yellow Bosses'!$N$5:$N$53&gt;=2)+('Yellow Bosses'!$O$5:$O$53&gt;=2)+('Yellow Bosses'!$R$5:$R$53&gt;=2)+('Yellow Bosses'!$U$5:$U$53&gt;=2))&gt;0))</f>
        <v>27</v>
      </c>
      <c r="G1062" s="26" t="n">
        <f aca="false">F1062/49</f>
        <v>0.551020408163265</v>
      </c>
      <c r="H1062" s="25" t="n">
        <f aca="false">49-SUMPRODUCT(--((('Yellow Bosses'!$N$5:$N$53&gt;=1)+('Yellow Bosses'!$O$5:$O$53&gt;=1)+('Yellow Bosses'!$R$5:$R$53&gt;=1)+('Yellow Bosses'!$U$5:$U$53&gt;=1))&gt;0))</f>
        <v>0</v>
      </c>
      <c r="I1062" s="25" t="n">
        <f aca="false">SUMPRODUCT(--((('Yellow Bosses'!$N$5:$N$53&gt;0)+('Yellow Bosses'!$O$5:$O$53&gt;0)+('Yellow Bosses'!$R$5:$R$53&gt;0)+('Yellow Bosses'!$U$5:$U$53&gt;0))=0))</f>
        <v>0</v>
      </c>
      <c r="J1062" s="25" t="n">
        <f aca="false">SUMPRODUCT(--(((Effectiveness!$K$5:$K$155&gt;=2)+(Effectiveness!$L$5:$L$155&gt;=2)+(Effectiveness!$O$5:$O$155&gt;=2)+(Effectiveness!$R$5:$R$155&gt;=2))&gt;0))</f>
        <v>80</v>
      </c>
      <c r="K1062" s="26" t="n">
        <f aca="false">J1062/151</f>
        <v>0.529801324503311</v>
      </c>
      <c r="L1062" s="25" t="n">
        <f aca="false">MIN(INDEX('Move Reality'!$F$5:$F$19,MATCH(B1062,'Move Reality'!$A$5:$A$19,0)),INDEX('Move Reality'!$F$5:$F$19,MATCH(C1062,'Move Reality'!$A$5:$A$19,0)),INDEX('Move Reality'!$F$5:$F$19,MATCH(D1062,'Move Reality'!$A$5:$A$19,0)),INDEX('Move Reality'!$F$5:$F$19,MATCH(E1062,'Move Reality'!$A$5:$A$19,0)))</f>
        <v>1</v>
      </c>
      <c r="M1062" s="28" t="str">
        <f aca="false">IF(L1062&gt;=5,"YES","no - dead move")</f>
        <v>no - dead move</v>
      </c>
    </row>
    <row r="1063" customFormat="false" ht="15" hidden="false" customHeight="false" outlineLevel="0" collapsed="false">
      <c r="A1063" s="17" t="n">
        <v>1059</v>
      </c>
      <c r="B1063" s="17" t="s">
        <v>46</v>
      </c>
      <c r="C1063" s="17" t="s">
        <v>49</v>
      </c>
      <c r="D1063" s="17" t="s">
        <v>50</v>
      </c>
      <c r="E1063" s="17" t="s">
        <v>53</v>
      </c>
      <c r="F1063" s="25" t="n">
        <f aca="false">SUMPRODUCT(--((('Yellow Bosses'!$N$5:$N$53&gt;=2)+('Yellow Bosses'!$Q$5:$Q$53&gt;=2)+('Yellow Bosses'!$R$5:$R$53&gt;=2)+('Yellow Bosses'!$U$5:$U$53&gt;=2))&gt;0))</f>
        <v>27</v>
      </c>
      <c r="G1063" s="26" t="n">
        <f aca="false">F1063/49</f>
        <v>0.551020408163265</v>
      </c>
      <c r="H1063" s="25" t="n">
        <f aca="false">49-SUMPRODUCT(--((('Yellow Bosses'!$N$5:$N$53&gt;=1)+('Yellow Bosses'!$Q$5:$Q$53&gt;=1)+('Yellow Bosses'!$R$5:$R$53&gt;=1)+('Yellow Bosses'!$U$5:$U$53&gt;=1))&gt;0))</f>
        <v>0</v>
      </c>
      <c r="I1063" s="25" t="n">
        <f aca="false">SUMPRODUCT(--((('Yellow Bosses'!$N$5:$N$53&gt;0)+('Yellow Bosses'!$Q$5:$Q$53&gt;0)+('Yellow Bosses'!$R$5:$R$53&gt;0)+('Yellow Bosses'!$U$5:$U$53&gt;0))=0))</f>
        <v>0</v>
      </c>
      <c r="J1063" s="25" t="n">
        <f aca="false">SUMPRODUCT(--(((Effectiveness!$K$5:$K$155&gt;=2)+(Effectiveness!$N$5:$N$155&gt;=2)+(Effectiveness!$O$5:$O$155&gt;=2)+(Effectiveness!$R$5:$R$155&gt;=2))&gt;0))</f>
        <v>80</v>
      </c>
      <c r="K1063" s="26" t="n">
        <f aca="false">J1063/151</f>
        <v>0.529801324503311</v>
      </c>
      <c r="L1063" s="25" t="n">
        <f aca="false">MIN(INDEX('Move Reality'!$F$5:$F$19,MATCH(B1063,'Move Reality'!$A$5:$A$19,0)),INDEX('Move Reality'!$F$5:$F$19,MATCH(C1063,'Move Reality'!$A$5:$A$19,0)),INDEX('Move Reality'!$F$5:$F$19,MATCH(D1063,'Move Reality'!$A$5:$A$19,0)),INDEX('Move Reality'!$F$5:$F$19,MATCH(E1063,'Move Reality'!$A$5:$A$19,0)))</f>
        <v>1</v>
      </c>
      <c r="M1063" s="28" t="str">
        <f aca="false">IF(L1063&gt;=5,"YES","no - dead move")</f>
        <v>no - dead move</v>
      </c>
    </row>
    <row r="1064" customFormat="false" ht="15" hidden="false" customHeight="false" outlineLevel="0" collapsed="false">
      <c r="A1064" s="17" t="n">
        <v>1060</v>
      </c>
      <c r="B1064" s="17" t="s">
        <v>40</v>
      </c>
      <c r="C1064" s="17" t="s">
        <v>42</v>
      </c>
      <c r="D1064" s="17" t="s">
        <v>44</v>
      </c>
      <c r="E1064" s="17" t="s">
        <v>48</v>
      </c>
      <c r="F1064" s="25" t="n">
        <f aca="false">SUMPRODUCT(--((('Yellow Bosses'!$H$5:$H$53&gt;=2)+('Yellow Bosses'!$J$5:$J$53&gt;=2)+('Yellow Bosses'!$L$5:$L$53&gt;=2)+('Yellow Bosses'!$P$5:$P$53&gt;=2))&gt;0))</f>
        <v>27</v>
      </c>
      <c r="G1064" s="26" t="n">
        <f aca="false">F1064/49</f>
        <v>0.551020408163265</v>
      </c>
      <c r="H1064" s="25" t="n">
        <f aca="false">49-SUMPRODUCT(--((('Yellow Bosses'!$H$5:$H$53&gt;=1)+('Yellow Bosses'!$J$5:$J$53&gt;=1)+('Yellow Bosses'!$L$5:$L$53&gt;=1)+('Yellow Bosses'!$P$5:$P$53&gt;=1))&gt;0))</f>
        <v>0</v>
      </c>
      <c r="I1064" s="25" t="n">
        <f aca="false">SUMPRODUCT(--((('Yellow Bosses'!$H$5:$H$53&gt;0)+('Yellow Bosses'!$J$5:$J$53&gt;0)+('Yellow Bosses'!$L$5:$L$53&gt;0)+('Yellow Bosses'!$P$5:$P$53&gt;0))=0))</f>
        <v>0</v>
      </c>
      <c r="J1064" s="25" t="n">
        <f aca="false">SUMPRODUCT(--(((Effectiveness!$E$5:$E$155&gt;=2)+(Effectiveness!$G$5:$G$155&gt;=2)+(Effectiveness!$I$5:$I$155&gt;=2)+(Effectiveness!$M$5:$M$155&gt;=2))&gt;0))</f>
        <v>79</v>
      </c>
      <c r="K1064" s="26" t="n">
        <f aca="false">J1064/151</f>
        <v>0.52317880794702</v>
      </c>
      <c r="L1064" s="25" t="n">
        <f aca="false">MIN(INDEX('Move Reality'!$F$5:$F$19,MATCH(B1064,'Move Reality'!$A$5:$A$19,0)),INDEX('Move Reality'!$F$5:$F$19,MATCH(C1064,'Move Reality'!$A$5:$A$19,0)),INDEX('Move Reality'!$F$5:$F$19,MATCH(D1064,'Move Reality'!$A$5:$A$19,0)),INDEX('Move Reality'!$F$5:$F$19,MATCH(E1064,'Move Reality'!$A$5:$A$19,0)))</f>
        <v>4</v>
      </c>
      <c r="M1064" s="28" t="str">
        <f aca="false">IF(L1064&gt;=5,"YES","no - dead move")</f>
        <v>no - dead move</v>
      </c>
    </row>
    <row r="1065" customFormat="false" ht="15" hidden="false" customHeight="false" outlineLevel="0" collapsed="false">
      <c r="A1065" s="17" t="n">
        <v>1061</v>
      </c>
      <c r="B1065" s="17" t="s">
        <v>40</v>
      </c>
      <c r="C1065" s="17" t="s">
        <v>46</v>
      </c>
      <c r="D1065" s="17" t="s">
        <v>47</v>
      </c>
      <c r="E1065" s="17" t="s">
        <v>51</v>
      </c>
      <c r="F1065" s="25" t="n">
        <f aca="false">SUMPRODUCT(--((('Yellow Bosses'!$H$5:$H$53&gt;=2)+('Yellow Bosses'!$N$5:$N$53&gt;=2)+('Yellow Bosses'!$O$5:$O$53&gt;=2)+('Yellow Bosses'!$S$5:$S$53&gt;=2))&gt;0))</f>
        <v>27</v>
      </c>
      <c r="G1065" s="26" t="n">
        <f aca="false">F1065/49</f>
        <v>0.551020408163265</v>
      </c>
      <c r="H1065" s="25" t="n">
        <f aca="false">49-SUMPRODUCT(--((('Yellow Bosses'!$H$5:$H$53&gt;=1)+('Yellow Bosses'!$N$5:$N$53&gt;=1)+('Yellow Bosses'!$O$5:$O$53&gt;=1)+('Yellow Bosses'!$S$5:$S$53&gt;=1))&gt;0))</f>
        <v>0</v>
      </c>
      <c r="I1065" s="25" t="n">
        <f aca="false">SUMPRODUCT(--((('Yellow Bosses'!$H$5:$H$53&gt;0)+('Yellow Bosses'!$N$5:$N$53&gt;0)+('Yellow Bosses'!$O$5:$O$53&gt;0)+('Yellow Bosses'!$S$5:$S$53&gt;0))=0))</f>
        <v>0</v>
      </c>
      <c r="J1065" s="25" t="n">
        <f aca="false">SUMPRODUCT(--(((Effectiveness!$E$5:$E$155&gt;=2)+(Effectiveness!$K$5:$K$155&gt;=2)+(Effectiveness!$L$5:$L$155&gt;=2)+(Effectiveness!$P$5:$P$155&gt;=2))&gt;0))</f>
        <v>79</v>
      </c>
      <c r="K1065" s="26" t="n">
        <f aca="false">J1065/151</f>
        <v>0.52317880794702</v>
      </c>
      <c r="L1065" s="25" t="n">
        <f aca="false">MIN(INDEX('Move Reality'!$F$5:$F$19,MATCH(B1065,'Move Reality'!$A$5:$A$19,0)),INDEX('Move Reality'!$F$5:$F$19,MATCH(C1065,'Move Reality'!$A$5:$A$19,0)),INDEX('Move Reality'!$F$5:$F$19,MATCH(D1065,'Move Reality'!$A$5:$A$19,0)),INDEX('Move Reality'!$F$5:$F$19,MATCH(E1065,'Move Reality'!$A$5:$A$19,0)))</f>
        <v>1</v>
      </c>
      <c r="M1065" s="28" t="str">
        <f aca="false">IF(L1065&gt;=5,"YES","no - dead move")</f>
        <v>no - dead move</v>
      </c>
    </row>
    <row r="1066" customFormat="false" ht="15" hidden="false" customHeight="false" outlineLevel="0" collapsed="false">
      <c r="A1066" s="17" t="n">
        <v>1062</v>
      </c>
      <c r="B1066" s="17" t="s">
        <v>42</v>
      </c>
      <c r="C1066" s="17" t="s">
        <v>44</v>
      </c>
      <c r="D1066" s="17" t="s">
        <v>48</v>
      </c>
      <c r="E1066" s="17" t="s">
        <v>53</v>
      </c>
      <c r="F1066" s="25" t="n">
        <f aca="false">SUMPRODUCT(--((('Yellow Bosses'!$J$5:$J$53&gt;=2)+('Yellow Bosses'!$L$5:$L$53&gt;=2)+('Yellow Bosses'!$P$5:$P$53&gt;=2)+('Yellow Bosses'!$U$5:$U$53&gt;=2))&gt;0))</f>
        <v>27</v>
      </c>
      <c r="G1066" s="26" t="n">
        <f aca="false">F1066/49</f>
        <v>0.551020408163265</v>
      </c>
      <c r="H1066" s="25" t="n">
        <f aca="false">49-SUMPRODUCT(--((('Yellow Bosses'!$J$5:$J$53&gt;=1)+('Yellow Bosses'!$L$5:$L$53&gt;=1)+('Yellow Bosses'!$P$5:$P$53&gt;=1)+('Yellow Bosses'!$U$5:$U$53&gt;=1))&gt;0))</f>
        <v>1</v>
      </c>
      <c r="I1066" s="25" t="n">
        <f aca="false">SUMPRODUCT(--((('Yellow Bosses'!$J$5:$J$53&gt;0)+('Yellow Bosses'!$L$5:$L$53&gt;0)+('Yellow Bosses'!$P$5:$P$53&gt;0)+('Yellow Bosses'!$U$5:$U$53&gt;0))=0))</f>
        <v>0</v>
      </c>
      <c r="J1066" s="25" t="n">
        <f aca="false">SUMPRODUCT(--(((Effectiveness!$G$5:$G$155&gt;=2)+(Effectiveness!$I$5:$I$155&gt;=2)+(Effectiveness!$M$5:$M$155&gt;=2)+(Effectiveness!$R$5:$R$155&gt;=2))&gt;0))</f>
        <v>79</v>
      </c>
      <c r="K1066" s="26" t="n">
        <f aca="false">J1066/151</f>
        <v>0.52317880794702</v>
      </c>
      <c r="L1066" s="25" t="n">
        <f aca="false">MIN(INDEX('Move Reality'!$F$5:$F$19,MATCH(B1066,'Move Reality'!$A$5:$A$19,0)),INDEX('Move Reality'!$F$5:$F$19,MATCH(C1066,'Move Reality'!$A$5:$A$19,0)),INDEX('Move Reality'!$F$5:$F$19,MATCH(D1066,'Move Reality'!$A$5:$A$19,0)),INDEX('Move Reality'!$F$5:$F$19,MATCH(E1066,'Move Reality'!$A$5:$A$19,0)))</f>
        <v>1</v>
      </c>
      <c r="M1066" s="28" t="str">
        <f aca="false">IF(L1066&gt;=5,"YES","no - dead move")</f>
        <v>no - dead move</v>
      </c>
    </row>
    <row r="1067" customFormat="false" ht="15" hidden="false" customHeight="false" outlineLevel="0" collapsed="false">
      <c r="A1067" s="17" t="n">
        <v>1063</v>
      </c>
      <c r="B1067" s="17" t="s">
        <v>40</v>
      </c>
      <c r="C1067" s="17" t="s">
        <v>50</v>
      </c>
      <c r="D1067" s="17" t="s">
        <v>52</v>
      </c>
      <c r="E1067" s="17" t="s">
        <v>53</v>
      </c>
      <c r="F1067" s="25" t="n">
        <f aca="false">SUMPRODUCT(--((('Yellow Bosses'!$H$5:$H$53&gt;=2)+('Yellow Bosses'!$R$5:$R$53&gt;=2)+('Yellow Bosses'!$T$5:$T$53&gt;=2)+('Yellow Bosses'!$U$5:$U$53&gt;=2))&gt;0))</f>
        <v>27</v>
      </c>
      <c r="G1067" s="26" t="n">
        <f aca="false">F1067/49</f>
        <v>0.551020408163265</v>
      </c>
      <c r="H1067" s="25" t="n">
        <f aca="false">49-SUMPRODUCT(--((('Yellow Bosses'!$H$5:$H$53&gt;=1)+('Yellow Bosses'!$R$5:$R$53&gt;=1)+('Yellow Bosses'!$T$5:$T$53&gt;=1)+('Yellow Bosses'!$U$5:$U$53&gt;=1))&gt;0))</f>
        <v>0</v>
      </c>
      <c r="I1067" s="25" t="n">
        <f aca="false">SUMPRODUCT(--((('Yellow Bosses'!$H$5:$H$53&gt;0)+('Yellow Bosses'!$R$5:$R$53&gt;0)+('Yellow Bosses'!$T$5:$T$53&gt;0)+('Yellow Bosses'!$U$5:$U$53&gt;0))=0))</f>
        <v>0</v>
      </c>
      <c r="J1067" s="25" t="n">
        <f aca="false">SUMPRODUCT(--(((Effectiveness!$E$5:$E$155&gt;=2)+(Effectiveness!$O$5:$O$155&gt;=2)+(Effectiveness!$Q$5:$Q$155&gt;=2)+(Effectiveness!$R$5:$R$155&gt;=2))&gt;0))</f>
        <v>77</v>
      </c>
      <c r="K1067" s="26" t="n">
        <f aca="false">J1067/151</f>
        <v>0.509933774834437</v>
      </c>
      <c r="L1067" s="25" t="n">
        <f aca="false">MIN(INDEX('Move Reality'!$F$5:$F$19,MATCH(B1067,'Move Reality'!$A$5:$A$19,0)),INDEX('Move Reality'!$F$5:$F$19,MATCH(C1067,'Move Reality'!$A$5:$A$19,0)),INDEX('Move Reality'!$F$5:$F$19,MATCH(D1067,'Move Reality'!$A$5:$A$19,0)),INDEX('Move Reality'!$F$5:$F$19,MATCH(E1067,'Move Reality'!$A$5:$A$19,0)))</f>
        <v>1</v>
      </c>
      <c r="M1067" s="28" t="str">
        <f aca="false">IF(L1067&gt;=5,"YES","no - dead move")</f>
        <v>no - dead move</v>
      </c>
    </row>
    <row r="1068" customFormat="false" ht="15" hidden="false" customHeight="false" outlineLevel="0" collapsed="false">
      <c r="A1068" s="17" t="n">
        <v>1064</v>
      </c>
      <c r="B1068" s="17" t="s">
        <v>40</v>
      </c>
      <c r="C1068" s="17" t="s">
        <v>41</v>
      </c>
      <c r="D1068" s="17" t="s">
        <v>42</v>
      </c>
      <c r="E1068" s="17" t="s">
        <v>46</v>
      </c>
      <c r="F1068" s="25" t="n">
        <f aca="false">SUMPRODUCT(--((('Yellow Bosses'!$H$5:$H$53&gt;=2)+('Yellow Bosses'!$I$5:$I$53&gt;=2)+('Yellow Bosses'!$J$5:$J$53&gt;=2)+('Yellow Bosses'!$N$5:$N$53&gt;=2))&gt;0))</f>
        <v>27</v>
      </c>
      <c r="G1068" s="26" t="n">
        <f aca="false">F1068/49</f>
        <v>0.551020408163265</v>
      </c>
      <c r="H1068" s="25" t="n">
        <f aca="false">49-SUMPRODUCT(--((('Yellow Bosses'!$H$5:$H$53&gt;=1)+('Yellow Bosses'!$I$5:$I$53&gt;=1)+('Yellow Bosses'!$J$5:$J$53&gt;=1)+('Yellow Bosses'!$N$5:$N$53&gt;=1))&gt;0))</f>
        <v>0</v>
      </c>
      <c r="I1068" s="25" t="n">
        <f aca="false">SUMPRODUCT(--((('Yellow Bosses'!$H$5:$H$53&gt;0)+('Yellow Bosses'!$I$5:$I$53&gt;0)+('Yellow Bosses'!$J$5:$J$53&gt;0)+('Yellow Bosses'!$N$5:$N$53&gt;0))=0))</f>
        <v>0</v>
      </c>
      <c r="J1068" s="25" t="n">
        <f aca="false">SUMPRODUCT(--(((Effectiveness!$E$5:$E$155&gt;=2)+(Effectiveness!$F$5:$F$155&gt;=2)+(Effectiveness!$G$5:$G$155&gt;=2)+(Effectiveness!$K$5:$K$155&gt;=2))&gt;0))</f>
        <v>76</v>
      </c>
      <c r="K1068" s="26" t="n">
        <f aca="false">J1068/151</f>
        <v>0.503311258278146</v>
      </c>
      <c r="L1068" s="25" t="n">
        <f aca="false">MIN(INDEX('Move Reality'!$F$5:$F$19,MATCH(B1068,'Move Reality'!$A$5:$A$19,0)),INDEX('Move Reality'!$F$5:$F$19,MATCH(C1068,'Move Reality'!$A$5:$A$19,0)),INDEX('Move Reality'!$F$5:$F$19,MATCH(D1068,'Move Reality'!$A$5:$A$19,0)),INDEX('Move Reality'!$F$5:$F$19,MATCH(E1068,'Move Reality'!$A$5:$A$19,0)))</f>
        <v>5</v>
      </c>
      <c r="M1068" s="28" t="str">
        <f aca="false">IF(L1068&gt;=5,"YES","no - dead move")</f>
        <v>YES</v>
      </c>
    </row>
    <row r="1069" customFormat="false" ht="15" hidden="false" customHeight="false" outlineLevel="0" collapsed="false">
      <c r="A1069" s="17" t="n">
        <v>1065</v>
      </c>
      <c r="B1069" s="17" t="s">
        <v>41</v>
      </c>
      <c r="C1069" s="17" t="s">
        <v>42</v>
      </c>
      <c r="D1069" s="17" t="s">
        <v>46</v>
      </c>
      <c r="E1069" s="17" t="s">
        <v>47</v>
      </c>
      <c r="F1069" s="25" t="n">
        <f aca="false">SUMPRODUCT(--((('Yellow Bosses'!$I$5:$I$53&gt;=2)+('Yellow Bosses'!$J$5:$J$53&gt;=2)+('Yellow Bosses'!$N$5:$N$53&gt;=2)+('Yellow Bosses'!$O$5:$O$53&gt;=2))&gt;0))</f>
        <v>27</v>
      </c>
      <c r="G1069" s="26" t="n">
        <f aca="false">F1069/49</f>
        <v>0.551020408163265</v>
      </c>
      <c r="H1069" s="25" t="n">
        <f aca="false">49-SUMPRODUCT(--((('Yellow Bosses'!$I$5:$I$53&gt;=1)+('Yellow Bosses'!$J$5:$J$53&gt;=1)+('Yellow Bosses'!$N$5:$N$53&gt;=1)+('Yellow Bosses'!$O$5:$O$53&gt;=1))&gt;0))</f>
        <v>0</v>
      </c>
      <c r="I1069" s="25" t="n">
        <f aca="false">SUMPRODUCT(--((('Yellow Bosses'!$I$5:$I$53&gt;0)+('Yellow Bosses'!$J$5:$J$53&gt;0)+('Yellow Bosses'!$N$5:$N$53&gt;0)+('Yellow Bosses'!$O$5:$O$53&gt;0))=0))</f>
        <v>0</v>
      </c>
      <c r="J1069" s="25" t="n">
        <f aca="false">SUMPRODUCT(--(((Effectiveness!$F$5:$F$155&gt;=2)+(Effectiveness!$G$5:$G$155&gt;=2)+(Effectiveness!$K$5:$K$155&gt;=2)+(Effectiveness!$L$5:$L$155&gt;=2))&gt;0))</f>
        <v>76</v>
      </c>
      <c r="K1069" s="26" t="n">
        <f aca="false">J1069/151</f>
        <v>0.503311258278146</v>
      </c>
      <c r="L1069" s="25" t="n">
        <f aca="false">MIN(INDEX('Move Reality'!$F$5:$F$19,MATCH(B1069,'Move Reality'!$A$5:$A$19,0)),INDEX('Move Reality'!$F$5:$F$19,MATCH(C1069,'Move Reality'!$A$5:$A$19,0)),INDEX('Move Reality'!$F$5:$F$19,MATCH(D1069,'Move Reality'!$A$5:$A$19,0)),INDEX('Move Reality'!$F$5:$F$19,MATCH(E1069,'Move Reality'!$A$5:$A$19,0)))</f>
        <v>2</v>
      </c>
      <c r="M1069" s="28" t="str">
        <f aca="false">IF(L1069&gt;=5,"YES","no - dead move")</f>
        <v>no - dead move</v>
      </c>
    </row>
    <row r="1070" customFormat="false" ht="15" hidden="false" customHeight="false" outlineLevel="0" collapsed="false">
      <c r="A1070" s="17" t="n">
        <v>1066</v>
      </c>
      <c r="B1070" s="17" t="s">
        <v>42</v>
      </c>
      <c r="C1070" s="17" t="s">
        <v>46</v>
      </c>
      <c r="D1070" s="17" t="s">
        <v>48</v>
      </c>
      <c r="E1070" s="17" t="s">
        <v>54</v>
      </c>
      <c r="F1070" s="25" t="n">
        <f aca="false">SUMPRODUCT(--((('Yellow Bosses'!$J$5:$J$53&gt;=2)+('Yellow Bosses'!$N$5:$N$53&gt;=2)+('Yellow Bosses'!$P$5:$P$53&gt;=2)+('Yellow Bosses'!$V$5:$V$53&gt;=2))&gt;0))</f>
        <v>27</v>
      </c>
      <c r="G1070" s="26" t="n">
        <f aca="false">F1070/49</f>
        <v>0.551020408163265</v>
      </c>
      <c r="H1070" s="25" t="n">
        <f aca="false">49-SUMPRODUCT(--((('Yellow Bosses'!$J$5:$J$53&gt;=1)+('Yellow Bosses'!$N$5:$N$53&gt;=1)+('Yellow Bosses'!$P$5:$P$53&gt;=1)+('Yellow Bosses'!$V$5:$V$53&gt;=1))&gt;0))</f>
        <v>0</v>
      </c>
      <c r="I1070" s="25" t="n">
        <f aca="false">SUMPRODUCT(--((('Yellow Bosses'!$J$5:$J$53&gt;0)+('Yellow Bosses'!$N$5:$N$53&gt;0)+('Yellow Bosses'!$P$5:$P$53&gt;0)+('Yellow Bosses'!$V$5:$V$53&gt;0))=0))</f>
        <v>0</v>
      </c>
      <c r="J1070" s="25" t="n">
        <f aca="false">SUMPRODUCT(--(((Effectiveness!$G$5:$G$155&gt;=2)+(Effectiveness!$K$5:$K$155&gt;=2)+(Effectiveness!$M$5:$M$155&gt;=2)+(Effectiveness!$S$5:$S$155&gt;=2))&gt;0))</f>
        <v>76</v>
      </c>
      <c r="K1070" s="26" t="n">
        <f aca="false">J1070/151</f>
        <v>0.503311258278146</v>
      </c>
      <c r="L1070" s="25" t="n">
        <f aca="false">MIN(INDEX('Move Reality'!$F$5:$F$19,MATCH(B1070,'Move Reality'!$A$5:$A$19,0)),INDEX('Move Reality'!$F$5:$F$19,MATCH(C1070,'Move Reality'!$A$5:$A$19,0)),INDEX('Move Reality'!$F$5:$F$19,MATCH(D1070,'Move Reality'!$A$5:$A$19,0)),INDEX('Move Reality'!$F$5:$F$19,MATCH(E1070,'Move Reality'!$A$5:$A$19,0)))</f>
        <v>1</v>
      </c>
      <c r="M1070" s="28" t="str">
        <f aca="false">IF(L1070&gt;=5,"YES","no - dead move")</f>
        <v>no - dead move</v>
      </c>
    </row>
    <row r="1071" customFormat="false" ht="15" hidden="false" customHeight="false" outlineLevel="0" collapsed="false">
      <c r="A1071" s="17" t="n">
        <v>1067</v>
      </c>
      <c r="B1071" s="17" t="s">
        <v>46</v>
      </c>
      <c r="C1071" s="17" t="s">
        <v>47</v>
      </c>
      <c r="D1071" s="17" t="s">
        <v>52</v>
      </c>
      <c r="E1071" s="17" t="s">
        <v>53</v>
      </c>
      <c r="F1071" s="25" t="n">
        <f aca="false">SUMPRODUCT(--((('Yellow Bosses'!$N$5:$N$53&gt;=2)+('Yellow Bosses'!$O$5:$O$53&gt;=2)+('Yellow Bosses'!$T$5:$T$53&gt;=2)+('Yellow Bosses'!$U$5:$U$53&gt;=2))&gt;0))</f>
        <v>27</v>
      </c>
      <c r="G1071" s="26" t="n">
        <f aca="false">F1071/49</f>
        <v>0.551020408163265</v>
      </c>
      <c r="H1071" s="25" t="n">
        <f aca="false">49-SUMPRODUCT(--((('Yellow Bosses'!$N$5:$N$53&gt;=1)+('Yellow Bosses'!$O$5:$O$53&gt;=1)+('Yellow Bosses'!$T$5:$T$53&gt;=1)+('Yellow Bosses'!$U$5:$U$53&gt;=1))&gt;0))</f>
        <v>0</v>
      </c>
      <c r="I1071" s="25" t="n">
        <f aca="false">SUMPRODUCT(--((('Yellow Bosses'!$N$5:$N$53&gt;0)+('Yellow Bosses'!$O$5:$O$53&gt;0)+('Yellow Bosses'!$T$5:$T$53&gt;0)+('Yellow Bosses'!$U$5:$U$53&gt;0))=0))</f>
        <v>0</v>
      </c>
      <c r="J1071" s="25" t="n">
        <f aca="false">SUMPRODUCT(--(((Effectiveness!$K$5:$K$155&gt;=2)+(Effectiveness!$L$5:$L$155&gt;=2)+(Effectiveness!$Q$5:$Q$155&gt;=2)+(Effectiveness!$R$5:$R$155&gt;=2))&gt;0))</f>
        <v>75</v>
      </c>
      <c r="K1071" s="26" t="n">
        <f aca="false">J1071/151</f>
        <v>0.496688741721854</v>
      </c>
      <c r="L1071" s="25" t="n">
        <f aca="false">MIN(INDEX('Move Reality'!$F$5:$F$19,MATCH(B1071,'Move Reality'!$A$5:$A$19,0)),INDEX('Move Reality'!$F$5:$F$19,MATCH(C1071,'Move Reality'!$A$5:$A$19,0)),INDEX('Move Reality'!$F$5:$F$19,MATCH(D1071,'Move Reality'!$A$5:$A$19,0)),INDEX('Move Reality'!$F$5:$F$19,MATCH(E1071,'Move Reality'!$A$5:$A$19,0)))</f>
        <v>1</v>
      </c>
      <c r="M1071" s="28" t="str">
        <f aca="false">IF(L1071&gt;=5,"YES","no - dead move")</f>
        <v>no - dead move</v>
      </c>
    </row>
    <row r="1072" customFormat="false" ht="15" hidden="false" customHeight="false" outlineLevel="0" collapsed="false">
      <c r="A1072" s="17" t="n">
        <v>1068</v>
      </c>
      <c r="B1072" s="17" t="s">
        <v>46</v>
      </c>
      <c r="C1072" s="17" t="s">
        <v>52</v>
      </c>
      <c r="D1072" s="17" t="s">
        <v>53</v>
      </c>
      <c r="E1072" s="17" t="s">
        <v>54</v>
      </c>
      <c r="F1072" s="25" t="n">
        <f aca="false">SUMPRODUCT(--((('Yellow Bosses'!$N$5:$N$53&gt;=2)+('Yellow Bosses'!$T$5:$T$53&gt;=2)+('Yellow Bosses'!$U$5:$U$53&gt;=2)+('Yellow Bosses'!$V$5:$V$53&gt;=2))&gt;0))</f>
        <v>27</v>
      </c>
      <c r="G1072" s="26" t="n">
        <f aca="false">F1072/49</f>
        <v>0.551020408163265</v>
      </c>
      <c r="H1072" s="25" t="n">
        <f aca="false">49-SUMPRODUCT(--((('Yellow Bosses'!$N$5:$N$53&gt;=1)+('Yellow Bosses'!$T$5:$T$53&gt;=1)+('Yellow Bosses'!$U$5:$U$53&gt;=1)+('Yellow Bosses'!$V$5:$V$53&gt;=1))&gt;0))</f>
        <v>0</v>
      </c>
      <c r="I1072" s="25" t="n">
        <f aca="false">SUMPRODUCT(--((('Yellow Bosses'!$N$5:$N$53&gt;0)+('Yellow Bosses'!$T$5:$T$53&gt;0)+('Yellow Bosses'!$U$5:$U$53&gt;0)+('Yellow Bosses'!$V$5:$V$53&gt;0))=0))</f>
        <v>0</v>
      </c>
      <c r="J1072" s="25" t="n">
        <f aca="false">SUMPRODUCT(--(((Effectiveness!$K$5:$K$155&gt;=2)+(Effectiveness!$Q$5:$Q$155&gt;=2)+(Effectiveness!$R$5:$R$155&gt;=2)+(Effectiveness!$S$5:$S$155&gt;=2))&gt;0))</f>
        <v>74</v>
      </c>
      <c r="K1072" s="26" t="n">
        <f aca="false">J1072/151</f>
        <v>0.490066225165563</v>
      </c>
      <c r="L1072" s="25" t="n">
        <f aca="false">MIN(INDEX('Move Reality'!$F$5:$F$19,MATCH(B1072,'Move Reality'!$A$5:$A$19,0)),INDEX('Move Reality'!$F$5:$F$19,MATCH(C1072,'Move Reality'!$A$5:$A$19,0)),INDEX('Move Reality'!$F$5:$F$19,MATCH(D1072,'Move Reality'!$A$5:$A$19,0)),INDEX('Move Reality'!$F$5:$F$19,MATCH(E1072,'Move Reality'!$A$5:$A$19,0)))</f>
        <v>1</v>
      </c>
      <c r="M1072" s="28" t="str">
        <f aca="false">IF(L1072&gt;=5,"YES","no - dead move")</f>
        <v>no - dead move</v>
      </c>
    </row>
    <row r="1073" customFormat="false" ht="15" hidden="false" customHeight="false" outlineLevel="0" collapsed="false">
      <c r="A1073" s="17" t="n">
        <v>1069</v>
      </c>
      <c r="B1073" s="17" t="s">
        <v>40</v>
      </c>
      <c r="C1073" s="17" t="s">
        <v>48</v>
      </c>
      <c r="D1073" s="17" t="s">
        <v>50</v>
      </c>
      <c r="E1073" s="17" t="s">
        <v>53</v>
      </c>
      <c r="F1073" s="25" t="n">
        <f aca="false">SUMPRODUCT(--((('Yellow Bosses'!$H$5:$H$53&gt;=2)+('Yellow Bosses'!$P$5:$P$53&gt;=2)+('Yellow Bosses'!$R$5:$R$53&gt;=2)+('Yellow Bosses'!$U$5:$U$53&gt;=2))&gt;0))</f>
        <v>27</v>
      </c>
      <c r="G1073" s="26" t="n">
        <f aca="false">F1073/49</f>
        <v>0.551020408163265</v>
      </c>
      <c r="H1073" s="25" t="n">
        <f aca="false">49-SUMPRODUCT(--((('Yellow Bosses'!$H$5:$H$53&gt;=1)+('Yellow Bosses'!$P$5:$P$53&gt;=1)+('Yellow Bosses'!$R$5:$R$53&gt;=1)+('Yellow Bosses'!$U$5:$U$53&gt;=1))&gt;0))</f>
        <v>0</v>
      </c>
      <c r="I1073" s="25" t="n">
        <f aca="false">SUMPRODUCT(--((('Yellow Bosses'!$H$5:$H$53&gt;0)+('Yellow Bosses'!$P$5:$P$53&gt;0)+('Yellow Bosses'!$R$5:$R$53&gt;0)+('Yellow Bosses'!$U$5:$U$53&gt;0))=0))</f>
        <v>0</v>
      </c>
      <c r="J1073" s="25" t="n">
        <f aca="false">SUMPRODUCT(--(((Effectiveness!$E$5:$E$155&gt;=2)+(Effectiveness!$M$5:$M$155&gt;=2)+(Effectiveness!$O$5:$O$155&gt;=2)+(Effectiveness!$R$5:$R$155&gt;=2))&gt;0))</f>
        <v>69</v>
      </c>
      <c r="K1073" s="26" t="n">
        <f aca="false">J1073/151</f>
        <v>0.456953642384106</v>
      </c>
      <c r="L1073" s="25" t="n">
        <f aca="false">MIN(INDEX('Move Reality'!$F$5:$F$19,MATCH(B1073,'Move Reality'!$A$5:$A$19,0)),INDEX('Move Reality'!$F$5:$F$19,MATCH(C1073,'Move Reality'!$A$5:$A$19,0)),INDEX('Move Reality'!$F$5:$F$19,MATCH(D1073,'Move Reality'!$A$5:$A$19,0)),INDEX('Move Reality'!$F$5:$F$19,MATCH(E1073,'Move Reality'!$A$5:$A$19,0)))</f>
        <v>1</v>
      </c>
      <c r="M1073" s="28" t="str">
        <f aca="false">IF(L1073&gt;=5,"YES","no - dead move")</f>
        <v>no - dead move</v>
      </c>
    </row>
    <row r="1074" customFormat="false" ht="15" hidden="false" customHeight="false" outlineLevel="0" collapsed="false">
      <c r="A1074" s="17" t="n">
        <v>1070</v>
      </c>
      <c r="B1074" s="17" t="s">
        <v>40</v>
      </c>
      <c r="C1074" s="17" t="s">
        <v>41</v>
      </c>
      <c r="D1074" s="17" t="s">
        <v>42</v>
      </c>
      <c r="E1074" s="17" t="s">
        <v>45</v>
      </c>
      <c r="F1074" s="25" t="n">
        <f aca="false">SUMPRODUCT(--((('Yellow Bosses'!$H$5:$H$53&gt;=2)+('Yellow Bosses'!$I$5:$I$53&gt;=2)+('Yellow Bosses'!$J$5:$J$53&gt;=2)+('Yellow Bosses'!$M$5:$M$53&gt;=2))&gt;0))</f>
        <v>27</v>
      </c>
      <c r="G1074" s="26" t="n">
        <f aca="false">F1074/49</f>
        <v>0.551020408163265</v>
      </c>
      <c r="H1074" s="25" t="n">
        <f aca="false">49-SUMPRODUCT(--((('Yellow Bosses'!$H$5:$H$53&gt;=1)+('Yellow Bosses'!$I$5:$I$53&gt;=1)+('Yellow Bosses'!$J$5:$J$53&gt;=1)+('Yellow Bosses'!$M$5:$M$53&gt;=1))&gt;0))</f>
        <v>0</v>
      </c>
      <c r="I1074" s="25" t="n">
        <f aca="false">SUMPRODUCT(--((('Yellow Bosses'!$H$5:$H$53&gt;0)+('Yellow Bosses'!$I$5:$I$53&gt;0)+('Yellow Bosses'!$J$5:$J$53&gt;0)+('Yellow Bosses'!$M$5:$M$53&gt;0))=0))</f>
        <v>0</v>
      </c>
      <c r="J1074" s="25" t="n">
        <f aca="false">SUMPRODUCT(--(((Effectiveness!$E$5:$E$155&gt;=2)+(Effectiveness!$F$5:$F$155&gt;=2)+(Effectiveness!$G$5:$G$155&gt;=2)+(Effectiveness!$J$5:$J$155&gt;=2))&gt;0))</f>
        <v>67</v>
      </c>
      <c r="K1074" s="26" t="n">
        <f aca="false">J1074/151</f>
        <v>0.443708609271523</v>
      </c>
      <c r="L1074" s="25" t="n">
        <f aca="false">MIN(INDEX('Move Reality'!$F$5:$F$19,MATCH(B1074,'Move Reality'!$A$5:$A$19,0)),INDEX('Move Reality'!$F$5:$F$19,MATCH(C1074,'Move Reality'!$A$5:$A$19,0)),INDEX('Move Reality'!$F$5:$F$19,MATCH(D1074,'Move Reality'!$A$5:$A$19,0)),INDEX('Move Reality'!$F$5:$F$19,MATCH(E1074,'Move Reality'!$A$5:$A$19,0)))</f>
        <v>7</v>
      </c>
      <c r="M1074" s="28" t="str">
        <f aca="false">IF(L1074&gt;=5,"YES","no - dead move")</f>
        <v>YES</v>
      </c>
    </row>
    <row r="1075" customFormat="false" ht="15" hidden="false" customHeight="false" outlineLevel="0" collapsed="false">
      <c r="A1075" s="17" t="n">
        <v>1071</v>
      </c>
      <c r="B1075" s="17" t="s">
        <v>41</v>
      </c>
      <c r="C1075" s="17" t="s">
        <v>42</v>
      </c>
      <c r="D1075" s="17" t="s">
        <v>45</v>
      </c>
      <c r="E1075" s="17" t="s">
        <v>47</v>
      </c>
      <c r="F1075" s="25" t="n">
        <f aca="false">SUMPRODUCT(--((('Yellow Bosses'!$I$5:$I$53&gt;=2)+('Yellow Bosses'!$J$5:$J$53&gt;=2)+('Yellow Bosses'!$M$5:$M$53&gt;=2)+('Yellow Bosses'!$O$5:$O$53&gt;=2))&gt;0))</f>
        <v>27</v>
      </c>
      <c r="G1075" s="26" t="n">
        <f aca="false">F1075/49</f>
        <v>0.551020408163265</v>
      </c>
      <c r="H1075" s="25" t="n">
        <f aca="false">49-SUMPRODUCT(--((('Yellow Bosses'!$I$5:$I$53&gt;=1)+('Yellow Bosses'!$J$5:$J$53&gt;=1)+('Yellow Bosses'!$M$5:$M$53&gt;=1)+('Yellow Bosses'!$O$5:$O$53&gt;=1))&gt;0))</f>
        <v>0</v>
      </c>
      <c r="I1075" s="25" t="n">
        <f aca="false">SUMPRODUCT(--((('Yellow Bosses'!$I$5:$I$53&gt;0)+('Yellow Bosses'!$J$5:$J$53&gt;0)+('Yellow Bosses'!$M$5:$M$53&gt;0)+('Yellow Bosses'!$O$5:$O$53&gt;0))=0))</f>
        <v>0</v>
      </c>
      <c r="J1075" s="25" t="n">
        <f aca="false">SUMPRODUCT(--(((Effectiveness!$F$5:$F$155&gt;=2)+(Effectiveness!$G$5:$G$155&gt;=2)+(Effectiveness!$J$5:$J$155&gt;=2)+(Effectiveness!$L$5:$L$155&gt;=2))&gt;0))</f>
        <v>67</v>
      </c>
      <c r="K1075" s="26" t="n">
        <f aca="false">J1075/151</f>
        <v>0.443708609271523</v>
      </c>
      <c r="L1075" s="25" t="n">
        <f aca="false">MIN(INDEX('Move Reality'!$F$5:$F$19,MATCH(B1075,'Move Reality'!$A$5:$A$19,0)),INDEX('Move Reality'!$F$5:$F$19,MATCH(C1075,'Move Reality'!$A$5:$A$19,0)),INDEX('Move Reality'!$F$5:$F$19,MATCH(D1075,'Move Reality'!$A$5:$A$19,0)),INDEX('Move Reality'!$F$5:$F$19,MATCH(E1075,'Move Reality'!$A$5:$A$19,0)))</f>
        <v>2</v>
      </c>
      <c r="M1075" s="28" t="str">
        <f aca="false">IF(L1075&gt;=5,"YES","no - dead move")</f>
        <v>no - dead move</v>
      </c>
    </row>
    <row r="1076" customFormat="false" ht="15" hidden="false" customHeight="false" outlineLevel="0" collapsed="false">
      <c r="A1076" s="17" t="n">
        <v>1072</v>
      </c>
      <c r="B1076" s="17" t="s">
        <v>41</v>
      </c>
      <c r="C1076" s="17" t="s">
        <v>42</v>
      </c>
      <c r="D1076" s="17" t="s">
        <v>45</v>
      </c>
      <c r="E1076" s="17" t="s">
        <v>54</v>
      </c>
      <c r="F1076" s="25" t="n">
        <f aca="false">SUMPRODUCT(--((('Yellow Bosses'!$I$5:$I$53&gt;=2)+('Yellow Bosses'!$J$5:$J$53&gt;=2)+('Yellow Bosses'!$M$5:$M$53&gt;=2)+('Yellow Bosses'!$V$5:$V$53&gt;=2))&gt;0))</f>
        <v>27</v>
      </c>
      <c r="G1076" s="26" t="n">
        <f aca="false">F1076/49</f>
        <v>0.551020408163265</v>
      </c>
      <c r="H1076" s="25" t="n">
        <f aca="false">49-SUMPRODUCT(--((('Yellow Bosses'!$I$5:$I$53&gt;=1)+('Yellow Bosses'!$J$5:$J$53&gt;=1)+('Yellow Bosses'!$M$5:$M$53&gt;=1)+('Yellow Bosses'!$V$5:$V$53&gt;=1))&gt;0))</f>
        <v>0</v>
      </c>
      <c r="I1076" s="25" t="n">
        <f aca="false">SUMPRODUCT(--((('Yellow Bosses'!$I$5:$I$53&gt;0)+('Yellow Bosses'!$J$5:$J$53&gt;0)+('Yellow Bosses'!$M$5:$M$53&gt;0)+('Yellow Bosses'!$V$5:$V$53&gt;0))=0))</f>
        <v>0</v>
      </c>
      <c r="J1076" s="25" t="n">
        <f aca="false">SUMPRODUCT(--(((Effectiveness!$F$5:$F$155&gt;=2)+(Effectiveness!$G$5:$G$155&gt;=2)+(Effectiveness!$J$5:$J$155&gt;=2)+(Effectiveness!$S$5:$S$155&gt;=2))&gt;0))</f>
        <v>67</v>
      </c>
      <c r="K1076" s="26" t="n">
        <f aca="false">J1076/151</f>
        <v>0.443708609271523</v>
      </c>
      <c r="L1076" s="25" t="n">
        <f aca="false">MIN(INDEX('Move Reality'!$F$5:$F$19,MATCH(B1076,'Move Reality'!$A$5:$A$19,0)),INDEX('Move Reality'!$F$5:$F$19,MATCH(C1076,'Move Reality'!$A$5:$A$19,0)),INDEX('Move Reality'!$F$5:$F$19,MATCH(D1076,'Move Reality'!$A$5:$A$19,0)),INDEX('Move Reality'!$F$5:$F$19,MATCH(E1076,'Move Reality'!$A$5:$A$19,0)))</f>
        <v>1</v>
      </c>
      <c r="M1076" s="28" t="str">
        <f aca="false">IF(L1076&gt;=5,"YES","no - dead move")</f>
        <v>no - dead move</v>
      </c>
    </row>
    <row r="1077" customFormat="false" ht="15" hidden="false" customHeight="false" outlineLevel="0" collapsed="false">
      <c r="A1077" s="17" t="n">
        <v>1073</v>
      </c>
      <c r="B1077" s="17" t="s">
        <v>49</v>
      </c>
      <c r="C1077" s="17" t="s">
        <v>51</v>
      </c>
      <c r="D1077" s="17" t="s">
        <v>53</v>
      </c>
      <c r="E1077" s="17" t="s">
        <v>54</v>
      </c>
      <c r="F1077" s="25" t="n">
        <f aca="false">SUMPRODUCT(--((('Yellow Bosses'!$Q$5:$Q$53&gt;=2)+('Yellow Bosses'!$S$5:$S$53&gt;=2)+('Yellow Bosses'!$U$5:$U$53&gt;=2)+('Yellow Bosses'!$V$5:$V$53&gt;=2))&gt;0))</f>
        <v>27</v>
      </c>
      <c r="G1077" s="26" t="n">
        <f aca="false">F1077/49</f>
        <v>0.551020408163265</v>
      </c>
      <c r="H1077" s="25" t="n">
        <f aca="false">49-SUMPRODUCT(--((('Yellow Bosses'!$Q$5:$Q$53&gt;=1)+('Yellow Bosses'!$S$5:$S$53&gt;=1)+('Yellow Bosses'!$U$5:$U$53&gt;=1)+('Yellow Bosses'!$V$5:$V$53&gt;=1))&gt;0))</f>
        <v>0</v>
      </c>
      <c r="I1077" s="25" t="n">
        <f aca="false">SUMPRODUCT(--((('Yellow Bosses'!$Q$5:$Q$53&gt;0)+('Yellow Bosses'!$S$5:$S$53&gt;0)+('Yellow Bosses'!$U$5:$U$53&gt;0)+('Yellow Bosses'!$V$5:$V$53&gt;0))=0))</f>
        <v>0</v>
      </c>
      <c r="J1077" s="25" t="n">
        <f aca="false">SUMPRODUCT(--(((Effectiveness!$N$5:$N$155&gt;=2)+(Effectiveness!$P$5:$P$155&gt;=2)+(Effectiveness!$R$5:$R$155&gt;=2)+(Effectiveness!$S$5:$S$155&gt;=2))&gt;0))</f>
        <v>64</v>
      </c>
      <c r="K1077" s="26" t="n">
        <f aca="false">J1077/151</f>
        <v>0.423841059602649</v>
      </c>
      <c r="L1077" s="25" t="n">
        <f aca="false">MIN(INDEX('Move Reality'!$F$5:$F$19,MATCH(B1077,'Move Reality'!$A$5:$A$19,0)),INDEX('Move Reality'!$F$5:$F$19,MATCH(C1077,'Move Reality'!$A$5:$A$19,0)),INDEX('Move Reality'!$F$5:$F$19,MATCH(D1077,'Move Reality'!$A$5:$A$19,0)),INDEX('Move Reality'!$F$5:$F$19,MATCH(E1077,'Move Reality'!$A$5:$A$19,0)))</f>
        <v>1</v>
      </c>
      <c r="M1077" s="28" t="str">
        <f aca="false">IF(L1077&gt;=5,"YES","no - dead move")</f>
        <v>no - dead move</v>
      </c>
    </row>
    <row r="1078" customFormat="false" ht="15" hidden="false" customHeight="false" outlineLevel="0" collapsed="false">
      <c r="A1078" s="17" t="n">
        <v>1074</v>
      </c>
      <c r="B1078" s="17" t="s">
        <v>42</v>
      </c>
      <c r="C1078" s="17" t="s">
        <v>44</v>
      </c>
      <c r="D1078" s="17" t="s">
        <v>53</v>
      </c>
      <c r="E1078" s="17" t="s">
        <v>54</v>
      </c>
      <c r="F1078" s="25" t="n">
        <f aca="false">SUMPRODUCT(--((('Yellow Bosses'!$J$5:$J$53&gt;=2)+('Yellow Bosses'!$L$5:$L$53&gt;=2)+('Yellow Bosses'!$U$5:$U$53&gt;=2)+('Yellow Bosses'!$V$5:$V$53&gt;=2))&gt;0))</f>
        <v>27</v>
      </c>
      <c r="G1078" s="26" t="n">
        <f aca="false">F1078/49</f>
        <v>0.551020408163265</v>
      </c>
      <c r="H1078" s="25" t="n">
        <f aca="false">49-SUMPRODUCT(--((('Yellow Bosses'!$J$5:$J$53&gt;=1)+('Yellow Bosses'!$L$5:$L$53&gt;=1)+('Yellow Bosses'!$U$5:$U$53&gt;=1)+('Yellow Bosses'!$V$5:$V$53&gt;=1))&gt;0))</f>
        <v>0</v>
      </c>
      <c r="I1078" s="25" t="n">
        <f aca="false">SUMPRODUCT(--((('Yellow Bosses'!$J$5:$J$53&gt;0)+('Yellow Bosses'!$L$5:$L$53&gt;0)+('Yellow Bosses'!$U$5:$U$53&gt;0)+('Yellow Bosses'!$V$5:$V$53&gt;0))=0))</f>
        <v>0</v>
      </c>
      <c r="J1078" s="25" t="n">
        <f aca="false">SUMPRODUCT(--(((Effectiveness!$G$5:$G$155&gt;=2)+(Effectiveness!$I$5:$I$155&gt;=2)+(Effectiveness!$R$5:$R$155&gt;=2)+(Effectiveness!$S$5:$S$155&gt;=2))&gt;0))</f>
        <v>62</v>
      </c>
      <c r="K1078" s="26" t="n">
        <f aca="false">J1078/151</f>
        <v>0.410596026490066</v>
      </c>
      <c r="L1078" s="25" t="n">
        <f aca="false">MIN(INDEX('Move Reality'!$F$5:$F$19,MATCH(B1078,'Move Reality'!$A$5:$A$19,0)),INDEX('Move Reality'!$F$5:$F$19,MATCH(C1078,'Move Reality'!$A$5:$A$19,0)),INDEX('Move Reality'!$F$5:$F$19,MATCH(D1078,'Move Reality'!$A$5:$A$19,0)),INDEX('Move Reality'!$F$5:$F$19,MATCH(E1078,'Move Reality'!$A$5:$A$19,0)))</f>
        <v>1</v>
      </c>
      <c r="M1078" s="28" t="str">
        <f aca="false">IF(L1078&gt;=5,"YES","no - dead move")</f>
        <v>no - dead move</v>
      </c>
    </row>
    <row r="1079" customFormat="false" ht="15" hidden="false" customHeight="false" outlineLevel="0" collapsed="false">
      <c r="A1079" s="17" t="n">
        <v>1075</v>
      </c>
      <c r="B1079" s="17" t="s">
        <v>40</v>
      </c>
      <c r="C1079" s="17" t="s">
        <v>42</v>
      </c>
      <c r="D1079" s="17" t="s">
        <v>47</v>
      </c>
      <c r="E1079" s="17" t="s">
        <v>52</v>
      </c>
      <c r="F1079" s="25" t="n">
        <f aca="false">SUMPRODUCT(--((('Yellow Bosses'!$H$5:$H$53&gt;=2)+('Yellow Bosses'!$J$5:$J$53&gt;=2)+('Yellow Bosses'!$O$5:$O$53&gt;=2)+('Yellow Bosses'!$T$5:$T$53&gt;=2))&gt;0))</f>
        <v>27</v>
      </c>
      <c r="G1079" s="26" t="n">
        <f aca="false">F1079/49</f>
        <v>0.551020408163265</v>
      </c>
      <c r="H1079" s="25" t="n">
        <f aca="false">49-SUMPRODUCT(--((('Yellow Bosses'!$H$5:$H$53&gt;=1)+('Yellow Bosses'!$J$5:$J$53&gt;=1)+('Yellow Bosses'!$O$5:$O$53&gt;=1)+('Yellow Bosses'!$T$5:$T$53&gt;=1))&gt;0))</f>
        <v>0</v>
      </c>
      <c r="I1079" s="25" t="n">
        <f aca="false">SUMPRODUCT(--((('Yellow Bosses'!$H$5:$H$53&gt;0)+('Yellow Bosses'!$J$5:$J$53&gt;0)+('Yellow Bosses'!$O$5:$O$53&gt;0)+('Yellow Bosses'!$T$5:$T$53&gt;0))=0))</f>
        <v>0</v>
      </c>
      <c r="J1079" s="25" t="n">
        <f aca="false">SUMPRODUCT(--(((Effectiveness!$E$5:$E$155&gt;=2)+(Effectiveness!$G$5:$G$155&gt;=2)+(Effectiveness!$L$5:$L$155&gt;=2)+(Effectiveness!$Q$5:$Q$155&gt;=2))&gt;0))</f>
        <v>60</v>
      </c>
      <c r="K1079" s="26" t="n">
        <f aca="false">J1079/151</f>
        <v>0.397350993377483</v>
      </c>
      <c r="L1079" s="25" t="n">
        <f aca="false">MIN(INDEX('Move Reality'!$F$5:$F$19,MATCH(B1079,'Move Reality'!$A$5:$A$19,0)),INDEX('Move Reality'!$F$5:$F$19,MATCH(C1079,'Move Reality'!$A$5:$A$19,0)),INDEX('Move Reality'!$F$5:$F$19,MATCH(D1079,'Move Reality'!$A$5:$A$19,0)),INDEX('Move Reality'!$F$5:$F$19,MATCH(E1079,'Move Reality'!$A$5:$A$19,0)))</f>
        <v>2</v>
      </c>
      <c r="M1079" s="28" t="str">
        <f aca="false">IF(L1079&gt;=5,"YES","no - dead move")</f>
        <v>no - dead move</v>
      </c>
    </row>
    <row r="1080" customFormat="false" ht="15" hidden="false" customHeight="false" outlineLevel="0" collapsed="false">
      <c r="A1080" s="17" t="n">
        <v>1076</v>
      </c>
      <c r="B1080" s="17" t="s">
        <v>40</v>
      </c>
      <c r="C1080" s="17" t="s">
        <v>42</v>
      </c>
      <c r="D1080" s="17" t="s">
        <v>52</v>
      </c>
      <c r="E1080" s="17" t="s">
        <v>54</v>
      </c>
      <c r="F1080" s="25" t="n">
        <f aca="false">SUMPRODUCT(--((('Yellow Bosses'!$H$5:$H$53&gt;=2)+('Yellow Bosses'!$J$5:$J$53&gt;=2)+('Yellow Bosses'!$T$5:$T$53&gt;=2)+('Yellow Bosses'!$V$5:$V$53&gt;=2))&gt;0))</f>
        <v>27</v>
      </c>
      <c r="G1080" s="26" t="n">
        <f aca="false">F1080/49</f>
        <v>0.551020408163265</v>
      </c>
      <c r="H1080" s="25" t="n">
        <f aca="false">49-SUMPRODUCT(--((('Yellow Bosses'!$H$5:$H$53&gt;=1)+('Yellow Bosses'!$J$5:$J$53&gt;=1)+('Yellow Bosses'!$T$5:$T$53&gt;=1)+('Yellow Bosses'!$V$5:$V$53&gt;=1))&gt;0))</f>
        <v>0</v>
      </c>
      <c r="I1080" s="25" t="n">
        <f aca="false">SUMPRODUCT(--((('Yellow Bosses'!$H$5:$H$53&gt;0)+('Yellow Bosses'!$J$5:$J$53&gt;0)+('Yellow Bosses'!$T$5:$T$53&gt;0)+('Yellow Bosses'!$V$5:$V$53&gt;0))=0))</f>
        <v>0</v>
      </c>
      <c r="J1080" s="25" t="n">
        <f aca="false">SUMPRODUCT(--(((Effectiveness!$E$5:$E$155&gt;=2)+(Effectiveness!$G$5:$G$155&gt;=2)+(Effectiveness!$Q$5:$Q$155&gt;=2)+(Effectiveness!$S$5:$S$155&gt;=2))&gt;0))</f>
        <v>59</v>
      </c>
      <c r="K1080" s="26" t="n">
        <f aca="false">J1080/151</f>
        <v>0.390728476821192</v>
      </c>
      <c r="L1080" s="25" t="n">
        <f aca="false">MIN(INDEX('Move Reality'!$F$5:$F$19,MATCH(B1080,'Move Reality'!$A$5:$A$19,0)),INDEX('Move Reality'!$F$5:$F$19,MATCH(C1080,'Move Reality'!$A$5:$A$19,0)),INDEX('Move Reality'!$F$5:$F$19,MATCH(D1080,'Move Reality'!$A$5:$A$19,0)),INDEX('Move Reality'!$F$5:$F$19,MATCH(E1080,'Move Reality'!$A$5:$A$19,0)))</f>
        <v>1</v>
      </c>
      <c r="M1080" s="28" t="str">
        <f aca="false">IF(L1080&gt;=5,"YES","no - dead move")</f>
        <v>no - dead move</v>
      </c>
    </row>
    <row r="1081" customFormat="false" ht="15" hidden="false" customHeight="false" outlineLevel="0" collapsed="false">
      <c r="A1081" s="17" t="n">
        <v>1077</v>
      </c>
      <c r="B1081" s="17" t="s">
        <v>42</v>
      </c>
      <c r="C1081" s="17" t="s">
        <v>43</v>
      </c>
      <c r="D1081" s="17" t="s">
        <v>46</v>
      </c>
      <c r="E1081" s="17" t="s">
        <v>47</v>
      </c>
      <c r="F1081" s="25" t="n">
        <f aca="false">SUMPRODUCT(--((('Yellow Bosses'!$J$5:$J$53&gt;=2)+('Yellow Bosses'!$K$5:$K$53&gt;=2)+('Yellow Bosses'!$N$5:$N$53&gt;=2)+('Yellow Bosses'!$O$5:$O$53&gt;=2))&gt;0))</f>
        <v>26</v>
      </c>
      <c r="G1081" s="26" t="n">
        <f aca="false">F1081/49</f>
        <v>0.530612244897959</v>
      </c>
      <c r="H1081" s="25" t="n">
        <f aca="false">49-SUMPRODUCT(--((('Yellow Bosses'!$J$5:$J$53&gt;=1)+('Yellow Bosses'!$K$5:$K$53&gt;=1)+('Yellow Bosses'!$N$5:$N$53&gt;=1)+('Yellow Bosses'!$O$5:$O$53&gt;=1))&gt;0))</f>
        <v>0</v>
      </c>
      <c r="I1081" s="25" t="n">
        <f aca="false">SUMPRODUCT(--((('Yellow Bosses'!$J$5:$J$53&gt;0)+('Yellow Bosses'!$K$5:$K$53&gt;0)+('Yellow Bosses'!$N$5:$N$53&gt;0)+('Yellow Bosses'!$O$5:$O$53&gt;0))=0))</f>
        <v>0</v>
      </c>
      <c r="J1081" s="25" t="n">
        <f aca="false">SUMPRODUCT(--(((Effectiveness!$G$5:$G$155&gt;=2)+(Effectiveness!$H$5:$H$155&gt;=2)+(Effectiveness!$K$5:$K$155&gt;=2)+(Effectiveness!$L$5:$L$155&gt;=2))&gt;0))</f>
        <v>96</v>
      </c>
      <c r="K1081" s="26" t="n">
        <f aca="false">J1081/151</f>
        <v>0.635761589403974</v>
      </c>
      <c r="L1081" s="25" t="n">
        <f aca="false">MIN(INDEX('Move Reality'!$F$5:$F$19,MATCH(B1081,'Move Reality'!$A$5:$A$19,0)),INDEX('Move Reality'!$F$5:$F$19,MATCH(C1081,'Move Reality'!$A$5:$A$19,0)),INDEX('Move Reality'!$F$5:$F$19,MATCH(D1081,'Move Reality'!$A$5:$A$19,0)),INDEX('Move Reality'!$F$5:$F$19,MATCH(E1081,'Move Reality'!$A$5:$A$19,0)))</f>
        <v>2</v>
      </c>
      <c r="M1081" s="28" t="str">
        <f aca="false">IF(L1081&gt;=5,"YES","no - dead move")</f>
        <v>no - dead move</v>
      </c>
    </row>
    <row r="1082" customFormat="false" ht="15" hidden="false" customHeight="false" outlineLevel="0" collapsed="false">
      <c r="A1082" s="17" t="n">
        <v>1078</v>
      </c>
      <c r="B1082" s="17" t="s">
        <v>44</v>
      </c>
      <c r="C1082" s="17" t="s">
        <v>45</v>
      </c>
      <c r="D1082" s="17" t="s">
        <v>46</v>
      </c>
      <c r="E1082" s="17" t="s">
        <v>47</v>
      </c>
      <c r="F1082" s="25" t="n">
        <f aca="false">SUMPRODUCT(--((('Yellow Bosses'!$L$5:$L$53&gt;=2)+('Yellow Bosses'!$M$5:$M$53&gt;=2)+('Yellow Bosses'!$N$5:$N$53&gt;=2)+('Yellow Bosses'!$O$5:$O$53&gt;=2))&gt;0))</f>
        <v>26</v>
      </c>
      <c r="G1082" s="26" t="n">
        <f aca="false">F1082/49</f>
        <v>0.530612244897959</v>
      </c>
      <c r="H1082" s="25" t="n">
        <f aca="false">49-SUMPRODUCT(--((('Yellow Bosses'!$L$5:$L$53&gt;=1)+('Yellow Bosses'!$M$5:$M$53&gt;=1)+('Yellow Bosses'!$N$5:$N$53&gt;=1)+('Yellow Bosses'!$O$5:$O$53&gt;=1))&gt;0))</f>
        <v>0</v>
      </c>
      <c r="I1082" s="25" t="n">
        <f aca="false">SUMPRODUCT(--((('Yellow Bosses'!$L$5:$L$53&gt;0)+('Yellow Bosses'!$M$5:$M$53&gt;0)+('Yellow Bosses'!$N$5:$N$53&gt;0)+('Yellow Bosses'!$O$5:$O$53&gt;0))=0))</f>
        <v>0</v>
      </c>
      <c r="J1082" s="25" t="n">
        <f aca="false">SUMPRODUCT(--(((Effectiveness!$I$5:$I$155&gt;=2)+(Effectiveness!$J$5:$J$155&gt;=2)+(Effectiveness!$K$5:$K$155&gt;=2)+(Effectiveness!$L$5:$L$155&gt;=2))&gt;0))</f>
        <v>95</v>
      </c>
      <c r="K1082" s="26" t="n">
        <f aca="false">J1082/151</f>
        <v>0.629139072847682</v>
      </c>
      <c r="L1082" s="25" t="n">
        <f aca="false">MIN(INDEX('Move Reality'!$F$5:$F$19,MATCH(B1082,'Move Reality'!$A$5:$A$19,0)),INDEX('Move Reality'!$F$5:$F$19,MATCH(C1082,'Move Reality'!$A$5:$A$19,0)),INDEX('Move Reality'!$F$5:$F$19,MATCH(D1082,'Move Reality'!$A$5:$A$19,0)),INDEX('Move Reality'!$F$5:$F$19,MATCH(E1082,'Move Reality'!$A$5:$A$19,0)))</f>
        <v>2</v>
      </c>
      <c r="M1082" s="28" t="str">
        <f aca="false">IF(L1082&gt;=5,"YES","no - dead move")</f>
        <v>no - dead move</v>
      </c>
    </row>
    <row r="1083" customFormat="false" ht="15" hidden="false" customHeight="false" outlineLevel="0" collapsed="false">
      <c r="A1083" s="17" t="n">
        <v>1079</v>
      </c>
      <c r="B1083" s="17" t="s">
        <v>40</v>
      </c>
      <c r="C1083" s="17" t="s">
        <v>43</v>
      </c>
      <c r="D1083" s="17" t="s">
        <v>46</v>
      </c>
      <c r="E1083" s="17" t="s">
        <v>52</v>
      </c>
      <c r="F1083" s="25" t="n">
        <f aca="false">SUMPRODUCT(--((('Yellow Bosses'!$H$5:$H$53&gt;=2)+('Yellow Bosses'!$K$5:$K$53&gt;=2)+('Yellow Bosses'!$N$5:$N$53&gt;=2)+('Yellow Bosses'!$T$5:$T$53&gt;=2))&gt;0))</f>
        <v>26</v>
      </c>
      <c r="G1083" s="26" t="n">
        <f aca="false">F1083/49</f>
        <v>0.530612244897959</v>
      </c>
      <c r="H1083" s="25" t="n">
        <f aca="false">49-SUMPRODUCT(--((('Yellow Bosses'!$H$5:$H$53&gt;=1)+('Yellow Bosses'!$K$5:$K$53&gt;=1)+('Yellow Bosses'!$N$5:$N$53&gt;=1)+('Yellow Bosses'!$T$5:$T$53&gt;=1))&gt;0))</f>
        <v>0</v>
      </c>
      <c r="I1083" s="25" t="n">
        <f aca="false">SUMPRODUCT(--((('Yellow Bosses'!$H$5:$H$53&gt;0)+('Yellow Bosses'!$K$5:$K$53&gt;0)+('Yellow Bosses'!$N$5:$N$53&gt;0)+('Yellow Bosses'!$T$5:$T$53&gt;0))=0))</f>
        <v>0</v>
      </c>
      <c r="J1083" s="25" t="n">
        <f aca="false">SUMPRODUCT(--(((Effectiveness!$E$5:$E$155&gt;=2)+(Effectiveness!$H$5:$H$155&gt;=2)+(Effectiveness!$K$5:$K$155&gt;=2)+(Effectiveness!$Q$5:$Q$155&gt;=2))&gt;0))</f>
        <v>93</v>
      </c>
      <c r="K1083" s="26" t="n">
        <f aca="false">J1083/151</f>
        <v>0.615894039735099</v>
      </c>
      <c r="L1083" s="25" t="n">
        <f aca="false">MIN(INDEX('Move Reality'!$F$5:$F$19,MATCH(B1083,'Move Reality'!$A$5:$A$19,0)),INDEX('Move Reality'!$F$5:$F$19,MATCH(C1083,'Move Reality'!$A$5:$A$19,0)),INDEX('Move Reality'!$F$5:$F$19,MATCH(D1083,'Move Reality'!$A$5:$A$19,0)),INDEX('Move Reality'!$F$5:$F$19,MATCH(E1083,'Move Reality'!$A$5:$A$19,0)))</f>
        <v>5</v>
      </c>
      <c r="M1083" s="28" t="str">
        <f aca="false">IF(L1083&gt;=5,"YES","no - dead move")</f>
        <v>YES</v>
      </c>
    </row>
    <row r="1084" customFormat="false" ht="15" hidden="false" customHeight="false" outlineLevel="0" collapsed="false">
      <c r="A1084" s="17" t="n">
        <v>1080</v>
      </c>
      <c r="B1084" s="17" t="s">
        <v>40</v>
      </c>
      <c r="C1084" s="17" t="s">
        <v>44</v>
      </c>
      <c r="D1084" s="17" t="s">
        <v>45</v>
      </c>
      <c r="E1084" s="17" t="s">
        <v>46</v>
      </c>
      <c r="F1084" s="25" t="n">
        <f aca="false">SUMPRODUCT(--((('Yellow Bosses'!$H$5:$H$53&gt;=2)+('Yellow Bosses'!$L$5:$L$53&gt;=2)+('Yellow Bosses'!$M$5:$M$53&gt;=2)+('Yellow Bosses'!$N$5:$N$53&gt;=2))&gt;0))</f>
        <v>26</v>
      </c>
      <c r="G1084" s="26" t="n">
        <f aca="false">F1084/49</f>
        <v>0.530612244897959</v>
      </c>
      <c r="H1084" s="25" t="n">
        <f aca="false">49-SUMPRODUCT(--((('Yellow Bosses'!$H$5:$H$53&gt;=1)+('Yellow Bosses'!$L$5:$L$53&gt;=1)+('Yellow Bosses'!$M$5:$M$53&gt;=1)+('Yellow Bosses'!$N$5:$N$53&gt;=1))&gt;0))</f>
        <v>0</v>
      </c>
      <c r="I1084" s="25" t="n">
        <f aca="false">SUMPRODUCT(--((('Yellow Bosses'!$H$5:$H$53&gt;0)+('Yellow Bosses'!$L$5:$L$53&gt;0)+('Yellow Bosses'!$M$5:$M$53&gt;0)+('Yellow Bosses'!$N$5:$N$53&gt;0))=0))</f>
        <v>0</v>
      </c>
      <c r="J1084" s="25" t="n">
        <f aca="false">SUMPRODUCT(--(((Effectiveness!$E$5:$E$155&gt;=2)+(Effectiveness!$I$5:$I$155&gt;=2)+(Effectiveness!$J$5:$J$155&gt;=2)+(Effectiveness!$K$5:$K$155&gt;=2))&gt;0))</f>
        <v>92</v>
      </c>
      <c r="K1084" s="26" t="n">
        <f aca="false">J1084/151</f>
        <v>0.609271523178808</v>
      </c>
      <c r="L1084" s="25" t="n">
        <f aca="false">MIN(INDEX('Move Reality'!$F$5:$F$19,MATCH(B1084,'Move Reality'!$A$5:$A$19,0)),INDEX('Move Reality'!$F$5:$F$19,MATCH(C1084,'Move Reality'!$A$5:$A$19,0)),INDEX('Move Reality'!$F$5:$F$19,MATCH(D1084,'Move Reality'!$A$5:$A$19,0)),INDEX('Move Reality'!$F$5:$F$19,MATCH(E1084,'Move Reality'!$A$5:$A$19,0)))</f>
        <v>4</v>
      </c>
      <c r="M1084" s="28" t="str">
        <f aca="false">IF(L1084&gt;=5,"YES","no - dead move")</f>
        <v>no - dead move</v>
      </c>
    </row>
    <row r="1085" customFormat="false" ht="15" hidden="false" customHeight="false" outlineLevel="0" collapsed="false">
      <c r="A1085" s="17" t="n">
        <v>1081</v>
      </c>
      <c r="B1085" s="17" t="s">
        <v>44</v>
      </c>
      <c r="C1085" s="17" t="s">
        <v>45</v>
      </c>
      <c r="D1085" s="17" t="s">
        <v>46</v>
      </c>
      <c r="E1085" s="17" t="s">
        <v>54</v>
      </c>
      <c r="F1085" s="25" t="n">
        <f aca="false">SUMPRODUCT(--((('Yellow Bosses'!$L$5:$L$53&gt;=2)+('Yellow Bosses'!$M$5:$M$53&gt;=2)+('Yellow Bosses'!$N$5:$N$53&gt;=2)+('Yellow Bosses'!$V$5:$V$53&gt;=2))&gt;0))</f>
        <v>26</v>
      </c>
      <c r="G1085" s="26" t="n">
        <f aca="false">F1085/49</f>
        <v>0.530612244897959</v>
      </c>
      <c r="H1085" s="25" t="n">
        <f aca="false">49-SUMPRODUCT(--((('Yellow Bosses'!$L$5:$L$53&gt;=1)+('Yellow Bosses'!$M$5:$M$53&gt;=1)+('Yellow Bosses'!$N$5:$N$53&gt;=1)+('Yellow Bosses'!$V$5:$V$53&gt;=1))&gt;0))</f>
        <v>0</v>
      </c>
      <c r="I1085" s="25" t="n">
        <f aca="false">SUMPRODUCT(--((('Yellow Bosses'!$L$5:$L$53&gt;0)+('Yellow Bosses'!$M$5:$M$53&gt;0)+('Yellow Bosses'!$N$5:$N$53&gt;0)+('Yellow Bosses'!$V$5:$V$53&gt;0))=0))</f>
        <v>0</v>
      </c>
      <c r="J1085" s="25" t="n">
        <f aca="false">SUMPRODUCT(--(((Effectiveness!$I$5:$I$155&gt;=2)+(Effectiveness!$J$5:$J$155&gt;=2)+(Effectiveness!$K$5:$K$155&gt;=2)+(Effectiveness!$S$5:$S$155&gt;=2))&gt;0))</f>
        <v>92</v>
      </c>
      <c r="K1085" s="26" t="n">
        <f aca="false">J1085/151</f>
        <v>0.609271523178808</v>
      </c>
      <c r="L1085" s="25" t="n">
        <f aca="false">MIN(INDEX('Move Reality'!$F$5:$F$19,MATCH(B1085,'Move Reality'!$A$5:$A$19,0)),INDEX('Move Reality'!$F$5:$F$19,MATCH(C1085,'Move Reality'!$A$5:$A$19,0)),INDEX('Move Reality'!$F$5:$F$19,MATCH(D1085,'Move Reality'!$A$5:$A$19,0)),INDEX('Move Reality'!$F$5:$F$19,MATCH(E1085,'Move Reality'!$A$5:$A$19,0)))</f>
        <v>1</v>
      </c>
      <c r="M1085" s="28" t="str">
        <f aca="false">IF(L1085&gt;=5,"YES","no - dead move")</f>
        <v>no - dead move</v>
      </c>
    </row>
    <row r="1086" customFormat="false" ht="15" hidden="false" customHeight="false" outlineLevel="0" collapsed="false">
      <c r="A1086" s="17" t="n">
        <v>1082</v>
      </c>
      <c r="B1086" s="17" t="s">
        <v>40</v>
      </c>
      <c r="C1086" s="17" t="s">
        <v>41</v>
      </c>
      <c r="D1086" s="17" t="s">
        <v>43</v>
      </c>
      <c r="E1086" s="17" t="s">
        <v>51</v>
      </c>
      <c r="F1086" s="25" t="n">
        <f aca="false">SUMPRODUCT(--((('Yellow Bosses'!$H$5:$H$53&gt;=2)+('Yellow Bosses'!$I$5:$I$53&gt;=2)+('Yellow Bosses'!$K$5:$K$53&gt;=2)+('Yellow Bosses'!$S$5:$S$53&gt;=2))&gt;0))</f>
        <v>26</v>
      </c>
      <c r="G1086" s="26" t="n">
        <f aca="false">F1086/49</f>
        <v>0.530612244897959</v>
      </c>
      <c r="H1086" s="25" t="n">
        <f aca="false">49-SUMPRODUCT(--((('Yellow Bosses'!$H$5:$H$53&gt;=1)+('Yellow Bosses'!$I$5:$I$53&gt;=1)+('Yellow Bosses'!$K$5:$K$53&gt;=1)+('Yellow Bosses'!$S$5:$S$53&gt;=1))&gt;0))</f>
        <v>0</v>
      </c>
      <c r="I1086" s="25" t="n">
        <f aca="false">SUMPRODUCT(--((('Yellow Bosses'!$H$5:$H$53&gt;0)+('Yellow Bosses'!$I$5:$I$53&gt;0)+('Yellow Bosses'!$K$5:$K$53&gt;0)+('Yellow Bosses'!$S$5:$S$53&gt;0))=0))</f>
        <v>0</v>
      </c>
      <c r="J1086" s="25" t="n">
        <f aca="false">SUMPRODUCT(--(((Effectiveness!$E$5:$E$155&gt;=2)+(Effectiveness!$F$5:$F$155&gt;=2)+(Effectiveness!$H$5:$H$155&gt;=2)+(Effectiveness!$P$5:$P$155&gt;=2))&gt;0))</f>
        <v>91</v>
      </c>
      <c r="K1086" s="26" t="n">
        <f aca="false">J1086/151</f>
        <v>0.602649006622517</v>
      </c>
      <c r="L1086" s="25" t="n">
        <f aca="false">MIN(INDEX('Move Reality'!$F$5:$F$19,MATCH(B1086,'Move Reality'!$A$5:$A$19,0)),INDEX('Move Reality'!$F$5:$F$19,MATCH(C1086,'Move Reality'!$A$5:$A$19,0)),INDEX('Move Reality'!$F$5:$F$19,MATCH(D1086,'Move Reality'!$A$5:$A$19,0)),INDEX('Move Reality'!$F$5:$F$19,MATCH(E1086,'Move Reality'!$A$5:$A$19,0)))</f>
        <v>1</v>
      </c>
      <c r="M1086" s="28" t="str">
        <f aca="false">IF(L1086&gt;=5,"YES","no - dead move")</f>
        <v>no - dead move</v>
      </c>
    </row>
    <row r="1087" customFormat="false" ht="15" hidden="false" customHeight="false" outlineLevel="0" collapsed="false">
      <c r="A1087" s="17" t="n">
        <v>1083</v>
      </c>
      <c r="B1087" s="17" t="s">
        <v>40</v>
      </c>
      <c r="C1087" s="17" t="s">
        <v>43</v>
      </c>
      <c r="D1087" s="17" t="s">
        <v>47</v>
      </c>
      <c r="E1087" s="17" t="s">
        <v>51</v>
      </c>
      <c r="F1087" s="25" t="n">
        <f aca="false">SUMPRODUCT(--((('Yellow Bosses'!$H$5:$H$53&gt;=2)+('Yellow Bosses'!$K$5:$K$53&gt;=2)+('Yellow Bosses'!$O$5:$O$53&gt;=2)+('Yellow Bosses'!$S$5:$S$53&gt;=2))&gt;0))</f>
        <v>26</v>
      </c>
      <c r="G1087" s="26" t="n">
        <f aca="false">F1087/49</f>
        <v>0.530612244897959</v>
      </c>
      <c r="H1087" s="25" t="n">
        <f aca="false">49-SUMPRODUCT(--((('Yellow Bosses'!$H$5:$H$53&gt;=1)+('Yellow Bosses'!$K$5:$K$53&gt;=1)+('Yellow Bosses'!$O$5:$O$53&gt;=1)+('Yellow Bosses'!$S$5:$S$53&gt;=1))&gt;0))</f>
        <v>0</v>
      </c>
      <c r="I1087" s="25" t="n">
        <f aca="false">SUMPRODUCT(--((('Yellow Bosses'!$H$5:$H$53&gt;0)+('Yellow Bosses'!$K$5:$K$53&gt;0)+('Yellow Bosses'!$O$5:$O$53&gt;0)+('Yellow Bosses'!$S$5:$S$53&gt;0))=0))</f>
        <v>0</v>
      </c>
      <c r="J1087" s="25" t="n">
        <f aca="false">SUMPRODUCT(--(((Effectiveness!$E$5:$E$155&gt;=2)+(Effectiveness!$H$5:$H$155&gt;=2)+(Effectiveness!$L$5:$L$155&gt;=2)+(Effectiveness!$P$5:$P$155&gt;=2))&gt;0))</f>
        <v>91</v>
      </c>
      <c r="K1087" s="26" t="n">
        <f aca="false">J1087/151</f>
        <v>0.602649006622517</v>
      </c>
      <c r="L1087" s="25" t="n">
        <f aca="false">MIN(INDEX('Move Reality'!$F$5:$F$19,MATCH(B1087,'Move Reality'!$A$5:$A$19,0)),INDEX('Move Reality'!$F$5:$F$19,MATCH(C1087,'Move Reality'!$A$5:$A$19,0)),INDEX('Move Reality'!$F$5:$F$19,MATCH(D1087,'Move Reality'!$A$5:$A$19,0)),INDEX('Move Reality'!$F$5:$F$19,MATCH(E1087,'Move Reality'!$A$5:$A$19,0)))</f>
        <v>1</v>
      </c>
      <c r="M1087" s="28" t="str">
        <f aca="false">IF(L1087&gt;=5,"YES","no - dead move")</f>
        <v>no - dead move</v>
      </c>
    </row>
    <row r="1088" customFormat="false" ht="15" hidden="false" customHeight="false" outlineLevel="0" collapsed="false">
      <c r="A1088" s="17" t="n">
        <v>1084</v>
      </c>
      <c r="B1088" s="17" t="s">
        <v>41</v>
      </c>
      <c r="C1088" s="17" t="s">
        <v>43</v>
      </c>
      <c r="D1088" s="17" t="s">
        <v>47</v>
      </c>
      <c r="E1088" s="17" t="s">
        <v>51</v>
      </c>
      <c r="F1088" s="25" t="n">
        <f aca="false">SUMPRODUCT(--((('Yellow Bosses'!$I$5:$I$53&gt;=2)+('Yellow Bosses'!$K$5:$K$53&gt;=2)+('Yellow Bosses'!$O$5:$O$53&gt;=2)+('Yellow Bosses'!$S$5:$S$53&gt;=2))&gt;0))</f>
        <v>26</v>
      </c>
      <c r="G1088" s="26" t="n">
        <f aca="false">F1088/49</f>
        <v>0.530612244897959</v>
      </c>
      <c r="H1088" s="25" t="n">
        <f aca="false">49-SUMPRODUCT(--((('Yellow Bosses'!$I$5:$I$53&gt;=1)+('Yellow Bosses'!$K$5:$K$53&gt;=1)+('Yellow Bosses'!$O$5:$O$53&gt;=1)+('Yellow Bosses'!$S$5:$S$53&gt;=1))&gt;0))</f>
        <v>0</v>
      </c>
      <c r="I1088" s="25" t="n">
        <f aca="false">SUMPRODUCT(--((('Yellow Bosses'!$I$5:$I$53&gt;0)+('Yellow Bosses'!$K$5:$K$53&gt;0)+('Yellow Bosses'!$O$5:$O$53&gt;0)+('Yellow Bosses'!$S$5:$S$53&gt;0))=0))</f>
        <v>0</v>
      </c>
      <c r="J1088" s="25" t="n">
        <f aca="false">SUMPRODUCT(--(((Effectiveness!$F$5:$F$155&gt;=2)+(Effectiveness!$H$5:$H$155&gt;=2)+(Effectiveness!$L$5:$L$155&gt;=2)+(Effectiveness!$P$5:$P$155&gt;=2))&gt;0))</f>
        <v>91</v>
      </c>
      <c r="K1088" s="26" t="n">
        <f aca="false">J1088/151</f>
        <v>0.602649006622517</v>
      </c>
      <c r="L1088" s="25" t="n">
        <f aca="false">MIN(INDEX('Move Reality'!$F$5:$F$19,MATCH(B1088,'Move Reality'!$A$5:$A$19,0)),INDEX('Move Reality'!$F$5:$F$19,MATCH(C1088,'Move Reality'!$A$5:$A$19,0)),INDEX('Move Reality'!$F$5:$F$19,MATCH(D1088,'Move Reality'!$A$5:$A$19,0)),INDEX('Move Reality'!$F$5:$F$19,MATCH(E1088,'Move Reality'!$A$5:$A$19,0)))</f>
        <v>1</v>
      </c>
      <c r="M1088" s="28" t="str">
        <f aca="false">IF(L1088&gt;=5,"YES","no - dead move")</f>
        <v>no - dead move</v>
      </c>
    </row>
    <row r="1089" customFormat="false" ht="15" hidden="false" customHeight="false" outlineLevel="0" collapsed="false">
      <c r="A1089" s="17" t="n">
        <v>1085</v>
      </c>
      <c r="B1089" s="17" t="s">
        <v>40</v>
      </c>
      <c r="C1089" s="17" t="s">
        <v>44</v>
      </c>
      <c r="D1089" s="17" t="s">
        <v>46</v>
      </c>
      <c r="E1089" s="17" t="s">
        <v>49</v>
      </c>
      <c r="F1089" s="25" t="n">
        <f aca="false">SUMPRODUCT(--((('Yellow Bosses'!$H$5:$H$53&gt;=2)+('Yellow Bosses'!$L$5:$L$53&gt;=2)+('Yellow Bosses'!$N$5:$N$53&gt;=2)+('Yellow Bosses'!$Q$5:$Q$53&gt;=2))&gt;0))</f>
        <v>26</v>
      </c>
      <c r="G1089" s="26" t="n">
        <f aca="false">F1089/49</f>
        <v>0.530612244897959</v>
      </c>
      <c r="H1089" s="25" t="n">
        <f aca="false">49-SUMPRODUCT(--((('Yellow Bosses'!$H$5:$H$53&gt;=1)+('Yellow Bosses'!$L$5:$L$53&gt;=1)+('Yellow Bosses'!$N$5:$N$53&gt;=1)+('Yellow Bosses'!$Q$5:$Q$53&gt;=1))&gt;0))</f>
        <v>0</v>
      </c>
      <c r="I1089" s="25" t="n">
        <f aca="false">SUMPRODUCT(--((('Yellow Bosses'!$H$5:$H$53&gt;0)+('Yellow Bosses'!$L$5:$L$53&gt;0)+('Yellow Bosses'!$N$5:$N$53&gt;0)+('Yellow Bosses'!$Q$5:$Q$53&gt;0))=0))</f>
        <v>0</v>
      </c>
      <c r="J1089" s="25" t="n">
        <f aca="false">SUMPRODUCT(--(((Effectiveness!$E$5:$E$155&gt;=2)+(Effectiveness!$I$5:$I$155&gt;=2)+(Effectiveness!$K$5:$K$155&gt;=2)+(Effectiveness!$N$5:$N$155&gt;=2))&gt;0))</f>
        <v>88</v>
      </c>
      <c r="K1089" s="26" t="n">
        <f aca="false">J1089/151</f>
        <v>0.582781456953642</v>
      </c>
      <c r="L1089" s="25" t="n">
        <f aca="false">MIN(INDEX('Move Reality'!$F$5:$F$19,MATCH(B1089,'Move Reality'!$A$5:$A$19,0)),INDEX('Move Reality'!$F$5:$F$19,MATCH(C1089,'Move Reality'!$A$5:$A$19,0)),INDEX('Move Reality'!$F$5:$F$19,MATCH(D1089,'Move Reality'!$A$5:$A$19,0)),INDEX('Move Reality'!$F$5:$F$19,MATCH(E1089,'Move Reality'!$A$5:$A$19,0)))</f>
        <v>4</v>
      </c>
      <c r="M1089" s="28" t="str">
        <f aca="false">IF(L1089&gt;=5,"YES","no - dead move")</f>
        <v>no - dead move</v>
      </c>
    </row>
    <row r="1090" customFormat="false" ht="15" hidden="false" customHeight="false" outlineLevel="0" collapsed="false">
      <c r="A1090" s="17" t="n">
        <v>1086</v>
      </c>
      <c r="B1090" s="17" t="s">
        <v>44</v>
      </c>
      <c r="C1090" s="17" t="s">
        <v>46</v>
      </c>
      <c r="D1090" s="17" t="s">
        <v>47</v>
      </c>
      <c r="E1090" s="17" t="s">
        <v>49</v>
      </c>
      <c r="F1090" s="25" t="n">
        <f aca="false">SUMPRODUCT(--((('Yellow Bosses'!$L$5:$L$53&gt;=2)+('Yellow Bosses'!$N$5:$N$53&gt;=2)+('Yellow Bosses'!$O$5:$O$53&gt;=2)+('Yellow Bosses'!$Q$5:$Q$53&gt;=2))&gt;0))</f>
        <v>26</v>
      </c>
      <c r="G1090" s="26" t="n">
        <f aca="false">F1090/49</f>
        <v>0.530612244897959</v>
      </c>
      <c r="H1090" s="25" t="n">
        <f aca="false">49-SUMPRODUCT(--((('Yellow Bosses'!$L$5:$L$53&gt;=1)+('Yellow Bosses'!$N$5:$N$53&gt;=1)+('Yellow Bosses'!$O$5:$O$53&gt;=1)+('Yellow Bosses'!$Q$5:$Q$53&gt;=1))&gt;0))</f>
        <v>0</v>
      </c>
      <c r="I1090" s="25" t="n">
        <f aca="false">SUMPRODUCT(--((('Yellow Bosses'!$L$5:$L$53&gt;0)+('Yellow Bosses'!$N$5:$N$53&gt;0)+('Yellow Bosses'!$O$5:$O$53&gt;0)+('Yellow Bosses'!$Q$5:$Q$53&gt;0))=0))</f>
        <v>0</v>
      </c>
      <c r="J1090" s="25" t="n">
        <f aca="false">SUMPRODUCT(--(((Effectiveness!$I$5:$I$155&gt;=2)+(Effectiveness!$K$5:$K$155&gt;=2)+(Effectiveness!$L$5:$L$155&gt;=2)+(Effectiveness!$N$5:$N$155&gt;=2))&gt;0))</f>
        <v>88</v>
      </c>
      <c r="K1090" s="26" t="n">
        <f aca="false">J1090/151</f>
        <v>0.582781456953642</v>
      </c>
      <c r="L1090" s="25" t="n">
        <f aca="false">MIN(INDEX('Move Reality'!$F$5:$F$19,MATCH(B1090,'Move Reality'!$A$5:$A$19,0)),INDEX('Move Reality'!$F$5:$F$19,MATCH(C1090,'Move Reality'!$A$5:$A$19,0)),INDEX('Move Reality'!$F$5:$F$19,MATCH(D1090,'Move Reality'!$A$5:$A$19,0)),INDEX('Move Reality'!$F$5:$F$19,MATCH(E1090,'Move Reality'!$A$5:$A$19,0)))</f>
        <v>2</v>
      </c>
      <c r="M1090" s="28" t="str">
        <f aca="false">IF(L1090&gt;=5,"YES","no - dead move")</f>
        <v>no - dead move</v>
      </c>
    </row>
    <row r="1091" customFormat="false" ht="15" hidden="false" customHeight="false" outlineLevel="0" collapsed="false">
      <c r="A1091" s="17" t="n">
        <v>1087</v>
      </c>
      <c r="B1091" s="17" t="s">
        <v>41</v>
      </c>
      <c r="C1091" s="17" t="s">
        <v>43</v>
      </c>
      <c r="D1091" s="17" t="s">
        <v>52</v>
      </c>
      <c r="E1091" s="17" t="s">
        <v>54</v>
      </c>
      <c r="F1091" s="25" t="n">
        <f aca="false">SUMPRODUCT(--((('Yellow Bosses'!$I$5:$I$53&gt;=2)+('Yellow Bosses'!$K$5:$K$53&gt;=2)+('Yellow Bosses'!$T$5:$T$53&gt;=2)+('Yellow Bosses'!$V$5:$V$53&gt;=2))&gt;0))</f>
        <v>26</v>
      </c>
      <c r="G1091" s="26" t="n">
        <f aca="false">F1091/49</f>
        <v>0.530612244897959</v>
      </c>
      <c r="H1091" s="25" t="n">
        <f aca="false">49-SUMPRODUCT(--((('Yellow Bosses'!$I$5:$I$53&gt;=1)+('Yellow Bosses'!$K$5:$K$53&gt;=1)+('Yellow Bosses'!$T$5:$T$53&gt;=1)+('Yellow Bosses'!$V$5:$V$53&gt;=1))&gt;0))</f>
        <v>0</v>
      </c>
      <c r="I1091" s="25" t="n">
        <f aca="false">SUMPRODUCT(--((('Yellow Bosses'!$I$5:$I$53&gt;0)+('Yellow Bosses'!$K$5:$K$53&gt;0)+('Yellow Bosses'!$T$5:$T$53&gt;0)+('Yellow Bosses'!$V$5:$V$53&gt;0))=0))</f>
        <v>0</v>
      </c>
      <c r="J1091" s="25" t="n">
        <f aca="false">SUMPRODUCT(--(((Effectiveness!$F$5:$F$155&gt;=2)+(Effectiveness!$H$5:$H$155&gt;=2)+(Effectiveness!$Q$5:$Q$155&gt;=2)+(Effectiveness!$S$5:$S$155&gt;=2))&gt;0))</f>
        <v>85</v>
      </c>
      <c r="K1091" s="26" t="n">
        <f aca="false">J1091/151</f>
        <v>0.562913907284768</v>
      </c>
      <c r="L1091" s="25" t="n">
        <f aca="false">MIN(INDEX('Move Reality'!$F$5:$F$19,MATCH(B1091,'Move Reality'!$A$5:$A$19,0)),INDEX('Move Reality'!$F$5:$F$19,MATCH(C1091,'Move Reality'!$A$5:$A$19,0)),INDEX('Move Reality'!$F$5:$F$19,MATCH(D1091,'Move Reality'!$A$5:$A$19,0)),INDEX('Move Reality'!$F$5:$F$19,MATCH(E1091,'Move Reality'!$A$5:$A$19,0)))</f>
        <v>1</v>
      </c>
      <c r="M1091" s="28" t="str">
        <f aca="false">IF(L1091&gt;=5,"YES","no - dead move")</f>
        <v>no - dead move</v>
      </c>
    </row>
    <row r="1092" customFormat="false" ht="15" hidden="false" customHeight="false" outlineLevel="0" collapsed="false">
      <c r="A1092" s="17" t="n">
        <v>1088</v>
      </c>
      <c r="B1092" s="17" t="s">
        <v>40</v>
      </c>
      <c r="C1092" s="17" t="s">
        <v>41</v>
      </c>
      <c r="D1092" s="17" t="s">
        <v>43</v>
      </c>
      <c r="E1092" s="17" t="s">
        <v>44</v>
      </c>
      <c r="F1092" s="25" t="n">
        <f aca="false">SUMPRODUCT(--((('Yellow Bosses'!$H$5:$H$53&gt;=2)+('Yellow Bosses'!$I$5:$I$53&gt;=2)+('Yellow Bosses'!$K$5:$K$53&gt;=2)+('Yellow Bosses'!$L$5:$L$53&gt;=2))&gt;0))</f>
        <v>26</v>
      </c>
      <c r="G1092" s="26" t="n">
        <f aca="false">F1092/49</f>
        <v>0.530612244897959</v>
      </c>
      <c r="H1092" s="25" t="n">
        <f aca="false">49-SUMPRODUCT(--((('Yellow Bosses'!$H$5:$H$53&gt;=1)+('Yellow Bosses'!$I$5:$I$53&gt;=1)+('Yellow Bosses'!$K$5:$K$53&gt;=1)+('Yellow Bosses'!$L$5:$L$53&gt;=1))&gt;0))</f>
        <v>0</v>
      </c>
      <c r="I1092" s="25" t="n">
        <f aca="false">SUMPRODUCT(--((('Yellow Bosses'!$H$5:$H$53&gt;0)+('Yellow Bosses'!$I$5:$I$53&gt;0)+('Yellow Bosses'!$K$5:$K$53&gt;0)+('Yellow Bosses'!$L$5:$L$53&gt;0))=0))</f>
        <v>0</v>
      </c>
      <c r="J1092" s="25" t="n">
        <f aca="false">SUMPRODUCT(--(((Effectiveness!$E$5:$E$155&gt;=2)+(Effectiveness!$F$5:$F$155&gt;=2)+(Effectiveness!$H$5:$H$155&gt;=2)+(Effectiveness!$I$5:$I$155&gt;=2))&gt;0))</f>
        <v>83</v>
      </c>
      <c r="K1092" s="26" t="n">
        <f aca="false">J1092/151</f>
        <v>0.549668874172186</v>
      </c>
      <c r="L1092" s="25" t="n">
        <f aca="false">MIN(INDEX('Move Reality'!$F$5:$F$19,MATCH(B1092,'Move Reality'!$A$5:$A$19,0)),INDEX('Move Reality'!$F$5:$F$19,MATCH(C1092,'Move Reality'!$A$5:$A$19,0)),INDEX('Move Reality'!$F$5:$F$19,MATCH(D1092,'Move Reality'!$A$5:$A$19,0)),INDEX('Move Reality'!$F$5:$F$19,MATCH(E1092,'Move Reality'!$A$5:$A$19,0)))</f>
        <v>4</v>
      </c>
      <c r="M1092" s="28" t="str">
        <f aca="false">IF(L1092&gt;=5,"YES","no - dead move")</f>
        <v>no - dead move</v>
      </c>
    </row>
    <row r="1093" customFormat="false" ht="15" hidden="false" customHeight="false" outlineLevel="0" collapsed="false">
      <c r="A1093" s="17" t="n">
        <v>1089</v>
      </c>
      <c r="B1093" s="17" t="s">
        <v>40</v>
      </c>
      <c r="C1093" s="17" t="s">
        <v>43</v>
      </c>
      <c r="D1093" s="17" t="s">
        <v>45</v>
      </c>
      <c r="E1093" s="17" t="s">
        <v>47</v>
      </c>
      <c r="F1093" s="25" t="n">
        <f aca="false">SUMPRODUCT(--((('Yellow Bosses'!$H$5:$H$53&gt;=2)+('Yellow Bosses'!$K$5:$K$53&gt;=2)+('Yellow Bosses'!$M$5:$M$53&gt;=2)+('Yellow Bosses'!$O$5:$O$53&gt;=2))&gt;0))</f>
        <v>26</v>
      </c>
      <c r="G1093" s="26" t="n">
        <f aca="false">F1093/49</f>
        <v>0.530612244897959</v>
      </c>
      <c r="H1093" s="25" t="n">
        <f aca="false">49-SUMPRODUCT(--((('Yellow Bosses'!$H$5:$H$53&gt;=1)+('Yellow Bosses'!$K$5:$K$53&gt;=1)+('Yellow Bosses'!$M$5:$M$53&gt;=1)+('Yellow Bosses'!$O$5:$O$53&gt;=1))&gt;0))</f>
        <v>0</v>
      </c>
      <c r="I1093" s="25" t="n">
        <f aca="false">SUMPRODUCT(--((('Yellow Bosses'!$H$5:$H$53&gt;0)+('Yellow Bosses'!$K$5:$K$53&gt;0)+('Yellow Bosses'!$M$5:$M$53&gt;0)+('Yellow Bosses'!$O$5:$O$53&gt;0))=0))</f>
        <v>0</v>
      </c>
      <c r="J1093" s="25" t="n">
        <f aca="false">SUMPRODUCT(--(((Effectiveness!$E$5:$E$155&gt;=2)+(Effectiveness!$H$5:$H$155&gt;=2)+(Effectiveness!$J$5:$J$155&gt;=2)+(Effectiveness!$L$5:$L$155&gt;=2))&gt;0))</f>
        <v>83</v>
      </c>
      <c r="K1093" s="26" t="n">
        <f aca="false">J1093/151</f>
        <v>0.549668874172186</v>
      </c>
      <c r="L1093" s="25" t="n">
        <f aca="false">MIN(INDEX('Move Reality'!$F$5:$F$19,MATCH(B1093,'Move Reality'!$A$5:$A$19,0)),INDEX('Move Reality'!$F$5:$F$19,MATCH(C1093,'Move Reality'!$A$5:$A$19,0)),INDEX('Move Reality'!$F$5:$F$19,MATCH(D1093,'Move Reality'!$A$5:$A$19,0)),INDEX('Move Reality'!$F$5:$F$19,MATCH(E1093,'Move Reality'!$A$5:$A$19,0)))</f>
        <v>2</v>
      </c>
      <c r="M1093" s="28" t="str">
        <f aca="false">IF(L1093&gt;=5,"YES","no - dead move")</f>
        <v>no - dead move</v>
      </c>
    </row>
    <row r="1094" customFormat="false" ht="15" hidden="false" customHeight="false" outlineLevel="0" collapsed="false">
      <c r="A1094" s="17" t="n">
        <v>1090</v>
      </c>
      <c r="B1094" s="17" t="s">
        <v>41</v>
      </c>
      <c r="C1094" s="17" t="s">
        <v>43</v>
      </c>
      <c r="D1094" s="17" t="s">
        <v>44</v>
      </c>
      <c r="E1094" s="17" t="s">
        <v>47</v>
      </c>
      <c r="F1094" s="25" t="n">
        <f aca="false">SUMPRODUCT(--((('Yellow Bosses'!$I$5:$I$53&gt;=2)+('Yellow Bosses'!$K$5:$K$53&gt;=2)+('Yellow Bosses'!$L$5:$L$53&gt;=2)+('Yellow Bosses'!$O$5:$O$53&gt;=2))&gt;0))</f>
        <v>26</v>
      </c>
      <c r="G1094" s="26" t="n">
        <f aca="false">F1094/49</f>
        <v>0.530612244897959</v>
      </c>
      <c r="H1094" s="25" t="n">
        <f aca="false">49-SUMPRODUCT(--((('Yellow Bosses'!$I$5:$I$53&gt;=1)+('Yellow Bosses'!$K$5:$K$53&gt;=1)+('Yellow Bosses'!$L$5:$L$53&gt;=1)+('Yellow Bosses'!$O$5:$O$53&gt;=1))&gt;0))</f>
        <v>0</v>
      </c>
      <c r="I1094" s="25" t="n">
        <f aca="false">SUMPRODUCT(--((('Yellow Bosses'!$I$5:$I$53&gt;0)+('Yellow Bosses'!$K$5:$K$53&gt;0)+('Yellow Bosses'!$L$5:$L$53&gt;0)+('Yellow Bosses'!$O$5:$O$53&gt;0))=0))</f>
        <v>0</v>
      </c>
      <c r="J1094" s="25" t="n">
        <f aca="false">SUMPRODUCT(--(((Effectiveness!$F$5:$F$155&gt;=2)+(Effectiveness!$H$5:$H$155&gt;=2)+(Effectiveness!$I$5:$I$155&gt;=2)+(Effectiveness!$L$5:$L$155&gt;=2))&gt;0))</f>
        <v>83</v>
      </c>
      <c r="K1094" s="26" t="n">
        <f aca="false">J1094/151</f>
        <v>0.549668874172186</v>
      </c>
      <c r="L1094" s="25" t="n">
        <f aca="false">MIN(INDEX('Move Reality'!$F$5:$F$19,MATCH(B1094,'Move Reality'!$A$5:$A$19,0)),INDEX('Move Reality'!$F$5:$F$19,MATCH(C1094,'Move Reality'!$A$5:$A$19,0)),INDEX('Move Reality'!$F$5:$F$19,MATCH(D1094,'Move Reality'!$A$5:$A$19,0)),INDEX('Move Reality'!$F$5:$F$19,MATCH(E1094,'Move Reality'!$A$5:$A$19,0)))</f>
        <v>2</v>
      </c>
      <c r="M1094" s="28" t="str">
        <f aca="false">IF(L1094&gt;=5,"YES","no - dead move")</f>
        <v>no - dead move</v>
      </c>
    </row>
    <row r="1095" customFormat="false" ht="15" hidden="false" customHeight="false" outlineLevel="0" collapsed="false">
      <c r="A1095" s="17" t="n">
        <v>1091</v>
      </c>
      <c r="B1095" s="17" t="s">
        <v>42</v>
      </c>
      <c r="C1095" s="17" t="s">
        <v>45</v>
      </c>
      <c r="D1095" s="17" t="s">
        <v>46</v>
      </c>
      <c r="E1095" s="17" t="s">
        <v>47</v>
      </c>
      <c r="F1095" s="25" t="n">
        <f aca="false">SUMPRODUCT(--((('Yellow Bosses'!$J$5:$J$53&gt;=2)+('Yellow Bosses'!$M$5:$M$53&gt;=2)+('Yellow Bosses'!$N$5:$N$53&gt;=2)+('Yellow Bosses'!$O$5:$O$53&gt;=2))&gt;0))</f>
        <v>26</v>
      </c>
      <c r="G1095" s="26" t="n">
        <f aca="false">F1095/49</f>
        <v>0.530612244897959</v>
      </c>
      <c r="H1095" s="25" t="n">
        <f aca="false">49-SUMPRODUCT(--((('Yellow Bosses'!$J$5:$J$53&gt;=1)+('Yellow Bosses'!$M$5:$M$53&gt;=1)+('Yellow Bosses'!$N$5:$N$53&gt;=1)+('Yellow Bosses'!$O$5:$O$53&gt;=1))&gt;0))</f>
        <v>0</v>
      </c>
      <c r="I1095" s="25" t="n">
        <f aca="false">SUMPRODUCT(--((('Yellow Bosses'!$J$5:$J$53&gt;0)+('Yellow Bosses'!$M$5:$M$53&gt;0)+('Yellow Bosses'!$N$5:$N$53&gt;0)+('Yellow Bosses'!$O$5:$O$53&gt;0))=0))</f>
        <v>0</v>
      </c>
      <c r="J1095" s="25" t="n">
        <f aca="false">SUMPRODUCT(--(((Effectiveness!$G$5:$G$155&gt;=2)+(Effectiveness!$J$5:$J$155&gt;=2)+(Effectiveness!$K$5:$K$155&gt;=2)+(Effectiveness!$L$5:$L$155&gt;=2))&gt;0))</f>
        <v>83</v>
      </c>
      <c r="K1095" s="26" t="n">
        <f aca="false">J1095/151</f>
        <v>0.549668874172186</v>
      </c>
      <c r="L1095" s="25" t="n">
        <f aca="false">MIN(INDEX('Move Reality'!$F$5:$F$19,MATCH(B1095,'Move Reality'!$A$5:$A$19,0)),INDEX('Move Reality'!$F$5:$F$19,MATCH(C1095,'Move Reality'!$A$5:$A$19,0)),INDEX('Move Reality'!$F$5:$F$19,MATCH(D1095,'Move Reality'!$A$5:$A$19,0)),INDEX('Move Reality'!$F$5:$F$19,MATCH(E1095,'Move Reality'!$A$5:$A$19,0)))</f>
        <v>2</v>
      </c>
      <c r="M1095" s="28" t="str">
        <f aca="false">IF(L1095&gt;=5,"YES","no - dead move")</f>
        <v>no - dead move</v>
      </c>
    </row>
    <row r="1096" customFormat="false" ht="15" hidden="false" customHeight="false" outlineLevel="0" collapsed="false">
      <c r="A1096" s="17" t="n">
        <v>1092</v>
      </c>
      <c r="B1096" s="17" t="s">
        <v>42</v>
      </c>
      <c r="C1096" s="17" t="s">
        <v>46</v>
      </c>
      <c r="D1096" s="17" t="s">
        <v>47</v>
      </c>
      <c r="E1096" s="17" t="s">
        <v>48</v>
      </c>
      <c r="F1096" s="25" t="n">
        <f aca="false">SUMPRODUCT(--((('Yellow Bosses'!$J$5:$J$53&gt;=2)+('Yellow Bosses'!$N$5:$N$53&gt;=2)+('Yellow Bosses'!$O$5:$O$53&gt;=2)+('Yellow Bosses'!$P$5:$P$53&gt;=2))&gt;0))</f>
        <v>26</v>
      </c>
      <c r="G1096" s="26" t="n">
        <f aca="false">F1096/49</f>
        <v>0.530612244897959</v>
      </c>
      <c r="H1096" s="25" t="n">
        <f aca="false">49-SUMPRODUCT(--((('Yellow Bosses'!$J$5:$J$53&gt;=1)+('Yellow Bosses'!$N$5:$N$53&gt;=1)+('Yellow Bosses'!$O$5:$O$53&gt;=1)+('Yellow Bosses'!$P$5:$P$53&gt;=1))&gt;0))</f>
        <v>0</v>
      </c>
      <c r="I1096" s="25" t="n">
        <f aca="false">SUMPRODUCT(--((('Yellow Bosses'!$J$5:$J$53&gt;0)+('Yellow Bosses'!$N$5:$N$53&gt;0)+('Yellow Bosses'!$O$5:$O$53&gt;0)+('Yellow Bosses'!$P$5:$P$53&gt;0))=0))</f>
        <v>0</v>
      </c>
      <c r="J1096" s="25" t="n">
        <f aca="false">SUMPRODUCT(--(((Effectiveness!$G$5:$G$155&gt;=2)+(Effectiveness!$K$5:$K$155&gt;=2)+(Effectiveness!$L$5:$L$155&gt;=2)+(Effectiveness!$M$5:$M$155&gt;=2))&gt;0))</f>
        <v>83</v>
      </c>
      <c r="K1096" s="26" t="n">
        <f aca="false">J1096/151</f>
        <v>0.549668874172186</v>
      </c>
      <c r="L1096" s="25" t="n">
        <f aca="false">MIN(INDEX('Move Reality'!$F$5:$F$19,MATCH(B1096,'Move Reality'!$A$5:$A$19,0)),INDEX('Move Reality'!$F$5:$F$19,MATCH(C1096,'Move Reality'!$A$5:$A$19,0)),INDEX('Move Reality'!$F$5:$F$19,MATCH(D1096,'Move Reality'!$A$5:$A$19,0)),INDEX('Move Reality'!$F$5:$F$19,MATCH(E1096,'Move Reality'!$A$5:$A$19,0)))</f>
        <v>2</v>
      </c>
      <c r="M1096" s="28" t="str">
        <f aca="false">IF(L1096&gt;=5,"YES","no - dead move")</f>
        <v>no - dead move</v>
      </c>
    </row>
    <row r="1097" customFormat="false" ht="15" hidden="false" customHeight="false" outlineLevel="0" collapsed="false">
      <c r="A1097" s="17" t="n">
        <v>1093</v>
      </c>
      <c r="B1097" s="17" t="s">
        <v>43</v>
      </c>
      <c r="C1097" s="17" t="s">
        <v>44</v>
      </c>
      <c r="D1097" s="17" t="s">
        <v>45</v>
      </c>
      <c r="E1097" s="17" t="s">
        <v>47</v>
      </c>
      <c r="F1097" s="25" t="n">
        <f aca="false">SUMPRODUCT(--((('Yellow Bosses'!$K$5:$K$53&gt;=2)+('Yellow Bosses'!$L$5:$L$53&gt;=2)+('Yellow Bosses'!$M$5:$M$53&gt;=2)+('Yellow Bosses'!$O$5:$O$53&gt;=2))&gt;0))</f>
        <v>26</v>
      </c>
      <c r="G1097" s="26" t="n">
        <f aca="false">F1097/49</f>
        <v>0.530612244897959</v>
      </c>
      <c r="H1097" s="25" t="n">
        <f aca="false">49-SUMPRODUCT(--((('Yellow Bosses'!$K$5:$K$53&gt;=1)+('Yellow Bosses'!$L$5:$L$53&gt;=1)+('Yellow Bosses'!$M$5:$M$53&gt;=1)+('Yellow Bosses'!$O$5:$O$53&gt;=1))&gt;0))</f>
        <v>0</v>
      </c>
      <c r="I1097" s="25" t="n">
        <f aca="false">SUMPRODUCT(--((('Yellow Bosses'!$K$5:$K$53&gt;0)+('Yellow Bosses'!$L$5:$L$53&gt;0)+('Yellow Bosses'!$M$5:$M$53&gt;0)+('Yellow Bosses'!$O$5:$O$53&gt;0))=0))</f>
        <v>0</v>
      </c>
      <c r="J1097" s="25" t="n">
        <f aca="false">SUMPRODUCT(--(((Effectiveness!$H$5:$H$155&gt;=2)+(Effectiveness!$I$5:$I$155&gt;=2)+(Effectiveness!$J$5:$J$155&gt;=2)+(Effectiveness!$L$5:$L$155&gt;=2))&gt;0))</f>
        <v>83</v>
      </c>
      <c r="K1097" s="26" t="n">
        <f aca="false">J1097/151</f>
        <v>0.549668874172186</v>
      </c>
      <c r="L1097" s="25" t="n">
        <f aca="false">MIN(INDEX('Move Reality'!$F$5:$F$19,MATCH(B1097,'Move Reality'!$A$5:$A$19,0)),INDEX('Move Reality'!$F$5:$F$19,MATCH(C1097,'Move Reality'!$A$5:$A$19,0)),INDEX('Move Reality'!$F$5:$F$19,MATCH(D1097,'Move Reality'!$A$5:$A$19,0)),INDEX('Move Reality'!$F$5:$F$19,MATCH(E1097,'Move Reality'!$A$5:$A$19,0)))</f>
        <v>2</v>
      </c>
      <c r="M1097" s="28" t="str">
        <f aca="false">IF(L1097&gt;=5,"YES","no - dead move")</f>
        <v>no - dead move</v>
      </c>
    </row>
    <row r="1098" customFormat="false" ht="15" hidden="false" customHeight="false" outlineLevel="0" collapsed="false">
      <c r="A1098" s="17" t="n">
        <v>1094</v>
      </c>
      <c r="B1098" s="17" t="s">
        <v>43</v>
      </c>
      <c r="C1098" s="17" t="s">
        <v>45</v>
      </c>
      <c r="D1098" s="17" t="s">
        <v>47</v>
      </c>
      <c r="E1098" s="17" t="s">
        <v>54</v>
      </c>
      <c r="F1098" s="25" t="n">
        <f aca="false">SUMPRODUCT(--((('Yellow Bosses'!$K$5:$K$53&gt;=2)+('Yellow Bosses'!$M$5:$M$53&gt;=2)+('Yellow Bosses'!$O$5:$O$53&gt;=2)+('Yellow Bosses'!$V$5:$V$53&gt;=2))&gt;0))</f>
        <v>26</v>
      </c>
      <c r="G1098" s="26" t="n">
        <f aca="false">F1098/49</f>
        <v>0.530612244897959</v>
      </c>
      <c r="H1098" s="25" t="n">
        <f aca="false">49-SUMPRODUCT(--((('Yellow Bosses'!$K$5:$K$53&gt;=1)+('Yellow Bosses'!$M$5:$M$53&gt;=1)+('Yellow Bosses'!$O$5:$O$53&gt;=1)+('Yellow Bosses'!$V$5:$V$53&gt;=1))&gt;0))</f>
        <v>0</v>
      </c>
      <c r="I1098" s="25" t="n">
        <f aca="false">SUMPRODUCT(--((('Yellow Bosses'!$K$5:$K$53&gt;0)+('Yellow Bosses'!$M$5:$M$53&gt;0)+('Yellow Bosses'!$O$5:$O$53&gt;0)+('Yellow Bosses'!$V$5:$V$53&gt;0))=0))</f>
        <v>0</v>
      </c>
      <c r="J1098" s="25" t="n">
        <f aca="false">SUMPRODUCT(--(((Effectiveness!$H$5:$H$155&gt;=2)+(Effectiveness!$J$5:$J$155&gt;=2)+(Effectiveness!$L$5:$L$155&gt;=2)+(Effectiveness!$S$5:$S$155&gt;=2))&gt;0))</f>
        <v>83</v>
      </c>
      <c r="K1098" s="26" t="n">
        <f aca="false">J1098/151</f>
        <v>0.549668874172186</v>
      </c>
      <c r="L1098" s="25" t="n">
        <f aca="false">MIN(INDEX('Move Reality'!$F$5:$F$19,MATCH(B1098,'Move Reality'!$A$5:$A$19,0)),INDEX('Move Reality'!$F$5:$F$19,MATCH(C1098,'Move Reality'!$A$5:$A$19,0)),INDEX('Move Reality'!$F$5:$F$19,MATCH(D1098,'Move Reality'!$A$5:$A$19,0)),INDEX('Move Reality'!$F$5:$F$19,MATCH(E1098,'Move Reality'!$A$5:$A$19,0)))</f>
        <v>1</v>
      </c>
      <c r="M1098" s="28" t="str">
        <f aca="false">IF(L1098&gt;=5,"YES","no - dead move")</f>
        <v>no - dead move</v>
      </c>
    </row>
    <row r="1099" customFormat="false" ht="15" hidden="false" customHeight="false" outlineLevel="0" collapsed="false">
      <c r="A1099" s="17" t="n">
        <v>1095</v>
      </c>
      <c r="B1099" s="17" t="s">
        <v>40</v>
      </c>
      <c r="C1099" s="17" t="s">
        <v>41</v>
      </c>
      <c r="D1099" s="17" t="s">
        <v>46</v>
      </c>
      <c r="E1099" s="17" t="s">
        <v>52</v>
      </c>
      <c r="F1099" s="25" t="n">
        <f aca="false">SUMPRODUCT(--((('Yellow Bosses'!$H$5:$H$53&gt;=2)+('Yellow Bosses'!$I$5:$I$53&gt;=2)+('Yellow Bosses'!$N$5:$N$53&gt;=2)+('Yellow Bosses'!$T$5:$T$53&gt;=2))&gt;0))</f>
        <v>26</v>
      </c>
      <c r="G1099" s="26" t="n">
        <f aca="false">F1099/49</f>
        <v>0.530612244897959</v>
      </c>
      <c r="H1099" s="25" t="n">
        <f aca="false">49-SUMPRODUCT(--((('Yellow Bosses'!$H$5:$H$53&gt;=1)+('Yellow Bosses'!$I$5:$I$53&gt;=1)+('Yellow Bosses'!$N$5:$N$53&gt;=1)+('Yellow Bosses'!$T$5:$T$53&gt;=1))&gt;0))</f>
        <v>0</v>
      </c>
      <c r="I1099" s="25" t="n">
        <f aca="false">SUMPRODUCT(--((('Yellow Bosses'!$H$5:$H$53&gt;0)+('Yellow Bosses'!$I$5:$I$53&gt;0)+('Yellow Bosses'!$N$5:$N$53&gt;0)+('Yellow Bosses'!$T$5:$T$53&gt;0))=0))</f>
        <v>0</v>
      </c>
      <c r="J1099" s="25" t="n">
        <f aca="false">SUMPRODUCT(--(((Effectiveness!$E$5:$E$155&gt;=2)+(Effectiveness!$F$5:$F$155&gt;=2)+(Effectiveness!$K$5:$K$155&gt;=2)+(Effectiveness!$Q$5:$Q$155&gt;=2))&gt;0))</f>
        <v>81</v>
      </c>
      <c r="K1099" s="26" t="n">
        <f aca="false">J1099/151</f>
        <v>0.536423841059603</v>
      </c>
      <c r="L1099" s="25" t="n">
        <f aca="false">MIN(INDEX('Move Reality'!$F$5:$F$19,MATCH(B1099,'Move Reality'!$A$5:$A$19,0)),INDEX('Move Reality'!$F$5:$F$19,MATCH(C1099,'Move Reality'!$A$5:$A$19,0)),INDEX('Move Reality'!$F$5:$F$19,MATCH(D1099,'Move Reality'!$A$5:$A$19,0)),INDEX('Move Reality'!$F$5:$F$19,MATCH(E1099,'Move Reality'!$A$5:$A$19,0)))</f>
        <v>5</v>
      </c>
      <c r="M1099" s="28" t="str">
        <f aca="false">IF(L1099&gt;=5,"YES","no - dead move")</f>
        <v>YES</v>
      </c>
    </row>
    <row r="1100" customFormat="false" ht="15" hidden="false" customHeight="false" outlineLevel="0" collapsed="false">
      <c r="A1100" s="17" t="n">
        <v>1096</v>
      </c>
      <c r="B1100" s="17" t="s">
        <v>41</v>
      </c>
      <c r="C1100" s="17" t="s">
        <v>46</v>
      </c>
      <c r="D1100" s="17" t="s">
        <v>47</v>
      </c>
      <c r="E1100" s="17" t="s">
        <v>52</v>
      </c>
      <c r="F1100" s="25" t="n">
        <f aca="false">SUMPRODUCT(--((('Yellow Bosses'!$I$5:$I$53&gt;=2)+('Yellow Bosses'!$N$5:$N$53&gt;=2)+('Yellow Bosses'!$O$5:$O$53&gt;=2)+('Yellow Bosses'!$T$5:$T$53&gt;=2))&gt;0))</f>
        <v>26</v>
      </c>
      <c r="G1100" s="26" t="n">
        <f aca="false">F1100/49</f>
        <v>0.530612244897959</v>
      </c>
      <c r="H1100" s="25" t="n">
        <f aca="false">49-SUMPRODUCT(--((('Yellow Bosses'!$I$5:$I$53&gt;=1)+('Yellow Bosses'!$N$5:$N$53&gt;=1)+('Yellow Bosses'!$O$5:$O$53&gt;=1)+('Yellow Bosses'!$T$5:$T$53&gt;=1))&gt;0))</f>
        <v>0</v>
      </c>
      <c r="I1100" s="25" t="n">
        <f aca="false">SUMPRODUCT(--((('Yellow Bosses'!$I$5:$I$53&gt;0)+('Yellow Bosses'!$N$5:$N$53&gt;0)+('Yellow Bosses'!$O$5:$O$53&gt;0)+('Yellow Bosses'!$T$5:$T$53&gt;0))=0))</f>
        <v>0</v>
      </c>
      <c r="J1100" s="25" t="n">
        <f aca="false">SUMPRODUCT(--(((Effectiveness!$F$5:$F$155&gt;=2)+(Effectiveness!$K$5:$K$155&gt;=2)+(Effectiveness!$L$5:$L$155&gt;=2)+(Effectiveness!$Q$5:$Q$155&gt;=2))&gt;0))</f>
        <v>81</v>
      </c>
      <c r="K1100" s="26" t="n">
        <f aca="false">J1100/151</f>
        <v>0.536423841059603</v>
      </c>
      <c r="L1100" s="25" t="n">
        <f aca="false">MIN(INDEX('Move Reality'!$F$5:$F$19,MATCH(B1100,'Move Reality'!$A$5:$A$19,0)),INDEX('Move Reality'!$F$5:$F$19,MATCH(C1100,'Move Reality'!$A$5:$A$19,0)),INDEX('Move Reality'!$F$5:$F$19,MATCH(D1100,'Move Reality'!$A$5:$A$19,0)),INDEX('Move Reality'!$F$5:$F$19,MATCH(E1100,'Move Reality'!$A$5:$A$19,0)))</f>
        <v>2</v>
      </c>
      <c r="M1100" s="28" t="str">
        <f aca="false">IF(L1100&gt;=5,"YES","no - dead move")</f>
        <v>no - dead move</v>
      </c>
    </row>
    <row r="1101" customFormat="false" ht="15" hidden="false" customHeight="false" outlineLevel="0" collapsed="false">
      <c r="A1101" s="17" t="n">
        <v>1097</v>
      </c>
      <c r="B1101" s="17" t="s">
        <v>40</v>
      </c>
      <c r="C1101" s="17" t="s">
        <v>42</v>
      </c>
      <c r="D1101" s="17" t="s">
        <v>45</v>
      </c>
      <c r="E1101" s="17" t="s">
        <v>46</v>
      </c>
      <c r="F1101" s="25" t="n">
        <f aca="false">SUMPRODUCT(--((('Yellow Bosses'!$H$5:$H$53&gt;=2)+('Yellow Bosses'!$J$5:$J$53&gt;=2)+('Yellow Bosses'!$M$5:$M$53&gt;=2)+('Yellow Bosses'!$N$5:$N$53&gt;=2))&gt;0))</f>
        <v>26</v>
      </c>
      <c r="G1101" s="26" t="n">
        <f aca="false">F1101/49</f>
        <v>0.530612244897959</v>
      </c>
      <c r="H1101" s="25" t="n">
        <f aca="false">49-SUMPRODUCT(--((('Yellow Bosses'!$H$5:$H$53&gt;=1)+('Yellow Bosses'!$J$5:$J$53&gt;=1)+('Yellow Bosses'!$M$5:$M$53&gt;=1)+('Yellow Bosses'!$N$5:$N$53&gt;=1))&gt;0))</f>
        <v>0</v>
      </c>
      <c r="I1101" s="25" t="n">
        <f aca="false">SUMPRODUCT(--((('Yellow Bosses'!$H$5:$H$53&gt;0)+('Yellow Bosses'!$J$5:$J$53&gt;0)+('Yellow Bosses'!$M$5:$M$53&gt;0)+('Yellow Bosses'!$N$5:$N$53&gt;0))=0))</f>
        <v>0</v>
      </c>
      <c r="J1101" s="25" t="n">
        <f aca="false">SUMPRODUCT(--(((Effectiveness!$E$5:$E$155&gt;=2)+(Effectiveness!$G$5:$G$155&gt;=2)+(Effectiveness!$J$5:$J$155&gt;=2)+(Effectiveness!$K$5:$K$155&gt;=2))&gt;0))</f>
        <v>80</v>
      </c>
      <c r="K1101" s="26" t="n">
        <f aca="false">J1101/151</f>
        <v>0.529801324503311</v>
      </c>
      <c r="L1101" s="25" t="n">
        <f aca="false">MIN(INDEX('Move Reality'!$F$5:$F$19,MATCH(B1101,'Move Reality'!$A$5:$A$19,0)),INDEX('Move Reality'!$F$5:$F$19,MATCH(C1101,'Move Reality'!$A$5:$A$19,0)),INDEX('Move Reality'!$F$5:$F$19,MATCH(D1101,'Move Reality'!$A$5:$A$19,0)),INDEX('Move Reality'!$F$5:$F$19,MATCH(E1101,'Move Reality'!$A$5:$A$19,0)))</f>
        <v>5</v>
      </c>
      <c r="M1101" s="28" t="str">
        <f aca="false">IF(L1101&gt;=5,"YES","no - dead move")</f>
        <v>YES</v>
      </c>
    </row>
    <row r="1102" customFormat="false" ht="15" hidden="false" customHeight="false" outlineLevel="0" collapsed="false">
      <c r="A1102" s="17" t="n">
        <v>1098</v>
      </c>
      <c r="B1102" s="17" t="s">
        <v>40</v>
      </c>
      <c r="C1102" s="17" t="s">
        <v>43</v>
      </c>
      <c r="D1102" s="17" t="s">
        <v>44</v>
      </c>
      <c r="E1102" s="17" t="s">
        <v>45</v>
      </c>
      <c r="F1102" s="25" t="n">
        <f aca="false">SUMPRODUCT(--((('Yellow Bosses'!$H$5:$H$53&gt;=2)+('Yellow Bosses'!$K$5:$K$53&gt;=2)+('Yellow Bosses'!$L$5:$L$53&gt;=2)+('Yellow Bosses'!$M$5:$M$53&gt;=2))&gt;0))</f>
        <v>26</v>
      </c>
      <c r="G1102" s="26" t="n">
        <f aca="false">F1102/49</f>
        <v>0.530612244897959</v>
      </c>
      <c r="H1102" s="25" t="n">
        <f aca="false">49-SUMPRODUCT(--((('Yellow Bosses'!$H$5:$H$53&gt;=1)+('Yellow Bosses'!$K$5:$K$53&gt;=1)+('Yellow Bosses'!$L$5:$L$53&gt;=1)+('Yellow Bosses'!$M$5:$M$53&gt;=1))&gt;0))</f>
        <v>0</v>
      </c>
      <c r="I1102" s="25" t="n">
        <f aca="false">SUMPRODUCT(--((('Yellow Bosses'!$H$5:$H$53&gt;0)+('Yellow Bosses'!$K$5:$K$53&gt;0)+('Yellow Bosses'!$L$5:$L$53&gt;0)+('Yellow Bosses'!$M$5:$M$53&gt;0))=0))</f>
        <v>0</v>
      </c>
      <c r="J1102" s="25" t="n">
        <f aca="false">SUMPRODUCT(--(((Effectiveness!$E$5:$E$155&gt;=2)+(Effectiveness!$H$5:$H$155&gt;=2)+(Effectiveness!$I$5:$I$155&gt;=2)+(Effectiveness!$J$5:$J$155&gt;=2))&gt;0))</f>
        <v>80</v>
      </c>
      <c r="K1102" s="26" t="n">
        <f aca="false">J1102/151</f>
        <v>0.529801324503311</v>
      </c>
      <c r="L1102" s="25" t="n">
        <f aca="false">MIN(INDEX('Move Reality'!$F$5:$F$19,MATCH(B1102,'Move Reality'!$A$5:$A$19,0)),INDEX('Move Reality'!$F$5:$F$19,MATCH(C1102,'Move Reality'!$A$5:$A$19,0)),INDEX('Move Reality'!$F$5:$F$19,MATCH(D1102,'Move Reality'!$A$5:$A$19,0)),INDEX('Move Reality'!$F$5:$F$19,MATCH(E1102,'Move Reality'!$A$5:$A$19,0)))</f>
        <v>4</v>
      </c>
      <c r="M1102" s="28" t="str">
        <f aca="false">IF(L1102&gt;=5,"YES","no - dead move")</f>
        <v>no - dead move</v>
      </c>
    </row>
    <row r="1103" customFormat="false" ht="15" hidden="false" customHeight="false" outlineLevel="0" collapsed="false">
      <c r="A1103" s="17" t="n">
        <v>1099</v>
      </c>
      <c r="B1103" s="17" t="s">
        <v>40</v>
      </c>
      <c r="C1103" s="17" t="s">
        <v>43</v>
      </c>
      <c r="D1103" s="17" t="s">
        <v>45</v>
      </c>
      <c r="E1103" s="17" t="s">
        <v>54</v>
      </c>
      <c r="F1103" s="25" t="n">
        <f aca="false">SUMPRODUCT(--((('Yellow Bosses'!$H$5:$H$53&gt;=2)+('Yellow Bosses'!$K$5:$K$53&gt;=2)+('Yellow Bosses'!$M$5:$M$53&gt;=2)+('Yellow Bosses'!$V$5:$V$53&gt;=2))&gt;0))</f>
        <v>26</v>
      </c>
      <c r="G1103" s="26" t="n">
        <f aca="false">F1103/49</f>
        <v>0.530612244897959</v>
      </c>
      <c r="H1103" s="25" t="n">
        <f aca="false">49-SUMPRODUCT(--((('Yellow Bosses'!$H$5:$H$53&gt;=1)+('Yellow Bosses'!$K$5:$K$53&gt;=1)+('Yellow Bosses'!$M$5:$M$53&gt;=1)+('Yellow Bosses'!$V$5:$V$53&gt;=1))&gt;0))</f>
        <v>0</v>
      </c>
      <c r="I1103" s="25" t="n">
        <f aca="false">SUMPRODUCT(--((('Yellow Bosses'!$H$5:$H$53&gt;0)+('Yellow Bosses'!$K$5:$K$53&gt;0)+('Yellow Bosses'!$M$5:$M$53&gt;0)+('Yellow Bosses'!$V$5:$V$53&gt;0))=0))</f>
        <v>0</v>
      </c>
      <c r="J1103" s="25" t="n">
        <f aca="false">SUMPRODUCT(--(((Effectiveness!$E$5:$E$155&gt;=2)+(Effectiveness!$H$5:$H$155&gt;=2)+(Effectiveness!$J$5:$J$155&gt;=2)+(Effectiveness!$S$5:$S$155&gt;=2))&gt;0))</f>
        <v>80</v>
      </c>
      <c r="K1103" s="26" t="n">
        <f aca="false">J1103/151</f>
        <v>0.529801324503311</v>
      </c>
      <c r="L1103" s="25" t="n">
        <f aca="false">MIN(INDEX('Move Reality'!$F$5:$F$19,MATCH(B1103,'Move Reality'!$A$5:$A$19,0)),INDEX('Move Reality'!$F$5:$F$19,MATCH(C1103,'Move Reality'!$A$5:$A$19,0)),INDEX('Move Reality'!$F$5:$F$19,MATCH(D1103,'Move Reality'!$A$5:$A$19,0)),INDEX('Move Reality'!$F$5:$F$19,MATCH(E1103,'Move Reality'!$A$5:$A$19,0)))</f>
        <v>1</v>
      </c>
      <c r="M1103" s="28" t="str">
        <f aca="false">IF(L1103&gt;=5,"YES","no - dead move")</f>
        <v>no - dead move</v>
      </c>
    </row>
    <row r="1104" customFormat="false" ht="15" hidden="false" customHeight="false" outlineLevel="0" collapsed="false">
      <c r="A1104" s="17" t="n">
        <v>1100</v>
      </c>
      <c r="B1104" s="17" t="s">
        <v>42</v>
      </c>
      <c r="C1104" s="17" t="s">
        <v>45</v>
      </c>
      <c r="D1104" s="17" t="s">
        <v>46</v>
      </c>
      <c r="E1104" s="17" t="s">
        <v>54</v>
      </c>
      <c r="F1104" s="25" t="n">
        <f aca="false">SUMPRODUCT(--((('Yellow Bosses'!$J$5:$J$53&gt;=2)+('Yellow Bosses'!$M$5:$M$53&gt;=2)+('Yellow Bosses'!$N$5:$N$53&gt;=2)+('Yellow Bosses'!$V$5:$V$53&gt;=2))&gt;0))</f>
        <v>26</v>
      </c>
      <c r="G1104" s="26" t="n">
        <f aca="false">F1104/49</f>
        <v>0.530612244897959</v>
      </c>
      <c r="H1104" s="25" t="n">
        <f aca="false">49-SUMPRODUCT(--((('Yellow Bosses'!$J$5:$J$53&gt;=1)+('Yellow Bosses'!$M$5:$M$53&gt;=1)+('Yellow Bosses'!$N$5:$N$53&gt;=1)+('Yellow Bosses'!$V$5:$V$53&gt;=1))&gt;0))</f>
        <v>0</v>
      </c>
      <c r="I1104" s="25" t="n">
        <f aca="false">SUMPRODUCT(--((('Yellow Bosses'!$J$5:$J$53&gt;0)+('Yellow Bosses'!$M$5:$M$53&gt;0)+('Yellow Bosses'!$N$5:$N$53&gt;0)+('Yellow Bosses'!$V$5:$V$53&gt;0))=0))</f>
        <v>0</v>
      </c>
      <c r="J1104" s="25" t="n">
        <f aca="false">SUMPRODUCT(--(((Effectiveness!$G$5:$G$155&gt;=2)+(Effectiveness!$J$5:$J$155&gt;=2)+(Effectiveness!$K$5:$K$155&gt;=2)+(Effectiveness!$S$5:$S$155&gt;=2))&gt;0))</f>
        <v>80</v>
      </c>
      <c r="K1104" s="26" t="n">
        <f aca="false">J1104/151</f>
        <v>0.529801324503311</v>
      </c>
      <c r="L1104" s="25" t="n">
        <f aca="false">MIN(INDEX('Move Reality'!$F$5:$F$19,MATCH(B1104,'Move Reality'!$A$5:$A$19,0)),INDEX('Move Reality'!$F$5:$F$19,MATCH(C1104,'Move Reality'!$A$5:$A$19,0)),INDEX('Move Reality'!$F$5:$F$19,MATCH(D1104,'Move Reality'!$A$5:$A$19,0)),INDEX('Move Reality'!$F$5:$F$19,MATCH(E1104,'Move Reality'!$A$5:$A$19,0)))</f>
        <v>1</v>
      </c>
      <c r="M1104" s="28" t="str">
        <f aca="false">IF(L1104&gt;=5,"YES","no - dead move")</f>
        <v>no - dead move</v>
      </c>
    </row>
    <row r="1105" customFormat="false" ht="15" hidden="false" customHeight="false" outlineLevel="0" collapsed="false">
      <c r="A1105" s="17" t="n">
        <v>1101</v>
      </c>
      <c r="B1105" s="17" t="s">
        <v>43</v>
      </c>
      <c r="C1105" s="17" t="s">
        <v>44</v>
      </c>
      <c r="D1105" s="17" t="s">
        <v>45</v>
      </c>
      <c r="E1105" s="17" t="s">
        <v>54</v>
      </c>
      <c r="F1105" s="25" t="n">
        <f aca="false">SUMPRODUCT(--((('Yellow Bosses'!$K$5:$K$53&gt;=2)+('Yellow Bosses'!$L$5:$L$53&gt;=2)+('Yellow Bosses'!$M$5:$M$53&gt;=2)+('Yellow Bosses'!$V$5:$V$53&gt;=2))&gt;0))</f>
        <v>26</v>
      </c>
      <c r="G1105" s="26" t="n">
        <f aca="false">F1105/49</f>
        <v>0.530612244897959</v>
      </c>
      <c r="H1105" s="25" t="n">
        <f aca="false">49-SUMPRODUCT(--((('Yellow Bosses'!$K$5:$K$53&gt;=1)+('Yellow Bosses'!$L$5:$L$53&gt;=1)+('Yellow Bosses'!$M$5:$M$53&gt;=1)+('Yellow Bosses'!$V$5:$V$53&gt;=1))&gt;0))</f>
        <v>0</v>
      </c>
      <c r="I1105" s="25" t="n">
        <f aca="false">SUMPRODUCT(--((('Yellow Bosses'!$K$5:$K$53&gt;0)+('Yellow Bosses'!$L$5:$L$53&gt;0)+('Yellow Bosses'!$M$5:$M$53&gt;0)+('Yellow Bosses'!$V$5:$V$53&gt;0))=0))</f>
        <v>0</v>
      </c>
      <c r="J1105" s="25" t="n">
        <f aca="false">SUMPRODUCT(--(((Effectiveness!$H$5:$H$155&gt;=2)+(Effectiveness!$I$5:$I$155&gt;=2)+(Effectiveness!$J$5:$J$155&gt;=2)+(Effectiveness!$S$5:$S$155&gt;=2))&gt;0))</f>
        <v>80</v>
      </c>
      <c r="K1105" s="26" t="n">
        <f aca="false">J1105/151</f>
        <v>0.529801324503311</v>
      </c>
      <c r="L1105" s="25" t="n">
        <f aca="false">MIN(INDEX('Move Reality'!$F$5:$F$19,MATCH(B1105,'Move Reality'!$A$5:$A$19,0)),INDEX('Move Reality'!$F$5:$F$19,MATCH(C1105,'Move Reality'!$A$5:$A$19,0)),INDEX('Move Reality'!$F$5:$F$19,MATCH(D1105,'Move Reality'!$A$5:$A$19,0)),INDEX('Move Reality'!$F$5:$F$19,MATCH(E1105,'Move Reality'!$A$5:$A$19,0)))</f>
        <v>1</v>
      </c>
      <c r="M1105" s="28" t="str">
        <f aca="false">IF(L1105&gt;=5,"YES","no - dead move")</f>
        <v>no - dead move</v>
      </c>
    </row>
    <row r="1106" customFormat="false" ht="15" hidden="false" customHeight="false" outlineLevel="0" collapsed="false">
      <c r="A1106" s="17" t="n">
        <v>1102</v>
      </c>
      <c r="B1106" s="17" t="s">
        <v>40</v>
      </c>
      <c r="C1106" s="17" t="s">
        <v>42</v>
      </c>
      <c r="D1106" s="17" t="s">
        <v>46</v>
      </c>
      <c r="E1106" s="17" t="s">
        <v>52</v>
      </c>
      <c r="F1106" s="25" t="n">
        <f aca="false">SUMPRODUCT(--((('Yellow Bosses'!$H$5:$H$53&gt;=2)+('Yellow Bosses'!$J$5:$J$53&gt;=2)+('Yellow Bosses'!$N$5:$N$53&gt;=2)+('Yellow Bosses'!$T$5:$T$53&gt;=2))&gt;0))</f>
        <v>26</v>
      </c>
      <c r="G1106" s="26" t="n">
        <f aca="false">F1106/49</f>
        <v>0.530612244897959</v>
      </c>
      <c r="H1106" s="25" t="n">
        <f aca="false">49-SUMPRODUCT(--((('Yellow Bosses'!$H$5:$H$53&gt;=1)+('Yellow Bosses'!$J$5:$J$53&gt;=1)+('Yellow Bosses'!$N$5:$N$53&gt;=1)+('Yellow Bosses'!$T$5:$T$53&gt;=1))&gt;0))</f>
        <v>0</v>
      </c>
      <c r="I1106" s="25" t="n">
        <f aca="false">SUMPRODUCT(--((('Yellow Bosses'!$H$5:$H$53&gt;0)+('Yellow Bosses'!$J$5:$J$53&gt;0)+('Yellow Bosses'!$N$5:$N$53&gt;0)+('Yellow Bosses'!$T$5:$T$53&gt;0))=0))</f>
        <v>0</v>
      </c>
      <c r="J1106" s="25" t="n">
        <f aca="false">SUMPRODUCT(--(((Effectiveness!$E$5:$E$155&gt;=2)+(Effectiveness!$G$5:$G$155&gt;=2)+(Effectiveness!$K$5:$K$155&gt;=2)+(Effectiveness!$Q$5:$Q$155&gt;=2))&gt;0))</f>
        <v>77</v>
      </c>
      <c r="K1106" s="26" t="n">
        <f aca="false">J1106/151</f>
        <v>0.509933774834437</v>
      </c>
      <c r="L1106" s="25" t="n">
        <f aca="false">MIN(INDEX('Move Reality'!$F$5:$F$19,MATCH(B1106,'Move Reality'!$A$5:$A$19,0)),INDEX('Move Reality'!$F$5:$F$19,MATCH(C1106,'Move Reality'!$A$5:$A$19,0)),INDEX('Move Reality'!$F$5:$F$19,MATCH(D1106,'Move Reality'!$A$5:$A$19,0)),INDEX('Move Reality'!$F$5:$F$19,MATCH(E1106,'Move Reality'!$A$5:$A$19,0)))</f>
        <v>5</v>
      </c>
      <c r="M1106" s="28" t="str">
        <f aca="false">IF(L1106&gt;=5,"YES","no - dead move")</f>
        <v>YES</v>
      </c>
    </row>
    <row r="1107" customFormat="false" ht="15" hidden="false" customHeight="false" outlineLevel="0" collapsed="false">
      <c r="A1107" s="17" t="n">
        <v>1103</v>
      </c>
      <c r="B1107" s="17" t="s">
        <v>46</v>
      </c>
      <c r="C1107" s="17" t="s">
        <v>47</v>
      </c>
      <c r="D1107" s="17" t="s">
        <v>48</v>
      </c>
      <c r="E1107" s="17" t="s">
        <v>54</v>
      </c>
      <c r="F1107" s="25" t="n">
        <f aca="false">SUMPRODUCT(--((('Yellow Bosses'!$N$5:$N$53&gt;=2)+('Yellow Bosses'!$O$5:$O$53&gt;=2)+('Yellow Bosses'!$P$5:$P$53&gt;=2)+('Yellow Bosses'!$V$5:$V$53&gt;=2))&gt;0))</f>
        <v>26</v>
      </c>
      <c r="G1107" s="26" t="n">
        <f aca="false">F1107/49</f>
        <v>0.530612244897959</v>
      </c>
      <c r="H1107" s="25" t="n">
        <f aca="false">49-SUMPRODUCT(--((('Yellow Bosses'!$N$5:$N$53&gt;=1)+('Yellow Bosses'!$O$5:$O$53&gt;=1)+('Yellow Bosses'!$P$5:$P$53&gt;=1)+('Yellow Bosses'!$V$5:$V$53&gt;=1))&gt;0))</f>
        <v>0</v>
      </c>
      <c r="I1107" s="25" t="n">
        <f aca="false">SUMPRODUCT(--((('Yellow Bosses'!$N$5:$N$53&gt;0)+('Yellow Bosses'!$O$5:$O$53&gt;0)+('Yellow Bosses'!$P$5:$P$53&gt;0)+('Yellow Bosses'!$V$5:$V$53&gt;0))=0))</f>
        <v>0</v>
      </c>
      <c r="J1107" s="25" t="n">
        <f aca="false">SUMPRODUCT(--(((Effectiveness!$K$5:$K$155&gt;=2)+(Effectiveness!$L$5:$L$155&gt;=2)+(Effectiveness!$M$5:$M$155&gt;=2)+(Effectiveness!$S$5:$S$155&gt;=2))&gt;0))</f>
        <v>77</v>
      </c>
      <c r="K1107" s="26" t="n">
        <f aca="false">J1107/151</f>
        <v>0.509933774834437</v>
      </c>
      <c r="L1107" s="25" t="n">
        <f aca="false">MIN(INDEX('Move Reality'!$F$5:$F$19,MATCH(B1107,'Move Reality'!$A$5:$A$19,0)),INDEX('Move Reality'!$F$5:$F$19,MATCH(C1107,'Move Reality'!$A$5:$A$19,0)),INDEX('Move Reality'!$F$5:$F$19,MATCH(D1107,'Move Reality'!$A$5:$A$19,0)),INDEX('Move Reality'!$F$5:$F$19,MATCH(E1107,'Move Reality'!$A$5:$A$19,0)))</f>
        <v>1</v>
      </c>
      <c r="M1107" s="28" t="str">
        <f aca="false">IF(L1107&gt;=5,"YES","no - dead move")</f>
        <v>no - dead move</v>
      </c>
    </row>
    <row r="1108" customFormat="false" ht="15" hidden="false" customHeight="false" outlineLevel="0" collapsed="false">
      <c r="A1108" s="17" t="n">
        <v>1104</v>
      </c>
      <c r="B1108" s="17" t="s">
        <v>40</v>
      </c>
      <c r="C1108" s="17" t="s">
        <v>44</v>
      </c>
      <c r="D1108" s="17" t="s">
        <v>48</v>
      </c>
      <c r="E1108" s="17" t="s">
        <v>53</v>
      </c>
      <c r="F1108" s="25" t="n">
        <f aca="false">SUMPRODUCT(--((('Yellow Bosses'!$H$5:$H$53&gt;=2)+('Yellow Bosses'!$L$5:$L$53&gt;=2)+('Yellow Bosses'!$P$5:$P$53&gt;=2)+('Yellow Bosses'!$U$5:$U$53&gt;=2))&gt;0))</f>
        <v>26</v>
      </c>
      <c r="G1108" s="26" t="n">
        <f aca="false">F1108/49</f>
        <v>0.530612244897959</v>
      </c>
      <c r="H1108" s="25" t="n">
        <f aca="false">49-SUMPRODUCT(--((('Yellow Bosses'!$H$5:$H$53&gt;=1)+('Yellow Bosses'!$L$5:$L$53&gt;=1)+('Yellow Bosses'!$P$5:$P$53&gt;=1)+('Yellow Bosses'!$U$5:$U$53&gt;=1))&gt;0))</f>
        <v>0</v>
      </c>
      <c r="I1108" s="25" t="n">
        <f aca="false">SUMPRODUCT(--((('Yellow Bosses'!$H$5:$H$53&gt;0)+('Yellow Bosses'!$L$5:$L$53&gt;0)+('Yellow Bosses'!$P$5:$P$53&gt;0)+('Yellow Bosses'!$U$5:$U$53&gt;0))=0))</f>
        <v>0</v>
      </c>
      <c r="J1108" s="25" t="n">
        <f aca="false">SUMPRODUCT(--(((Effectiveness!$E$5:$E$155&gt;=2)+(Effectiveness!$I$5:$I$155&gt;=2)+(Effectiveness!$M$5:$M$155&gt;=2)+(Effectiveness!$R$5:$R$155&gt;=2))&gt;0))</f>
        <v>76</v>
      </c>
      <c r="K1108" s="26" t="n">
        <f aca="false">J1108/151</f>
        <v>0.503311258278146</v>
      </c>
      <c r="L1108" s="25" t="n">
        <f aca="false">MIN(INDEX('Move Reality'!$F$5:$F$19,MATCH(B1108,'Move Reality'!$A$5:$A$19,0)),INDEX('Move Reality'!$F$5:$F$19,MATCH(C1108,'Move Reality'!$A$5:$A$19,0)),INDEX('Move Reality'!$F$5:$F$19,MATCH(D1108,'Move Reality'!$A$5:$A$19,0)),INDEX('Move Reality'!$F$5:$F$19,MATCH(E1108,'Move Reality'!$A$5:$A$19,0)))</f>
        <v>1</v>
      </c>
      <c r="M1108" s="28" t="str">
        <f aca="false">IF(L1108&gt;=5,"YES","no - dead move")</f>
        <v>no - dead move</v>
      </c>
    </row>
    <row r="1109" customFormat="false" ht="15" hidden="false" customHeight="false" outlineLevel="0" collapsed="false">
      <c r="A1109" s="17" t="n">
        <v>1105</v>
      </c>
      <c r="B1109" s="17" t="s">
        <v>40</v>
      </c>
      <c r="C1109" s="17" t="s">
        <v>42</v>
      </c>
      <c r="D1109" s="17" t="s">
        <v>43</v>
      </c>
      <c r="E1109" s="17" t="s">
        <v>53</v>
      </c>
      <c r="F1109" s="25" t="n">
        <f aca="false">SUMPRODUCT(--((('Yellow Bosses'!$H$5:$H$53&gt;=2)+('Yellow Bosses'!$J$5:$J$53&gt;=2)+('Yellow Bosses'!$K$5:$K$53&gt;=2)+('Yellow Bosses'!$U$5:$U$53&gt;=2))&gt;0))</f>
        <v>26</v>
      </c>
      <c r="G1109" s="26" t="n">
        <f aca="false">F1109/49</f>
        <v>0.530612244897959</v>
      </c>
      <c r="H1109" s="25" t="n">
        <f aca="false">49-SUMPRODUCT(--((('Yellow Bosses'!$H$5:$H$53&gt;=1)+('Yellow Bosses'!$J$5:$J$53&gt;=1)+('Yellow Bosses'!$K$5:$K$53&gt;=1)+('Yellow Bosses'!$U$5:$U$53&gt;=1))&gt;0))</f>
        <v>0</v>
      </c>
      <c r="I1109" s="25" t="n">
        <f aca="false">SUMPRODUCT(--((('Yellow Bosses'!$H$5:$H$53&gt;0)+('Yellow Bosses'!$J$5:$J$53&gt;0)+('Yellow Bosses'!$K$5:$K$53&gt;0)+('Yellow Bosses'!$U$5:$U$53&gt;0))=0))</f>
        <v>0</v>
      </c>
      <c r="J1109" s="25" t="n">
        <f aca="false">SUMPRODUCT(--(((Effectiveness!$E$5:$E$155&gt;=2)+(Effectiveness!$G$5:$G$155&gt;=2)+(Effectiveness!$H$5:$H$155&gt;=2)+(Effectiveness!$R$5:$R$155&gt;=2))&gt;0))</f>
        <v>75</v>
      </c>
      <c r="K1109" s="26" t="n">
        <f aca="false">J1109/151</f>
        <v>0.496688741721854</v>
      </c>
      <c r="L1109" s="25" t="n">
        <f aca="false">MIN(INDEX('Move Reality'!$F$5:$F$19,MATCH(B1109,'Move Reality'!$A$5:$A$19,0)),INDEX('Move Reality'!$F$5:$F$19,MATCH(C1109,'Move Reality'!$A$5:$A$19,0)),INDEX('Move Reality'!$F$5:$F$19,MATCH(D1109,'Move Reality'!$A$5:$A$19,0)),INDEX('Move Reality'!$F$5:$F$19,MATCH(E1109,'Move Reality'!$A$5:$A$19,0)))</f>
        <v>1</v>
      </c>
      <c r="M1109" s="28" t="str">
        <f aca="false">IF(L1109&gt;=5,"YES","no - dead move")</f>
        <v>no - dead move</v>
      </c>
    </row>
    <row r="1110" customFormat="false" ht="15" hidden="false" customHeight="false" outlineLevel="0" collapsed="false">
      <c r="A1110" s="17" t="n">
        <v>1106</v>
      </c>
      <c r="B1110" s="17" t="s">
        <v>40</v>
      </c>
      <c r="C1110" s="17" t="s">
        <v>42</v>
      </c>
      <c r="D1110" s="17" t="s">
        <v>43</v>
      </c>
      <c r="E1110" s="17" t="s">
        <v>54</v>
      </c>
      <c r="F1110" s="25" t="n">
        <f aca="false">SUMPRODUCT(--((('Yellow Bosses'!$H$5:$H$53&gt;=2)+('Yellow Bosses'!$J$5:$J$53&gt;=2)+('Yellow Bosses'!$K$5:$K$53&gt;=2)+('Yellow Bosses'!$V$5:$V$53&gt;=2))&gt;0))</f>
        <v>26</v>
      </c>
      <c r="G1110" s="26" t="n">
        <f aca="false">F1110/49</f>
        <v>0.530612244897959</v>
      </c>
      <c r="H1110" s="25" t="n">
        <f aca="false">49-SUMPRODUCT(--((('Yellow Bosses'!$H$5:$H$53&gt;=1)+('Yellow Bosses'!$J$5:$J$53&gt;=1)+('Yellow Bosses'!$K$5:$K$53&gt;=1)+('Yellow Bosses'!$V$5:$V$53&gt;=1))&gt;0))</f>
        <v>0</v>
      </c>
      <c r="I1110" s="25" t="n">
        <f aca="false">SUMPRODUCT(--((('Yellow Bosses'!$H$5:$H$53&gt;0)+('Yellow Bosses'!$J$5:$J$53&gt;0)+('Yellow Bosses'!$K$5:$K$53&gt;0)+('Yellow Bosses'!$V$5:$V$53&gt;0))=0))</f>
        <v>0</v>
      </c>
      <c r="J1110" s="25" t="n">
        <f aca="false">SUMPRODUCT(--(((Effectiveness!$E$5:$E$155&gt;=2)+(Effectiveness!$G$5:$G$155&gt;=2)+(Effectiveness!$H$5:$H$155&gt;=2)+(Effectiveness!$S$5:$S$155&gt;=2))&gt;0))</f>
        <v>75</v>
      </c>
      <c r="K1110" s="26" t="n">
        <f aca="false">J1110/151</f>
        <v>0.496688741721854</v>
      </c>
      <c r="L1110" s="25" t="n">
        <f aca="false">MIN(INDEX('Move Reality'!$F$5:$F$19,MATCH(B1110,'Move Reality'!$A$5:$A$19,0)),INDEX('Move Reality'!$F$5:$F$19,MATCH(C1110,'Move Reality'!$A$5:$A$19,0)),INDEX('Move Reality'!$F$5:$F$19,MATCH(D1110,'Move Reality'!$A$5:$A$19,0)),INDEX('Move Reality'!$F$5:$F$19,MATCH(E1110,'Move Reality'!$A$5:$A$19,0)))</f>
        <v>1</v>
      </c>
      <c r="M1110" s="28" t="str">
        <f aca="false">IF(L1110&gt;=5,"YES","no - dead move")</f>
        <v>no - dead move</v>
      </c>
    </row>
    <row r="1111" customFormat="false" ht="15" hidden="false" customHeight="false" outlineLevel="0" collapsed="false">
      <c r="A1111" s="17" t="n">
        <v>1107</v>
      </c>
      <c r="B1111" s="17" t="s">
        <v>42</v>
      </c>
      <c r="C1111" s="17" t="s">
        <v>43</v>
      </c>
      <c r="D1111" s="17" t="s">
        <v>44</v>
      </c>
      <c r="E1111" s="17" t="s">
        <v>53</v>
      </c>
      <c r="F1111" s="25" t="n">
        <f aca="false">SUMPRODUCT(--((('Yellow Bosses'!$J$5:$J$53&gt;=2)+('Yellow Bosses'!$K$5:$K$53&gt;=2)+('Yellow Bosses'!$L$5:$L$53&gt;=2)+('Yellow Bosses'!$U$5:$U$53&gt;=2))&gt;0))</f>
        <v>26</v>
      </c>
      <c r="G1111" s="26" t="n">
        <f aca="false">F1111/49</f>
        <v>0.530612244897959</v>
      </c>
      <c r="H1111" s="25" t="n">
        <f aca="false">49-SUMPRODUCT(--((('Yellow Bosses'!$J$5:$J$53&gt;=1)+('Yellow Bosses'!$K$5:$K$53&gt;=1)+('Yellow Bosses'!$L$5:$L$53&gt;=1)+('Yellow Bosses'!$U$5:$U$53&gt;=1))&gt;0))</f>
        <v>1</v>
      </c>
      <c r="I1111" s="25" t="n">
        <f aca="false">SUMPRODUCT(--((('Yellow Bosses'!$J$5:$J$53&gt;0)+('Yellow Bosses'!$K$5:$K$53&gt;0)+('Yellow Bosses'!$L$5:$L$53&gt;0)+('Yellow Bosses'!$U$5:$U$53&gt;0))=0))</f>
        <v>0</v>
      </c>
      <c r="J1111" s="25" t="n">
        <f aca="false">SUMPRODUCT(--(((Effectiveness!$G$5:$G$155&gt;=2)+(Effectiveness!$H$5:$H$155&gt;=2)+(Effectiveness!$I$5:$I$155&gt;=2)+(Effectiveness!$R$5:$R$155&gt;=2))&gt;0))</f>
        <v>75</v>
      </c>
      <c r="K1111" s="26" t="n">
        <f aca="false">J1111/151</f>
        <v>0.496688741721854</v>
      </c>
      <c r="L1111" s="25" t="n">
        <f aca="false">MIN(INDEX('Move Reality'!$F$5:$F$19,MATCH(B1111,'Move Reality'!$A$5:$A$19,0)),INDEX('Move Reality'!$F$5:$F$19,MATCH(C1111,'Move Reality'!$A$5:$A$19,0)),INDEX('Move Reality'!$F$5:$F$19,MATCH(D1111,'Move Reality'!$A$5:$A$19,0)),INDEX('Move Reality'!$F$5:$F$19,MATCH(E1111,'Move Reality'!$A$5:$A$19,0)))</f>
        <v>1</v>
      </c>
      <c r="M1111" s="28" t="str">
        <f aca="false">IF(L1111&gt;=5,"YES","no - dead move")</f>
        <v>no - dead move</v>
      </c>
    </row>
    <row r="1112" customFormat="false" ht="15" hidden="false" customHeight="false" outlineLevel="0" collapsed="false">
      <c r="A1112" s="17" t="n">
        <v>1108</v>
      </c>
      <c r="B1112" s="17" t="s">
        <v>42</v>
      </c>
      <c r="C1112" s="17" t="s">
        <v>43</v>
      </c>
      <c r="D1112" s="17" t="s">
        <v>44</v>
      </c>
      <c r="E1112" s="17" t="s">
        <v>54</v>
      </c>
      <c r="F1112" s="25" t="n">
        <f aca="false">SUMPRODUCT(--((('Yellow Bosses'!$J$5:$J$53&gt;=2)+('Yellow Bosses'!$K$5:$K$53&gt;=2)+('Yellow Bosses'!$L$5:$L$53&gt;=2)+('Yellow Bosses'!$V$5:$V$53&gt;=2))&gt;0))</f>
        <v>26</v>
      </c>
      <c r="G1112" s="26" t="n">
        <f aca="false">F1112/49</f>
        <v>0.530612244897959</v>
      </c>
      <c r="H1112" s="25" t="n">
        <f aca="false">49-SUMPRODUCT(--((('Yellow Bosses'!$J$5:$J$53&gt;=1)+('Yellow Bosses'!$K$5:$K$53&gt;=1)+('Yellow Bosses'!$L$5:$L$53&gt;=1)+('Yellow Bosses'!$V$5:$V$53&gt;=1))&gt;0))</f>
        <v>0</v>
      </c>
      <c r="I1112" s="25" t="n">
        <f aca="false">SUMPRODUCT(--((('Yellow Bosses'!$J$5:$J$53&gt;0)+('Yellow Bosses'!$K$5:$K$53&gt;0)+('Yellow Bosses'!$L$5:$L$53&gt;0)+('Yellow Bosses'!$V$5:$V$53&gt;0))=0))</f>
        <v>0</v>
      </c>
      <c r="J1112" s="25" t="n">
        <f aca="false">SUMPRODUCT(--(((Effectiveness!$G$5:$G$155&gt;=2)+(Effectiveness!$H$5:$H$155&gt;=2)+(Effectiveness!$I$5:$I$155&gt;=2)+(Effectiveness!$S$5:$S$155&gt;=2))&gt;0))</f>
        <v>75</v>
      </c>
      <c r="K1112" s="26" t="n">
        <f aca="false">J1112/151</f>
        <v>0.496688741721854</v>
      </c>
      <c r="L1112" s="25" t="n">
        <f aca="false">MIN(INDEX('Move Reality'!$F$5:$F$19,MATCH(B1112,'Move Reality'!$A$5:$A$19,0)),INDEX('Move Reality'!$F$5:$F$19,MATCH(C1112,'Move Reality'!$A$5:$A$19,0)),INDEX('Move Reality'!$F$5:$F$19,MATCH(D1112,'Move Reality'!$A$5:$A$19,0)),INDEX('Move Reality'!$F$5:$F$19,MATCH(E1112,'Move Reality'!$A$5:$A$19,0)))</f>
        <v>1</v>
      </c>
      <c r="M1112" s="28" t="str">
        <f aca="false">IF(L1112&gt;=5,"YES","no - dead move")</f>
        <v>no - dead move</v>
      </c>
    </row>
    <row r="1113" customFormat="false" ht="15" hidden="false" customHeight="false" outlineLevel="0" collapsed="false">
      <c r="A1113" s="17" t="n">
        <v>1109</v>
      </c>
      <c r="B1113" s="17" t="s">
        <v>40</v>
      </c>
      <c r="C1113" s="17" t="s">
        <v>41</v>
      </c>
      <c r="D1113" s="17" t="s">
        <v>44</v>
      </c>
      <c r="E1113" s="17" t="s">
        <v>49</v>
      </c>
      <c r="F1113" s="25" t="n">
        <f aca="false">SUMPRODUCT(--((('Yellow Bosses'!$H$5:$H$53&gt;=2)+('Yellow Bosses'!$I$5:$I$53&gt;=2)+('Yellow Bosses'!$L$5:$L$53&gt;=2)+('Yellow Bosses'!$Q$5:$Q$53&gt;=2))&gt;0))</f>
        <v>26</v>
      </c>
      <c r="G1113" s="26" t="n">
        <f aca="false">F1113/49</f>
        <v>0.530612244897959</v>
      </c>
      <c r="H1113" s="25" t="n">
        <f aca="false">49-SUMPRODUCT(--((('Yellow Bosses'!$H$5:$H$53&gt;=1)+('Yellow Bosses'!$I$5:$I$53&gt;=1)+('Yellow Bosses'!$L$5:$L$53&gt;=1)+('Yellow Bosses'!$Q$5:$Q$53&gt;=1))&gt;0))</f>
        <v>0</v>
      </c>
      <c r="I1113" s="25" t="n">
        <f aca="false">SUMPRODUCT(--((('Yellow Bosses'!$H$5:$H$53&gt;0)+('Yellow Bosses'!$I$5:$I$53&gt;0)+('Yellow Bosses'!$L$5:$L$53&gt;0)+('Yellow Bosses'!$Q$5:$Q$53&gt;0))=0))</f>
        <v>0</v>
      </c>
      <c r="J1113" s="25" t="n">
        <f aca="false">SUMPRODUCT(--(((Effectiveness!$E$5:$E$155&gt;=2)+(Effectiveness!$F$5:$F$155&gt;=2)+(Effectiveness!$I$5:$I$155&gt;=2)+(Effectiveness!$N$5:$N$155&gt;=2))&gt;0))</f>
        <v>74</v>
      </c>
      <c r="K1113" s="26" t="n">
        <f aca="false">J1113/151</f>
        <v>0.490066225165563</v>
      </c>
      <c r="L1113" s="25" t="n">
        <f aca="false">MIN(INDEX('Move Reality'!$F$5:$F$19,MATCH(B1113,'Move Reality'!$A$5:$A$19,0)),INDEX('Move Reality'!$F$5:$F$19,MATCH(C1113,'Move Reality'!$A$5:$A$19,0)),INDEX('Move Reality'!$F$5:$F$19,MATCH(D1113,'Move Reality'!$A$5:$A$19,0)),INDEX('Move Reality'!$F$5:$F$19,MATCH(E1113,'Move Reality'!$A$5:$A$19,0)))</f>
        <v>4</v>
      </c>
      <c r="M1113" s="28" t="str">
        <f aca="false">IF(L1113&gt;=5,"YES","no - dead move")</f>
        <v>no - dead move</v>
      </c>
    </row>
    <row r="1114" customFormat="false" ht="15" hidden="false" customHeight="false" outlineLevel="0" collapsed="false">
      <c r="A1114" s="17" t="n">
        <v>1110</v>
      </c>
      <c r="B1114" s="17" t="s">
        <v>41</v>
      </c>
      <c r="C1114" s="17" t="s">
        <v>44</v>
      </c>
      <c r="D1114" s="17" t="s">
        <v>47</v>
      </c>
      <c r="E1114" s="17" t="s">
        <v>49</v>
      </c>
      <c r="F1114" s="25" t="n">
        <f aca="false">SUMPRODUCT(--((('Yellow Bosses'!$I$5:$I$53&gt;=2)+('Yellow Bosses'!$L$5:$L$53&gt;=2)+('Yellow Bosses'!$O$5:$O$53&gt;=2)+('Yellow Bosses'!$Q$5:$Q$53&gt;=2))&gt;0))</f>
        <v>26</v>
      </c>
      <c r="G1114" s="26" t="n">
        <f aca="false">F1114/49</f>
        <v>0.530612244897959</v>
      </c>
      <c r="H1114" s="25" t="n">
        <f aca="false">49-SUMPRODUCT(--((('Yellow Bosses'!$I$5:$I$53&gt;=1)+('Yellow Bosses'!$L$5:$L$53&gt;=1)+('Yellow Bosses'!$O$5:$O$53&gt;=1)+('Yellow Bosses'!$Q$5:$Q$53&gt;=1))&gt;0))</f>
        <v>0</v>
      </c>
      <c r="I1114" s="25" t="n">
        <f aca="false">SUMPRODUCT(--((('Yellow Bosses'!$I$5:$I$53&gt;0)+('Yellow Bosses'!$L$5:$L$53&gt;0)+('Yellow Bosses'!$O$5:$O$53&gt;0)+('Yellow Bosses'!$Q$5:$Q$53&gt;0))=0))</f>
        <v>0</v>
      </c>
      <c r="J1114" s="25" t="n">
        <f aca="false">SUMPRODUCT(--(((Effectiveness!$F$5:$F$155&gt;=2)+(Effectiveness!$I$5:$I$155&gt;=2)+(Effectiveness!$L$5:$L$155&gt;=2)+(Effectiveness!$N$5:$N$155&gt;=2))&gt;0))</f>
        <v>74</v>
      </c>
      <c r="K1114" s="26" t="n">
        <f aca="false">J1114/151</f>
        <v>0.490066225165563</v>
      </c>
      <c r="L1114" s="25" t="n">
        <f aca="false">MIN(INDEX('Move Reality'!$F$5:$F$19,MATCH(B1114,'Move Reality'!$A$5:$A$19,0)),INDEX('Move Reality'!$F$5:$F$19,MATCH(C1114,'Move Reality'!$A$5:$A$19,0)),INDEX('Move Reality'!$F$5:$F$19,MATCH(D1114,'Move Reality'!$A$5:$A$19,0)),INDEX('Move Reality'!$F$5:$F$19,MATCH(E1114,'Move Reality'!$A$5:$A$19,0)))</f>
        <v>2</v>
      </c>
      <c r="M1114" s="28" t="str">
        <f aca="false">IF(L1114&gt;=5,"YES","no - dead move")</f>
        <v>no - dead move</v>
      </c>
    </row>
    <row r="1115" customFormat="false" ht="15" hidden="false" customHeight="false" outlineLevel="0" collapsed="false">
      <c r="A1115" s="17" t="n">
        <v>1111</v>
      </c>
      <c r="B1115" s="17" t="s">
        <v>46</v>
      </c>
      <c r="C1115" s="17" t="s">
        <v>47</v>
      </c>
      <c r="D1115" s="17" t="s">
        <v>52</v>
      </c>
      <c r="E1115" s="17" t="s">
        <v>54</v>
      </c>
      <c r="F1115" s="25" t="n">
        <f aca="false">SUMPRODUCT(--((('Yellow Bosses'!$N$5:$N$53&gt;=2)+('Yellow Bosses'!$O$5:$O$53&gt;=2)+('Yellow Bosses'!$T$5:$T$53&gt;=2)+('Yellow Bosses'!$V$5:$V$53&gt;=2))&gt;0))</f>
        <v>26</v>
      </c>
      <c r="G1115" s="26" t="n">
        <f aca="false">F1115/49</f>
        <v>0.530612244897959</v>
      </c>
      <c r="H1115" s="25" t="n">
        <f aca="false">49-SUMPRODUCT(--((('Yellow Bosses'!$N$5:$N$53&gt;=1)+('Yellow Bosses'!$O$5:$O$53&gt;=1)+('Yellow Bosses'!$T$5:$T$53&gt;=1)+('Yellow Bosses'!$V$5:$V$53&gt;=1))&gt;0))</f>
        <v>0</v>
      </c>
      <c r="I1115" s="25" t="n">
        <f aca="false">SUMPRODUCT(--((('Yellow Bosses'!$N$5:$N$53&gt;0)+('Yellow Bosses'!$O$5:$O$53&gt;0)+('Yellow Bosses'!$T$5:$T$53&gt;0)+('Yellow Bosses'!$V$5:$V$53&gt;0))=0))</f>
        <v>0</v>
      </c>
      <c r="J1115" s="25" t="n">
        <f aca="false">SUMPRODUCT(--(((Effectiveness!$K$5:$K$155&gt;=2)+(Effectiveness!$L$5:$L$155&gt;=2)+(Effectiveness!$Q$5:$Q$155&gt;=2)+(Effectiveness!$S$5:$S$155&gt;=2))&gt;0))</f>
        <v>74</v>
      </c>
      <c r="K1115" s="26" t="n">
        <f aca="false">J1115/151</f>
        <v>0.490066225165563</v>
      </c>
      <c r="L1115" s="25" t="n">
        <f aca="false">MIN(INDEX('Move Reality'!$F$5:$F$19,MATCH(B1115,'Move Reality'!$A$5:$A$19,0)),INDEX('Move Reality'!$F$5:$F$19,MATCH(C1115,'Move Reality'!$A$5:$A$19,0)),INDEX('Move Reality'!$F$5:$F$19,MATCH(D1115,'Move Reality'!$A$5:$A$19,0)),INDEX('Move Reality'!$F$5:$F$19,MATCH(E1115,'Move Reality'!$A$5:$A$19,0)))</f>
        <v>1</v>
      </c>
      <c r="M1115" s="28" t="str">
        <f aca="false">IF(L1115&gt;=5,"YES","no - dead move")</f>
        <v>no - dead move</v>
      </c>
    </row>
    <row r="1116" customFormat="false" ht="15" hidden="false" customHeight="false" outlineLevel="0" collapsed="false">
      <c r="A1116" s="17" t="n">
        <v>1112</v>
      </c>
      <c r="B1116" s="17" t="s">
        <v>40</v>
      </c>
      <c r="C1116" s="17" t="s">
        <v>41</v>
      </c>
      <c r="D1116" s="17" t="s">
        <v>47</v>
      </c>
      <c r="E1116" s="17" t="s">
        <v>48</v>
      </c>
      <c r="F1116" s="25" t="n">
        <f aca="false">SUMPRODUCT(--((('Yellow Bosses'!$H$5:$H$53&gt;=2)+('Yellow Bosses'!$I$5:$I$53&gt;=2)+('Yellow Bosses'!$O$5:$O$53&gt;=2)+('Yellow Bosses'!$P$5:$P$53&gt;=2))&gt;0))</f>
        <v>26</v>
      </c>
      <c r="G1116" s="26" t="n">
        <f aca="false">F1116/49</f>
        <v>0.530612244897959</v>
      </c>
      <c r="H1116" s="25" t="n">
        <f aca="false">49-SUMPRODUCT(--((('Yellow Bosses'!$H$5:$H$53&gt;=1)+('Yellow Bosses'!$I$5:$I$53&gt;=1)+('Yellow Bosses'!$O$5:$O$53&gt;=1)+('Yellow Bosses'!$P$5:$P$53&gt;=1))&gt;0))</f>
        <v>1</v>
      </c>
      <c r="I1116" s="25" t="n">
        <f aca="false">SUMPRODUCT(--((('Yellow Bosses'!$H$5:$H$53&gt;0)+('Yellow Bosses'!$I$5:$I$53&gt;0)+('Yellow Bosses'!$O$5:$O$53&gt;0)+('Yellow Bosses'!$P$5:$P$53&gt;0))=0))</f>
        <v>0</v>
      </c>
      <c r="J1116" s="25" t="n">
        <f aca="false">SUMPRODUCT(--(((Effectiveness!$E$5:$E$155&gt;=2)+(Effectiveness!$F$5:$F$155&gt;=2)+(Effectiveness!$L$5:$L$155&gt;=2)+(Effectiveness!$M$5:$M$155&gt;=2))&gt;0))</f>
        <v>71</v>
      </c>
      <c r="K1116" s="26" t="n">
        <f aca="false">J1116/151</f>
        <v>0.470198675496689</v>
      </c>
      <c r="L1116" s="25" t="n">
        <f aca="false">MIN(INDEX('Move Reality'!$F$5:$F$19,MATCH(B1116,'Move Reality'!$A$5:$A$19,0)),INDEX('Move Reality'!$F$5:$F$19,MATCH(C1116,'Move Reality'!$A$5:$A$19,0)),INDEX('Move Reality'!$F$5:$F$19,MATCH(D1116,'Move Reality'!$A$5:$A$19,0)),INDEX('Move Reality'!$F$5:$F$19,MATCH(E1116,'Move Reality'!$A$5:$A$19,0)))</f>
        <v>2</v>
      </c>
      <c r="M1116" s="28" t="str">
        <f aca="false">IF(L1116&gt;=5,"YES","no - dead move")</f>
        <v>no - dead move</v>
      </c>
    </row>
    <row r="1117" customFormat="false" ht="15" hidden="false" customHeight="false" outlineLevel="0" collapsed="false">
      <c r="A1117" s="17" t="n">
        <v>1113</v>
      </c>
      <c r="B1117" s="17" t="s">
        <v>40</v>
      </c>
      <c r="C1117" s="17" t="s">
        <v>41</v>
      </c>
      <c r="D1117" s="17" t="s">
        <v>48</v>
      </c>
      <c r="E1117" s="17" t="s">
        <v>53</v>
      </c>
      <c r="F1117" s="25" t="n">
        <f aca="false">SUMPRODUCT(--((('Yellow Bosses'!$H$5:$H$53&gt;=2)+('Yellow Bosses'!$I$5:$I$53&gt;=2)+('Yellow Bosses'!$P$5:$P$53&gt;=2)+('Yellow Bosses'!$U$5:$U$53&gt;=2))&gt;0))</f>
        <v>26</v>
      </c>
      <c r="G1117" s="26" t="n">
        <f aca="false">F1117/49</f>
        <v>0.530612244897959</v>
      </c>
      <c r="H1117" s="25" t="n">
        <f aca="false">49-SUMPRODUCT(--((('Yellow Bosses'!$H$5:$H$53&gt;=1)+('Yellow Bosses'!$I$5:$I$53&gt;=1)+('Yellow Bosses'!$P$5:$P$53&gt;=1)+('Yellow Bosses'!$U$5:$U$53&gt;=1))&gt;0))</f>
        <v>0</v>
      </c>
      <c r="I1117" s="25" t="n">
        <f aca="false">SUMPRODUCT(--((('Yellow Bosses'!$H$5:$H$53&gt;0)+('Yellow Bosses'!$I$5:$I$53&gt;0)+('Yellow Bosses'!$P$5:$P$53&gt;0)+('Yellow Bosses'!$U$5:$U$53&gt;0))=0))</f>
        <v>0</v>
      </c>
      <c r="J1117" s="25" t="n">
        <f aca="false">SUMPRODUCT(--(((Effectiveness!$E$5:$E$155&gt;=2)+(Effectiveness!$F$5:$F$155&gt;=2)+(Effectiveness!$M$5:$M$155&gt;=2)+(Effectiveness!$R$5:$R$155&gt;=2))&gt;0))</f>
        <v>71</v>
      </c>
      <c r="K1117" s="26" t="n">
        <f aca="false">J1117/151</f>
        <v>0.470198675496689</v>
      </c>
      <c r="L1117" s="25" t="n">
        <f aca="false">MIN(INDEX('Move Reality'!$F$5:$F$19,MATCH(B1117,'Move Reality'!$A$5:$A$19,0)),INDEX('Move Reality'!$F$5:$F$19,MATCH(C1117,'Move Reality'!$A$5:$A$19,0)),INDEX('Move Reality'!$F$5:$F$19,MATCH(D1117,'Move Reality'!$A$5:$A$19,0)),INDEX('Move Reality'!$F$5:$F$19,MATCH(E1117,'Move Reality'!$A$5:$A$19,0)))</f>
        <v>1</v>
      </c>
      <c r="M1117" s="28" t="str">
        <f aca="false">IF(L1117&gt;=5,"YES","no - dead move")</f>
        <v>no - dead move</v>
      </c>
    </row>
    <row r="1118" customFormat="false" ht="15" hidden="false" customHeight="false" outlineLevel="0" collapsed="false">
      <c r="A1118" s="17" t="n">
        <v>1114</v>
      </c>
      <c r="B1118" s="17" t="s">
        <v>41</v>
      </c>
      <c r="C1118" s="17" t="s">
        <v>47</v>
      </c>
      <c r="D1118" s="17" t="s">
        <v>48</v>
      </c>
      <c r="E1118" s="17" t="s">
        <v>53</v>
      </c>
      <c r="F1118" s="25" t="n">
        <f aca="false">SUMPRODUCT(--((('Yellow Bosses'!$I$5:$I$53&gt;=2)+('Yellow Bosses'!$O$5:$O$53&gt;=2)+('Yellow Bosses'!$P$5:$P$53&gt;=2)+('Yellow Bosses'!$U$5:$U$53&gt;=2))&gt;0))</f>
        <v>26</v>
      </c>
      <c r="G1118" s="26" t="n">
        <f aca="false">F1118/49</f>
        <v>0.530612244897959</v>
      </c>
      <c r="H1118" s="25" t="n">
        <f aca="false">49-SUMPRODUCT(--((('Yellow Bosses'!$I$5:$I$53&gt;=1)+('Yellow Bosses'!$O$5:$O$53&gt;=1)+('Yellow Bosses'!$P$5:$P$53&gt;=1)+('Yellow Bosses'!$U$5:$U$53&gt;=1))&gt;0))</f>
        <v>0</v>
      </c>
      <c r="I1118" s="25" t="n">
        <f aca="false">SUMPRODUCT(--((('Yellow Bosses'!$I$5:$I$53&gt;0)+('Yellow Bosses'!$O$5:$O$53&gt;0)+('Yellow Bosses'!$P$5:$P$53&gt;0)+('Yellow Bosses'!$U$5:$U$53&gt;0))=0))</f>
        <v>0</v>
      </c>
      <c r="J1118" s="25" t="n">
        <f aca="false">SUMPRODUCT(--(((Effectiveness!$F$5:$F$155&gt;=2)+(Effectiveness!$L$5:$L$155&gt;=2)+(Effectiveness!$M$5:$M$155&gt;=2)+(Effectiveness!$R$5:$R$155&gt;=2))&gt;0))</f>
        <v>71</v>
      </c>
      <c r="K1118" s="26" t="n">
        <f aca="false">J1118/151</f>
        <v>0.470198675496689</v>
      </c>
      <c r="L1118" s="25" t="n">
        <f aca="false">MIN(INDEX('Move Reality'!$F$5:$F$19,MATCH(B1118,'Move Reality'!$A$5:$A$19,0)),INDEX('Move Reality'!$F$5:$F$19,MATCH(C1118,'Move Reality'!$A$5:$A$19,0)),INDEX('Move Reality'!$F$5:$F$19,MATCH(D1118,'Move Reality'!$A$5:$A$19,0)),INDEX('Move Reality'!$F$5:$F$19,MATCH(E1118,'Move Reality'!$A$5:$A$19,0)))</f>
        <v>1</v>
      </c>
      <c r="M1118" s="28" t="str">
        <f aca="false">IF(L1118&gt;=5,"YES","no - dead move")</f>
        <v>no - dead move</v>
      </c>
    </row>
    <row r="1119" customFormat="false" ht="15" hidden="false" customHeight="false" outlineLevel="0" collapsed="false">
      <c r="A1119" s="17" t="n">
        <v>1115</v>
      </c>
      <c r="B1119" s="17" t="s">
        <v>40</v>
      </c>
      <c r="C1119" s="17" t="s">
        <v>41</v>
      </c>
      <c r="D1119" s="17" t="s">
        <v>44</v>
      </c>
      <c r="E1119" s="17" t="s">
        <v>53</v>
      </c>
      <c r="F1119" s="25" t="n">
        <f aca="false">SUMPRODUCT(--((('Yellow Bosses'!$H$5:$H$53&gt;=2)+('Yellow Bosses'!$I$5:$I$53&gt;=2)+('Yellow Bosses'!$L$5:$L$53&gt;=2)+('Yellow Bosses'!$U$5:$U$53&gt;=2))&gt;0))</f>
        <v>26</v>
      </c>
      <c r="G1119" s="26" t="n">
        <f aca="false">F1119/49</f>
        <v>0.530612244897959</v>
      </c>
      <c r="H1119" s="25" t="n">
        <f aca="false">49-SUMPRODUCT(--((('Yellow Bosses'!$H$5:$H$53&gt;=1)+('Yellow Bosses'!$I$5:$I$53&gt;=1)+('Yellow Bosses'!$L$5:$L$53&gt;=1)+('Yellow Bosses'!$U$5:$U$53&gt;=1))&gt;0))</f>
        <v>0</v>
      </c>
      <c r="I1119" s="25" t="n">
        <f aca="false">SUMPRODUCT(--((('Yellow Bosses'!$H$5:$H$53&gt;0)+('Yellow Bosses'!$I$5:$I$53&gt;0)+('Yellow Bosses'!$L$5:$L$53&gt;0)+('Yellow Bosses'!$U$5:$U$53&gt;0))=0))</f>
        <v>0</v>
      </c>
      <c r="J1119" s="25" t="n">
        <f aca="false">SUMPRODUCT(--(((Effectiveness!$E$5:$E$155&gt;=2)+(Effectiveness!$F$5:$F$155&gt;=2)+(Effectiveness!$I$5:$I$155&gt;=2)+(Effectiveness!$R$5:$R$155&gt;=2))&gt;0))</f>
        <v>70</v>
      </c>
      <c r="K1119" s="26" t="n">
        <f aca="false">J1119/151</f>
        <v>0.463576158940397</v>
      </c>
      <c r="L1119" s="25" t="n">
        <f aca="false">MIN(INDEX('Move Reality'!$F$5:$F$19,MATCH(B1119,'Move Reality'!$A$5:$A$19,0)),INDEX('Move Reality'!$F$5:$F$19,MATCH(C1119,'Move Reality'!$A$5:$A$19,0)),INDEX('Move Reality'!$F$5:$F$19,MATCH(D1119,'Move Reality'!$A$5:$A$19,0)),INDEX('Move Reality'!$F$5:$F$19,MATCH(E1119,'Move Reality'!$A$5:$A$19,0)))</f>
        <v>1</v>
      </c>
      <c r="M1119" s="28" t="str">
        <f aca="false">IF(L1119&gt;=5,"YES","no - dead move")</f>
        <v>no - dead move</v>
      </c>
    </row>
    <row r="1120" customFormat="false" ht="15" hidden="false" customHeight="false" outlineLevel="0" collapsed="false">
      <c r="A1120" s="17" t="n">
        <v>1116</v>
      </c>
      <c r="B1120" s="17" t="s">
        <v>40</v>
      </c>
      <c r="C1120" s="17" t="s">
        <v>41</v>
      </c>
      <c r="D1120" s="17" t="s">
        <v>44</v>
      </c>
      <c r="E1120" s="17" t="s">
        <v>54</v>
      </c>
      <c r="F1120" s="25" t="n">
        <f aca="false">SUMPRODUCT(--((('Yellow Bosses'!$H$5:$H$53&gt;=2)+('Yellow Bosses'!$I$5:$I$53&gt;=2)+('Yellow Bosses'!$L$5:$L$53&gt;=2)+('Yellow Bosses'!$V$5:$V$53&gt;=2))&gt;0))</f>
        <v>26</v>
      </c>
      <c r="G1120" s="26" t="n">
        <f aca="false">F1120/49</f>
        <v>0.530612244897959</v>
      </c>
      <c r="H1120" s="25" t="n">
        <f aca="false">49-SUMPRODUCT(--((('Yellow Bosses'!$H$5:$H$53&gt;=1)+('Yellow Bosses'!$I$5:$I$53&gt;=1)+('Yellow Bosses'!$L$5:$L$53&gt;=1)+('Yellow Bosses'!$V$5:$V$53&gt;=1))&gt;0))</f>
        <v>0</v>
      </c>
      <c r="I1120" s="25" t="n">
        <f aca="false">SUMPRODUCT(--((('Yellow Bosses'!$H$5:$H$53&gt;0)+('Yellow Bosses'!$I$5:$I$53&gt;0)+('Yellow Bosses'!$L$5:$L$53&gt;0)+('Yellow Bosses'!$V$5:$V$53&gt;0))=0))</f>
        <v>0</v>
      </c>
      <c r="J1120" s="25" t="n">
        <f aca="false">SUMPRODUCT(--(((Effectiveness!$E$5:$E$155&gt;=2)+(Effectiveness!$F$5:$F$155&gt;=2)+(Effectiveness!$I$5:$I$155&gt;=2)+(Effectiveness!$S$5:$S$155&gt;=2))&gt;0))</f>
        <v>70</v>
      </c>
      <c r="K1120" s="26" t="n">
        <f aca="false">J1120/151</f>
        <v>0.463576158940397</v>
      </c>
      <c r="L1120" s="25" t="n">
        <f aca="false">MIN(INDEX('Move Reality'!$F$5:$F$19,MATCH(B1120,'Move Reality'!$A$5:$A$19,0)),INDEX('Move Reality'!$F$5:$F$19,MATCH(C1120,'Move Reality'!$A$5:$A$19,0)),INDEX('Move Reality'!$F$5:$F$19,MATCH(D1120,'Move Reality'!$A$5:$A$19,0)),INDEX('Move Reality'!$F$5:$F$19,MATCH(E1120,'Move Reality'!$A$5:$A$19,0)))</f>
        <v>1</v>
      </c>
      <c r="M1120" s="28" t="str">
        <f aca="false">IF(L1120&gt;=5,"YES","no - dead move")</f>
        <v>no - dead move</v>
      </c>
    </row>
    <row r="1121" customFormat="false" ht="15" hidden="false" customHeight="false" outlineLevel="0" collapsed="false">
      <c r="A1121" s="17" t="n">
        <v>1117</v>
      </c>
      <c r="B1121" s="17" t="s">
        <v>41</v>
      </c>
      <c r="C1121" s="17" t="s">
        <v>44</v>
      </c>
      <c r="D1121" s="17" t="s">
        <v>47</v>
      </c>
      <c r="E1121" s="17" t="s">
        <v>53</v>
      </c>
      <c r="F1121" s="25" t="n">
        <f aca="false">SUMPRODUCT(--((('Yellow Bosses'!$I$5:$I$53&gt;=2)+('Yellow Bosses'!$L$5:$L$53&gt;=2)+('Yellow Bosses'!$O$5:$O$53&gt;=2)+('Yellow Bosses'!$U$5:$U$53&gt;=2))&gt;0))</f>
        <v>26</v>
      </c>
      <c r="G1121" s="26" t="n">
        <f aca="false">F1121/49</f>
        <v>0.530612244897959</v>
      </c>
      <c r="H1121" s="25" t="n">
        <f aca="false">49-SUMPRODUCT(--((('Yellow Bosses'!$I$5:$I$53&gt;=1)+('Yellow Bosses'!$L$5:$L$53&gt;=1)+('Yellow Bosses'!$O$5:$O$53&gt;=1)+('Yellow Bosses'!$U$5:$U$53&gt;=1))&gt;0))</f>
        <v>0</v>
      </c>
      <c r="I1121" s="25" t="n">
        <f aca="false">SUMPRODUCT(--((('Yellow Bosses'!$I$5:$I$53&gt;0)+('Yellow Bosses'!$L$5:$L$53&gt;0)+('Yellow Bosses'!$O$5:$O$53&gt;0)+('Yellow Bosses'!$U$5:$U$53&gt;0))=0))</f>
        <v>0</v>
      </c>
      <c r="J1121" s="25" t="n">
        <f aca="false">SUMPRODUCT(--(((Effectiveness!$F$5:$F$155&gt;=2)+(Effectiveness!$I$5:$I$155&gt;=2)+(Effectiveness!$L$5:$L$155&gt;=2)+(Effectiveness!$R$5:$R$155&gt;=2))&gt;0))</f>
        <v>70</v>
      </c>
      <c r="K1121" s="26" t="n">
        <f aca="false">J1121/151</f>
        <v>0.463576158940397</v>
      </c>
      <c r="L1121" s="25" t="n">
        <f aca="false">MIN(INDEX('Move Reality'!$F$5:$F$19,MATCH(B1121,'Move Reality'!$A$5:$A$19,0)),INDEX('Move Reality'!$F$5:$F$19,MATCH(C1121,'Move Reality'!$A$5:$A$19,0)),INDEX('Move Reality'!$F$5:$F$19,MATCH(D1121,'Move Reality'!$A$5:$A$19,0)),INDEX('Move Reality'!$F$5:$F$19,MATCH(E1121,'Move Reality'!$A$5:$A$19,0)))</f>
        <v>1</v>
      </c>
      <c r="M1121" s="28" t="str">
        <f aca="false">IF(L1121&gt;=5,"YES","no - dead move")</f>
        <v>no - dead move</v>
      </c>
    </row>
    <row r="1122" customFormat="false" ht="15" hidden="false" customHeight="false" outlineLevel="0" collapsed="false">
      <c r="A1122" s="17" t="n">
        <v>1118</v>
      </c>
      <c r="B1122" s="17" t="s">
        <v>41</v>
      </c>
      <c r="C1122" s="17" t="s">
        <v>44</v>
      </c>
      <c r="D1122" s="17" t="s">
        <v>47</v>
      </c>
      <c r="E1122" s="17" t="s">
        <v>54</v>
      </c>
      <c r="F1122" s="25" t="n">
        <f aca="false">SUMPRODUCT(--((('Yellow Bosses'!$I$5:$I$53&gt;=2)+('Yellow Bosses'!$L$5:$L$53&gt;=2)+('Yellow Bosses'!$O$5:$O$53&gt;=2)+('Yellow Bosses'!$V$5:$V$53&gt;=2))&gt;0))</f>
        <v>26</v>
      </c>
      <c r="G1122" s="26" t="n">
        <f aca="false">F1122/49</f>
        <v>0.530612244897959</v>
      </c>
      <c r="H1122" s="25" t="n">
        <f aca="false">49-SUMPRODUCT(--((('Yellow Bosses'!$I$5:$I$53&gt;=1)+('Yellow Bosses'!$L$5:$L$53&gt;=1)+('Yellow Bosses'!$O$5:$O$53&gt;=1)+('Yellow Bosses'!$V$5:$V$53&gt;=1))&gt;0))</f>
        <v>0</v>
      </c>
      <c r="I1122" s="25" t="n">
        <f aca="false">SUMPRODUCT(--((('Yellow Bosses'!$I$5:$I$53&gt;0)+('Yellow Bosses'!$L$5:$L$53&gt;0)+('Yellow Bosses'!$O$5:$O$53&gt;0)+('Yellow Bosses'!$V$5:$V$53&gt;0))=0))</f>
        <v>0</v>
      </c>
      <c r="J1122" s="25" t="n">
        <f aca="false">SUMPRODUCT(--(((Effectiveness!$F$5:$F$155&gt;=2)+(Effectiveness!$I$5:$I$155&gt;=2)+(Effectiveness!$L$5:$L$155&gt;=2)+(Effectiveness!$S$5:$S$155&gt;=2))&gt;0))</f>
        <v>70</v>
      </c>
      <c r="K1122" s="26" t="n">
        <f aca="false">J1122/151</f>
        <v>0.463576158940397</v>
      </c>
      <c r="L1122" s="25" t="n">
        <f aca="false">MIN(INDEX('Move Reality'!$F$5:$F$19,MATCH(B1122,'Move Reality'!$A$5:$A$19,0)),INDEX('Move Reality'!$F$5:$F$19,MATCH(C1122,'Move Reality'!$A$5:$A$19,0)),INDEX('Move Reality'!$F$5:$F$19,MATCH(D1122,'Move Reality'!$A$5:$A$19,0)),INDEX('Move Reality'!$F$5:$F$19,MATCH(E1122,'Move Reality'!$A$5:$A$19,0)))</f>
        <v>1</v>
      </c>
      <c r="M1122" s="28" t="str">
        <f aca="false">IF(L1122&gt;=5,"YES","no - dead move")</f>
        <v>no - dead move</v>
      </c>
    </row>
    <row r="1123" customFormat="false" ht="15" hidden="false" customHeight="false" outlineLevel="0" collapsed="false">
      <c r="A1123" s="17" t="n">
        <v>1119</v>
      </c>
      <c r="B1123" s="17" t="s">
        <v>42</v>
      </c>
      <c r="C1123" s="17" t="s">
        <v>44</v>
      </c>
      <c r="D1123" s="17" t="s">
        <v>47</v>
      </c>
      <c r="E1123" s="17" t="s">
        <v>53</v>
      </c>
      <c r="F1123" s="25" t="n">
        <f aca="false">SUMPRODUCT(--((('Yellow Bosses'!$J$5:$J$53&gt;=2)+('Yellow Bosses'!$L$5:$L$53&gt;=2)+('Yellow Bosses'!$O$5:$O$53&gt;=2)+('Yellow Bosses'!$U$5:$U$53&gt;=2))&gt;0))</f>
        <v>26</v>
      </c>
      <c r="G1123" s="26" t="n">
        <f aca="false">F1123/49</f>
        <v>0.530612244897959</v>
      </c>
      <c r="H1123" s="25" t="n">
        <f aca="false">49-SUMPRODUCT(--((('Yellow Bosses'!$J$5:$J$53&gt;=1)+('Yellow Bosses'!$L$5:$L$53&gt;=1)+('Yellow Bosses'!$O$5:$O$53&gt;=1)+('Yellow Bosses'!$U$5:$U$53&gt;=1))&gt;0))</f>
        <v>0</v>
      </c>
      <c r="I1123" s="25" t="n">
        <f aca="false">SUMPRODUCT(--((('Yellow Bosses'!$J$5:$J$53&gt;0)+('Yellow Bosses'!$L$5:$L$53&gt;0)+('Yellow Bosses'!$O$5:$O$53&gt;0)+('Yellow Bosses'!$U$5:$U$53&gt;0))=0))</f>
        <v>0</v>
      </c>
      <c r="J1123" s="25" t="n">
        <f aca="false">SUMPRODUCT(--(((Effectiveness!$G$5:$G$155&gt;=2)+(Effectiveness!$I$5:$I$155&gt;=2)+(Effectiveness!$L$5:$L$155&gt;=2)+(Effectiveness!$R$5:$R$155&gt;=2))&gt;0))</f>
        <v>69</v>
      </c>
      <c r="K1123" s="26" t="n">
        <f aca="false">J1123/151</f>
        <v>0.456953642384106</v>
      </c>
      <c r="L1123" s="25" t="n">
        <f aca="false">MIN(INDEX('Move Reality'!$F$5:$F$19,MATCH(B1123,'Move Reality'!$A$5:$A$19,0)),INDEX('Move Reality'!$F$5:$F$19,MATCH(C1123,'Move Reality'!$A$5:$A$19,0)),INDEX('Move Reality'!$F$5:$F$19,MATCH(D1123,'Move Reality'!$A$5:$A$19,0)),INDEX('Move Reality'!$F$5:$F$19,MATCH(E1123,'Move Reality'!$A$5:$A$19,0)))</f>
        <v>1</v>
      </c>
      <c r="M1123" s="28" t="str">
        <f aca="false">IF(L1123&gt;=5,"YES","no - dead move")</f>
        <v>no - dead move</v>
      </c>
    </row>
    <row r="1124" customFormat="false" ht="15" hidden="false" customHeight="false" outlineLevel="0" collapsed="false">
      <c r="A1124" s="17" t="n">
        <v>1120</v>
      </c>
      <c r="B1124" s="17" t="s">
        <v>42</v>
      </c>
      <c r="C1124" s="17" t="s">
        <v>44</v>
      </c>
      <c r="D1124" s="17" t="s">
        <v>47</v>
      </c>
      <c r="E1124" s="17" t="s">
        <v>54</v>
      </c>
      <c r="F1124" s="25" t="n">
        <f aca="false">SUMPRODUCT(--((('Yellow Bosses'!$J$5:$J$53&gt;=2)+('Yellow Bosses'!$L$5:$L$53&gt;=2)+('Yellow Bosses'!$O$5:$O$53&gt;=2)+('Yellow Bosses'!$V$5:$V$53&gt;=2))&gt;0))</f>
        <v>26</v>
      </c>
      <c r="G1124" s="26" t="n">
        <f aca="false">F1124/49</f>
        <v>0.530612244897959</v>
      </c>
      <c r="H1124" s="25" t="n">
        <f aca="false">49-SUMPRODUCT(--((('Yellow Bosses'!$J$5:$J$53&gt;=1)+('Yellow Bosses'!$L$5:$L$53&gt;=1)+('Yellow Bosses'!$O$5:$O$53&gt;=1)+('Yellow Bosses'!$V$5:$V$53&gt;=1))&gt;0))</f>
        <v>0</v>
      </c>
      <c r="I1124" s="25" t="n">
        <f aca="false">SUMPRODUCT(--((('Yellow Bosses'!$J$5:$J$53&gt;0)+('Yellow Bosses'!$L$5:$L$53&gt;0)+('Yellow Bosses'!$O$5:$O$53&gt;0)+('Yellow Bosses'!$V$5:$V$53&gt;0))=0))</f>
        <v>0</v>
      </c>
      <c r="J1124" s="25" t="n">
        <f aca="false">SUMPRODUCT(--(((Effectiveness!$G$5:$G$155&gt;=2)+(Effectiveness!$I$5:$I$155&gt;=2)+(Effectiveness!$L$5:$L$155&gt;=2)+(Effectiveness!$S$5:$S$155&gt;=2))&gt;0))</f>
        <v>69</v>
      </c>
      <c r="K1124" s="26" t="n">
        <f aca="false">J1124/151</f>
        <v>0.456953642384106</v>
      </c>
      <c r="L1124" s="25" t="n">
        <f aca="false">MIN(INDEX('Move Reality'!$F$5:$F$19,MATCH(B1124,'Move Reality'!$A$5:$A$19,0)),INDEX('Move Reality'!$F$5:$F$19,MATCH(C1124,'Move Reality'!$A$5:$A$19,0)),INDEX('Move Reality'!$F$5:$F$19,MATCH(D1124,'Move Reality'!$A$5:$A$19,0)),INDEX('Move Reality'!$F$5:$F$19,MATCH(E1124,'Move Reality'!$A$5:$A$19,0)))</f>
        <v>1</v>
      </c>
      <c r="M1124" s="28" t="str">
        <f aca="false">IF(L1124&gt;=5,"YES","no - dead move")</f>
        <v>no - dead move</v>
      </c>
    </row>
    <row r="1125" customFormat="false" ht="15" hidden="false" customHeight="false" outlineLevel="0" collapsed="false">
      <c r="A1125" s="17" t="n">
        <v>1121</v>
      </c>
      <c r="B1125" s="17" t="s">
        <v>46</v>
      </c>
      <c r="C1125" s="17" t="s">
        <v>49</v>
      </c>
      <c r="D1125" s="17" t="s">
        <v>53</v>
      </c>
      <c r="E1125" s="17" t="s">
        <v>54</v>
      </c>
      <c r="F1125" s="25" t="n">
        <f aca="false">SUMPRODUCT(--((('Yellow Bosses'!$N$5:$N$53&gt;=2)+('Yellow Bosses'!$Q$5:$Q$53&gt;=2)+('Yellow Bosses'!$U$5:$U$53&gt;=2)+('Yellow Bosses'!$V$5:$V$53&gt;=2))&gt;0))</f>
        <v>26</v>
      </c>
      <c r="G1125" s="26" t="n">
        <f aca="false">F1125/49</f>
        <v>0.530612244897959</v>
      </c>
      <c r="H1125" s="25" t="n">
        <f aca="false">49-SUMPRODUCT(--((('Yellow Bosses'!$N$5:$N$53&gt;=1)+('Yellow Bosses'!$Q$5:$Q$53&gt;=1)+('Yellow Bosses'!$U$5:$U$53&gt;=1)+('Yellow Bosses'!$V$5:$V$53&gt;=1))&gt;0))</f>
        <v>0</v>
      </c>
      <c r="I1125" s="25" t="n">
        <f aca="false">SUMPRODUCT(--((('Yellow Bosses'!$N$5:$N$53&gt;0)+('Yellow Bosses'!$Q$5:$Q$53&gt;0)+('Yellow Bosses'!$U$5:$U$53&gt;0)+('Yellow Bosses'!$V$5:$V$53&gt;0))=0))</f>
        <v>0</v>
      </c>
      <c r="J1125" s="25" t="n">
        <f aca="false">SUMPRODUCT(--(((Effectiveness!$K$5:$K$155&gt;=2)+(Effectiveness!$N$5:$N$155&gt;=2)+(Effectiveness!$R$5:$R$155&gt;=2)+(Effectiveness!$S$5:$S$155&gt;=2))&gt;0))</f>
        <v>67</v>
      </c>
      <c r="K1125" s="26" t="n">
        <f aca="false">J1125/151</f>
        <v>0.443708609271523</v>
      </c>
      <c r="L1125" s="25" t="n">
        <f aca="false">MIN(INDEX('Move Reality'!$F$5:$F$19,MATCH(B1125,'Move Reality'!$A$5:$A$19,0)),INDEX('Move Reality'!$F$5:$F$19,MATCH(C1125,'Move Reality'!$A$5:$A$19,0)),INDEX('Move Reality'!$F$5:$F$19,MATCH(D1125,'Move Reality'!$A$5:$A$19,0)),INDEX('Move Reality'!$F$5:$F$19,MATCH(E1125,'Move Reality'!$A$5:$A$19,0)))</f>
        <v>1</v>
      </c>
      <c r="M1125" s="28" t="str">
        <f aca="false">IF(L1125&gt;=5,"YES","no - dead move")</f>
        <v>no - dead move</v>
      </c>
    </row>
    <row r="1126" customFormat="false" ht="15" hidden="false" customHeight="false" outlineLevel="0" collapsed="false">
      <c r="A1126" s="17" t="n">
        <v>1122</v>
      </c>
      <c r="B1126" s="17" t="s">
        <v>40</v>
      </c>
      <c r="C1126" s="17" t="s">
        <v>49</v>
      </c>
      <c r="D1126" s="17" t="s">
        <v>52</v>
      </c>
      <c r="E1126" s="17" t="s">
        <v>53</v>
      </c>
      <c r="F1126" s="25" t="n">
        <f aca="false">SUMPRODUCT(--((('Yellow Bosses'!$H$5:$H$53&gt;=2)+('Yellow Bosses'!$Q$5:$Q$53&gt;=2)+('Yellow Bosses'!$T$5:$T$53&gt;=2)+('Yellow Bosses'!$U$5:$U$53&gt;=2))&gt;0))</f>
        <v>26</v>
      </c>
      <c r="G1126" s="26" t="n">
        <f aca="false">F1126/49</f>
        <v>0.530612244897959</v>
      </c>
      <c r="H1126" s="25" t="n">
        <f aca="false">49-SUMPRODUCT(--((('Yellow Bosses'!$H$5:$H$53&gt;=1)+('Yellow Bosses'!$Q$5:$Q$53&gt;=1)+('Yellow Bosses'!$T$5:$T$53&gt;=1)+('Yellow Bosses'!$U$5:$U$53&gt;=1))&gt;0))</f>
        <v>0</v>
      </c>
      <c r="I1126" s="25" t="n">
        <f aca="false">SUMPRODUCT(--((('Yellow Bosses'!$H$5:$H$53&gt;0)+('Yellow Bosses'!$Q$5:$Q$53&gt;0)+('Yellow Bosses'!$T$5:$T$53&gt;0)+('Yellow Bosses'!$U$5:$U$53&gt;0))=0))</f>
        <v>0</v>
      </c>
      <c r="J1126" s="25" t="n">
        <f aca="false">SUMPRODUCT(--(((Effectiveness!$E$5:$E$155&gt;=2)+(Effectiveness!$N$5:$N$155&gt;=2)+(Effectiveness!$Q$5:$Q$155&gt;=2)+(Effectiveness!$R$5:$R$155&gt;=2))&gt;0))</f>
        <v>66</v>
      </c>
      <c r="K1126" s="26" t="n">
        <f aca="false">J1126/151</f>
        <v>0.437086092715232</v>
      </c>
      <c r="L1126" s="25" t="n">
        <f aca="false">MIN(INDEX('Move Reality'!$F$5:$F$19,MATCH(B1126,'Move Reality'!$A$5:$A$19,0)),INDEX('Move Reality'!$F$5:$F$19,MATCH(C1126,'Move Reality'!$A$5:$A$19,0)),INDEX('Move Reality'!$F$5:$F$19,MATCH(D1126,'Move Reality'!$A$5:$A$19,0)),INDEX('Move Reality'!$F$5:$F$19,MATCH(E1126,'Move Reality'!$A$5:$A$19,0)))</f>
        <v>1</v>
      </c>
      <c r="M1126" s="28" t="str">
        <f aca="false">IF(L1126&gt;=5,"YES","no - dead move")</f>
        <v>no - dead move</v>
      </c>
    </row>
    <row r="1127" customFormat="false" ht="15" hidden="false" customHeight="false" outlineLevel="0" collapsed="false">
      <c r="A1127" s="17" t="n">
        <v>1123</v>
      </c>
      <c r="B1127" s="17" t="s">
        <v>41</v>
      </c>
      <c r="C1127" s="17" t="s">
        <v>49</v>
      </c>
      <c r="D1127" s="17" t="s">
        <v>52</v>
      </c>
      <c r="E1127" s="17" t="s">
        <v>53</v>
      </c>
      <c r="F1127" s="25" t="n">
        <f aca="false">SUMPRODUCT(--((('Yellow Bosses'!$I$5:$I$53&gt;=2)+('Yellow Bosses'!$Q$5:$Q$53&gt;=2)+('Yellow Bosses'!$T$5:$T$53&gt;=2)+('Yellow Bosses'!$U$5:$U$53&gt;=2))&gt;0))</f>
        <v>26</v>
      </c>
      <c r="G1127" s="26" t="n">
        <f aca="false">F1127/49</f>
        <v>0.530612244897959</v>
      </c>
      <c r="H1127" s="25" t="n">
        <f aca="false">49-SUMPRODUCT(--((('Yellow Bosses'!$I$5:$I$53&gt;=1)+('Yellow Bosses'!$Q$5:$Q$53&gt;=1)+('Yellow Bosses'!$T$5:$T$53&gt;=1)+('Yellow Bosses'!$U$5:$U$53&gt;=1))&gt;0))</f>
        <v>0</v>
      </c>
      <c r="I1127" s="25" t="n">
        <f aca="false">SUMPRODUCT(--((('Yellow Bosses'!$I$5:$I$53&gt;0)+('Yellow Bosses'!$Q$5:$Q$53&gt;0)+('Yellow Bosses'!$T$5:$T$53&gt;0)+('Yellow Bosses'!$U$5:$U$53&gt;0))=0))</f>
        <v>0</v>
      </c>
      <c r="J1127" s="25" t="n">
        <f aca="false">SUMPRODUCT(--(((Effectiveness!$F$5:$F$155&gt;=2)+(Effectiveness!$N$5:$N$155&gt;=2)+(Effectiveness!$Q$5:$Q$155&gt;=2)+(Effectiveness!$R$5:$R$155&gt;=2))&gt;0))</f>
        <v>66</v>
      </c>
      <c r="K1127" s="26" t="n">
        <f aca="false">J1127/151</f>
        <v>0.437086092715232</v>
      </c>
      <c r="L1127" s="25" t="n">
        <f aca="false">MIN(INDEX('Move Reality'!$F$5:$F$19,MATCH(B1127,'Move Reality'!$A$5:$A$19,0)),INDEX('Move Reality'!$F$5:$F$19,MATCH(C1127,'Move Reality'!$A$5:$A$19,0)),INDEX('Move Reality'!$F$5:$F$19,MATCH(D1127,'Move Reality'!$A$5:$A$19,0)),INDEX('Move Reality'!$F$5:$F$19,MATCH(E1127,'Move Reality'!$A$5:$A$19,0)))</f>
        <v>1</v>
      </c>
      <c r="M1127" s="28" t="str">
        <f aca="false">IF(L1127&gt;=5,"YES","no - dead move")</f>
        <v>no - dead move</v>
      </c>
    </row>
    <row r="1128" customFormat="false" ht="15" hidden="false" customHeight="false" outlineLevel="0" collapsed="false">
      <c r="A1128" s="17" t="n">
        <v>1124</v>
      </c>
      <c r="B1128" s="17" t="s">
        <v>47</v>
      </c>
      <c r="C1128" s="17" t="s">
        <v>49</v>
      </c>
      <c r="D1128" s="17" t="s">
        <v>52</v>
      </c>
      <c r="E1128" s="17" t="s">
        <v>53</v>
      </c>
      <c r="F1128" s="25" t="n">
        <f aca="false">SUMPRODUCT(--((('Yellow Bosses'!$O$5:$O$53&gt;=2)+('Yellow Bosses'!$Q$5:$Q$53&gt;=2)+('Yellow Bosses'!$T$5:$T$53&gt;=2)+('Yellow Bosses'!$U$5:$U$53&gt;=2))&gt;0))</f>
        <v>26</v>
      </c>
      <c r="G1128" s="26" t="n">
        <f aca="false">F1128/49</f>
        <v>0.530612244897959</v>
      </c>
      <c r="H1128" s="25" t="n">
        <f aca="false">49-SUMPRODUCT(--((('Yellow Bosses'!$O$5:$O$53&gt;=1)+('Yellow Bosses'!$Q$5:$Q$53&gt;=1)+('Yellow Bosses'!$T$5:$T$53&gt;=1)+('Yellow Bosses'!$U$5:$U$53&gt;=1))&gt;0))</f>
        <v>0</v>
      </c>
      <c r="I1128" s="25" t="n">
        <f aca="false">SUMPRODUCT(--((('Yellow Bosses'!$O$5:$O$53&gt;0)+('Yellow Bosses'!$Q$5:$Q$53&gt;0)+('Yellow Bosses'!$T$5:$T$53&gt;0)+('Yellow Bosses'!$U$5:$U$53&gt;0))=0))</f>
        <v>0</v>
      </c>
      <c r="J1128" s="25" t="n">
        <f aca="false">SUMPRODUCT(--(((Effectiveness!$L$5:$L$155&gt;=2)+(Effectiveness!$N$5:$N$155&gt;=2)+(Effectiveness!$Q$5:$Q$155&gt;=2)+(Effectiveness!$R$5:$R$155&gt;=2))&gt;0))</f>
        <v>66</v>
      </c>
      <c r="K1128" s="26" t="n">
        <f aca="false">J1128/151</f>
        <v>0.437086092715232</v>
      </c>
      <c r="L1128" s="25" t="n">
        <f aca="false">MIN(INDEX('Move Reality'!$F$5:$F$19,MATCH(B1128,'Move Reality'!$A$5:$A$19,0)),INDEX('Move Reality'!$F$5:$F$19,MATCH(C1128,'Move Reality'!$A$5:$A$19,0)),INDEX('Move Reality'!$F$5:$F$19,MATCH(D1128,'Move Reality'!$A$5:$A$19,0)),INDEX('Move Reality'!$F$5:$F$19,MATCH(E1128,'Move Reality'!$A$5:$A$19,0)))</f>
        <v>1</v>
      </c>
      <c r="M1128" s="28" t="str">
        <f aca="false">IF(L1128&gt;=5,"YES","no - dead move")</f>
        <v>no - dead move</v>
      </c>
    </row>
    <row r="1129" customFormat="false" ht="15" hidden="false" customHeight="false" outlineLevel="0" collapsed="false">
      <c r="A1129" s="17" t="n">
        <v>1125</v>
      </c>
      <c r="B1129" s="17" t="s">
        <v>40</v>
      </c>
      <c r="C1129" s="17" t="s">
        <v>41</v>
      </c>
      <c r="D1129" s="17" t="s">
        <v>45</v>
      </c>
      <c r="E1129" s="17" t="s">
        <v>49</v>
      </c>
      <c r="F1129" s="25" t="n">
        <f aca="false">SUMPRODUCT(--((('Yellow Bosses'!$H$5:$H$53&gt;=2)+('Yellow Bosses'!$I$5:$I$53&gt;=2)+('Yellow Bosses'!$M$5:$M$53&gt;=2)+('Yellow Bosses'!$Q$5:$Q$53&gt;=2))&gt;0))</f>
        <v>26</v>
      </c>
      <c r="G1129" s="26" t="n">
        <f aca="false">F1129/49</f>
        <v>0.530612244897959</v>
      </c>
      <c r="H1129" s="25" t="n">
        <f aca="false">49-SUMPRODUCT(--((('Yellow Bosses'!$H$5:$H$53&gt;=1)+('Yellow Bosses'!$I$5:$I$53&gt;=1)+('Yellow Bosses'!$M$5:$M$53&gt;=1)+('Yellow Bosses'!$Q$5:$Q$53&gt;=1))&gt;0))</f>
        <v>0</v>
      </c>
      <c r="I1129" s="25" t="n">
        <f aca="false">SUMPRODUCT(--((('Yellow Bosses'!$H$5:$H$53&gt;0)+('Yellow Bosses'!$I$5:$I$53&gt;0)+('Yellow Bosses'!$M$5:$M$53&gt;0)+('Yellow Bosses'!$Q$5:$Q$53&gt;0))=0))</f>
        <v>0</v>
      </c>
      <c r="J1129" s="25" t="n">
        <f aca="false">SUMPRODUCT(--(((Effectiveness!$E$5:$E$155&gt;=2)+(Effectiveness!$F$5:$F$155&gt;=2)+(Effectiveness!$J$5:$J$155&gt;=2)+(Effectiveness!$N$5:$N$155&gt;=2))&gt;0))</f>
        <v>65</v>
      </c>
      <c r="K1129" s="26" t="n">
        <f aca="false">J1129/151</f>
        <v>0.43046357615894</v>
      </c>
      <c r="L1129" s="25" t="n">
        <f aca="false">MIN(INDEX('Move Reality'!$F$5:$F$19,MATCH(B1129,'Move Reality'!$A$5:$A$19,0)),INDEX('Move Reality'!$F$5:$F$19,MATCH(C1129,'Move Reality'!$A$5:$A$19,0)),INDEX('Move Reality'!$F$5:$F$19,MATCH(D1129,'Move Reality'!$A$5:$A$19,0)),INDEX('Move Reality'!$F$5:$F$19,MATCH(E1129,'Move Reality'!$A$5:$A$19,0)))</f>
        <v>5</v>
      </c>
      <c r="M1129" s="28" t="str">
        <f aca="false">IF(L1129&gt;=5,"YES","no - dead move")</f>
        <v>YES</v>
      </c>
    </row>
    <row r="1130" customFormat="false" ht="15" hidden="false" customHeight="false" outlineLevel="0" collapsed="false">
      <c r="A1130" s="17" t="n">
        <v>1126</v>
      </c>
      <c r="B1130" s="17" t="s">
        <v>41</v>
      </c>
      <c r="C1130" s="17" t="s">
        <v>45</v>
      </c>
      <c r="D1130" s="17" t="s">
        <v>47</v>
      </c>
      <c r="E1130" s="17" t="s">
        <v>49</v>
      </c>
      <c r="F1130" s="25" t="n">
        <f aca="false">SUMPRODUCT(--((('Yellow Bosses'!$I$5:$I$53&gt;=2)+('Yellow Bosses'!$M$5:$M$53&gt;=2)+('Yellow Bosses'!$O$5:$O$53&gt;=2)+('Yellow Bosses'!$Q$5:$Q$53&gt;=2))&gt;0))</f>
        <v>26</v>
      </c>
      <c r="G1130" s="26" t="n">
        <f aca="false">F1130/49</f>
        <v>0.530612244897959</v>
      </c>
      <c r="H1130" s="25" t="n">
        <f aca="false">49-SUMPRODUCT(--((('Yellow Bosses'!$I$5:$I$53&gt;=1)+('Yellow Bosses'!$M$5:$M$53&gt;=1)+('Yellow Bosses'!$O$5:$O$53&gt;=1)+('Yellow Bosses'!$Q$5:$Q$53&gt;=1))&gt;0))</f>
        <v>0</v>
      </c>
      <c r="I1130" s="25" t="n">
        <f aca="false">SUMPRODUCT(--((('Yellow Bosses'!$I$5:$I$53&gt;0)+('Yellow Bosses'!$M$5:$M$53&gt;0)+('Yellow Bosses'!$O$5:$O$53&gt;0)+('Yellow Bosses'!$Q$5:$Q$53&gt;0))=0))</f>
        <v>0</v>
      </c>
      <c r="J1130" s="25" t="n">
        <f aca="false">SUMPRODUCT(--(((Effectiveness!$F$5:$F$155&gt;=2)+(Effectiveness!$J$5:$J$155&gt;=2)+(Effectiveness!$L$5:$L$155&gt;=2)+(Effectiveness!$N$5:$N$155&gt;=2))&gt;0))</f>
        <v>65</v>
      </c>
      <c r="K1130" s="26" t="n">
        <f aca="false">J1130/151</f>
        <v>0.43046357615894</v>
      </c>
      <c r="L1130" s="25" t="n">
        <f aca="false">MIN(INDEX('Move Reality'!$F$5:$F$19,MATCH(B1130,'Move Reality'!$A$5:$A$19,0)),INDEX('Move Reality'!$F$5:$F$19,MATCH(C1130,'Move Reality'!$A$5:$A$19,0)),INDEX('Move Reality'!$F$5:$F$19,MATCH(D1130,'Move Reality'!$A$5:$A$19,0)),INDEX('Move Reality'!$F$5:$F$19,MATCH(E1130,'Move Reality'!$A$5:$A$19,0)))</f>
        <v>2</v>
      </c>
      <c r="M1130" s="28" t="str">
        <f aca="false">IF(L1130&gt;=5,"YES","no - dead move")</f>
        <v>no - dead move</v>
      </c>
    </row>
    <row r="1131" customFormat="false" ht="15" hidden="false" customHeight="false" outlineLevel="0" collapsed="false">
      <c r="A1131" s="17" t="n">
        <v>1127</v>
      </c>
      <c r="B1131" s="17" t="s">
        <v>41</v>
      </c>
      <c r="C1131" s="17" t="s">
        <v>45</v>
      </c>
      <c r="D1131" s="17" t="s">
        <v>49</v>
      </c>
      <c r="E1131" s="17" t="s">
        <v>54</v>
      </c>
      <c r="F1131" s="25" t="n">
        <f aca="false">SUMPRODUCT(--((('Yellow Bosses'!$I$5:$I$53&gt;=2)+('Yellow Bosses'!$M$5:$M$53&gt;=2)+('Yellow Bosses'!$Q$5:$Q$53&gt;=2)+('Yellow Bosses'!$V$5:$V$53&gt;=2))&gt;0))</f>
        <v>26</v>
      </c>
      <c r="G1131" s="26" t="n">
        <f aca="false">F1131/49</f>
        <v>0.530612244897959</v>
      </c>
      <c r="H1131" s="25" t="n">
        <f aca="false">49-SUMPRODUCT(--((('Yellow Bosses'!$I$5:$I$53&gt;=1)+('Yellow Bosses'!$M$5:$M$53&gt;=1)+('Yellow Bosses'!$Q$5:$Q$53&gt;=1)+('Yellow Bosses'!$V$5:$V$53&gt;=1))&gt;0))</f>
        <v>0</v>
      </c>
      <c r="I1131" s="25" t="n">
        <f aca="false">SUMPRODUCT(--((('Yellow Bosses'!$I$5:$I$53&gt;0)+('Yellow Bosses'!$M$5:$M$53&gt;0)+('Yellow Bosses'!$Q$5:$Q$53&gt;0)+('Yellow Bosses'!$V$5:$V$53&gt;0))=0))</f>
        <v>0</v>
      </c>
      <c r="J1131" s="25" t="n">
        <f aca="false">SUMPRODUCT(--(((Effectiveness!$F$5:$F$155&gt;=2)+(Effectiveness!$J$5:$J$155&gt;=2)+(Effectiveness!$N$5:$N$155&gt;=2)+(Effectiveness!$S$5:$S$155&gt;=2))&gt;0))</f>
        <v>65</v>
      </c>
      <c r="K1131" s="26" t="n">
        <f aca="false">J1131/151</f>
        <v>0.43046357615894</v>
      </c>
      <c r="L1131" s="25" t="n">
        <f aca="false">MIN(INDEX('Move Reality'!$F$5:$F$19,MATCH(B1131,'Move Reality'!$A$5:$A$19,0)),INDEX('Move Reality'!$F$5:$F$19,MATCH(C1131,'Move Reality'!$A$5:$A$19,0)),INDEX('Move Reality'!$F$5:$F$19,MATCH(D1131,'Move Reality'!$A$5:$A$19,0)),INDEX('Move Reality'!$F$5:$F$19,MATCH(E1131,'Move Reality'!$A$5:$A$19,0)))</f>
        <v>1</v>
      </c>
      <c r="M1131" s="28" t="str">
        <f aca="false">IF(L1131&gt;=5,"YES","no - dead move")</f>
        <v>no - dead move</v>
      </c>
    </row>
    <row r="1132" customFormat="false" ht="15" hidden="false" customHeight="false" outlineLevel="0" collapsed="false">
      <c r="A1132" s="17" t="n">
        <v>1128</v>
      </c>
      <c r="B1132" s="17" t="s">
        <v>40</v>
      </c>
      <c r="C1132" s="17" t="s">
        <v>41</v>
      </c>
      <c r="D1132" s="17" t="s">
        <v>42</v>
      </c>
      <c r="E1132" s="17" t="s">
        <v>49</v>
      </c>
      <c r="F1132" s="25" t="n">
        <f aca="false">SUMPRODUCT(--((('Yellow Bosses'!$H$5:$H$53&gt;=2)+('Yellow Bosses'!$I$5:$I$53&gt;=2)+('Yellow Bosses'!$J$5:$J$53&gt;=2)+('Yellow Bosses'!$Q$5:$Q$53&gt;=2))&gt;0))</f>
        <v>26</v>
      </c>
      <c r="G1132" s="26" t="n">
        <f aca="false">F1132/49</f>
        <v>0.530612244897959</v>
      </c>
      <c r="H1132" s="25" t="n">
        <f aca="false">49-SUMPRODUCT(--((('Yellow Bosses'!$H$5:$H$53&gt;=1)+('Yellow Bosses'!$I$5:$I$53&gt;=1)+('Yellow Bosses'!$J$5:$J$53&gt;=1)+('Yellow Bosses'!$Q$5:$Q$53&gt;=1))&gt;0))</f>
        <v>0</v>
      </c>
      <c r="I1132" s="25" t="n">
        <f aca="false">SUMPRODUCT(--((('Yellow Bosses'!$H$5:$H$53&gt;0)+('Yellow Bosses'!$I$5:$I$53&gt;0)+('Yellow Bosses'!$J$5:$J$53&gt;0)+('Yellow Bosses'!$Q$5:$Q$53&gt;0))=0))</f>
        <v>0</v>
      </c>
      <c r="J1132" s="25" t="n">
        <f aca="false">SUMPRODUCT(--(((Effectiveness!$E$5:$E$155&gt;=2)+(Effectiveness!$F$5:$F$155&gt;=2)+(Effectiveness!$G$5:$G$155&gt;=2)+(Effectiveness!$N$5:$N$155&gt;=2))&gt;0))</f>
        <v>61</v>
      </c>
      <c r="K1132" s="26" t="n">
        <f aca="false">J1132/151</f>
        <v>0.403973509933775</v>
      </c>
      <c r="L1132" s="25" t="n">
        <f aca="false">MIN(INDEX('Move Reality'!$F$5:$F$19,MATCH(B1132,'Move Reality'!$A$5:$A$19,0)),INDEX('Move Reality'!$F$5:$F$19,MATCH(C1132,'Move Reality'!$A$5:$A$19,0)),INDEX('Move Reality'!$F$5:$F$19,MATCH(D1132,'Move Reality'!$A$5:$A$19,0)),INDEX('Move Reality'!$F$5:$F$19,MATCH(E1132,'Move Reality'!$A$5:$A$19,0)))</f>
        <v>5</v>
      </c>
      <c r="M1132" s="28" t="str">
        <f aca="false">IF(L1132&gt;=5,"YES","no - dead move")</f>
        <v>YES</v>
      </c>
    </row>
    <row r="1133" customFormat="false" ht="15" hidden="false" customHeight="false" outlineLevel="0" collapsed="false">
      <c r="A1133" s="17" t="n">
        <v>1129</v>
      </c>
      <c r="B1133" s="17" t="s">
        <v>41</v>
      </c>
      <c r="C1133" s="17" t="s">
        <v>42</v>
      </c>
      <c r="D1133" s="17" t="s">
        <v>47</v>
      </c>
      <c r="E1133" s="17" t="s">
        <v>49</v>
      </c>
      <c r="F1133" s="25" t="n">
        <f aca="false">SUMPRODUCT(--((('Yellow Bosses'!$I$5:$I$53&gt;=2)+('Yellow Bosses'!$J$5:$J$53&gt;=2)+('Yellow Bosses'!$O$5:$O$53&gt;=2)+('Yellow Bosses'!$Q$5:$Q$53&gt;=2))&gt;0))</f>
        <v>26</v>
      </c>
      <c r="G1133" s="26" t="n">
        <f aca="false">F1133/49</f>
        <v>0.530612244897959</v>
      </c>
      <c r="H1133" s="25" t="n">
        <f aca="false">49-SUMPRODUCT(--((('Yellow Bosses'!$I$5:$I$53&gt;=1)+('Yellow Bosses'!$J$5:$J$53&gt;=1)+('Yellow Bosses'!$O$5:$O$53&gt;=1)+('Yellow Bosses'!$Q$5:$Q$53&gt;=1))&gt;0))</f>
        <v>0</v>
      </c>
      <c r="I1133" s="25" t="n">
        <f aca="false">SUMPRODUCT(--((('Yellow Bosses'!$I$5:$I$53&gt;0)+('Yellow Bosses'!$J$5:$J$53&gt;0)+('Yellow Bosses'!$O$5:$O$53&gt;0)+('Yellow Bosses'!$Q$5:$Q$53&gt;0))=0))</f>
        <v>0</v>
      </c>
      <c r="J1133" s="25" t="n">
        <f aca="false">SUMPRODUCT(--(((Effectiveness!$F$5:$F$155&gt;=2)+(Effectiveness!$G$5:$G$155&gt;=2)+(Effectiveness!$L$5:$L$155&gt;=2)+(Effectiveness!$N$5:$N$155&gt;=2))&gt;0))</f>
        <v>61</v>
      </c>
      <c r="K1133" s="26" t="n">
        <f aca="false">J1133/151</f>
        <v>0.403973509933775</v>
      </c>
      <c r="L1133" s="25" t="n">
        <f aca="false">MIN(INDEX('Move Reality'!$F$5:$F$19,MATCH(B1133,'Move Reality'!$A$5:$A$19,0)),INDEX('Move Reality'!$F$5:$F$19,MATCH(C1133,'Move Reality'!$A$5:$A$19,0)),INDEX('Move Reality'!$F$5:$F$19,MATCH(D1133,'Move Reality'!$A$5:$A$19,0)),INDEX('Move Reality'!$F$5:$F$19,MATCH(E1133,'Move Reality'!$A$5:$A$19,0)))</f>
        <v>2</v>
      </c>
      <c r="M1133" s="28" t="str">
        <f aca="false">IF(L1133&gt;=5,"YES","no - dead move")</f>
        <v>no - dead move</v>
      </c>
    </row>
    <row r="1134" customFormat="false" ht="15" hidden="false" customHeight="false" outlineLevel="0" collapsed="false">
      <c r="A1134" s="17" t="n">
        <v>1130</v>
      </c>
      <c r="B1134" s="17" t="s">
        <v>40</v>
      </c>
      <c r="C1134" s="17" t="s">
        <v>41</v>
      </c>
      <c r="D1134" s="17" t="s">
        <v>45</v>
      </c>
      <c r="E1134" s="17" t="s">
        <v>53</v>
      </c>
      <c r="F1134" s="25" t="n">
        <f aca="false">SUMPRODUCT(--((('Yellow Bosses'!$H$5:$H$53&gt;=2)+('Yellow Bosses'!$I$5:$I$53&gt;=2)+('Yellow Bosses'!$M$5:$M$53&gt;=2)+('Yellow Bosses'!$U$5:$U$53&gt;=2))&gt;0))</f>
        <v>26</v>
      </c>
      <c r="G1134" s="26" t="n">
        <f aca="false">F1134/49</f>
        <v>0.530612244897959</v>
      </c>
      <c r="H1134" s="25" t="n">
        <f aca="false">49-SUMPRODUCT(--((('Yellow Bosses'!$H$5:$H$53&gt;=1)+('Yellow Bosses'!$I$5:$I$53&gt;=1)+('Yellow Bosses'!$M$5:$M$53&gt;=1)+('Yellow Bosses'!$U$5:$U$53&gt;=1))&gt;0))</f>
        <v>0</v>
      </c>
      <c r="I1134" s="25" t="n">
        <f aca="false">SUMPRODUCT(--((('Yellow Bosses'!$H$5:$H$53&gt;0)+('Yellow Bosses'!$I$5:$I$53&gt;0)+('Yellow Bosses'!$M$5:$M$53&gt;0)+('Yellow Bosses'!$U$5:$U$53&gt;0))=0))</f>
        <v>0</v>
      </c>
      <c r="J1134" s="25" t="n">
        <f aca="false">SUMPRODUCT(--(((Effectiveness!$E$5:$E$155&gt;=2)+(Effectiveness!$F$5:$F$155&gt;=2)+(Effectiveness!$J$5:$J$155&gt;=2)+(Effectiveness!$R$5:$R$155&gt;=2))&gt;0))</f>
        <v>60</v>
      </c>
      <c r="K1134" s="26" t="n">
        <f aca="false">J1134/151</f>
        <v>0.397350993377483</v>
      </c>
      <c r="L1134" s="25" t="n">
        <f aca="false">MIN(INDEX('Move Reality'!$F$5:$F$19,MATCH(B1134,'Move Reality'!$A$5:$A$19,0)),INDEX('Move Reality'!$F$5:$F$19,MATCH(C1134,'Move Reality'!$A$5:$A$19,0)),INDEX('Move Reality'!$F$5:$F$19,MATCH(D1134,'Move Reality'!$A$5:$A$19,0)),INDEX('Move Reality'!$F$5:$F$19,MATCH(E1134,'Move Reality'!$A$5:$A$19,0)))</f>
        <v>1</v>
      </c>
      <c r="M1134" s="28" t="str">
        <f aca="false">IF(L1134&gt;=5,"YES","no - dead move")</f>
        <v>no - dead move</v>
      </c>
    </row>
    <row r="1135" customFormat="false" ht="15" hidden="false" customHeight="false" outlineLevel="0" collapsed="false">
      <c r="A1135" s="17" t="n">
        <v>1131</v>
      </c>
      <c r="B1135" s="17" t="s">
        <v>41</v>
      </c>
      <c r="C1135" s="17" t="s">
        <v>45</v>
      </c>
      <c r="D1135" s="17" t="s">
        <v>47</v>
      </c>
      <c r="E1135" s="17" t="s">
        <v>53</v>
      </c>
      <c r="F1135" s="25" t="n">
        <f aca="false">SUMPRODUCT(--((('Yellow Bosses'!$I$5:$I$53&gt;=2)+('Yellow Bosses'!$M$5:$M$53&gt;=2)+('Yellow Bosses'!$O$5:$O$53&gt;=2)+('Yellow Bosses'!$U$5:$U$53&gt;=2))&gt;0))</f>
        <v>26</v>
      </c>
      <c r="G1135" s="26" t="n">
        <f aca="false">F1135/49</f>
        <v>0.530612244897959</v>
      </c>
      <c r="H1135" s="25" t="n">
        <f aca="false">49-SUMPRODUCT(--((('Yellow Bosses'!$I$5:$I$53&gt;=1)+('Yellow Bosses'!$M$5:$M$53&gt;=1)+('Yellow Bosses'!$O$5:$O$53&gt;=1)+('Yellow Bosses'!$U$5:$U$53&gt;=1))&gt;0))</f>
        <v>0</v>
      </c>
      <c r="I1135" s="25" t="n">
        <f aca="false">SUMPRODUCT(--((('Yellow Bosses'!$I$5:$I$53&gt;0)+('Yellow Bosses'!$M$5:$M$53&gt;0)+('Yellow Bosses'!$O$5:$O$53&gt;0)+('Yellow Bosses'!$U$5:$U$53&gt;0))=0))</f>
        <v>0</v>
      </c>
      <c r="J1135" s="25" t="n">
        <f aca="false">SUMPRODUCT(--(((Effectiveness!$F$5:$F$155&gt;=2)+(Effectiveness!$J$5:$J$155&gt;=2)+(Effectiveness!$L$5:$L$155&gt;=2)+(Effectiveness!$R$5:$R$155&gt;=2))&gt;0))</f>
        <v>60</v>
      </c>
      <c r="K1135" s="26" t="n">
        <f aca="false">J1135/151</f>
        <v>0.397350993377483</v>
      </c>
      <c r="L1135" s="25" t="n">
        <f aca="false">MIN(INDEX('Move Reality'!$F$5:$F$19,MATCH(B1135,'Move Reality'!$A$5:$A$19,0)),INDEX('Move Reality'!$F$5:$F$19,MATCH(C1135,'Move Reality'!$A$5:$A$19,0)),INDEX('Move Reality'!$F$5:$F$19,MATCH(D1135,'Move Reality'!$A$5:$A$19,0)),INDEX('Move Reality'!$F$5:$F$19,MATCH(E1135,'Move Reality'!$A$5:$A$19,0)))</f>
        <v>1</v>
      </c>
      <c r="M1135" s="28" t="str">
        <f aca="false">IF(L1135&gt;=5,"YES","no - dead move")</f>
        <v>no - dead move</v>
      </c>
    </row>
    <row r="1136" customFormat="false" ht="15" hidden="false" customHeight="false" outlineLevel="0" collapsed="false">
      <c r="A1136" s="17" t="n">
        <v>1132</v>
      </c>
      <c r="B1136" s="17" t="s">
        <v>41</v>
      </c>
      <c r="C1136" s="17" t="s">
        <v>45</v>
      </c>
      <c r="D1136" s="17" t="s">
        <v>53</v>
      </c>
      <c r="E1136" s="17" t="s">
        <v>54</v>
      </c>
      <c r="F1136" s="25" t="n">
        <f aca="false">SUMPRODUCT(--((('Yellow Bosses'!$I$5:$I$53&gt;=2)+('Yellow Bosses'!$M$5:$M$53&gt;=2)+('Yellow Bosses'!$U$5:$U$53&gt;=2)+('Yellow Bosses'!$V$5:$V$53&gt;=2))&gt;0))</f>
        <v>26</v>
      </c>
      <c r="G1136" s="26" t="n">
        <f aca="false">F1136/49</f>
        <v>0.530612244897959</v>
      </c>
      <c r="H1136" s="25" t="n">
        <f aca="false">49-SUMPRODUCT(--((('Yellow Bosses'!$I$5:$I$53&gt;=1)+('Yellow Bosses'!$M$5:$M$53&gt;=1)+('Yellow Bosses'!$U$5:$U$53&gt;=1)+('Yellow Bosses'!$V$5:$V$53&gt;=1))&gt;0))</f>
        <v>0</v>
      </c>
      <c r="I1136" s="25" t="n">
        <f aca="false">SUMPRODUCT(--((('Yellow Bosses'!$I$5:$I$53&gt;0)+('Yellow Bosses'!$M$5:$M$53&gt;0)+('Yellow Bosses'!$U$5:$U$53&gt;0)+('Yellow Bosses'!$V$5:$V$53&gt;0))=0))</f>
        <v>0</v>
      </c>
      <c r="J1136" s="25" t="n">
        <f aca="false">SUMPRODUCT(--(((Effectiveness!$F$5:$F$155&gt;=2)+(Effectiveness!$J$5:$J$155&gt;=2)+(Effectiveness!$R$5:$R$155&gt;=2)+(Effectiveness!$S$5:$S$155&gt;=2))&gt;0))</f>
        <v>60</v>
      </c>
      <c r="K1136" s="26" t="n">
        <f aca="false">J1136/151</f>
        <v>0.397350993377483</v>
      </c>
      <c r="L1136" s="25" t="n">
        <f aca="false">MIN(INDEX('Move Reality'!$F$5:$F$19,MATCH(B1136,'Move Reality'!$A$5:$A$19,0)),INDEX('Move Reality'!$F$5:$F$19,MATCH(C1136,'Move Reality'!$A$5:$A$19,0)),INDEX('Move Reality'!$F$5:$F$19,MATCH(D1136,'Move Reality'!$A$5:$A$19,0)),INDEX('Move Reality'!$F$5:$F$19,MATCH(E1136,'Move Reality'!$A$5:$A$19,0)))</f>
        <v>1</v>
      </c>
      <c r="M1136" s="28" t="str">
        <f aca="false">IF(L1136&gt;=5,"YES","no - dead move")</f>
        <v>no - dead move</v>
      </c>
    </row>
    <row r="1137" customFormat="false" ht="15" hidden="false" customHeight="false" outlineLevel="0" collapsed="false">
      <c r="A1137" s="17" t="n">
        <v>1133</v>
      </c>
      <c r="B1137" s="17" t="s">
        <v>40</v>
      </c>
      <c r="C1137" s="17" t="s">
        <v>41</v>
      </c>
      <c r="D1137" s="17" t="s">
        <v>42</v>
      </c>
      <c r="E1137" s="17" t="s">
        <v>53</v>
      </c>
      <c r="F1137" s="25" t="n">
        <f aca="false">SUMPRODUCT(--((('Yellow Bosses'!$H$5:$H$53&gt;=2)+('Yellow Bosses'!$I$5:$I$53&gt;=2)+('Yellow Bosses'!$J$5:$J$53&gt;=2)+('Yellow Bosses'!$U$5:$U$53&gt;=2))&gt;0))</f>
        <v>26</v>
      </c>
      <c r="G1137" s="26" t="n">
        <f aca="false">F1137/49</f>
        <v>0.530612244897959</v>
      </c>
      <c r="H1137" s="25" t="n">
        <f aca="false">49-SUMPRODUCT(--((('Yellow Bosses'!$H$5:$H$53&gt;=1)+('Yellow Bosses'!$I$5:$I$53&gt;=1)+('Yellow Bosses'!$J$5:$J$53&gt;=1)+('Yellow Bosses'!$U$5:$U$53&gt;=1))&gt;0))</f>
        <v>0</v>
      </c>
      <c r="I1137" s="25" t="n">
        <f aca="false">SUMPRODUCT(--((('Yellow Bosses'!$H$5:$H$53&gt;0)+('Yellow Bosses'!$I$5:$I$53&gt;0)+('Yellow Bosses'!$J$5:$J$53&gt;0)+('Yellow Bosses'!$U$5:$U$53&gt;0))=0))</f>
        <v>0</v>
      </c>
      <c r="J1137" s="25" t="n">
        <f aca="false">SUMPRODUCT(--(((Effectiveness!$E$5:$E$155&gt;=2)+(Effectiveness!$F$5:$F$155&gt;=2)+(Effectiveness!$G$5:$G$155&gt;=2)+(Effectiveness!$R$5:$R$155&gt;=2))&gt;0))</f>
        <v>56</v>
      </c>
      <c r="K1137" s="26" t="n">
        <f aca="false">J1137/151</f>
        <v>0.370860927152318</v>
      </c>
      <c r="L1137" s="25" t="n">
        <f aca="false">MIN(INDEX('Move Reality'!$F$5:$F$19,MATCH(B1137,'Move Reality'!$A$5:$A$19,0)),INDEX('Move Reality'!$F$5:$F$19,MATCH(C1137,'Move Reality'!$A$5:$A$19,0)),INDEX('Move Reality'!$F$5:$F$19,MATCH(D1137,'Move Reality'!$A$5:$A$19,0)),INDEX('Move Reality'!$F$5:$F$19,MATCH(E1137,'Move Reality'!$A$5:$A$19,0)))</f>
        <v>1</v>
      </c>
      <c r="M1137" s="28" t="str">
        <f aca="false">IF(L1137&gt;=5,"YES","no - dead move")</f>
        <v>no - dead move</v>
      </c>
    </row>
    <row r="1138" customFormat="false" ht="15" hidden="false" customHeight="false" outlineLevel="0" collapsed="false">
      <c r="A1138" s="17" t="n">
        <v>1134</v>
      </c>
      <c r="B1138" s="17" t="s">
        <v>40</v>
      </c>
      <c r="C1138" s="17" t="s">
        <v>41</v>
      </c>
      <c r="D1138" s="17" t="s">
        <v>42</v>
      </c>
      <c r="E1138" s="17" t="s">
        <v>54</v>
      </c>
      <c r="F1138" s="25" t="n">
        <f aca="false">SUMPRODUCT(--((('Yellow Bosses'!$H$5:$H$53&gt;=2)+('Yellow Bosses'!$I$5:$I$53&gt;=2)+('Yellow Bosses'!$J$5:$J$53&gt;=2)+('Yellow Bosses'!$V$5:$V$53&gt;=2))&gt;0))</f>
        <v>26</v>
      </c>
      <c r="G1138" s="26" t="n">
        <f aca="false">F1138/49</f>
        <v>0.530612244897959</v>
      </c>
      <c r="H1138" s="25" t="n">
        <f aca="false">49-SUMPRODUCT(--((('Yellow Bosses'!$H$5:$H$53&gt;=1)+('Yellow Bosses'!$I$5:$I$53&gt;=1)+('Yellow Bosses'!$J$5:$J$53&gt;=1)+('Yellow Bosses'!$V$5:$V$53&gt;=1))&gt;0))</f>
        <v>0</v>
      </c>
      <c r="I1138" s="25" t="n">
        <f aca="false">SUMPRODUCT(--((('Yellow Bosses'!$H$5:$H$53&gt;0)+('Yellow Bosses'!$I$5:$I$53&gt;0)+('Yellow Bosses'!$J$5:$J$53&gt;0)+('Yellow Bosses'!$V$5:$V$53&gt;0))=0))</f>
        <v>0</v>
      </c>
      <c r="J1138" s="25" t="n">
        <f aca="false">SUMPRODUCT(--(((Effectiveness!$E$5:$E$155&gt;=2)+(Effectiveness!$F$5:$F$155&gt;=2)+(Effectiveness!$G$5:$G$155&gt;=2)+(Effectiveness!$S$5:$S$155&gt;=2))&gt;0))</f>
        <v>56</v>
      </c>
      <c r="K1138" s="26" t="n">
        <f aca="false">J1138/151</f>
        <v>0.370860927152318</v>
      </c>
      <c r="L1138" s="25" t="n">
        <f aca="false">MIN(INDEX('Move Reality'!$F$5:$F$19,MATCH(B1138,'Move Reality'!$A$5:$A$19,0)),INDEX('Move Reality'!$F$5:$F$19,MATCH(C1138,'Move Reality'!$A$5:$A$19,0)),INDEX('Move Reality'!$F$5:$F$19,MATCH(D1138,'Move Reality'!$A$5:$A$19,0)),INDEX('Move Reality'!$F$5:$F$19,MATCH(E1138,'Move Reality'!$A$5:$A$19,0)))</f>
        <v>1</v>
      </c>
      <c r="M1138" s="28" t="str">
        <f aca="false">IF(L1138&gt;=5,"YES","no - dead move")</f>
        <v>no - dead move</v>
      </c>
    </row>
    <row r="1139" customFormat="false" ht="15" hidden="false" customHeight="false" outlineLevel="0" collapsed="false">
      <c r="A1139" s="17" t="n">
        <v>1135</v>
      </c>
      <c r="B1139" s="17" t="s">
        <v>41</v>
      </c>
      <c r="C1139" s="17" t="s">
        <v>42</v>
      </c>
      <c r="D1139" s="17" t="s">
        <v>47</v>
      </c>
      <c r="E1139" s="17" t="s">
        <v>53</v>
      </c>
      <c r="F1139" s="25" t="n">
        <f aca="false">SUMPRODUCT(--((('Yellow Bosses'!$I$5:$I$53&gt;=2)+('Yellow Bosses'!$J$5:$J$53&gt;=2)+('Yellow Bosses'!$O$5:$O$53&gt;=2)+('Yellow Bosses'!$U$5:$U$53&gt;=2))&gt;0))</f>
        <v>26</v>
      </c>
      <c r="G1139" s="26" t="n">
        <f aca="false">F1139/49</f>
        <v>0.530612244897959</v>
      </c>
      <c r="H1139" s="25" t="n">
        <f aca="false">49-SUMPRODUCT(--((('Yellow Bosses'!$I$5:$I$53&gt;=1)+('Yellow Bosses'!$J$5:$J$53&gt;=1)+('Yellow Bosses'!$O$5:$O$53&gt;=1)+('Yellow Bosses'!$U$5:$U$53&gt;=1))&gt;0))</f>
        <v>0</v>
      </c>
      <c r="I1139" s="25" t="n">
        <f aca="false">SUMPRODUCT(--((('Yellow Bosses'!$I$5:$I$53&gt;0)+('Yellow Bosses'!$J$5:$J$53&gt;0)+('Yellow Bosses'!$O$5:$O$53&gt;0)+('Yellow Bosses'!$U$5:$U$53&gt;0))=0))</f>
        <v>0</v>
      </c>
      <c r="J1139" s="25" t="n">
        <f aca="false">SUMPRODUCT(--(((Effectiveness!$F$5:$F$155&gt;=2)+(Effectiveness!$G$5:$G$155&gt;=2)+(Effectiveness!$L$5:$L$155&gt;=2)+(Effectiveness!$R$5:$R$155&gt;=2))&gt;0))</f>
        <v>56</v>
      </c>
      <c r="K1139" s="26" t="n">
        <f aca="false">J1139/151</f>
        <v>0.370860927152318</v>
      </c>
      <c r="L1139" s="25" t="n">
        <f aca="false">MIN(INDEX('Move Reality'!$F$5:$F$19,MATCH(B1139,'Move Reality'!$A$5:$A$19,0)),INDEX('Move Reality'!$F$5:$F$19,MATCH(C1139,'Move Reality'!$A$5:$A$19,0)),INDEX('Move Reality'!$F$5:$F$19,MATCH(D1139,'Move Reality'!$A$5:$A$19,0)),INDEX('Move Reality'!$F$5:$F$19,MATCH(E1139,'Move Reality'!$A$5:$A$19,0)))</f>
        <v>1</v>
      </c>
      <c r="M1139" s="28" t="str">
        <f aca="false">IF(L1139&gt;=5,"YES","no - dead move")</f>
        <v>no - dead move</v>
      </c>
    </row>
    <row r="1140" customFormat="false" ht="15" hidden="false" customHeight="false" outlineLevel="0" collapsed="false">
      <c r="A1140" s="17" t="n">
        <v>1136</v>
      </c>
      <c r="B1140" s="17" t="s">
        <v>41</v>
      </c>
      <c r="C1140" s="17" t="s">
        <v>42</v>
      </c>
      <c r="D1140" s="17" t="s">
        <v>47</v>
      </c>
      <c r="E1140" s="17" t="s">
        <v>54</v>
      </c>
      <c r="F1140" s="25" t="n">
        <f aca="false">SUMPRODUCT(--((('Yellow Bosses'!$I$5:$I$53&gt;=2)+('Yellow Bosses'!$J$5:$J$53&gt;=2)+('Yellow Bosses'!$O$5:$O$53&gt;=2)+('Yellow Bosses'!$V$5:$V$53&gt;=2))&gt;0))</f>
        <v>26</v>
      </c>
      <c r="G1140" s="26" t="n">
        <f aca="false">F1140/49</f>
        <v>0.530612244897959</v>
      </c>
      <c r="H1140" s="25" t="n">
        <f aca="false">49-SUMPRODUCT(--((('Yellow Bosses'!$I$5:$I$53&gt;=1)+('Yellow Bosses'!$J$5:$J$53&gt;=1)+('Yellow Bosses'!$O$5:$O$53&gt;=1)+('Yellow Bosses'!$V$5:$V$53&gt;=1))&gt;0))</f>
        <v>0</v>
      </c>
      <c r="I1140" s="25" t="n">
        <f aca="false">SUMPRODUCT(--((('Yellow Bosses'!$I$5:$I$53&gt;0)+('Yellow Bosses'!$J$5:$J$53&gt;0)+('Yellow Bosses'!$O$5:$O$53&gt;0)+('Yellow Bosses'!$V$5:$V$53&gt;0))=0))</f>
        <v>0</v>
      </c>
      <c r="J1140" s="25" t="n">
        <f aca="false">SUMPRODUCT(--(((Effectiveness!$F$5:$F$155&gt;=2)+(Effectiveness!$G$5:$G$155&gt;=2)+(Effectiveness!$L$5:$L$155&gt;=2)+(Effectiveness!$S$5:$S$155&gt;=2))&gt;0))</f>
        <v>56</v>
      </c>
      <c r="K1140" s="26" t="n">
        <f aca="false">J1140/151</f>
        <v>0.370860927152318</v>
      </c>
      <c r="L1140" s="25" t="n">
        <f aca="false">MIN(INDEX('Move Reality'!$F$5:$F$19,MATCH(B1140,'Move Reality'!$A$5:$A$19,0)),INDEX('Move Reality'!$F$5:$F$19,MATCH(C1140,'Move Reality'!$A$5:$A$19,0)),INDEX('Move Reality'!$F$5:$F$19,MATCH(D1140,'Move Reality'!$A$5:$A$19,0)),INDEX('Move Reality'!$F$5:$F$19,MATCH(E1140,'Move Reality'!$A$5:$A$19,0)))</f>
        <v>1</v>
      </c>
      <c r="M1140" s="28" t="str">
        <f aca="false">IF(L1140&gt;=5,"YES","no - dead move")</f>
        <v>no - dead move</v>
      </c>
    </row>
    <row r="1141" customFormat="false" ht="15" hidden="false" customHeight="false" outlineLevel="0" collapsed="false">
      <c r="A1141" s="17" t="n">
        <v>1137</v>
      </c>
      <c r="B1141" s="17" t="s">
        <v>40</v>
      </c>
      <c r="C1141" s="17" t="s">
        <v>41</v>
      </c>
      <c r="D1141" s="17" t="s">
        <v>43</v>
      </c>
      <c r="E1141" s="17" t="s">
        <v>46</v>
      </c>
      <c r="F1141" s="25" t="n">
        <f aca="false">SUMPRODUCT(--((('Yellow Bosses'!$H$5:$H$53&gt;=2)+('Yellow Bosses'!$I$5:$I$53&gt;=2)+('Yellow Bosses'!$K$5:$K$53&gt;=2)+('Yellow Bosses'!$N$5:$N$53&gt;=2))&gt;0))</f>
        <v>25</v>
      </c>
      <c r="G1141" s="26" t="n">
        <f aca="false">F1141/49</f>
        <v>0.510204081632653</v>
      </c>
      <c r="H1141" s="25" t="n">
        <f aca="false">49-SUMPRODUCT(--((('Yellow Bosses'!$H$5:$H$53&gt;=1)+('Yellow Bosses'!$I$5:$I$53&gt;=1)+('Yellow Bosses'!$K$5:$K$53&gt;=1)+('Yellow Bosses'!$N$5:$N$53&gt;=1))&gt;0))</f>
        <v>0</v>
      </c>
      <c r="I1141" s="25" t="n">
        <f aca="false">SUMPRODUCT(--((('Yellow Bosses'!$H$5:$H$53&gt;0)+('Yellow Bosses'!$I$5:$I$53&gt;0)+('Yellow Bosses'!$K$5:$K$53&gt;0)+('Yellow Bosses'!$N$5:$N$53&gt;0))=0))</f>
        <v>0</v>
      </c>
      <c r="J1141" s="25" t="n">
        <f aca="false">SUMPRODUCT(--(((Effectiveness!$E$5:$E$155&gt;=2)+(Effectiveness!$F$5:$F$155&gt;=2)+(Effectiveness!$H$5:$H$155&gt;=2)+(Effectiveness!$K$5:$K$155&gt;=2))&gt;0))</f>
        <v>93</v>
      </c>
      <c r="K1141" s="26" t="n">
        <f aca="false">J1141/151</f>
        <v>0.615894039735099</v>
      </c>
      <c r="L1141" s="25" t="n">
        <f aca="false">MIN(INDEX('Move Reality'!$F$5:$F$19,MATCH(B1141,'Move Reality'!$A$5:$A$19,0)),INDEX('Move Reality'!$F$5:$F$19,MATCH(C1141,'Move Reality'!$A$5:$A$19,0)),INDEX('Move Reality'!$F$5:$F$19,MATCH(D1141,'Move Reality'!$A$5:$A$19,0)),INDEX('Move Reality'!$F$5:$F$19,MATCH(E1141,'Move Reality'!$A$5:$A$19,0)))</f>
        <v>5</v>
      </c>
      <c r="M1141" s="28" t="str">
        <f aca="false">IF(L1141&gt;=5,"YES","no - dead move")</f>
        <v>YES</v>
      </c>
    </row>
    <row r="1142" customFormat="false" ht="15" hidden="false" customHeight="false" outlineLevel="0" collapsed="false">
      <c r="A1142" s="17" t="n">
        <v>1138</v>
      </c>
      <c r="B1142" s="17" t="s">
        <v>41</v>
      </c>
      <c r="C1142" s="17" t="s">
        <v>43</v>
      </c>
      <c r="D1142" s="17" t="s">
        <v>46</v>
      </c>
      <c r="E1142" s="17" t="s">
        <v>47</v>
      </c>
      <c r="F1142" s="25" t="n">
        <f aca="false">SUMPRODUCT(--((('Yellow Bosses'!$I$5:$I$53&gt;=2)+('Yellow Bosses'!$K$5:$K$53&gt;=2)+('Yellow Bosses'!$N$5:$N$53&gt;=2)+('Yellow Bosses'!$O$5:$O$53&gt;=2))&gt;0))</f>
        <v>25</v>
      </c>
      <c r="G1142" s="26" t="n">
        <f aca="false">F1142/49</f>
        <v>0.510204081632653</v>
      </c>
      <c r="H1142" s="25" t="n">
        <f aca="false">49-SUMPRODUCT(--((('Yellow Bosses'!$I$5:$I$53&gt;=1)+('Yellow Bosses'!$K$5:$K$53&gt;=1)+('Yellow Bosses'!$N$5:$N$53&gt;=1)+('Yellow Bosses'!$O$5:$O$53&gt;=1))&gt;0))</f>
        <v>0</v>
      </c>
      <c r="I1142" s="25" t="n">
        <f aca="false">SUMPRODUCT(--((('Yellow Bosses'!$I$5:$I$53&gt;0)+('Yellow Bosses'!$K$5:$K$53&gt;0)+('Yellow Bosses'!$N$5:$N$53&gt;0)+('Yellow Bosses'!$O$5:$O$53&gt;0))=0))</f>
        <v>0</v>
      </c>
      <c r="J1142" s="25" t="n">
        <f aca="false">SUMPRODUCT(--(((Effectiveness!$F$5:$F$155&gt;=2)+(Effectiveness!$H$5:$H$155&gt;=2)+(Effectiveness!$K$5:$K$155&gt;=2)+(Effectiveness!$L$5:$L$155&gt;=2))&gt;0))</f>
        <v>93</v>
      </c>
      <c r="K1142" s="26" t="n">
        <f aca="false">J1142/151</f>
        <v>0.615894039735099</v>
      </c>
      <c r="L1142" s="25" t="n">
        <f aca="false">MIN(INDEX('Move Reality'!$F$5:$F$19,MATCH(B1142,'Move Reality'!$A$5:$A$19,0)),INDEX('Move Reality'!$F$5:$F$19,MATCH(C1142,'Move Reality'!$A$5:$A$19,0)),INDEX('Move Reality'!$F$5:$F$19,MATCH(D1142,'Move Reality'!$A$5:$A$19,0)),INDEX('Move Reality'!$F$5:$F$19,MATCH(E1142,'Move Reality'!$A$5:$A$19,0)))</f>
        <v>2</v>
      </c>
      <c r="M1142" s="28" t="str">
        <f aca="false">IF(L1142&gt;=5,"YES","no - dead move")</f>
        <v>no - dead move</v>
      </c>
    </row>
    <row r="1143" customFormat="false" ht="15" hidden="false" customHeight="false" outlineLevel="0" collapsed="false">
      <c r="A1143" s="17" t="n">
        <v>1139</v>
      </c>
      <c r="B1143" s="17" t="s">
        <v>40</v>
      </c>
      <c r="C1143" s="17" t="s">
        <v>43</v>
      </c>
      <c r="D1143" s="17" t="s">
        <v>50</v>
      </c>
      <c r="E1143" s="17" t="s">
        <v>53</v>
      </c>
      <c r="F1143" s="25" t="n">
        <f aca="false">SUMPRODUCT(--((('Yellow Bosses'!$H$5:$H$53&gt;=2)+('Yellow Bosses'!$K$5:$K$53&gt;=2)+('Yellow Bosses'!$R$5:$R$53&gt;=2)+('Yellow Bosses'!$U$5:$U$53&gt;=2))&gt;0))</f>
        <v>25</v>
      </c>
      <c r="G1143" s="26" t="n">
        <f aca="false">F1143/49</f>
        <v>0.510204081632653</v>
      </c>
      <c r="H1143" s="25" t="n">
        <f aca="false">49-SUMPRODUCT(--((('Yellow Bosses'!$H$5:$H$53&gt;=1)+('Yellow Bosses'!$K$5:$K$53&gt;=1)+('Yellow Bosses'!$R$5:$R$53&gt;=1)+('Yellow Bosses'!$U$5:$U$53&gt;=1))&gt;0))</f>
        <v>0</v>
      </c>
      <c r="I1143" s="25" t="n">
        <f aca="false">SUMPRODUCT(--((('Yellow Bosses'!$H$5:$H$53&gt;0)+('Yellow Bosses'!$K$5:$K$53&gt;0)+('Yellow Bosses'!$R$5:$R$53&gt;0)+('Yellow Bosses'!$U$5:$U$53&gt;0))=0))</f>
        <v>0</v>
      </c>
      <c r="J1143" s="25" t="n">
        <f aca="false">SUMPRODUCT(--(((Effectiveness!$E$5:$E$155&gt;=2)+(Effectiveness!$H$5:$H$155&gt;=2)+(Effectiveness!$O$5:$O$155&gt;=2)+(Effectiveness!$R$5:$R$155&gt;=2))&gt;0))</f>
        <v>84</v>
      </c>
      <c r="K1143" s="26" t="n">
        <f aca="false">J1143/151</f>
        <v>0.556291390728477</v>
      </c>
      <c r="L1143" s="25" t="n">
        <f aca="false">MIN(INDEX('Move Reality'!$F$5:$F$19,MATCH(B1143,'Move Reality'!$A$5:$A$19,0)),INDEX('Move Reality'!$F$5:$F$19,MATCH(C1143,'Move Reality'!$A$5:$A$19,0)),INDEX('Move Reality'!$F$5:$F$19,MATCH(D1143,'Move Reality'!$A$5:$A$19,0)),INDEX('Move Reality'!$F$5:$F$19,MATCH(E1143,'Move Reality'!$A$5:$A$19,0)))</f>
        <v>1</v>
      </c>
      <c r="M1143" s="28" t="str">
        <f aca="false">IF(L1143&gt;=5,"YES","no - dead move")</f>
        <v>no - dead move</v>
      </c>
    </row>
    <row r="1144" customFormat="false" ht="15" hidden="false" customHeight="false" outlineLevel="0" collapsed="false">
      <c r="A1144" s="17" t="n">
        <v>1140</v>
      </c>
      <c r="B1144" s="17" t="s">
        <v>41</v>
      </c>
      <c r="C1144" s="17" t="s">
        <v>43</v>
      </c>
      <c r="D1144" s="17" t="s">
        <v>49</v>
      </c>
      <c r="E1144" s="17" t="s">
        <v>53</v>
      </c>
      <c r="F1144" s="25" t="n">
        <f aca="false">SUMPRODUCT(--((('Yellow Bosses'!$I$5:$I$53&gt;=2)+('Yellow Bosses'!$K$5:$K$53&gt;=2)+('Yellow Bosses'!$Q$5:$Q$53&gt;=2)+('Yellow Bosses'!$U$5:$U$53&gt;=2))&gt;0))</f>
        <v>25</v>
      </c>
      <c r="G1144" s="26" t="n">
        <f aca="false">F1144/49</f>
        <v>0.510204081632653</v>
      </c>
      <c r="H1144" s="25" t="n">
        <f aca="false">49-SUMPRODUCT(--((('Yellow Bosses'!$I$5:$I$53&gt;=1)+('Yellow Bosses'!$K$5:$K$53&gt;=1)+('Yellow Bosses'!$Q$5:$Q$53&gt;=1)+('Yellow Bosses'!$U$5:$U$53&gt;=1))&gt;0))</f>
        <v>0</v>
      </c>
      <c r="I1144" s="25" t="n">
        <f aca="false">SUMPRODUCT(--((('Yellow Bosses'!$I$5:$I$53&gt;0)+('Yellow Bosses'!$K$5:$K$53&gt;0)+('Yellow Bosses'!$Q$5:$Q$53&gt;0)+('Yellow Bosses'!$U$5:$U$53&gt;0))=0))</f>
        <v>0</v>
      </c>
      <c r="J1144" s="25" t="n">
        <f aca="false">SUMPRODUCT(--(((Effectiveness!$F$5:$F$155&gt;=2)+(Effectiveness!$H$5:$H$155&gt;=2)+(Effectiveness!$N$5:$N$155&gt;=2)+(Effectiveness!$R$5:$R$155&gt;=2))&gt;0))</f>
        <v>81</v>
      </c>
      <c r="K1144" s="26" t="n">
        <f aca="false">J1144/151</f>
        <v>0.536423841059603</v>
      </c>
      <c r="L1144" s="25" t="n">
        <f aca="false">MIN(INDEX('Move Reality'!$F$5:$F$19,MATCH(B1144,'Move Reality'!$A$5:$A$19,0)),INDEX('Move Reality'!$F$5:$F$19,MATCH(C1144,'Move Reality'!$A$5:$A$19,0)),INDEX('Move Reality'!$F$5:$F$19,MATCH(D1144,'Move Reality'!$A$5:$A$19,0)),INDEX('Move Reality'!$F$5:$F$19,MATCH(E1144,'Move Reality'!$A$5:$A$19,0)))</f>
        <v>1</v>
      </c>
      <c r="M1144" s="28" t="str">
        <f aca="false">IF(L1144&gt;=5,"YES","no - dead move")</f>
        <v>no - dead move</v>
      </c>
    </row>
    <row r="1145" customFormat="false" ht="15" hidden="false" customHeight="false" outlineLevel="0" collapsed="false">
      <c r="A1145" s="17" t="n">
        <v>1141</v>
      </c>
      <c r="B1145" s="17" t="s">
        <v>41</v>
      </c>
      <c r="C1145" s="17" t="s">
        <v>43</v>
      </c>
      <c r="D1145" s="17" t="s">
        <v>49</v>
      </c>
      <c r="E1145" s="17" t="s">
        <v>54</v>
      </c>
      <c r="F1145" s="25" t="n">
        <f aca="false">SUMPRODUCT(--((('Yellow Bosses'!$I$5:$I$53&gt;=2)+('Yellow Bosses'!$K$5:$K$53&gt;=2)+('Yellow Bosses'!$Q$5:$Q$53&gt;=2)+('Yellow Bosses'!$V$5:$V$53&gt;=2))&gt;0))</f>
        <v>25</v>
      </c>
      <c r="G1145" s="26" t="n">
        <f aca="false">F1145/49</f>
        <v>0.510204081632653</v>
      </c>
      <c r="H1145" s="25" t="n">
        <f aca="false">49-SUMPRODUCT(--((('Yellow Bosses'!$I$5:$I$53&gt;=1)+('Yellow Bosses'!$K$5:$K$53&gt;=1)+('Yellow Bosses'!$Q$5:$Q$53&gt;=1)+('Yellow Bosses'!$V$5:$V$53&gt;=1))&gt;0))</f>
        <v>0</v>
      </c>
      <c r="I1145" s="25" t="n">
        <f aca="false">SUMPRODUCT(--((('Yellow Bosses'!$I$5:$I$53&gt;0)+('Yellow Bosses'!$K$5:$K$53&gt;0)+('Yellow Bosses'!$Q$5:$Q$53&gt;0)+('Yellow Bosses'!$V$5:$V$53&gt;0))=0))</f>
        <v>0</v>
      </c>
      <c r="J1145" s="25" t="n">
        <f aca="false">SUMPRODUCT(--(((Effectiveness!$F$5:$F$155&gt;=2)+(Effectiveness!$H$5:$H$155&gt;=2)+(Effectiveness!$N$5:$N$155&gt;=2)+(Effectiveness!$S$5:$S$155&gt;=2))&gt;0))</f>
        <v>81</v>
      </c>
      <c r="K1145" s="26" t="n">
        <f aca="false">J1145/151</f>
        <v>0.536423841059603</v>
      </c>
      <c r="L1145" s="25" t="n">
        <f aca="false">MIN(INDEX('Move Reality'!$F$5:$F$19,MATCH(B1145,'Move Reality'!$A$5:$A$19,0)),INDEX('Move Reality'!$F$5:$F$19,MATCH(C1145,'Move Reality'!$A$5:$A$19,0)),INDEX('Move Reality'!$F$5:$F$19,MATCH(D1145,'Move Reality'!$A$5:$A$19,0)),INDEX('Move Reality'!$F$5:$F$19,MATCH(E1145,'Move Reality'!$A$5:$A$19,0)))</f>
        <v>1</v>
      </c>
      <c r="M1145" s="28" t="str">
        <f aca="false">IF(L1145&gt;=5,"YES","no - dead move")</f>
        <v>no - dead move</v>
      </c>
    </row>
    <row r="1146" customFormat="false" ht="15" hidden="false" customHeight="false" outlineLevel="0" collapsed="false">
      <c r="A1146" s="17" t="n">
        <v>1142</v>
      </c>
      <c r="B1146" s="17" t="s">
        <v>40</v>
      </c>
      <c r="C1146" s="17" t="s">
        <v>42</v>
      </c>
      <c r="D1146" s="17" t="s">
        <v>43</v>
      </c>
      <c r="E1146" s="17" t="s">
        <v>47</v>
      </c>
      <c r="F1146" s="25" t="n">
        <f aca="false">SUMPRODUCT(--((('Yellow Bosses'!$H$5:$H$53&gt;=2)+('Yellow Bosses'!$J$5:$J$53&gt;=2)+('Yellow Bosses'!$K$5:$K$53&gt;=2)+('Yellow Bosses'!$O$5:$O$53&gt;=2))&gt;0))</f>
        <v>25</v>
      </c>
      <c r="G1146" s="26" t="n">
        <f aca="false">F1146/49</f>
        <v>0.510204081632653</v>
      </c>
      <c r="H1146" s="25" t="n">
        <f aca="false">49-SUMPRODUCT(--((('Yellow Bosses'!$H$5:$H$53&gt;=1)+('Yellow Bosses'!$J$5:$J$53&gt;=1)+('Yellow Bosses'!$K$5:$K$53&gt;=1)+('Yellow Bosses'!$O$5:$O$53&gt;=1))&gt;0))</f>
        <v>0</v>
      </c>
      <c r="I1146" s="25" t="n">
        <f aca="false">SUMPRODUCT(--((('Yellow Bosses'!$H$5:$H$53&gt;0)+('Yellow Bosses'!$J$5:$J$53&gt;0)+('Yellow Bosses'!$K$5:$K$53&gt;0)+('Yellow Bosses'!$O$5:$O$53&gt;0))=0))</f>
        <v>0</v>
      </c>
      <c r="J1146" s="25" t="n">
        <f aca="false">SUMPRODUCT(--(((Effectiveness!$E$5:$E$155&gt;=2)+(Effectiveness!$G$5:$G$155&gt;=2)+(Effectiveness!$H$5:$H$155&gt;=2)+(Effectiveness!$L$5:$L$155&gt;=2))&gt;0))</f>
        <v>80</v>
      </c>
      <c r="K1146" s="26" t="n">
        <f aca="false">J1146/151</f>
        <v>0.529801324503311</v>
      </c>
      <c r="L1146" s="25" t="n">
        <f aca="false">MIN(INDEX('Move Reality'!$F$5:$F$19,MATCH(B1146,'Move Reality'!$A$5:$A$19,0)),INDEX('Move Reality'!$F$5:$F$19,MATCH(C1146,'Move Reality'!$A$5:$A$19,0)),INDEX('Move Reality'!$F$5:$F$19,MATCH(D1146,'Move Reality'!$A$5:$A$19,0)),INDEX('Move Reality'!$F$5:$F$19,MATCH(E1146,'Move Reality'!$A$5:$A$19,0)))</f>
        <v>2</v>
      </c>
      <c r="M1146" s="28" t="str">
        <f aca="false">IF(L1146&gt;=5,"YES","no - dead move")</f>
        <v>no - dead move</v>
      </c>
    </row>
    <row r="1147" customFormat="false" ht="15" hidden="false" customHeight="false" outlineLevel="0" collapsed="false">
      <c r="A1147" s="17" t="n">
        <v>1143</v>
      </c>
      <c r="B1147" s="17" t="s">
        <v>42</v>
      </c>
      <c r="C1147" s="17" t="s">
        <v>43</v>
      </c>
      <c r="D1147" s="17" t="s">
        <v>44</v>
      </c>
      <c r="E1147" s="17" t="s">
        <v>47</v>
      </c>
      <c r="F1147" s="25" t="n">
        <f aca="false">SUMPRODUCT(--((('Yellow Bosses'!$J$5:$J$53&gt;=2)+('Yellow Bosses'!$K$5:$K$53&gt;=2)+('Yellow Bosses'!$L$5:$L$53&gt;=2)+('Yellow Bosses'!$O$5:$O$53&gt;=2))&gt;0))</f>
        <v>25</v>
      </c>
      <c r="G1147" s="26" t="n">
        <f aca="false">F1147/49</f>
        <v>0.510204081632653</v>
      </c>
      <c r="H1147" s="25" t="n">
        <f aca="false">49-SUMPRODUCT(--((('Yellow Bosses'!$J$5:$J$53&gt;=1)+('Yellow Bosses'!$K$5:$K$53&gt;=1)+('Yellow Bosses'!$L$5:$L$53&gt;=1)+('Yellow Bosses'!$O$5:$O$53&gt;=1))&gt;0))</f>
        <v>0</v>
      </c>
      <c r="I1147" s="25" t="n">
        <f aca="false">SUMPRODUCT(--((('Yellow Bosses'!$J$5:$J$53&gt;0)+('Yellow Bosses'!$K$5:$K$53&gt;0)+('Yellow Bosses'!$L$5:$L$53&gt;0)+('Yellow Bosses'!$O$5:$O$53&gt;0))=0))</f>
        <v>0</v>
      </c>
      <c r="J1147" s="25" t="n">
        <f aca="false">SUMPRODUCT(--(((Effectiveness!$G$5:$G$155&gt;=2)+(Effectiveness!$H$5:$H$155&gt;=2)+(Effectiveness!$I$5:$I$155&gt;=2)+(Effectiveness!$L$5:$L$155&gt;=2))&gt;0))</f>
        <v>80</v>
      </c>
      <c r="K1147" s="26" t="n">
        <f aca="false">J1147/151</f>
        <v>0.529801324503311</v>
      </c>
      <c r="L1147" s="25" t="n">
        <f aca="false">MIN(INDEX('Move Reality'!$F$5:$F$19,MATCH(B1147,'Move Reality'!$A$5:$A$19,0)),INDEX('Move Reality'!$F$5:$F$19,MATCH(C1147,'Move Reality'!$A$5:$A$19,0)),INDEX('Move Reality'!$F$5:$F$19,MATCH(D1147,'Move Reality'!$A$5:$A$19,0)),INDEX('Move Reality'!$F$5:$F$19,MATCH(E1147,'Move Reality'!$A$5:$A$19,0)))</f>
        <v>2</v>
      </c>
      <c r="M1147" s="28" t="str">
        <f aca="false">IF(L1147&gt;=5,"YES","no - dead move")</f>
        <v>no - dead move</v>
      </c>
    </row>
    <row r="1148" customFormat="false" ht="15" hidden="false" customHeight="false" outlineLevel="0" collapsed="false">
      <c r="A1148" s="17" t="n">
        <v>1144</v>
      </c>
      <c r="B1148" s="17" t="s">
        <v>40</v>
      </c>
      <c r="C1148" s="17" t="s">
        <v>44</v>
      </c>
      <c r="D1148" s="17" t="s">
        <v>45</v>
      </c>
      <c r="E1148" s="17" t="s">
        <v>47</v>
      </c>
      <c r="F1148" s="25" t="n">
        <f aca="false">SUMPRODUCT(--((('Yellow Bosses'!$H$5:$H$53&gt;=2)+('Yellow Bosses'!$L$5:$L$53&gt;=2)+('Yellow Bosses'!$M$5:$M$53&gt;=2)+('Yellow Bosses'!$O$5:$O$53&gt;=2))&gt;0))</f>
        <v>25</v>
      </c>
      <c r="G1148" s="26" t="n">
        <f aca="false">F1148/49</f>
        <v>0.510204081632653</v>
      </c>
      <c r="H1148" s="25" t="n">
        <f aca="false">49-SUMPRODUCT(--((('Yellow Bosses'!$H$5:$H$53&gt;=1)+('Yellow Bosses'!$L$5:$L$53&gt;=1)+('Yellow Bosses'!$M$5:$M$53&gt;=1)+('Yellow Bosses'!$O$5:$O$53&gt;=1))&gt;0))</f>
        <v>0</v>
      </c>
      <c r="I1148" s="25" t="n">
        <f aca="false">SUMPRODUCT(--((('Yellow Bosses'!$H$5:$H$53&gt;0)+('Yellow Bosses'!$L$5:$L$53&gt;0)+('Yellow Bosses'!$M$5:$M$53&gt;0)+('Yellow Bosses'!$O$5:$O$53&gt;0))=0))</f>
        <v>0</v>
      </c>
      <c r="J1148" s="25" t="n">
        <f aca="false">SUMPRODUCT(--(((Effectiveness!$E$5:$E$155&gt;=2)+(Effectiveness!$I$5:$I$155&gt;=2)+(Effectiveness!$J$5:$J$155&gt;=2)+(Effectiveness!$L$5:$L$155&gt;=2))&gt;0))</f>
        <v>79</v>
      </c>
      <c r="K1148" s="26" t="n">
        <f aca="false">J1148/151</f>
        <v>0.52317880794702</v>
      </c>
      <c r="L1148" s="25" t="n">
        <f aca="false">MIN(INDEX('Move Reality'!$F$5:$F$19,MATCH(B1148,'Move Reality'!$A$5:$A$19,0)),INDEX('Move Reality'!$F$5:$F$19,MATCH(C1148,'Move Reality'!$A$5:$A$19,0)),INDEX('Move Reality'!$F$5:$F$19,MATCH(D1148,'Move Reality'!$A$5:$A$19,0)),INDEX('Move Reality'!$F$5:$F$19,MATCH(E1148,'Move Reality'!$A$5:$A$19,0)))</f>
        <v>2</v>
      </c>
      <c r="M1148" s="28" t="str">
        <f aca="false">IF(L1148&gt;=5,"YES","no - dead move")</f>
        <v>no - dead move</v>
      </c>
    </row>
    <row r="1149" customFormat="false" ht="15" hidden="false" customHeight="false" outlineLevel="0" collapsed="false">
      <c r="A1149" s="17" t="n">
        <v>1145</v>
      </c>
      <c r="B1149" s="17" t="s">
        <v>44</v>
      </c>
      <c r="C1149" s="17" t="s">
        <v>45</v>
      </c>
      <c r="D1149" s="17" t="s">
        <v>47</v>
      </c>
      <c r="E1149" s="17" t="s">
        <v>54</v>
      </c>
      <c r="F1149" s="25" t="n">
        <f aca="false">SUMPRODUCT(--((('Yellow Bosses'!$L$5:$L$53&gt;=2)+('Yellow Bosses'!$M$5:$M$53&gt;=2)+('Yellow Bosses'!$O$5:$O$53&gt;=2)+('Yellow Bosses'!$V$5:$V$53&gt;=2))&gt;0))</f>
        <v>25</v>
      </c>
      <c r="G1149" s="26" t="n">
        <f aca="false">F1149/49</f>
        <v>0.510204081632653</v>
      </c>
      <c r="H1149" s="25" t="n">
        <f aca="false">49-SUMPRODUCT(--((('Yellow Bosses'!$L$5:$L$53&gt;=1)+('Yellow Bosses'!$M$5:$M$53&gt;=1)+('Yellow Bosses'!$O$5:$O$53&gt;=1)+('Yellow Bosses'!$V$5:$V$53&gt;=1))&gt;0))</f>
        <v>0</v>
      </c>
      <c r="I1149" s="25" t="n">
        <f aca="false">SUMPRODUCT(--((('Yellow Bosses'!$L$5:$L$53&gt;0)+('Yellow Bosses'!$M$5:$M$53&gt;0)+('Yellow Bosses'!$O$5:$O$53&gt;0)+('Yellow Bosses'!$V$5:$V$53&gt;0))=0))</f>
        <v>0</v>
      </c>
      <c r="J1149" s="25" t="n">
        <f aca="false">SUMPRODUCT(--(((Effectiveness!$I$5:$I$155&gt;=2)+(Effectiveness!$J$5:$J$155&gt;=2)+(Effectiveness!$L$5:$L$155&gt;=2)+(Effectiveness!$S$5:$S$155&gt;=2))&gt;0))</f>
        <v>79</v>
      </c>
      <c r="K1149" s="26" t="n">
        <f aca="false">J1149/151</f>
        <v>0.52317880794702</v>
      </c>
      <c r="L1149" s="25" t="n">
        <f aca="false">MIN(INDEX('Move Reality'!$F$5:$F$19,MATCH(B1149,'Move Reality'!$A$5:$A$19,0)),INDEX('Move Reality'!$F$5:$F$19,MATCH(C1149,'Move Reality'!$A$5:$A$19,0)),INDEX('Move Reality'!$F$5:$F$19,MATCH(D1149,'Move Reality'!$A$5:$A$19,0)),INDEX('Move Reality'!$F$5:$F$19,MATCH(E1149,'Move Reality'!$A$5:$A$19,0)))</f>
        <v>1</v>
      </c>
      <c r="M1149" s="28" t="str">
        <f aca="false">IF(L1149&gt;=5,"YES","no - dead move")</f>
        <v>no - dead move</v>
      </c>
    </row>
    <row r="1150" customFormat="false" ht="15" hidden="false" customHeight="false" outlineLevel="0" collapsed="false">
      <c r="A1150" s="17" t="n">
        <v>1146</v>
      </c>
      <c r="B1150" s="17" t="s">
        <v>41</v>
      </c>
      <c r="C1150" s="17" t="s">
        <v>43</v>
      </c>
      <c r="D1150" s="17" t="s">
        <v>53</v>
      </c>
      <c r="E1150" s="17" t="s">
        <v>54</v>
      </c>
      <c r="F1150" s="25" t="n">
        <f aca="false">SUMPRODUCT(--((('Yellow Bosses'!$I$5:$I$53&gt;=2)+('Yellow Bosses'!$K$5:$K$53&gt;=2)+('Yellow Bosses'!$U$5:$U$53&gt;=2)+('Yellow Bosses'!$V$5:$V$53&gt;=2))&gt;0))</f>
        <v>25</v>
      </c>
      <c r="G1150" s="26" t="n">
        <f aca="false">F1150/49</f>
        <v>0.510204081632653</v>
      </c>
      <c r="H1150" s="25" t="n">
        <f aca="false">49-SUMPRODUCT(--((('Yellow Bosses'!$I$5:$I$53&gt;=1)+('Yellow Bosses'!$K$5:$K$53&gt;=1)+('Yellow Bosses'!$U$5:$U$53&gt;=1)+('Yellow Bosses'!$V$5:$V$53&gt;=1))&gt;0))</f>
        <v>0</v>
      </c>
      <c r="I1150" s="25" t="n">
        <f aca="false">SUMPRODUCT(--((('Yellow Bosses'!$I$5:$I$53&gt;0)+('Yellow Bosses'!$K$5:$K$53&gt;0)+('Yellow Bosses'!$U$5:$U$53&gt;0)+('Yellow Bosses'!$V$5:$V$53&gt;0))=0))</f>
        <v>0</v>
      </c>
      <c r="J1150" s="25" t="n">
        <f aca="false">SUMPRODUCT(--(((Effectiveness!$F$5:$F$155&gt;=2)+(Effectiveness!$H$5:$H$155&gt;=2)+(Effectiveness!$R$5:$R$155&gt;=2)+(Effectiveness!$S$5:$S$155&gt;=2))&gt;0))</f>
        <v>77</v>
      </c>
      <c r="K1150" s="26" t="n">
        <f aca="false">J1150/151</f>
        <v>0.509933774834437</v>
      </c>
      <c r="L1150" s="25" t="n">
        <f aca="false">MIN(INDEX('Move Reality'!$F$5:$F$19,MATCH(B1150,'Move Reality'!$A$5:$A$19,0)),INDEX('Move Reality'!$F$5:$F$19,MATCH(C1150,'Move Reality'!$A$5:$A$19,0)),INDEX('Move Reality'!$F$5:$F$19,MATCH(D1150,'Move Reality'!$A$5:$A$19,0)),INDEX('Move Reality'!$F$5:$F$19,MATCH(E1150,'Move Reality'!$A$5:$A$19,0)))</f>
        <v>1</v>
      </c>
      <c r="M1150" s="28" t="str">
        <f aca="false">IF(L1150&gt;=5,"YES","no - dead move")</f>
        <v>no - dead move</v>
      </c>
    </row>
    <row r="1151" customFormat="false" ht="15" hidden="false" customHeight="false" outlineLevel="0" collapsed="false">
      <c r="A1151" s="17" t="n">
        <v>1147</v>
      </c>
      <c r="B1151" s="17" t="s">
        <v>43</v>
      </c>
      <c r="C1151" s="17" t="s">
        <v>47</v>
      </c>
      <c r="D1151" s="17" t="s">
        <v>52</v>
      </c>
      <c r="E1151" s="17" t="s">
        <v>53</v>
      </c>
      <c r="F1151" s="25" t="n">
        <f aca="false">SUMPRODUCT(--((('Yellow Bosses'!$K$5:$K$53&gt;=2)+('Yellow Bosses'!$O$5:$O$53&gt;=2)+('Yellow Bosses'!$T$5:$T$53&gt;=2)+('Yellow Bosses'!$U$5:$U$53&gt;=2))&gt;0))</f>
        <v>25</v>
      </c>
      <c r="G1151" s="26" t="n">
        <f aca="false">F1151/49</f>
        <v>0.510204081632653</v>
      </c>
      <c r="H1151" s="25" t="n">
        <f aca="false">49-SUMPRODUCT(--((('Yellow Bosses'!$K$5:$K$53&gt;=1)+('Yellow Bosses'!$O$5:$O$53&gt;=1)+('Yellow Bosses'!$T$5:$T$53&gt;=1)+('Yellow Bosses'!$U$5:$U$53&gt;=1))&gt;0))</f>
        <v>0</v>
      </c>
      <c r="I1151" s="25" t="n">
        <f aca="false">SUMPRODUCT(--((('Yellow Bosses'!$K$5:$K$53&gt;0)+('Yellow Bosses'!$O$5:$O$53&gt;0)+('Yellow Bosses'!$T$5:$T$53&gt;0)+('Yellow Bosses'!$U$5:$U$53&gt;0))=0))</f>
        <v>0</v>
      </c>
      <c r="J1151" s="25" t="n">
        <f aca="false">SUMPRODUCT(--(((Effectiveness!$H$5:$H$155&gt;=2)+(Effectiveness!$L$5:$L$155&gt;=2)+(Effectiveness!$Q$5:$Q$155&gt;=2)+(Effectiveness!$R$5:$R$155&gt;=2))&gt;0))</f>
        <v>77</v>
      </c>
      <c r="K1151" s="26" t="n">
        <f aca="false">J1151/151</f>
        <v>0.509933774834437</v>
      </c>
      <c r="L1151" s="25" t="n">
        <f aca="false">MIN(INDEX('Move Reality'!$F$5:$F$19,MATCH(B1151,'Move Reality'!$A$5:$A$19,0)),INDEX('Move Reality'!$F$5:$F$19,MATCH(C1151,'Move Reality'!$A$5:$A$19,0)),INDEX('Move Reality'!$F$5:$F$19,MATCH(D1151,'Move Reality'!$A$5:$A$19,0)),INDEX('Move Reality'!$F$5:$F$19,MATCH(E1151,'Move Reality'!$A$5:$A$19,0)))</f>
        <v>1</v>
      </c>
      <c r="M1151" s="28" t="str">
        <f aca="false">IF(L1151&gt;=5,"YES","no - dead move")</f>
        <v>no - dead move</v>
      </c>
    </row>
    <row r="1152" customFormat="false" ht="15" hidden="false" customHeight="false" outlineLevel="0" collapsed="false">
      <c r="A1152" s="17" t="n">
        <v>1148</v>
      </c>
      <c r="B1152" s="17" t="s">
        <v>40</v>
      </c>
      <c r="C1152" s="17" t="s">
        <v>44</v>
      </c>
      <c r="D1152" s="17" t="s">
        <v>45</v>
      </c>
      <c r="E1152" s="17" t="s">
        <v>54</v>
      </c>
      <c r="F1152" s="25" t="n">
        <f aca="false">SUMPRODUCT(--((('Yellow Bosses'!$H$5:$H$53&gt;=2)+('Yellow Bosses'!$L$5:$L$53&gt;=2)+('Yellow Bosses'!$M$5:$M$53&gt;=2)+('Yellow Bosses'!$V$5:$V$53&gt;=2))&gt;0))</f>
        <v>25</v>
      </c>
      <c r="G1152" s="26" t="n">
        <f aca="false">F1152/49</f>
        <v>0.510204081632653</v>
      </c>
      <c r="H1152" s="25" t="n">
        <f aca="false">49-SUMPRODUCT(--((('Yellow Bosses'!$H$5:$H$53&gt;=1)+('Yellow Bosses'!$L$5:$L$53&gt;=1)+('Yellow Bosses'!$M$5:$M$53&gt;=1)+('Yellow Bosses'!$V$5:$V$53&gt;=1))&gt;0))</f>
        <v>0</v>
      </c>
      <c r="I1152" s="25" t="n">
        <f aca="false">SUMPRODUCT(--((('Yellow Bosses'!$H$5:$H$53&gt;0)+('Yellow Bosses'!$L$5:$L$53&gt;0)+('Yellow Bosses'!$M$5:$M$53&gt;0)+('Yellow Bosses'!$V$5:$V$53&gt;0))=0))</f>
        <v>0</v>
      </c>
      <c r="J1152" s="25" t="n">
        <f aca="false">SUMPRODUCT(--(((Effectiveness!$E$5:$E$155&gt;=2)+(Effectiveness!$I$5:$I$155&gt;=2)+(Effectiveness!$J$5:$J$155&gt;=2)+(Effectiveness!$S$5:$S$155&gt;=2))&gt;0))</f>
        <v>76</v>
      </c>
      <c r="K1152" s="26" t="n">
        <f aca="false">J1152/151</f>
        <v>0.503311258278146</v>
      </c>
      <c r="L1152" s="25" t="n">
        <f aca="false">MIN(INDEX('Move Reality'!$F$5:$F$19,MATCH(B1152,'Move Reality'!$A$5:$A$19,0)),INDEX('Move Reality'!$F$5:$F$19,MATCH(C1152,'Move Reality'!$A$5:$A$19,0)),INDEX('Move Reality'!$F$5:$F$19,MATCH(D1152,'Move Reality'!$A$5:$A$19,0)),INDEX('Move Reality'!$F$5:$F$19,MATCH(E1152,'Move Reality'!$A$5:$A$19,0)))</f>
        <v>1</v>
      </c>
      <c r="M1152" s="28" t="str">
        <f aca="false">IF(L1152&gt;=5,"YES","no - dead move")</f>
        <v>no - dead move</v>
      </c>
    </row>
    <row r="1153" customFormat="false" ht="15" hidden="false" customHeight="false" outlineLevel="0" collapsed="false">
      <c r="A1153" s="17" t="n">
        <v>1149</v>
      </c>
      <c r="B1153" s="17" t="s">
        <v>43</v>
      </c>
      <c r="C1153" s="17" t="s">
        <v>52</v>
      </c>
      <c r="D1153" s="17" t="s">
        <v>53</v>
      </c>
      <c r="E1153" s="17" t="s">
        <v>54</v>
      </c>
      <c r="F1153" s="25" t="n">
        <f aca="false">SUMPRODUCT(--((('Yellow Bosses'!$K$5:$K$53&gt;=2)+('Yellow Bosses'!$T$5:$T$53&gt;=2)+('Yellow Bosses'!$U$5:$U$53&gt;=2)+('Yellow Bosses'!$V$5:$V$53&gt;=2))&gt;0))</f>
        <v>25</v>
      </c>
      <c r="G1153" s="26" t="n">
        <f aca="false">F1153/49</f>
        <v>0.510204081632653</v>
      </c>
      <c r="H1153" s="25" t="n">
        <f aca="false">49-SUMPRODUCT(--((('Yellow Bosses'!$K$5:$K$53&gt;=1)+('Yellow Bosses'!$T$5:$T$53&gt;=1)+('Yellow Bosses'!$U$5:$U$53&gt;=1)+('Yellow Bosses'!$V$5:$V$53&gt;=1))&gt;0))</f>
        <v>0</v>
      </c>
      <c r="I1153" s="25" t="n">
        <f aca="false">SUMPRODUCT(--((('Yellow Bosses'!$K$5:$K$53&gt;0)+('Yellow Bosses'!$T$5:$T$53&gt;0)+('Yellow Bosses'!$U$5:$U$53&gt;0)+('Yellow Bosses'!$V$5:$V$53&gt;0))=0))</f>
        <v>0</v>
      </c>
      <c r="J1153" s="25" t="n">
        <f aca="false">SUMPRODUCT(--(((Effectiveness!$H$5:$H$155&gt;=2)+(Effectiveness!$Q$5:$Q$155&gt;=2)+(Effectiveness!$R$5:$R$155&gt;=2)+(Effectiveness!$S$5:$S$155&gt;=2))&gt;0))</f>
        <v>76</v>
      </c>
      <c r="K1153" s="26" t="n">
        <f aca="false">J1153/151</f>
        <v>0.503311258278146</v>
      </c>
      <c r="L1153" s="25" t="n">
        <f aca="false">MIN(INDEX('Move Reality'!$F$5:$F$19,MATCH(B1153,'Move Reality'!$A$5:$A$19,0)),INDEX('Move Reality'!$F$5:$F$19,MATCH(C1153,'Move Reality'!$A$5:$A$19,0)),INDEX('Move Reality'!$F$5:$F$19,MATCH(D1153,'Move Reality'!$A$5:$A$19,0)),INDEX('Move Reality'!$F$5:$F$19,MATCH(E1153,'Move Reality'!$A$5:$A$19,0)))</f>
        <v>1</v>
      </c>
      <c r="M1153" s="28" t="str">
        <f aca="false">IF(L1153&gt;=5,"YES","no - dead move")</f>
        <v>no - dead move</v>
      </c>
    </row>
    <row r="1154" customFormat="false" ht="15" hidden="false" customHeight="false" outlineLevel="0" collapsed="false">
      <c r="A1154" s="17" t="n">
        <v>1150</v>
      </c>
      <c r="B1154" s="17" t="s">
        <v>45</v>
      </c>
      <c r="C1154" s="17" t="s">
        <v>46</v>
      </c>
      <c r="D1154" s="17" t="s">
        <v>47</v>
      </c>
      <c r="E1154" s="17" t="s">
        <v>53</v>
      </c>
      <c r="F1154" s="25" t="n">
        <f aca="false">SUMPRODUCT(--((('Yellow Bosses'!$M$5:$M$53&gt;=2)+('Yellow Bosses'!$N$5:$N$53&gt;=2)+('Yellow Bosses'!$O$5:$O$53&gt;=2)+('Yellow Bosses'!$U$5:$U$53&gt;=2))&gt;0))</f>
        <v>25</v>
      </c>
      <c r="G1154" s="26" t="n">
        <f aca="false">F1154/49</f>
        <v>0.510204081632653</v>
      </c>
      <c r="H1154" s="25" t="n">
        <f aca="false">49-SUMPRODUCT(--((('Yellow Bosses'!$M$5:$M$53&gt;=1)+('Yellow Bosses'!$N$5:$N$53&gt;=1)+('Yellow Bosses'!$O$5:$O$53&gt;=1)+('Yellow Bosses'!$U$5:$U$53&gt;=1))&gt;0))</f>
        <v>0</v>
      </c>
      <c r="I1154" s="25" t="n">
        <f aca="false">SUMPRODUCT(--((('Yellow Bosses'!$M$5:$M$53&gt;0)+('Yellow Bosses'!$N$5:$N$53&gt;0)+('Yellow Bosses'!$O$5:$O$53&gt;0)+('Yellow Bosses'!$U$5:$U$53&gt;0))=0))</f>
        <v>0</v>
      </c>
      <c r="J1154" s="25" t="n">
        <f aca="false">SUMPRODUCT(--(((Effectiveness!$J$5:$J$155&gt;=2)+(Effectiveness!$K$5:$K$155&gt;=2)+(Effectiveness!$L$5:$L$155&gt;=2)+(Effectiveness!$R$5:$R$155&gt;=2))&gt;0))</f>
        <v>76</v>
      </c>
      <c r="K1154" s="26" t="n">
        <f aca="false">J1154/151</f>
        <v>0.503311258278146</v>
      </c>
      <c r="L1154" s="25" t="n">
        <f aca="false">MIN(INDEX('Move Reality'!$F$5:$F$19,MATCH(B1154,'Move Reality'!$A$5:$A$19,0)),INDEX('Move Reality'!$F$5:$F$19,MATCH(C1154,'Move Reality'!$A$5:$A$19,0)),INDEX('Move Reality'!$F$5:$F$19,MATCH(D1154,'Move Reality'!$A$5:$A$19,0)),INDEX('Move Reality'!$F$5:$F$19,MATCH(E1154,'Move Reality'!$A$5:$A$19,0)))</f>
        <v>1</v>
      </c>
      <c r="M1154" s="28" t="str">
        <f aca="false">IF(L1154&gt;=5,"YES","no - dead move")</f>
        <v>no - dead move</v>
      </c>
    </row>
    <row r="1155" customFormat="false" ht="15" hidden="false" customHeight="false" outlineLevel="0" collapsed="false">
      <c r="A1155" s="17" t="n">
        <v>1151</v>
      </c>
      <c r="B1155" s="17" t="s">
        <v>42</v>
      </c>
      <c r="C1155" s="17" t="s">
        <v>44</v>
      </c>
      <c r="D1155" s="17" t="s">
        <v>46</v>
      </c>
      <c r="E1155" s="17" t="s">
        <v>53</v>
      </c>
      <c r="F1155" s="25" t="n">
        <f aca="false">SUMPRODUCT(--((('Yellow Bosses'!$J$5:$J$53&gt;=2)+('Yellow Bosses'!$L$5:$L$53&gt;=2)+('Yellow Bosses'!$N$5:$N$53&gt;=2)+('Yellow Bosses'!$U$5:$U$53&gt;=2))&gt;0))</f>
        <v>25</v>
      </c>
      <c r="G1155" s="26" t="n">
        <f aca="false">F1155/49</f>
        <v>0.510204081632653</v>
      </c>
      <c r="H1155" s="25" t="n">
        <f aca="false">49-SUMPRODUCT(--((('Yellow Bosses'!$J$5:$J$53&gt;=1)+('Yellow Bosses'!$L$5:$L$53&gt;=1)+('Yellow Bosses'!$N$5:$N$53&gt;=1)+('Yellow Bosses'!$U$5:$U$53&gt;=1))&gt;0))</f>
        <v>1</v>
      </c>
      <c r="I1155" s="25" t="n">
        <f aca="false">SUMPRODUCT(--((('Yellow Bosses'!$J$5:$J$53&gt;0)+('Yellow Bosses'!$L$5:$L$53&gt;0)+('Yellow Bosses'!$N$5:$N$53&gt;0)+('Yellow Bosses'!$U$5:$U$53&gt;0))=0))</f>
        <v>0</v>
      </c>
      <c r="J1155" s="25" t="n">
        <f aca="false">SUMPRODUCT(--(((Effectiveness!$G$5:$G$155&gt;=2)+(Effectiveness!$I$5:$I$155&gt;=2)+(Effectiveness!$K$5:$K$155&gt;=2)+(Effectiveness!$R$5:$R$155&gt;=2))&gt;0))</f>
        <v>75</v>
      </c>
      <c r="K1155" s="26" t="n">
        <f aca="false">J1155/151</f>
        <v>0.496688741721854</v>
      </c>
      <c r="L1155" s="25" t="n">
        <f aca="false">MIN(INDEX('Move Reality'!$F$5:$F$19,MATCH(B1155,'Move Reality'!$A$5:$A$19,0)),INDEX('Move Reality'!$F$5:$F$19,MATCH(C1155,'Move Reality'!$A$5:$A$19,0)),INDEX('Move Reality'!$F$5:$F$19,MATCH(D1155,'Move Reality'!$A$5:$A$19,0)),INDEX('Move Reality'!$F$5:$F$19,MATCH(E1155,'Move Reality'!$A$5:$A$19,0)))</f>
        <v>1</v>
      </c>
      <c r="M1155" s="28" t="str">
        <f aca="false">IF(L1155&gt;=5,"YES","no - dead move")</f>
        <v>no - dead move</v>
      </c>
    </row>
    <row r="1156" customFormat="false" ht="15" hidden="false" customHeight="false" outlineLevel="0" collapsed="false">
      <c r="A1156" s="17" t="n">
        <v>1152</v>
      </c>
      <c r="B1156" s="17" t="s">
        <v>42</v>
      </c>
      <c r="C1156" s="17" t="s">
        <v>44</v>
      </c>
      <c r="D1156" s="17" t="s">
        <v>46</v>
      </c>
      <c r="E1156" s="17" t="s">
        <v>54</v>
      </c>
      <c r="F1156" s="25" t="n">
        <f aca="false">SUMPRODUCT(--((('Yellow Bosses'!$J$5:$J$53&gt;=2)+('Yellow Bosses'!$L$5:$L$53&gt;=2)+('Yellow Bosses'!$N$5:$N$53&gt;=2)+('Yellow Bosses'!$V$5:$V$53&gt;=2))&gt;0))</f>
        <v>25</v>
      </c>
      <c r="G1156" s="26" t="n">
        <f aca="false">F1156/49</f>
        <v>0.510204081632653</v>
      </c>
      <c r="H1156" s="25" t="n">
        <f aca="false">49-SUMPRODUCT(--((('Yellow Bosses'!$J$5:$J$53&gt;=1)+('Yellow Bosses'!$L$5:$L$53&gt;=1)+('Yellow Bosses'!$N$5:$N$53&gt;=1)+('Yellow Bosses'!$V$5:$V$53&gt;=1))&gt;0))</f>
        <v>0</v>
      </c>
      <c r="I1156" s="25" t="n">
        <f aca="false">SUMPRODUCT(--((('Yellow Bosses'!$J$5:$J$53&gt;0)+('Yellow Bosses'!$L$5:$L$53&gt;0)+('Yellow Bosses'!$N$5:$N$53&gt;0)+('Yellow Bosses'!$V$5:$V$53&gt;0))=0))</f>
        <v>0</v>
      </c>
      <c r="J1156" s="25" t="n">
        <f aca="false">SUMPRODUCT(--(((Effectiveness!$G$5:$G$155&gt;=2)+(Effectiveness!$I$5:$I$155&gt;=2)+(Effectiveness!$K$5:$K$155&gt;=2)+(Effectiveness!$S$5:$S$155&gt;=2))&gt;0))</f>
        <v>75</v>
      </c>
      <c r="K1156" s="26" t="n">
        <f aca="false">J1156/151</f>
        <v>0.496688741721854</v>
      </c>
      <c r="L1156" s="25" t="n">
        <f aca="false">MIN(INDEX('Move Reality'!$F$5:$F$19,MATCH(B1156,'Move Reality'!$A$5:$A$19,0)),INDEX('Move Reality'!$F$5:$F$19,MATCH(C1156,'Move Reality'!$A$5:$A$19,0)),INDEX('Move Reality'!$F$5:$F$19,MATCH(D1156,'Move Reality'!$A$5:$A$19,0)),INDEX('Move Reality'!$F$5:$F$19,MATCH(E1156,'Move Reality'!$A$5:$A$19,0)))</f>
        <v>1</v>
      </c>
      <c r="M1156" s="28" t="str">
        <f aca="false">IF(L1156&gt;=5,"YES","no - dead move")</f>
        <v>no - dead move</v>
      </c>
    </row>
    <row r="1157" customFormat="false" ht="15" hidden="false" customHeight="false" outlineLevel="0" collapsed="false">
      <c r="A1157" s="17" t="n">
        <v>1153</v>
      </c>
      <c r="B1157" s="17" t="s">
        <v>40</v>
      </c>
      <c r="C1157" s="17" t="s">
        <v>45</v>
      </c>
      <c r="D1157" s="17" t="s">
        <v>46</v>
      </c>
      <c r="E1157" s="17" t="s">
        <v>53</v>
      </c>
      <c r="F1157" s="25" t="n">
        <f aca="false">SUMPRODUCT(--((('Yellow Bosses'!$H$5:$H$53&gt;=2)+('Yellow Bosses'!$M$5:$M$53&gt;=2)+('Yellow Bosses'!$N$5:$N$53&gt;=2)+('Yellow Bosses'!$U$5:$U$53&gt;=2))&gt;0))</f>
        <v>25</v>
      </c>
      <c r="G1157" s="26" t="n">
        <f aca="false">F1157/49</f>
        <v>0.510204081632653</v>
      </c>
      <c r="H1157" s="25" t="n">
        <f aca="false">49-SUMPRODUCT(--((('Yellow Bosses'!$H$5:$H$53&gt;=1)+('Yellow Bosses'!$M$5:$M$53&gt;=1)+('Yellow Bosses'!$N$5:$N$53&gt;=1)+('Yellow Bosses'!$U$5:$U$53&gt;=1))&gt;0))</f>
        <v>0</v>
      </c>
      <c r="I1157" s="25" t="n">
        <f aca="false">SUMPRODUCT(--((('Yellow Bosses'!$H$5:$H$53&gt;0)+('Yellow Bosses'!$M$5:$M$53&gt;0)+('Yellow Bosses'!$N$5:$N$53&gt;0)+('Yellow Bosses'!$U$5:$U$53&gt;0))=0))</f>
        <v>0</v>
      </c>
      <c r="J1157" s="25" t="n">
        <f aca="false">SUMPRODUCT(--(((Effectiveness!$E$5:$E$155&gt;=2)+(Effectiveness!$J$5:$J$155&gt;=2)+(Effectiveness!$K$5:$K$155&gt;=2)+(Effectiveness!$R$5:$R$155&gt;=2))&gt;0))</f>
        <v>73</v>
      </c>
      <c r="K1157" s="26" t="n">
        <f aca="false">J1157/151</f>
        <v>0.483443708609272</v>
      </c>
      <c r="L1157" s="25" t="n">
        <f aca="false">MIN(INDEX('Move Reality'!$F$5:$F$19,MATCH(B1157,'Move Reality'!$A$5:$A$19,0)),INDEX('Move Reality'!$F$5:$F$19,MATCH(C1157,'Move Reality'!$A$5:$A$19,0)),INDEX('Move Reality'!$F$5:$F$19,MATCH(D1157,'Move Reality'!$A$5:$A$19,0)),INDEX('Move Reality'!$F$5:$F$19,MATCH(E1157,'Move Reality'!$A$5:$A$19,0)))</f>
        <v>1</v>
      </c>
      <c r="M1157" s="28" t="str">
        <f aca="false">IF(L1157&gt;=5,"YES","no - dead move")</f>
        <v>no - dead move</v>
      </c>
    </row>
    <row r="1158" customFormat="false" ht="15" hidden="false" customHeight="false" outlineLevel="0" collapsed="false">
      <c r="A1158" s="17" t="n">
        <v>1154</v>
      </c>
      <c r="B1158" s="17" t="s">
        <v>45</v>
      </c>
      <c r="C1158" s="17" t="s">
        <v>46</v>
      </c>
      <c r="D1158" s="17" t="s">
        <v>53</v>
      </c>
      <c r="E1158" s="17" t="s">
        <v>54</v>
      </c>
      <c r="F1158" s="25" t="n">
        <f aca="false">SUMPRODUCT(--((('Yellow Bosses'!$M$5:$M$53&gt;=2)+('Yellow Bosses'!$N$5:$N$53&gt;=2)+('Yellow Bosses'!$U$5:$U$53&gt;=2)+('Yellow Bosses'!$V$5:$V$53&gt;=2))&gt;0))</f>
        <v>25</v>
      </c>
      <c r="G1158" s="26" t="n">
        <f aca="false">F1158/49</f>
        <v>0.510204081632653</v>
      </c>
      <c r="H1158" s="25" t="n">
        <f aca="false">49-SUMPRODUCT(--((('Yellow Bosses'!$M$5:$M$53&gt;=1)+('Yellow Bosses'!$N$5:$N$53&gt;=1)+('Yellow Bosses'!$U$5:$U$53&gt;=1)+('Yellow Bosses'!$V$5:$V$53&gt;=1))&gt;0))</f>
        <v>0</v>
      </c>
      <c r="I1158" s="25" t="n">
        <f aca="false">SUMPRODUCT(--((('Yellow Bosses'!$M$5:$M$53&gt;0)+('Yellow Bosses'!$N$5:$N$53&gt;0)+('Yellow Bosses'!$U$5:$U$53&gt;0)+('Yellow Bosses'!$V$5:$V$53&gt;0))=0))</f>
        <v>0</v>
      </c>
      <c r="J1158" s="25" t="n">
        <f aca="false">SUMPRODUCT(--(((Effectiveness!$J$5:$J$155&gt;=2)+(Effectiveness!$K$5:$K$155&gt;=2)+(Effectiveness!$R$5:$R$155&gt;=2)+(Effectiveness!$S$5:$S$155&gt;=2))&gt;0))</f>
        <v>73</v>
      </c>
      <c r="K1158" s="26" t="n">
        <f aca="false">J1158/151</f>
        <v>0.483443708609272</v>
      </c>
      <c r="L1158" s="25" t="n">
        <f aca="false">MIN(INDEX('Move Reality'!$F$5:$F$19,MATCH(B1158,'Move Reality'!$A$5:$A$19,0)),INDEX('Move Reality'!$F$5:$F$19,MATCH(C1158,'Move Reality'!$A$5:$A$19,0)),INDEX('Move Reality'!$F$5:$F$19,MATCH(D1158,'Move Reality'!$A$5:$A$19,0)),INDEX('Move Reality'!$F$5:$F$19,MATCH(E1158,'Move Reality'!$A$5:$A$19,0)))</f>
        <v>1</v>
      </c>
      <c r="M1158" s="28" t="str">
        <f aca="false">IF(L1158&gt;=5,"YES","no - dead move")</f>
        <v>no - dead move</v>
      </c>
    </row>
    <row r="1159" customFormat="false" ht="15" hidden="false" customHeight="false" outlineLevel="0" collapsed="false">
      <c r="A1159" s="17" t="n">
        <v>1155</v>
      </c>
      <c r="B1159" s="17" t="s">
        <v>40</v>
      </c>
      <c r="C1159" s="17" t="s">
        <v>44</v>
      </c>
      <c r="D1159" s="17" t="s">
        <v>47</v>
      </c>
      <c r="E1159" s="17" t="s">
        <v>49</v>
      </c>
      <c r="F1159" s="25" t="n">
        <f aca="false">SUMPRODUCT(--((('Yellow Bosses'!$H$5:$H$53&gt;=2)+('Yellow Bosses'!$L$5:$L$53&gt;=2)+('Yellow Bosses'!$O$5:$O$53&gt;=2)+('Yellow Bosses'!$Q$5:$Q$53&gt;=2))&gt;0))</f>
        <v>25</v>
      </c>
      <c r="G1159" s="26" t="n">
        <f aca="false">F1159/49</f>
        <v>0.510204081632653</v>
      </c>
      <c r="H1159" s="25" t="n">
        <f aca="false">49-SUMPRODUCT(--((('Yellow Bosses'!$H$5:$H$53&gt;=1)+('Yellow Bosses'!$L$5:$L$53&gt;=1)+('Yellow Bosses'!$O$5:$O$53&gt;=1)+('Yellow Bosses'!$Q$5:$Q$53&gt;=1))&gt;0))</f>
        <v>0</v>
      </c>
      <c r="I1159" s="25" t="n">
        <f aca="false">SUMPRODUCT(--((('Yellow Bosses'!$H$5:$H$53&gt;0)+('Yellow Bosses'!$L$5:$L$53&gt;0)+('Yellow Bosses'!$O$5:$O$53&gt;0)+('Yellow Bosses'!$Q$5:$Q$53&gt;0))=0))</f>
        <v>0</v>
      </c>
      <c r="J1159" s="25" t="n">
        <f aca="false">SUMPRODUCT(--(((Effectiveness!$E$5:$E$155&gt;=2)+(Effectiveness!$I$5:$I$155&gt;=2)+(Effectiveness!$L$5:$L$155&gt;=2)+(Effectiveness!$N$5:$N$155&gt;=2))&gt;0))</f>
        <v>72</v>
      </c>
      <c r="K1159" s="26" t="n">
        <f aca="false">J1159/151</f>
        <v>0.47682119205298</v>
      </c>
      <c r="L1159" s="25" t="n">
        <f aca="false">MIN(INDEX('Move Reality'!$F$5:$F$19,MATCH(B1159,'Move Reality'!$A$5:$A$19,0)),INDEX('Move Reality'!$F$5:$F$19,MATCH(C1159,'Move Reality'!$A$5:$A$19,0)),INDEX('Move Reality'!$F$5:$F$19,MATCH(D1159,'Move Reality'!$A$5:$A$19,0)),INDEX('Move Reality'!$F$5:$F$19,MATCH(E1159,'Move Reality'!$A$5:$A$19,0)))</f>
        <v>2</v>
      </c>
      <c r="M1159" s="28" t="str">
        <f aca="false">IF(L1159&gt;=5,"YES","no - dead move")</f>
        <v>no - dead move</v>
      </c>
    </row>
    <row r="1160" customFormat="false" ht="15" hidden="false" customHeight="false" outlineLevel="0" collapsed="false">
      <c r="A1160" s="17" t="n">
        <v>1156</v>
      </c>
      <c r="B1160" s="17" t="s">
        <v>40</v>
      </c>
      <c r="C1160" s="17" t="s">
        <v>46</v>
      </c>
      <c r="D1160" s="17" t="s">
        <v>52</v>
      </c>
      <c r="E1160" s="17" t="s">
        <v>53</v>
      </c>
      <c r="F1160" s="25" t="n">
        <f aca="false">SUMPRODUCT(--((('Yellow Bosses'!$H$5:$H$53&gt;=2)+('Yellow Bosses'!$N$5:$N$53&gt;=2)+('Yellow Bosses'!$T$5:$T$53&gt;=2)+('Yellow Bosses'!$U$5:$U$53&gt;=2))&gt;0))</f>
        <v>25</v>
      </c>
      <c r="G1160" s="26" t="n">
        <f aca="false">F1160/49</f>
        <v>0.510204081632653</v>
      </c>
      <c r="H1160" s="25" t="n">
        <f aca="false">49-SUMPRODUCT(--((('Yellow Bosses'!$H$5:$H$53&gt;=1)+('Yellow Bosses'!$N$5:$N$53&gt;=1)+('Yellow Bosses'!$T$5:$T$53&gt;=1)+('Yellow Bosses'!$U$5:$U$53&gt;=1))&gt;0))</f>
        <v>0</v>
      </c>
      <c r="I1160" s="25" t="n">
        <f aca="false">SUMPRODUCT(--((('Yellow Bosses'!$H$5:$H$53&gt;0)+('Yellow Bosses'!$N$5:$N$53&gt;0)+('Yellow Bosses'!$T$5:$T$53&gt;0)+('Yellow Bosses'!$U$5:$U$53&gt;0))=0))</f>
        <v>0</v>
      </c>
      <c r="J1160" s="25" t="n">
        <f aca="false">SUMPRODUCT(--(((Effectiveness!$E$5:$E$155&gt;=2)+(Effectiveness!$K$5:$K$155&gt;=2)+(Effectiveness!$Q$5:$Q$155&gt;=2)+(Effectiveness!$R$5:$R$155&gt;=2))&gt;0))</f>
        <v>72</v>
      </c>
      <c r="K1160" s="26" t="n">
        <f aca="false">J1160/151</f>
        <v>0.47682119205298</v>
      </c>
      <c r="L1160" s="25" t="n">
        <f aca="false">MIN(INDEX('Move Reality'!$F$5:$F$19,MATCH(B1160,'Move Reality'!$A$5:$A$19,0)),INDEX('Move Reality'!$F$5:$F$19,MATCH(C1160,'Move Reality'!$A$5:$A$19,0)),INDEX('Move Reality'!$F$5:$F$19,MATCH(D1160,'Move Reality'!$A$5:$A$19,0)),INDEX('Move Reality'!$F$5:$F$19,MATCH(E1160,'Move Reality'!$A$5:$A$19,0)))</f>
        <v>1</v>
      </c>
      <c r="M1160" s="28" t="str">
        <f aca="false">IF(L1160&gt;=5,"YES","no - dead move")</f>
        <v>no - dead move</v>
      </c>
    </row>
    <row r="1161" customFormat="false" ht="15" hidden="false" customHeight="false" outlineLevel="0" collapsed="false">
      <c r="A1161" s="17" t="n">
        <v>1157</v>
      </c>
      <c r="B1161" s="17" t="s">
        <v>40</v>
      </c>
      <c r="C1161" s="17" t="s">
        <v>46</v>
      </c>
      <c r="D1161" s="17" t="s">
        <v>50</v>
      </c>
      <c r="E1161" s="17" t="s">
        <v>53</v>
      </c>
      <c r="F1161" s="25" t="n">
        <f aca="false">SUMPRODUCT(--((('Yellow Bosses'!$H$5:$H$53&gt;=2)+('Yellow Bosses'!$N$5:$N$53&gt;=2)+('Yellow Bosses'!$R$5:$R$53&gt;=2)+('Yellow Bosses'!$U$5:$U$53&gt;=2))&gt;0))</f>
        <v>25</v>
      </c>
      <c r="G1161" s="26" t="n">
        <f aca="false">F1161/49</f>
        <v>0.510204081632653</v>
      </c>
      <c r="H1161" s="25" t="n">
        <f aca="false">49-SUMPRODUCT(--((('Yellow Bosses'!$H$5:$H$53&gt;=1)+('Yellow Bosses'!$N$5:$N$53&gt;=1)+('Yellow Bosses'!$R$5:$R$53&gt;=1)+('Yellow Bosses'!$U$5:$U$53&gt;=1))&gt;0))</f>
        <v>0</v>
      </c>
      <c r="I1161" s="25" t="n">
        <f aca="false">SUMPRODUCT(--((('Yellow Bosses'!$H$5:$H$53&gt;0)+('Yellow Bosses'!$N$5:$N$53&gt;0)+('Yellow Bosses'!$R$5:$R$53&gt;0)+('Yellow Bosses'!$U$5:$U$53&gt;0))=0))</f>
        <v>0</v>
      </c>
      <c r="J1161" s="25" t="n">
        <f aca="false">SUMPRODUCT(--(((Effectiveness!$E$5:$E$155&gt;=2)+(Effectiveness!$K$5:$K$155&gt;=2)+(Effectiveness!$O$5:$O$155&gt;=2)+(Effectiveness!$R$5:$R$155&gt;=2))&gt;0))</f>
        <v>70</v>
      </c>
      <c r="K1161" s="26" t="n">
        <f aca="false">J1161/151</f>
        <v>0.463576158940397</v>
      </c>
      <c r="L1161" s="25" t="n">
        <f aca="false">MIN(INDEX('Move Reality'!$F$5:$F$19,MATCH(B1161,'Move Reality'!$A$5:$A$19,0)),INDEX('Move Reality'!$F$5:$F$19,MATCH(C1161,'Move Reality'!$A$5:$A$19,0)),INDEX('Move Reality'!$F$5:$F$19,MATCH(D1161,'Move Reality'!$A$5:$A$19,0)),INDEX('Move Reality'!$F$5:$F$19,MATCH(E1161,'Move Reality'!$A$5:$A$19,0)))</f>
        <v>1</v>
      </c>
      <c r="M1161" s="28" t="str">
        <f aca="false">IF(L1161&gt;=5,"YES","no - dead move")</f>
        <v>no - dead move</v>
      </c>
    </row>
    <row r="1162" customFormat="false" ht="15" hidden="false" customHeight="false" outlineLevel="0" collapsed="false">
      <c r="A1162" s="17" t="n">
        <v>1158</v>
      </c>
      <c r="B1162" s="17" t="s">
        <v>42</v>
      </c>
      <c r="C1162" s="17" t="s">
        <v>47</v>
      </c>
      <c r="D1162" s="17" t="s">
        <v>48</v>
      </c>
      <c r="E1162" s="17" t="s">
        <v>54</v>
      </c>
      <c r="F1162" s="25" t="n">
        <f aca="false">SUMPRODUCT(--((('Yellow Bosses'!$J$5:$J$53&gt;=2)+('Yellow Bosses'!$O$5:$O$53&gt;=2)+('Yellow Bosses'!$P$5:$P$53&gt;=2)+('Yellow Bosses'!$V$5:$V$53&gt;=2))&gt;0))</f>
        <v>25</v>
      </c>
      <c r="G1162" s="26" t="n">
        <f aca="false">F1162/49</f>
        <v>0.510204081632653</v>
      </c>
      <c r="H1162" s="25" t="n">
        <f aca="false">49-SUMPRODUCT(--((('Yellow Bosses'!$J$5:$J$53&gt;=1)+('Yellow Bosses'!$O$5:$O$53&gt;=1)+('Yellow Bosses'!$P$5:$P$53&gt;=1)+('Yellow Bosses'!$V$5:$V$53&gt;=1))&gt;0))</f>
        <v>0</v>
      </c>
      <c r="I1162" s="25" t="n">
        <f aca="false">SUMPRODUCT(--((('Yellow Bosses'!$J$5:$J$53&gt;0)+('Yellow Bosses'!$O$5:$O$53&gt;0)+('Yellow Bosses'!$P$5:$P$53&gt;0)+('Yellow Bosses'!$V$5:$V$53&gt;0))=0))</f>
        <v>0</v>
      </c>
      <c r="J1162" s="25" t="n">
        <f aca="false">SUMPRODUCT(--(((Effectiveness!$G$5:$G$155&gt;=2)+(Effectiveness!$L$5:$L$155&gt;=2)+(Effectiveness!$M$5:$M$155&gt;=2)+(Effectiveness!$S$5:$S$155&gt;=2))&gt;0))</f>
        <v>67</v>
      </c>
      <c r="K1162" s="26" t="n">
        <f aca="false">J1162/151</f>
        <v>0.443708609271523</v>
      </c>
      <c r="L1162" s="25" t="n">
        <f aca="false">MIN(INDEX('Move Reality'!$F$5:$F$19,MATCH(B1162,'Move Reality'!$A$5:$A$19,0)),INDEX('Move Reality'!$F$5:$F$19,MATCH(C1162,'Move Reality'!$A$5:$A$19,0)),INDEX('Move Reality'!$F$5:$F$19,MATCH(D1162,'Move Reality'!$A$5:$A$19,0)),INDEX('Move Reality'!$F$5:$F$19,MATCH(E1162,'Move Reality'!$A$5:$A$19,0)))</f>
        <v>1</v>
      </c>
      <c r="M1162" s="28" t="str">
        <f aca="false">IF(L1162&gt;=5,"YES","no - dead move")</f>
        <v>no - dead move</v>
      </c>
    </row>
    <row r="1163" customFormat="false" ht="15" hidden="false" customHeight="false" outlineLevel="0" collapsed="false">
      <c r="A1163" s="17" t="n">
        <v>1159</v>
      </c>
      <c r="B1163" s="17" t="s">
        <v>40</v>
      </c>
      <c r="C1163" s="17" t="s">
        <v>49</v>
      </c>
      <c r="D1163" s="17" t="s">
        <v>52</v>
      </c>
      <c r="E1163" s="17" t="s">
        <v>54</v>
      </c>
      <c r="F1163" s="25" t="n">
        <f aca="false">SUMPRODUCT(--((('Yellow Bosses'!$H$5:$H$53&gt;=2)+('Yellow Bosses'!$Q$5:$Q$53&gt;=2)+('Yellow Bosses'!$T$5:$T$53&gt;=2)+('Yellow Bosses'!$V$5:$V$53&gt;=2))&gt;0))</f>
        <v>25</v>
      </c>
      <c r="G1163" s="26" t="n">
        <f aca="false">F1163/49</f>
        <v>0.510204081632653</v>
      </c>
      <c r="H1163" s="25" t="n">
        <f aca="false">49-SUMPRODUCT(--((('Yellow Bosses'!$H$5:$H$53&gt;=1)+('Yellow Bosses'!$Q$5:$Q$53&gt;=1)+('Yellow Bosses'!$T$5:$T$53&gt;=1)+('Yellow Bosses'!$V$5:$V$53&gt;=1))&gt;0))</f>
        <v>0</v>
      </c>
      <c r="I1163" s="25" t="n">
        <f aca="false">SUMPRODUCT(--((('Yellow Bosses'!$H$5:$H$53&gt;0)+('Yellow Bosses'!$Q$5:$Q$53&gt;0)+('Yellow Bosses'!$T$5:$T$53&gt;0)+('Yellow Bosses'!$V$5:$V$53&gt;0))=0))</f>
        <v>0</v>
      </c>
      <c r="J1163" s="25" t="n">
        <f aca="false">SUMPRODUCT(--(((Effectiveness!$E$5:$E$155&gt;=2)+(Effectiveness!$N$5:$N$155&gt;=2)+(Effectiveness!$Q$5:$Q$155&gt;=2)+(Effectiveness!$S$5:$S$155&gt;=2))&gt;0))</f>
        <v>65</v>
      </c>
      <c r="K1163" s="26" t="n">
        <f aca="false">J1163/151</f>
        <v>0.43046357615894</v>
      </c>
      <c r="L1163" s="25" t="n">
        <f aca="false">MIN(INDEX('Move Reality'!$F$5:$F$19,MATCH(B1163,'Move Reality'!$A$5:$A$19,0)),INDEX('Move Reality'!$F$5:$F$19,MATCH(C1163,'Move Reality'!$A$5:$A$19,0)),INDEX('Move Reality'!$F$5:$F$19,MATCH(D1163,'Move Reality'!$A$5:$A$19,0)),INDEX('Move Reality'!$F$5:$F$19,MATCH(E1163,'Move Reality'!$A$5:$A$19,0)))</f>
        <v>1</v>
      </c>
      <c r="M1163" s="28" t="str">
        <f aca="false">IF(L1163&gt;=5,"YES","no - dead move")</f>
        <v>no - dead move</v>
      </c>
    </row>
    <row r="1164" customFormat="false" ht="15" hidden="false" customHeight="false" outlineLevel="0" collapsed="false">
      <c r="A1164" s="17" t="n">
        <v>1160</v>
      </c>
      <c r="B1164" s="17" t="s">
        <v>41</v>
      </c>
      <c r="C1164" s="17" t="s">
        <v>49</v>
      </c>
      <c r="D1164" s="17" t="s">
        <v>52</v>
      </c>
      <c r="E1164" s="17" t="s">
        <v>54</v>
      </c>
      <c r="F1164" s="25" t="n">
        <f aca="false">SUMPRODUCT(--((('Yellow Bosses'!$I$5:$I$53&gt;=2)+('Yellow Bosses'!$Q$5:$Q$53&gt;=2)+('Yellow Bosses'!$T$5:$T$53&gt;=2)+('Yellow Bosses'!$V$5:$V$53&gt;=2))&gt;0))</f>
        <v>25</v>
      </c>
      <c r="G1164" s="26" t="n">
        <f aca="false">F1164/49</f>
        <v>0.510204081632653</v>
      </c>
      <c r="H1164" s="25" t="n">
        <f aca="false">49-SUMPRODUCT(--((('Yellow Bosses'!$I$5:$I$53&gt;=1)+('Yellow Bosses'!$Q$5:$Q$53&gt;=1)+('Yellow Bosses'!$T$5:$T$53&gt;=1)+('Yellow Bosses'!$V$5:$V$53&gt;=1))&gt;0))</f>
        <v>0</v>
      </c>
      <c r="I1164" s="25" t="n">
        <f aca="false">SUMPRODUCT(--((('Yellow Bosses'!$I$5:$I$53&gt;0)+('Yellow Bosses'!$Q$5:$Q$53&gt;0)+('Yellow Bosses'!$T$5:$T$53&gt;0)+('Yellow Bosses'!$V$5:$V$53&gt;0))=0))</f>
        <v>0</v>
      </c>
      <c r="J1164" s="25" t="n">
        <f aca="false">SUMPRODUCT(--(((Effectiveness!$F$5:$F$155&gt;=2)+(Effectiveness!$N$5:$N$155&gt;=2)+(Effectiveness!$Q$5:$Q$155&gt;=2)+(Effectiveness!$S$5:$S$155&gt;=2))&gt;0))</f>
        <v>65</v>
      </c>
      <c r="K1164" s="26" t="n">
        <f aca="false">J1164/151</f>
        <v>0.43046357615894</v>
      </c>
      <c r="L1164" s="25" t="n">
        <f aca="false">MIN(INDEX('Move Reality'!$F$5:$F$19,MATCH(B1164,'Move Reality'!$A$5:$A$19,0)),INDEX('Move Reality'!$F$5:$F$19,MATCH(C1164,'Move Reality'!$A$5:$A$19,0)),INDEX('Move Reality'!$F$5:$F$19,MATCH(D1164,'Move Reality'!$A$5:$A$19,0)),INDEX('Move Reality'!$F$5:$F$19,MATCH(E1164,'Move Reality'!$A$5:$A$19,0)))</f>
        <v>1</v>
      </c>
      <c r="M1164" s="28" t="str">
        <f aca="false">IF(L1164&gt;=5,"YES","no - dead move")</f>
        <v>no - dead move</v>
      </c>
    </row>
    <row r="1165" customFormat="false" ht="15" hidden="false" customHeight="false" outlineLevel="0" collapsed="false">
      <c r="A1165" s="17" t="n">
        <v>1161</v>
      </c>
      <c r="B1165" s="17" t="s">
        <v>47</v>
      </c>
      <c r="C1165" s="17" t="s">
        <v>49</v>
      </c>
      <c r="D1165" s="17" t="s">
        <v>52</v>
      </c>
      <c r="E1165" s="17" t="s">
        <v>54</v>
      </c>
      <c r="F1165" s="25" t="n">
        <f aca="false">SUMPRODUCT(--((('Yellow Bosses'!$O$5:$O$53&gt;=2)+('Yellow Bosses'!$Q$5:$Q$53&gt;=2)+('Yellow Bosses'!$T$5:$T$53&gt;=2)+('Yellow Bosses'!$V$5:$V$53&gt;=2))&gt;0))</f>
        <v>25</v>
      </c>
      <c r="G1165" s="26" t="n">
        <f aca="false">F1165/49</f>
        <v>0.510204081632653</v>
      </c>
      <c r="H1165" s="25" t="n">
        <f aca="false">49-SUMPRODUCT(--((('Yellow Bosses'!$O$5:$O$53&gt;=1)+('Yellow Bosses'!$Q$5:$Q$53&gt;=1)+('Yellow Bosses'!$T$5:$T$53&gt;=1)+('Yellow Bosses'!$V$5:$V$53&gt;=1))&gt;0))</f>
        <v>0</v>
      </c>
      <c r="I1165" s="25" t="n">
        <f aca="false">SUMPRODUCT(--((('Yellow Bosses'!$O$5:$O$53&gt;0)+('Yellow Bosses'!$Q$5:$Q$53&gt;0)+('Yellow Bosses'!$T$5:$T$53&gt;0)+('Yellow Bosses'!$V$5:$V$53&gt;0))=0))</f>
        <v>0</v>
      </c>
      <c r="J1165" s="25" t="n">
        <f aca="false">SUMPRODUCT(--(((Effectiveness!$L$5:$L$155&gt;=2)+(Effectiveness!$N$5:$N$155&gt;=2)+(Effectiveness!$Q$5:$Q$155&gt;=2)+(Effectiveness!$S$5:$S$155&gt;=2))&gt;0))</f>
        <v>65</v>
      </c>
      <c r="K1165" s="26" t="n">
        <f aca="false">J1165/151</f>
        <v>0.43046357615894</v>
      </c>
      <c r="L1165" s="25" t="n">
        <f aca="false">MIN(INDEX('Move Reality'!$F$5:$F$19,MATCH(B1165,'Move Reality'!$A$5:$A$19,0)),INDEX('Move Reality'!$F$5:$F$19,MATCH(C1165,'Move Reality'!$A$5:$A$19,0)),INDEX('Move Reality'!$F$5:$F$19,MATCH(D1165,'Move Reality'!$A$5:$A$19,0)),INDEX('Move Reality'!$F$5:$F$19,MATCH(E1165,'Move Reality'!$A$5:$A$19,0)))</f>
        <v>1</v>
      </c>
      <c r="M1165" s="28" t="str">
        <f aca="false">IF(L1165&gt;=5,"YES","no - dead move")</f>
        <v>no - dead move</v>
      </c>
    </row>
    <row r="1166" customFormat="false" ht="15" hidden="false" customHeight="false" outlineLevel="0" collapsed="false">
      <c r="A1166" s="17" t="n">
        <v>1162</v>
      </c>
      <c r="B1166" s="17" t="s">
        <v>40</v>
      </c>
      <c r="C1166" s="17" t="s">
        <v>41</v>
      </c>
      <c r="D1166" s="17" t="s">
        <v>50</v>
      </c>
      <c r="E1166" s="17" t="s">
        <v>51</v>
      </c>
      <c r="F1166" s="25" t="n">
        <f aca="false">SUMPRODUCT(--((('Yellow Bosses'!$H$5:$H$53&gt;=2)+('Yellow Bosses'!$I$5:$I$53&gt;=2)+('Yellow Bosses'!$R$5:$R$53&gt;=2)+('Yellow Bosses'!$S$5:$S$53&gt;=2))&gt;0))</f>
        <v>25</v>
      </c>
      <c r="G1166" s="26" t="n">
        <f aca="false">F1166/49</f>
        <v>0.510204081632653</v>
      </c>
      <c r="H1166" s="25" t="n">
        <f aca="false">49-SUMPRODUCT(--((('Yellow Bosses'!$H$5:$H$53&gt;=1)+('Yellow Bosses'!$I$5:$I$53&gt;=1)+('Yellow Bosses'!$R$5:$R$53&gt;=1)+('Yellow Bosses'!$S$5:$S$53&gt;=1))&gt;0))</f>
        <v>0</v>
      </c>
      <c r="I1166" s="25" t="n">
        <f aca="false">SUMPRODUCT(--((('Yellow Bosses'!$H$5:$H$53&gt;0)+('Yellow Bosses'!$I$5:$I$53&gt;0)+('Yellow Bosses'!$R$5:$R$53&gt;0)+('Yellow Bosses'!$S$5:$S$53&gt;0))=0))</f>
        <v>0</v>
      </c>
      <c r="J1166" s="25" t="n">
        <f aca="false">SUMPRODUCT(--(((Effectiveness!$E$5:$E$155&gt;=2)+(Effectiveness!$F$5:$F$155&gt;=2)+(Effectiveness!$O$5:$O$155&gt;=2)+(Effectiveness!$P$5:$P$155&gt;=2))&gt;0))</f>
        <v>64</v>
      </c>
      <c r="K1166" s="26" t="n">
        <f aca="false">J1166/151</f>
        <v>0.423841059602649</v>
      </c>
      <c r="L1166" s="25" t="n">
        <f aca="false">MIN(INDEX('Move Reality'!$F$5:$F$19,MATCH(B1166,'Move Reality'!$A$5:$A$19,0)),INDEX('Move Reality'!$F$5:$F$19,MATCH(C1166,'Move Reality'!$A$5:$A$19,0)),INDEX('Move Reality'!$F$5:$F$19,MATCH(D1166,'Move Reality'!$A$5:$A$19,0)),INDEX('Move Reality'!$F$5:$F$19,MATCH(E1166,'Move Reality'!$A$5:$A$19,0)))</f>
        <v>1</v>
      </c>
      <c r="M1166" s="28" t="str">
        <f aca="false">IF(L1166&gt;=5,"YES","no - dead move")</f>
        <v>no - dead move</v>
      </c>
    </row>
    <row r="1167" customFormat="false" ht="15" hidden="false" customHeight="false" outlineLevel="0" collapsed="false">
      <c r="A1167" s="17" t="n">
        <v>1163</v>
      </c>
      <c r="B1167" s="17" t="s">
        <v>41</v>
      </c>
      <c r="C1167" s="17" t="s">
        <v>47</v>
      </c>
      <c r="D1167" s="17" t="s">
        <v>50</v>
      </c>
      <c r="E1167" s="17" t="s">
        <v>51</v>
      </c>
      <c r="F1167" s="25" t="n">
        <f aca="false">SUMPRODUCT(--((('Yellow Bosses'!$I$5:$I$53&gt;=2)+('Yellow Bosses'!$O$5:$O$53&gt;=2)+('Yellow Bosses'!$R$5:$R$53&gt;=2)+('Yellow Bosses'!$S$5:$S$53&gt;=2))&gt;0))</f>
        <v>25</v>
      </c>
      <c r="G1167" s="26" t="n">
        <f aca="false">F1167/49</f>
        <v>0.510204081632653</v>
      </c>
      <c r="H1167" s="25" t="n">
        <f aca="false">49-SUMPRODUCT(--((('Yellow Bosses'!$I$5:$I$53&gt;=1)+('Yellow Bosses'!$O$5:$O$53&gt;=1)+('Yellow Bosses'!$R$5:$R$53&gt;=1)+('Yellow Bosses'!$S$5:$S$53&gt;=1))&gt;0))</f>
        <v>0</v>
      </c>
      <c r="I1167" s="25" t="n">
        <f aca="false">SUMPRODUCT(--((('Yellow Bosses'!$I$5:$I$53&gt;0)+('Yellow Bosses'!$O$5:$O$53&gt;0)+('Yellow Bosses'!$R$5:$R$53&gt;0)+('Yellow Bosses'!$S$5:$S$53&gt;0))=0))</f>
        <v>0</v>
      </c>
      <c r="J1167" s="25" t="n">
        <f aca="false">SUMPRODUCT(--(((Effectiveness!$F$5:$F$155&gt;=2)+(Effectiveness!$L$5:$L$155&gt;=2)+(Effectiveness!$O$5:$O$155&gt;=2)+(Effectiveness!$P$5:$P$155&gt;=2))&gt;0))</f>
        <v>64</v>
      </c>
      <c r="K1167" s="26" t="n">
        <f aca="false">J1167/151</f>
        <v>0.423841059602649</v>
      </c>
      <c r="L1167" s="25" t="n">
        <f aca="false">MIN(INDEX('Move Reality'!$F$5:$F$19,MATCH(B1167,'Move Reality'!$A$5:$A$19,0)),INDEX('Move Reality'!$F$5:$F$19,MATCH(C1167,'Move Reality'!$A$5:$A$19,0)),INDEX('Move Reality'!$F$5:$F$19,MATCH(D1167,'Move Reality'!$A$5:$A$19,0)),INDEX('Move Reality'!$F$5:$F$19,MATCH(E1167,'Move Reality'!$A$5:$A$19,0)))</f>
        <v>1</v>
      </c>
      <c r="M1167" s="28" t="str">
        <f aca="false">IF(L1167&gt;=5,"YES","no - dead move")</f>
        <v>no - dead move</v>
      </c>
    </row>
    <row r="1168" customFormat="false" ht="15" hidden="false" customHeight="false" outlineLevel="0" collapsed="false">
      <c r="A1168" s="17" t="n">
        <v>1164</v>
      </c>
      <c r="B1168" s="17" t="s">
        <v>41</v>
      </c>
      <c r="C1168" s="17" t="s">
        <v>49</v>
      </c>
      <c r="D1168" s="17" t="s">
        <v>50</v>
      </c>
      <c r="E1168" s="17" t="s">
        <v>51</v>
      </c>
      <c r="F1168" s="25" t="n">
        <f aca="false">SUMPRODUCT(--((('Yellow Bosses'!$I$5:$I$53&gt;=2)+('Yellow Bosses'!$Q$5:$Q$53&gt;=2)+('Yellow Bosses'!$R$5:$R$53&gt;=2)+('Yellow Bosses'!$S$5:$S$53&gt;=2))&gt;0))</f>
        <v>25</v>
      </c>
      <c r="G1168" s="26" t="n">
        <f aca="false">F1168/49</f>
        <v>0.510204081632653</v>
      </c>
      <c r="H1168" s="25" t="n">
        <f aca="false">49-SUMPRODUCT(--((('Yellow Bosses'!$I$5:$I$53&gt;=1)+('Yellow Bosses'!$Q$5:$Q$53&gt;=1)+('Yellow Bosses'!$R$5:$R$53&gt;=1)+('Yellow Bosses'!$S$5:$S$53&gt;=1))&gt;0))</f>
        <v>0</v>
      </c>
      <c r="I1168" s="25" t="n">
        <f aca="false">SUMPRODUCT(--((('Yellow Bosses'!$I$5:$I$53&gt;0)+('Yellow Bosses'!$Q$5:$Q$53&gt;0)+('Yellow Bosses'!$R$5:$R$53&gt;0)+('Yellow Bosses'!$S$5:$S$53&gt;0))=0))</f>
        <v>0</v>
      </c>
      <c r="J1168" s="25" t="n">
        <f aca="false">SUMPRODUCT(--(((Effectiveness!$F$5:$F$155&gt;=2)+(Effectiveness!$N$5:$N$155&gt;=2)+(Effectiveness!$O$5:$O$155&gt;=2)+(Effectiveness!$P$5:$P$155&gt;=2))&gt;0))</f>
        <v>64</v>
      </c>
      <c r="K1168" s="26" t="n">
        <f aca="false">J1168/151</f>
        <v>0.423841059602649</v>
      </c>
      <c r="L1168" s="25" t="n">
        <f aca="false">MIN(INDEX('Move Reality'!$F$5:$F$19,MATCH(B1168,'Move Reality'!$A$5:$A$19,0)),INDEX('Move Reality'!$F$5:$F$19,MATCH(C1168,'Move Reality'!$A$5:$A$19,0)),INDEX('Move Reality'!$F$5:$F$19,MATCH(D1168,'Move Reality'!$A$5:$A$19,0)),INDEX('Move Reality'!$F$5:$F$19,MATCH(E1168,'Move Reality'!$A$5:$A$19,0)))</f>
        <v>1</v>
      </c>
      <c r="M1168" s="28" t="str">
        <f aca="false">IF(L1168&gt;=5,"YES","no - dead move")</f>
        <v>no - dead move</v>
      </c>
    </row>
    <row r="1169" customFormat="false" ht="15" hidden="false" customHeight="false" outlineLevel="0" collapsed="false">
      <c r="A1169" s="17" t="n">
        <v>1165</v>
      </c>
      <c r="B1169" s="17" t="s">
        <v>41</v>
      </c>
      <c r="C1169" s="17" t="s">
        <v>50</v>
      </c>
      <c r="D1169" s="17" t="s">
        <v>51</v>
      </c>
      <c r="E1169" s="17" t="s">
        <v>53</v>
      </c>
      <c r="F1169" s="25" t="n">
        <f aca="false">SUMPRODUCT(--((('Yellow Bosses'!$I$5:$I$53&gt;=2)+('Yellow Bosses'!$R$5:$R$53&gt;=2)+('Yellow Bosses'!$S$5:$S$53&gt;=2)+('Yellow Bosses'!$U$5:$U$53&gt;=2))&gt;0))</f>
        <v>25</v>
      </c>
      <c r="G1169" s="26" t="n">
        <f aca="false">F1169/49</f>
        <v>0.510204081632653</v>
      </c>
      <c r="H1169" s="25" t="n">
        <f aca="false">49-SUMPRODUCT(--((('Yellow Bosses'!$I$5:$I$53&gt;=1)+('Yellow Bosses'!$R$5:$R$53&gt;=1)+('Yellow Bosses'!$S$5:$S$53&gt;=1)+('Yellow Bosses'!$U$5:$U$53&gt;=1))&gt;0))</f>
        <v>0</v>
      </c>
      <c r="I1169" s="25" t="n">
        <f aca="false">SUMPRODUCT(--((('Yellow Bosses'!$I$5:$I$53&gt;0)+('Yellow Bosses'!$R$5:$R$53&gt;0)+('Yellow Bosses'!$S$5:$S$53&gt;0)+('Yellow Bosses'!$U$5:$U$53&gt;0))=0))</f>
        <v>0</v>
      </c>
      <c r="J1169" s="25" t="n">
        <f aca="false">SUMPRODUCT(--(((Effectiveness!$F$5:$F$155&gt;=2)+(Effectiveness!$O$5:$O$155&gt;=2)+(Effectiveness!$P$5:$P$155&gt;=2)+(Effectiveness!$R$5:$R$155&gt;=2))&gt;0))</f>
        <v>64</v>
      </c>
      <c r="K1169" s="26" t="n">
        <f aca="false">J1169/151</f>
        <v>0.423841059602649</v>
      </c>
      <c r="L1169" s="25" t="n">
        <f aca="false">MIN(INDEX('Move Reality'!$F$5:$F$19,MATCH(B1169,'Move Reality'!$A$5:$A$19,0)),INDEX('Move Reality'!$F$5:$F$19,MATCH(C1169,'Move Reality'!$A$5:$A$19,0)),INDEX('Move Reality'!$F$5:$F$19,MATCH(D1169,'Move Reality'!$A$5:$A$19,0)),INDEX('Move Reality'!$F$5:$F$19,MATCH(E1169,'Move Reality'!$A$5:$A$19,0)))</f>
        <v>1</v>
      </c>
      <c r="M1169" s="28" t="str">
        <f aca="false">IF(L1169&gt;=5,"YES","no - dead move")</f>
        <v>no - dead move</v>
      </c>
    </row>
    <row r="1170" customFormat="false" ht="15" hidden="false" customHeight="false" outlineLevel="0" collapsed="false">
      <c r="A1170" s="17" t="n">
        <v>1166</v>
      </c>
      <c r="B1170" s="17" t="s">
        <v>40</v>
      </c>
      <c r="C1170" s="17" t="s">
        <v>45</v>
      </c>
      <c r="D1170" s="17" t="s">
        <v>47</v>
      </c>
      <c r="E1170" s="17" t="s">
        <v>49</v>
      </c>
      <c r="F1170" s="25" t="n">
        <f aca="false">SUMPRODUCT(--((('Yellow Bosses'!$H$5:$H$53&gt;=2)+('Yellow Bosses'!$M$5:$M$53&gt;=2)+('Yellow Bosses'!$O$5:$O$53&gt;=2)+('Yellow Bosses'!$Q$5:$Q$53&gt;=2))&gt;0))</f>
        <v>25</v>
      </c>
      <c r="G1170" s="26" t="n">
        <f aca="false">F1170/49</f>
        <v>0.510204081632653</v>
      </c>
      <c r="H1170" s="25" t="n">
        <f aca="false">49-SUMPRODUCT(--((('Yellow Bosses'!$H$5:$H$53&gt;=1)+('Yellow Bosses'!$M$5:$M$53&gt;=1)+('Yellow Bosses'!$O$5:$O$53&gt;=1)+('Yellow Bosses'!$Q$5:$Q$53&gt;=1))&gt;0))</f>
        <v>0</v>
      </c>
      <c r="I1170" s="25" t="n">
        <f aca="false">SUMPRODUCT(--((('Yellow Bosses'!$H$5:$H$53&gt;0)+('Yellow Bosses'!$M$5:$M$53&gt;0)+('Yellow Bosses'!$O$5:$O$53&gt;0)+('Yellow Bosses'!$Q$5:$Q$53&gt;0))=0))</f>
        <v>0</v>
      </c>
      <c r="J1170" s="25" t="n">
        <f aca="false">SUMPRODUCT(--(((Effectiveness!$E$5:$E$155&gt;=2)+(Effectiveness!$J$5:$J$155&gt;=2)+(Effectiveness!$L$5:$L$155&gt;=2)+(Effectiveness!$N$5:$N$155&gt;=2))&gt;0))</f>
        <v>63</v>
      </c>
      <c r="K1170" s="26" t="n">
        <f aca="false">J1170/151</f>
        <v>0.417218543046358</v>
      </c>
      <c r="L1170" s="25" t="n">
        <f aca="false">MIN(INDEX('Move Reality'!$F$5:$F$19,MATCH(B1170,'Move Reality'!$A$5:$A$19,0)),INDEX('Move Reality'!$F$5:$F$19,MATCH(C1170,'Move Reality'!$A$5:$A$19,0)),INDEX('Move Reality'!$F$5:$F$19,MATCH(D1170,'Move Reality'!$A$5:$A$19,0)),INDEX('Move Reality'!$F$5:$F$19,MATCH(E1170,'Move Reality'!$A$5:$A$19,0)))</f>
        <v>2</v>
      </c>
      <c r="M1170" s="28" t="str">
        <f aca="false">IF(L1170&gt;=5,"YES","no - dead move")</f>
        <v>no - dead move</v>
      </c>
    </row>
    <row r="1171" customFormat="false" ht="15" hidden="false" customHeight="false" outlineLevel="0" collapsed="false">
      <c r="A1171" s="17" t="n">
        <v>1167</v>
      </c>
      <c r="B1171" s="17" t="s">
        <v>40</v>
      </c>
      <c r="C1171" s="17" t="s">
        <v>45</v>
      </c>
      <c r="D1171" s="17" t="s">
        <v>49</v>
      </c>
      <c r="E1171" s="17" t="s">
        <v>54</v>
      </c>
      <c r="F1171" s="25" t="n">
        <f aca="false">SUMPRODUCT(--((('Yellow Bosses'!$H$5:$H$53&gt;=2)+('Yellow Bosses'!$M$5:$M$53&gt;=2)+('Yellow Bosses'!$Q$5:$Q$53&gt;=2)+('Yellow Bosses'!$V$5:$V$53&gt;=2))&gt;0))</f>
        <v>25</v>
      </c>
      <c r="G1171" s="26" t="n">
        <f aca="false">F1171/49</f>
        <v>0.510204081632653</v>
      </c>
      <c r="H1171" s="25" t="n">
        <f aca="false">49-SUMPRODUCT(--((('Yellow Bosses'!$H$5:$H$53&gt;=1)+('Yellow Bosses'!$M$5:$M$53&gt;=1)+('Yellow Bosses'!$Q$5:$Q$53&gt;=1)+('Yellow Bosses'!$V$5:$V$53&gt;=1))&gt;0))</f>
        <v>0</v>
      </c>
      <c r="I1171" s="25" t="n">
        <f aca="false">SUMPRODUCT(--((('Yellow Bosses'!$H$5:$H$53&gt;0)+('Yellow Bosses'!$M$5:$M$53&gt;0)+('Yellow Bosses'!$Q$5:$Q$53&gt;0)+('Yellow Bosses'!$V$5:$V$53&gt;0))=0))</f>
        <v>0</v>
      </c>
      <c r="J1171" s="25" t="n">
        <f aca="false">SUMPRODUCT(--(((Effectiveness!$E$5:$E$155&gt;=2)+(Effectiveness!$J$5:$J$155&gt;=2)+(Effectiveness!$N$5:$N$155&gt;=2)+(Effectiveness!$S$5:$S$155&gt;=2))&gt;0))</f>
        <v>63</v>
      </c>
      <c r="K1171" s="26" t="n">
        <f aca="false">J1171/151</f>
        <v>0.417218543046358</v>
      </c>
      <c r="L1171" s="25" t="n">
        <f aca="false">MIN(INDEX('Move Reality'!$F$5:$F$19,MATCH(B1171,'Move Reality'!$A$5:$A$19,0)),INDEX('Move Reality'!$F$5:$F$19,MATCH(C1171,'Move Reality'!$A$5:$A$19,0)),INDEX('Move Reality'!$F$5:$F$19,MATCH(D1171,'Move Reality'!$A$5:$A$19,0)),INDEX('Move Reality'!$F$5:$F$19,MATCH(E1171,'Move Reality'!$A$5:$A$19,0)))</f>
        <v>1</v>
      </c>
      <c r="M1171" s="28" t="str">
        <f aca="false">IF(L1171&gt;=5,"YES","no - dead move")</f>
        <v>no - dead move</v>
      </c>
    </row>
    <row r="1172" customFormat="false" ht="15" hidden="false" customHeight="false" outlineLevel="0" collapsed="false">
      <c r="A1172" s="17" t="n">
        <v>1168</v>
      </c>
      <c r="B1172" s="17" t="s">
        <v>40</v>
      </c>
      <c r="C1172" s="17" t="s">
        <v>47</v>
      </c>
      <c r="D1172" s="17" t="s">
        <v>50</v>
      </c>
      <c r="E1172" s="17" t="s">
        <v>51</v>
      </c>
      <c r="F1172" s="25" t="n">
        <f aca="false">SUMPRODUCT(--((('Yellow Bosses'!$H$5:$H$53&gt;=2)+('Yellow Bosses'!$O$5:$O$53&gt;=2)+('Yellow Bosses'!$R$5:$R$53&gt;=2)+('Yellow Bosses'!$S$5:$S$53&gt;=2))&gt;0))</f>
        <v>25</v>
      </c>
      <c r="G1172" s="26" t="n">
        <f aca="false">F1172/49</f>
        <v>0.510204081632653</v>
      </c>
      <c r="H1172" s="25" t="n">
        <f aca="false">49-SUMPRODUCT(--((('Yellow Bosses'!$H$5:$H$53&gt;=1)+('Yellow Bosses'!$O$5:$O$53&gt;=1)+('Yellow Bosses'!$R$5:$R$53&gt;=1)+('Yellow Bosses'!$S$5:$S$53&gt;=1))&gt;0))</f>
        <v>0</v>
      </c>
      <c r="I1172" s="25" t="n">
        <f aca="false">SUMPRODUCT(--((('Yellow Bosses'!$H$5:$H$53&gt;0)+('Yellow Bosses'!$O$5:$O$53&gt;0)+('Yellow Bosses'!$R$5:$R$53&gt;0)+('Yellow Bosses'!$S$5:$S$53&gt;0))=0))</f>
        <v>0</v>
      </c>
      <c r="J1172" s="25" t="n">
        <f aca="false">SUMPRODUCT(--(((Effectiveness!$E$5:$E$155&gt;=2)+(Effectiveness!$L$5:$L$155&gt;=2)+(Effectiveness!$O$5:$O$155&gt;=2)+(Effectiveness!$P$5:$P$155&gt;=2))&gt;0))</f>
        <v>63</v>
      </c>
      <c r="K1172" s="26" t="n">
        <f aca="false">J1172/151</f>
        <v>0.417218543046358</v>
      </c>
      <c r="L1172" s="25" t="n">
        <f aca="false">MIN(INDEX('Move Reality'!$F$5:$F$19,MATCH(B1172,'Move Reality'!$A$5:$A$19,0)),INDEX('Move Reality'!$F$5:$F$19,MATCH(C1172,'Move Reality'!$A$5:$A$19,0)),INDEX('Move Reality'!$F$5:$F$19,MATCH(D1172,'Move Reality'!$A$5:$A$19,0)),INDEX('Move Reality'!$F$5:$F$19,MATCH(E1172,'Move Reality'!$A$5:$A$19,0)))</f>
        <v>1</v>
      </c>
      <c r="M1172" s="28" t="str">
        <f aca="false">IF(L1172&gt;=5,"YES","no - dead move")</f>
        <v>no - dead move</v>
      </c>
    </row>
    <row r="1173" customFormat="false" ht="15" hidden="false" customHeight="false" outlineLevel="0" collapsed="false">
      <c r="A1173" s="17" t="n">
        <v>1169</v>
      </c>
      <c r="B1173" s="17" t="s">
        <v>40</v>
      </c>
      <c r="C1173" s="17" t="s">
        <v>49</v>
      </c>
      <c r="D1173" s="17" t="s">
        <v>50</v>
      </c>
      <c r="E1173" s="17" t="s">
        <v>51</v>
      </c>
      <c r="F1173" s="25" t="n">
        <f aca="false">SUMPRODUCT(--((('Yellow Bosses'!$H$5:$H$53&gt;=2)+('Yellow Bosses'!$Q$5:$Q$53&gt;=2)+('Yellow Bosses'!$R$5:$R$53&gt;=2)+('Yellow Bosses'!$S$5:$S$53&gt;=2))&gt;0))</f>
        <v>25</v>
      </c>
      <c r="G1173" s="26" t="n">
        <f aca="false">F1173/49</f>
        <v>0.510204081632653</v>
      </c>
      <c r="H1173" s="25" t="n">
        <f aca="false">49-SUMPRODUCT(--((('Yellow Bosses'!$H$5:$H$53&gt;=1)+('Yellow Bosses'!$Q$5:$Q$53&gt;=1)+('Yellow Bosses'!$R$5:$R$53&gt;=1)+('Yellow Bosses'!$S$5:$S$53&gt;=1))&gt;0))</f>
        <v>0</v>
      </c>
      <c r="I1173" s="25" t="n">
        <f aca="false">SUMPRODUCT(--((('Yellow Bosses'!$H$5:$H$53&gt;0)+('Yellow Bosses'!$Q$5:$Q$53&gt;0)+('Yellow Bosses'!$R$5:$R$53&gt;0)+('Yellow Bosses'!$S$5:$S$53&gt;0))=0))</f>
        <v>0</v>
      </c>
      <c r="J1173" s="25" t="n">
        <f aca="false">SUMPRODUCT(--(((Effectiveness!$E$5:$E$155&gt;=2)+(Effectiveness!$N$5:$N$155&gt;=2)+(Effectiveness!$O$5:$O$155&gt;=2)+(Effectiveness!$P$5:$P$155&gt;=2))&gt;0))</f>
        <v>63</v>
      </c>
      <c r="K1173" s="26" t="n">
        <f aca="false">J1173/151</f>
        <v>0.417218543046358</v>
      </c>
      <c r="L1173" s="25" t="n">
        <f aca="false">MIN(INDEX('Move Reality'!$F$5:$F$19,MATCH(B1173,'Move Reality'!$A$5:$A$19,0)),INDEX('Move Reality'!$F$5:$F$19,MATCH(C1173,'Move Reality'!$A$5:$A$19,0)),INDEX('Move Reality'!$F$5:$F$19,MATCH(D1173,'Move Reality'!$A$5:$A$19,0)),INDEX('Move Reality'!$F$5:$F$19,MATCH(E1173,'Move Reality'!$A$5:$A$19,0)))</f>
        <v>1</v>
      </c>
      <c r="M1173" s="28" t="str">
        <f aca="false">IF(L1173&gt;=5,"YES","no - dead move")</f>
        <v>no - dead move</v>
      </c>
    </row>
    <row r="1174" customFormat="false" ht="15" hidden="false" customHeight="false" outlineLevel="0" collapsed="false">
      <c r="A1174" s="17" t="n">
        <v>1170</v>
      </c>
      <c r="B1174" s="17" t="s">
        <v>42</v>
      </c>
      <c r="C1174" s="17" t="s">
        <v>45</v>
      </c>
      <c r="D1174" s="17" t="s">
        <v>47</v>
      </c>
      <c r="E1174" s="17" t="s">
        <v>53</v>
      </c>
      <c r="F1174" s="25" t="n">
        <f aca="false">SUMPRODUCT(--((('Yellow Bosses'!$J$5:$J$53&gt;=2)+('Yellow Bosses'!$M$5:$M$53&gt;=2)+('Yellow Bosses'!$O$5:$O$53&gt;=2)+('Yellow Bosses'!$U$5:$U$53&gt;=2))&gt;0))</f>
        <v>25</v>
      </c>
      <c r="G1174" s="26" t="n">
        <f aca="false">F1174/49</f>
        <v>0.510204081632653</v>
      </c>
      <c r="H1174" s="25" t="n">
        <f aca="false">49-SUMPRODUCT(--((('Yellow Bosses'!$J$5:$J$53&gt;=1)+('Yellow Bosses'!$M$5:$M$53&gt;=1)+('Yellow Bosses'!$O$5:$O$53&gt;=1)+('Yellow Bosses'!$U$5:$U$53&gt;=1))&gt;0))</f>
        <v>0</v>
      </c>
      <c r="I1174" s="25" t="n">
        <f aca="false">SUMPRODUCT(--((('Yellow Bosses'!$J$5:$J$53&gt;0)+('Yellow Bosses'!$M$5:$M$53&gt;0)+('Yellow Bosses'!$O$5:$O$53&gt;0)+('Yellow Bosses'!$U$5:$U$53&gt;0))=0))</f>
        <v>0</v>
      </c>
      <c r="J1174" s="25" t="n">
        <f aca="false">SUMPRODUCT(--(((Effectiveness!$G$5:$G$155&gt;=2)+(Effectiveness!$J$5:$J$155&gt;=2)+(Effectiveness!$L$5:$L$155&gt;=2)+(Effectiveness!$R$5:$R$155&gt;=2))&gt;0))</f>
        <v>63</v>
      </c>
      <c r="K1174" s="26" t="n">
        <f aca="false">J1174/151</f>
        <v>0.417218543046358</v>
      </c>
      <c r="L1174" s="25" t="n">
        <f aca="false">MIN(INDEX('Move Reality'!$F$5:$F$19,MATCH(B1174,'Move Reality'!$A$5:$A$19,0)),INDEX('Move Reality'!$F$5:$F$19,MATCH(C1174,'Move Reality'!$A$5:$A$19,0)),INDEX('Move Reality'!$F$5:$F$19,MATCH(D1174,'Move Reality'!$A$5:$A$19,0)),INDEX('Move Reality'!$F$5:$F$19,MATCH(E1174,'Move Reality'!$A$5:$A$19,0)))</f>
        <v>1</v>
      </c>
      <c r="M1174" s="28" t="str">
        <f aca="false">IF(L1174&gt;=5,"YES","no - dead move")</f>
        <v>no - dead move</v>
      </c>
    </row>
    <row r="1175" customFormat="false" ht="15" hidden="false" customHeight="false" outlineLevel="0" collapsed="false">
      <c r="A1175" s="17" t="n">
        <v>1171</v>
      </c>
      <c r="B1175" s="17" t="s">
        <v>45</v>
      </c>
      <c r="C1175" s="17" t="s">
        <v>47</v>
      </c>
      <c r="D1175" s="17" t="s">
        <v>49</v>
      </c>
      <c r="E1175" s="17" t="s">
        <v>54</v>
      </c>
      <c r="F1175" s="25" t="n">
        <f aca="false">SUMPRODUCT(--((('Yellow Bosses'!$M$5:$M$53&gt;=2)+('Yellow Bosses'!$O$5:$O$53&gt;=2)+('Yellow Bosses'!$Q$5:$Q$53&gt;=2)+('Yellow Bosses'!$V$5:$V$53&gt;=2))&gt;0))</f>
        <v>25</v>
      </c>
      <c r="G1175" s="26" t="n">
        <f aca="false">F1175/49</f>
        <v>0.510204081632653</v>
      </c>
      <c r="H1175" s="25" t="n">
        <f aca="false">49-SUMPRODUCT(--((('Yellow Bosses'!$M$5:$M$53&gt;=1)+('Yellow Bosses'!$O$5:$O$53&gt;=1)+('Yellow Bosses'!$Q$5:$Q$53&gt;=1)+('Yellow Bosses'!$V$5:$V$53&gt;=1))&gt;0))</f>
        <v>0</v>
      </c>
      <c r="I1175" s="25" t="n">
        <f aca="false">SUMPRODUCT(--((('Yellow Bosses'!$M$5:$M$53&gt;0)+('Yellow Bosses'!$O$5:$O$53&gt;0)+('Yellow Bosses'!$Q$5:$Q$53&gt;0)+('Yellow Bosses'!$V$5:$V$53&gt;0))=0))</f>
        <v>0</v>
      </c>
      <c r="J1175" s="25" t="n">
        <f aca="false">SUMPRODUCT(--(((Effectiveness!$J$5:$J$155&gt;=2)+(Effectiveness!$L$5:$L$155&gt;=2)+(Effectiveness!$N$5:$N$155&gt;=2)+(Effectiveness!$S$5:$S$155&gt;=2))&gt;0))</f>
        <v>63</v>
      </c>
      <c r="K1175" s="26" t="n">
        <f aca="false">J1175/151</f>
        <v>0.417218543046358</v>
      </c>
      <c r="L1175" s="25" t="n">
        <f aca="false">MIN(INDEX('Move Reality'!$F$5:$F$19,MATCH(B1175,'Move Reality'!$A$5:$A$19,0)),INDEX('Move Reality'!$F$5:$F$19,MATCH(C1175,'Move Reality'!$A$5:$A$19,0)),INDEX('Move Reality'!$F$5:$F$19,MATCH(D1175,'Move Reality'!$A$5:$A$19,0)),INDEX('Move Reality'!$F$5:$F$19,MATCH(E1175,'Move Reality'!$A$5:$A$19,0)))</f>
        <v>1</v>
      </c>
      <c r="M1175" s="28" t="str">
        <f aca="false">IF(L1175&gt;=5,"YES","no - dead move")</f>
        <v>no - dead move</v>
      </c>
    </row>
    <row r="1176" customFormat="false" ht="15" hidden="false" customHeight="false" outlineLevel="0" collapsed="false">
      <c r="A1176" s="17" t="n">
        <v>1172</v>
      </c>
      <c r="B1176" s="17" t="s">
        <v>47</v>
      </c>
      <c r="C1176" s="17" t="s">
        <v>49</v>
      </c>
      <c r="D1176" s="17" t="s">
        <v>50</v>
      </c>
      <c r="E1176" s="17" t="s">
        <v>51</v>
      </c>
      <c r="F1176" s="25" t="n">
        <f aca="false">SUMPRODUCT(--((('Yellow Bosses'!$O$5:$O$53&gt;=2)+('Yellow Bosses'!$Q$5:$Q$53&gt;=2)+('Yellow Bosses'!$R$5:$R$53&gt;=2)+('Yellow Bosses'!$S$5:$S$53&gt;=2))&gt;0))</f>
        <v>25</v>
      </c>
      <c r="G1176" s="26" t="n">
        <f aca="false">F1176/49</f>
        <v>0.510204081632653</v>
      </c>
      <c r="H1176" s="25" t="n">
        <f aca="false">49-SUMPRODUCT(--((('Yellow Bosses'!$O$5:$O$53&gt;=1)+('Yellow Bosses'!$Q$5:$Q$53&gt;=1)+('Yellow Bosses'!$R$5:$R$53&gt;=1)+('Yellow Bosses'!$S$5:$S$53&gt;=1))&gt;0))</f>
        <v>0</v>
      </c>
      <c r="I1176" s="25" t="n">
        <f aca="false">SUMPRODUCT(--((('Yellow Bosses'!$O$5:$O$53&gt;0)+('Yellow Bosses'!$Q$5:$Q$53&gt;0)+('Yellow Bosses'!$R$5:$R$53&gt;0)+('Yellow Bosses'!$S$5:$S$53&gt;0))=0))</f>
        <v>0</v>
      </c>
      <c r="J1176" s="25" t="n">
        <f aca="false">SUMPRODUCT(--(((Effectiveness!$L$5:$L$155&gt;=2)+(Effectiveness!$N$5:$N$155&gt;=2)+(Effectiveness!$O$5:$O$155&gt;=2)+(Effectiveness!$P$5:$P$155&gt;=2))&gt;0))</f>
        <v>63</v>
      </c>
      <c r="K1176" s="26" t="n">
        <f aca="false">J1176/151</f>
        <v>0.417218543046358</v>
      </c>
      <c r="L1176" s="25" t="n">
        <f aca="false">MIN(INDEX('Move Reality'!$F$5:$F$19,MATCH(B1176,'Move Reality'!$A$5:$A$19,0)),INDEX('Move Reality'!$F$5:$F$19,MATCH(C1176,'Move Reality'!$A$5:$A$19,0)),INDEX('Move Reality'!$F$5:$F$19,MATCH(D1176,'Move Reality'!$A$5:$A$19,0)),INDEX('Move Reality'!$F$5:$F$19,MATCH(E1176,'Move Reality'!$A$5:$A$19,0)))</f>
        <v>1</v>
      </c>
      <c r="M1176" s="28" t="str">
        <f aca="false">IF(L1176&gt;=5,"YES","no - dead move")</f>
        <v>no - dead move</v>
      </c>
    </row>
    <row r="1177" customFormat="false" ht="15" hidden="false" customHeight="false" outlineLevel="0" collapsed="false">
      <c r="A1177" s="17" t="n">
        <v>1173</v>
      </c>
      <c r="B1177" s="17" t="s">
        <v>47</v>
      </c>
      <c r="C1177" s="17" t="s">
        <v>50</v>
      </c>
      <c r="D1177" s="17" t="s">
        <v>51</v>
      </c>
      <c r="E1177" s="17" t="s">
        <v>53</v>
      </c>
      <c r="F1177" s="25" t="n">
        <f aca="false">SUMPRODUCT(--((('Yellow Bosses'!$O$5:$O$53&gt;=2)+('Yellow Bosses'!$R$5:$R$53&gt;=2)+('Yellow Bosses'!$S$5:$S$53&gt;=2)+('Yellow Bosses'!$U$5:$U$53&gt;=2))&gt;0))</f>
        <v>25</v>
      </c>
      <c r="G1177" s="26" t="n">
        <f aca="false">F1177/49</f>
        <v>0.510204081632653</v>
      </c>
      <c r="H1177" s="25" t="n">
        <f aca="false">49-SUMPRODUCT(--((('Yellow Bosses'!$O$5:$O$53&gt;=1)+('Yellow Bosses'!$R$5:$R$53&gt;=1)+('Yellow Bosses'!$S$5:$S$53&gt;=1)+('Yellow Bosses'!$U$5:$U$53&gt;=1))&gt;0))</f>
        <v>0</v>
      </c>
      <c r="I1177" s="25" t="n">
        <f aca="false">SUMPRODUCT(--((('Yellow Bosses'!$O$5:$O$53&gt;0)+('Yellow Bosses'!$R$5:$R$53&gt;0)+('Yellow Bosses'!$S$5:$S$53&gt;0)+('Yellow Bosses'!$U$5:$U$53&gt;0))=0))</f>
        <v>0</v>
      </c>
      <c r="J1177" s="25" t="n">
        <f aca="false">SUMPRODUCT(--(((Effectiveness!$L$5:$L$155&gt;=2)+(Effectiveness!$O$5:$O$155&gt;=2)+(Effectiveness!$P$5:$P$155&gt;=2)+(Effectiveness!$R$5:$R$155&gt;=2))&gt;0))</f>
        <v>63</v>
      </c>
      <c r="K1177" s="26" t="n">
        <f aca="false">J1177/151</f>
        <v>0.417218543046358</v>
      </c>
      <c r="L1177" s="25" t="n">
        <f aca="false">MIN(INDEX('Move Reality'!$F$5:$F$19,MATCH(B1177,'Move Reality'!$A$5:$A$19,0)),INDEX('Move Reality'!$F$5:$F$19,MATCH(C1177,'Move Reality'!$A$5:$A$19,0)),INDEX('Move Reality'!$F$5:$F$19,MATCH(D1177,'Move Reality'!$A$5:$A$19,0)),INDEX('Move Reality'!$F$5:$F$19,MATCH(E1177,'Move Reality'!$A$5:$A$19,0)))</f>
        <v>1</v>
      </c>
      <c r="M1177" s="28" t="str">
        <f aca="false">IF(L1177&gt;=5,"YES","no - dead move")</f>
        <v>no - dead move</v>
      </c>
    </row>
    <row r="1178" customFormat="false" ht="15" hidden="false" customHeight="false" outlineLevel="0" collapsed="false">
      <c r="A1178" s="17" t="n">
        <v>1174</v>
      </c>
      <c r="B1178" s="17" t="s">
        <v>49</v>
      </c>
      <c r="C1178" s="17" t="s">
        <v>50</v>
      </c>
      <c r="D1178" s="17" t="s">
        <v>51</v>
      </c>
      <c r="E1178" s="17" t="s">
        <v>53</v>
      </c>
      <c r="F1178" s="25" t="n">
        <f aca="false">SUMPRODUCT(--((('Yellow Bosses'!$Q$5:$Q$53&gt;=2)+('Yellow Bosses'!$R$5:$R$53&gt;=2)+('Yellow Bosses'!$S$5:$S$53&gt;=2)+('Yellow Bosses'!$U$5:$U$53&gt;=2))&gt;0))</f>
        <v>25</v>
      </c>
      <c r="G1178" s="26" t="n">
        <f aca="false">F1178/49</f>
        <v>0.510204081632653</v>
      </c>
      <c r="H1178" s="25" t="n">
        <f aca="false">49-SUMPRODUCT(--((('Yellow Bosses'!$Q$5:$Q$53&gt;=1)+('Yellow Bosses'!$R$5:$R$53&gt;=1)+('Yellow Bosses'!$S$5:$S$53&gt;=1)+('Yellow Bosses'!$U$5:$U$53&gt;=1))&gt;0))</f>
        <v>0</v>
      </c>
      <c r="I1178" s="25" t="n">
        <f aca="false">SUMPRODUCT(--((('Yellow Bosses'!$Q$5:$Q$53&gt;0)+('Yellow Bosses'!$R$5:$R$53&gt;0)+('Yellow Bosses'!$S$5:$S$53&gt;0)+('Yellow Bosses'!$U$5:$U$53&gt;0))=0))</f>
        <v>0</v>
      </c>
      <c r="J1178" s="25" t="n">
        <f aca="false">SUMPRODUCT(--(((Effectiveness!$N$5:$N$155&gt;=2)+(Effectiveness!$O$5:$O$155&gt;=2)+(Effectiveness!$P$5:$P$155&gt;=2)+(Effectiveness!$R$5:$R$155&gt;=2))&gt;0))</f>
        <v>63</v>
      </c>
      <c r="K1178" s="26" t="n">
        <f aca="false">J1178/151</f>
        <v>0.417218543046358</v>
      </c>
      <c r="L1178" s="25" t="n">
        <f aca="false">MIN(INDEX('Move Reality'!$F$5:$F$19,MATCH(B1178,'Move Reality'!$A$5:$A$19,0)),INDEX('Move Reality'!$F$5:$F$19,MATCH(C1178,'Move Reality'!$A$5:$A$19,0)),INDEX('Move Reality'!$F$5:$F$19,MATCH(D1178,'Move Reality'!$A$5:$A$19,0)),INDEX('Move Reality'!$F$5:$F$19,MATCH(E1178,'Move Reality'!$A$5:$A$19,0)))</f>
        <v>1</v>
      </c>
      <c r="M1178" s="28" t="str">
        <f aca="false">IF(L1178&gt;=5,"YES","no - dead move")</f>
        <v>no - dead move</v>
      </c>
    </row>
    <row r="1179" customFormat="false" ht="15" hidden="false" customHeight="false" outlineLevel="0" collapsed="false">
      <c r="A1179" s="17" t="n">
        <v>1175</v>
      </c>
      <c r="B1179" s="17" t="s">
        <v>40</v>
      </c>
      <c r="C1179" s="17" t="s">
        <v>42</v>
      </c>
      <c r="D1179" s="17" t="s">
        <v>45</v>
      </c>
      <c r="E1179" s="17" t="s">
        <v>53</v>
      </c>
      <c r="F1179" s="25" t="n">
        <f aca="false">SUMPRODUCT(--((('Yellow Bosses'!$H$5:$H$53&gt;=2)+('Yellow Bosses'!$J$5:$J$53&gt;=2)+('Yellow Bosses'!$M$5:$M$53&gt;=2)+('Yellow Bosses'!$U$5:$U$53&gt;=2))&gt;0))</f>
        <v>25</v>
      </c>
      <c r="G1179" s="26" t="n">
        <f aca="false">F1179/49</f>
        <v>0.510204081632653</v>
      </c>
      <c r="H1179" s="25" t="n">
        <f aca="false">49-SUMPRODUCT(--((('Yellow Bosses'!$H$5:$H$53&gt;=1)+('Yellow Bosses'!$J$5:$J$53&gt;=1)+('Yellow Bosses'!$M$5:$M$53&gt;=1)+('Yellow Bosses'!$U$5:$U$53&gt;=1))&gt;0))</f>
        <v>0</v>
      </c>
      <c r="I1179" s="25" t="n">
        <f aca="false">SUMPRODUCT(--((('Yellow Bosses'!$H$5:$H$53&gt;0)+('Yellow Bosses'!$J$5:$J$53&gt;0)+('Yellow Bosses'!$M$5:$M$53&gt;0)+('Yellow Bosses'!$U$5:$U$53&gt;0))=0))</f>
        <v>0</v>
      </c>
      <c r="J1179" s="25" t="n">
        <f aca="false">SUMPRODUCT(--(((Effectiveness!$E$5:$E$155&gt;=2)+(Effectiveness!$G$5:$G$155&gt;=2)+(Effectiveness!$J$5:$J$155&gt;=2)+(Effectiveness!$R$5:$R$155&gt;=2))&gt;0))</f>
        <v>60</v>
      </c>
      <c r="K1179" s="26" t="n">
        <f aca="false">J1179/151</f>
        <v>0.397350993377483</v>
      </c>
      <c r="L1179" s="25" t="n">
        <f aca="false">MIN(INDEX('Move Reality'!$F$5:$F$19,MATCH(B1179,'Move Reality'!$A$5:$A$19,0)),INDEX('Move Reality'!$F$5:$F$19,MATCH(C1179,'Move Reality'!$A$5:$A$19,0)),INDEX('Move Reality'!$F$5:$F$19,MATCH(D1179,'Move Reality'!$A$5:$A$19,0)),INDEX('Move Reality'!$F$5:$F$19,MATCH(E1179,'Move Reality'!$A$5:$A$19,0)))</f>
        <v>1</v>
      </c>
      <c r="M1179" s="28" t="str">
        <f aca="false">IF(L1179&gt;=5,"YES","no - dead move")</f>
        <v>no - dead move</v>
      </c>
    </row>
    <row r="1180" customFormat="false" ht="15" hidden="false" customHeight="false" outlineLevel="0" collapsed="false">
      <c r="A1180" s="17" t="n">
        <v>1176</v>
      </c>
      <c r="B1180" s="17" t="s">
        <v>41</v>
      </c>
      <c r="C1180" s="17" t="s">
        <v>52</v>
      </c>
      <c r="D1180" s="17" t="s">
        <v>53</v>
      </c>
      <c r="E1180" s="17" t="s">
        <v>54</v>
      </c>
      <c r="F1180" s="25" t="n">
        <f aca="false">SUMPRODUCT(--((('Yellow Bosses'!$I$5:$I$53&gt;=2)+('Yellow Bosses'!$T$5:$T$53&gt;=2)+('Yellow Bosses'!$U$5:$U$53&gt;=2)+('Yellow Bosses'!$V$5:$V$53&gt;=2))&gt;0))</f>
        <v>25</v>
      </c>
      <c r="G1180" s="26" t="n">
        <f aca="false">F1180/49</f>
        <v>0.510204081632653</v>
      </c>
      <c r="H1180" s="25" t="n">
        <f aca="false">49-SUMPRODUCT(--((('Yellow Bosses'!$I$5:$I$53&gt;=1)+('Yellow Bosses'!$T$5:$T$53&gt;=1)+('Yellow Bosses'!$U$5:$U$53&gt;=1)+('Yellow Bosses'!$V$5:$V$53&gt;=1))&gt;0))</f>
        <v>0</v>
      </c>
      <c r="I1180" s="25" t="n">
        <f aca="false">SUMPRODUCT(--((('Yellow Bosses'!$I$5:$I$53&gt;0)+('Yellow Bosses'!$T$5:$T$53&gt;0)+('Yellow Bosses'!$U$5:$U$53&gt;0)+('Yellow Bosses'!$V$5:$V$53&gt;0))=0))</f>
        <v>0</v>
      </c>
      <c r="J1180" s="25" t="n">
        <f aca="false">SUMPRODUCT(--(((Effectiveness!$F$5:$F$155&gt;=2)+(Effectiveness!$Q$5:$Q$155&gt;=2)+(Effectiveness!$R$5:$R$155&gt;=2)+(Effectiveness!$S$5:$S$155&gt;=2))&gt;0))</f>
        <v>60</v>
      </c>
      <c r="K1180" s="26" t="n">
        <f aca="false">J1180/151</f>
        <v>0.397350993377483</v>
      </c>
      <c r="L1180" s="25" t="n">
        <f aca="false">MIN(INDEX('Move Reality'!$F$5:$F$19,MATCH(B1180,'Move Reality'!$A$5:$A$19,0)),INDEX('Move Reality'!$F$5:$F$19,MATCH(C1180,'Move Reality'!$A$5:$A$19,0)),INDEX('Move Reality'!$F$5:$F$19,MATCH(D1180,'Move Reality'!$A$5:$A$19,0)),INDEX('Move Reality'!$F$5:$F$19,MATCH(E1180,'Move Reality'!$A$5:$A$19,0)))</f>
        <v>1</v>
      </c>
      <c r="M1180" s="28" t="str">
        <f aca="false">IF(L1180&gt;=5,"YES","no - dead move")</f>
        <v>no - dead move</v>
      </c>
    </row>
    <row r="1181" customFormat="false" ht="15" hidden="false" customHeight="false" outlineLevel="0" collapsed="false">
      <c r="A1181" s="17" t="n">
        <v>1177</v>
      </c>
      <c r="B1181" s="17" t="s">
        <v>42</v>
      </c>
      <c r="C1181" s="17" t="s">
        <v>45</v>
      </c>
      <c r="D1181" s="17" t="s">
        <v>53</v>
      </c>
      <c r="E1181" s="17" t="s">
        <v>54</v>
      </c>
      <c r="F1181" s="25" t="n">
        <f aca="false">SUMPRODUCT(--((('Yellow Bosses'!$J$5:$J$53&gt;=2)+('Yellow Bosses'!$M$5:$M$53&gt;=2)+('Yellow Bosses'!$U$5:$U$53&gt;=2)+('Yellow Bosses'!$V$5:$V$53&gt;=2))&gt;0))</f>
        <v>25</v>
      </c>
      <c r="G1181" s="26" t="n">
        <f aca="false">F1181/49</f>
        <v>0.510204081632653</v>
      </c>
      <c r="H1181" s="25" t="n">
        <f aca="false">49-SUMPRODUCT(--((('Yellow Bosses'!$J$5:$J$53&gt;=1)+('Yellow Bosses'!$M$5:$M$53&gt;=1)+('Yellow Bosses'!$U$5:$U$53&gt;=1)+('Yellow Bosses'!$V$5:$V$53&gt;=1))&gt;0))</f>
        <v>0</v>
      </c>
      <c r="I1181" s="25" t="n">
        <f aca="false">SUMPRODUCT(--((('Yellow Bosses'!$J$5:$J$53&gt;0)+('Yellow Bosses'!$M$5:$M$53&gt;0)+('Yellow Bosses'!$U$5:$U$53&gt;0)+('Yellow Bosses'!$V$5:$V$53&gt;0))=0))</f>
        <v>0</v>
      </c>
      <c r="J1181" s="25" t="n">
        <f aca="false">SUMPRODUCT(--(((Effectiveness!$G$5:$G$155&gt;=2)+(Effectiveness!$J$5:$J$155&gt;=2)+(Effectiveness!$R$5:$R$155&gt;=2)+(Effectiveness!$S$5:$S$155&gt;=2))&gt;0))</f>
        <v>60</v>
      </c>
      <c r="K1181" s="26" t="n">
        <f aca="false">J1181/151</f>
        <v>0.397350993377483</v>
      </c>
      <c r="L1181" s="25" t="n">
        <f aca="false">MIN(INDEX('Move Reality'!$F$5:$F$19,MATCH(B1181,'Move Reality'!$A$5:$A$19,0)),INDEX('Move Reality'!$F$5:$F$19,MATCH(C1181,'Move Reality'!$A$5:$A$19,0)),INDEX('Move Reality'!$F$5:$F$19,MATCH(D1181,'Move Reality'!$A$5:$A$19,0)),INDEX('Move Reality'!$F$5:$F$19,MATCH(E1181,'Move Reality'!$A$5:$A$19,0)))</f>
        <v>1</v>
      </c>
      <c r="M1181" s="28" t="str">
        <f aca="false">IF(L1181&gt;=5,"YES","no - dead move")</f>
        <v>no - dead move</v>
      </c>
    </row>
    <row r="1182" customFormat="false" ht="15" hidden="false" customHeight="false" outlineLevel="0" collapsed="false">
      <c r="A1182" s="17" t="n">
        <v>1178</v>
      </c>
      <c r="B1182" s="17" t="s">
        <v>40</v>
      </c>
      <c r="C1182" s="17" t="s">
        <v>42</v>
      </c>
      <c r="D1182" s="17" t="s">
        <v>47</v>
      </c>
      <c r="E1182" s="17" t="s">
        <v>49</v>
      </c>
      <c r="F1182" s="25" t="n">
        <f aca="false">SUMPRODUCT(--((('Yellow Bosses'!$H$5:$H$53&gt;=2)+('Yellow Bosses'!$J$5:$J$53&gt;=2)+('Yellow Bosses'!$O$5:$O$53&gt;=2)+('Yellow Bosses'!$Q$5:$Q$53&gt;=2))&gt;0))</f>
        <v>25</v>
      </c>
      <c r="G1182" s="26" t="n">
        <f aca="false">F1182/49</f>
        <v>0.510204081632653</v>
      </c>
      <c r="H1182" s="25" t="n">
        <f aca="false">49-SUMPRODUCT(--((('Yellow Bosses'!$H$5:$H$53&gt;=1)+('Yellow Bosses'!$J$5:$J$53&gt;=1)+('Yellow Bosses'!$O$5:$O$53&gt;=1)+('Yellow Bosses'!$Q$5:$Q$53&gt;=1))&gt;0))</f>
        <v>0</v>
      </c>
      <c r="I1182" s="25" t="n">
        <f aca="false">SUMPRODUCT(--((('Yellow Bosses'!$H$5:$H$53&gt;0)+('Yellow Bosses'!$J$5:$J$53&gt;0)+('Yellow Bosses'!$O$5:$O$53&gt;0)+('Yellow Bosses'!$Q$5:$Q$53&gt;0))=0))</f>
        <v>0</v>
      </c>
      <c r="J1182" s="25" t="n">
        <f aca="false">SUMPRODUCT(--(((Effectiveness!$E$5:$E$155&gt;=2)+(Effectiveness!$G$5:$G$155&gt;=2)+(Effectiveness!$L$5:$L$155&gt;=2)+(Effectiveness!$N$5:$N$155&gt;=2))&gt;0))</f>
        <v>59</v>
      </c>
      <c r="K1182" s="26" t="n">
        <f aca="false">J1182/151</f>
        <v>0.390728476821192</v>
      </c>
      <c r="L1182" s="25" t="n">
        <f aca="false">MIN(INDEX('Move Reality'!$F$5:$F$19,MATCH(B1182,'Move Reality'!$A$5:$A$19,0)),INDEX('Move Reality'!$F$5:$F$19,MATCH(C1182,'Move Reality'!$A$5:$A$19,0)),INDEX('Move Reality'!$F$5:$F$19,MATCH(D1182,'Move Reality'!$A$5:$A$19,0)),INDEX('Move Reality'!$F$5:$F$19,MATCH(E1182,'Move Reality'!$A$5:$A$19,0)))</f>
        <v>2</v>
      </c>
      <c r="M1182" s="28" t="str">
        <f aca="false">IF(L1182&gt;=5,"YES","no - dead move")</f>
        <v>no - dead move</v>
      </c>
    </row>
    <row r="1183" customFormat="false" ht="15" hidden="false" customHeight="false" outlineLevel="0" collapsed="false">
      <c r="A1183" s="17" t="n">
        <v>1179</v>
      </c>
      <c r="B1183" s="17" t="s">
        <v>40</v>
      </c>
      <c r="C1183" s="17" t="s">
        <v>50</v>
      </c>
      <c r="D1183" s="17" t="s">
        <v>51</v>
      </c>
      <c r="E1183" s="17" t="s">
        <v>53</v>
      </c>
      <c r="F1183" s="25" t="n">
        <f aca="false">SUMPRODUCT(--((('Yellow Bosses'!$H$5:$H$53&gt;=2)+('Yellow Bosses'!$R$5:$R$53&gt;=2)+('Yellow Bosses'!$S$5:$S$53&gt;=2)+('Yellow Bosses'!$U$5:$U$53&gt;=2))&gt;0))</f>
        <v>25</v>
      </c>
      <c r="G1183" s="26" t="n">
        <f aca="false">F1183/49</f>
        <v>0.510204081632653</v>
      </c>
      <c r="H1183" s="25" t="n">
        <f aca="false">49-SUMPRODUCT(--((('Yellow Bosses'!$H$5:$H$53&gt;=1)+('Yellow Bosses'!$R$5:$R$53&gt;=1)+('Yellow Bosses'!$S$5:$S$53&gt;=1)+('Yellow Bosses'!$U$5:$U$53&gt;=1))&gt;0))</f>
        <v>0</v>
      </c>
      <c r="I1183" s="25" t="n">
        <f aca="false">SUMPRODUCT(--((('Yellow Bosses'!$H$5:$H$53&gt;0)+('Yellow Bosses'!$R$5:$R$53&gt;0)+('Yellow Bosses'!$S$5:$S$53&gt;0)+('Yellow Bosses'!$U$5:$U$53&gt;0))=0))</f>
        <v>0</v>
      </c>
      <c r="J1183" s="25" t="n">
        <f aca="false">SUMPRODUCT(--(((Effectiveness!$E$5:$E$155&gt;=2)+(Effectiveness!$O$5:$O$155&gt;=2)+(Effectiveness!$P$5:$P$155&gt;=2)+(Effectiveness!$R$5:$R$155&gt;=2))&gt;0))</f>
        <v>58</v>
      </c>
      <c r="K1183" s="26" t="n">
        <f aca="false">J1183/151</f>
        <v>0.384105960264901</v>
      </c>
      <c r="L1183" s="25" t="n">
        <f aca="false">MIN(INDEX('Move Reality'!$F$5:$F$19,MATCH(B1183,'Move Reality'!$A$5:$A$19,0)),INDEX('Move Reality'!$F$5:$F$19,MATCH(C1183,'Move Reality'!$A$5:$A$19,0)),INDEX('Move Reality'!$F$5:$F$19,MATCH(D1183,'Move Reality'!$A$5:$A$19,0)),INDEX('Move Reality'!$F$5:$F$19,MATCH(E1183,'Move Reality'!$A$5:$A$19,0)))</f>
        <v>1</v>
      </c>
      <c r="M1183" s="28" t="str">
        <f aca="false">IF(L1183&gt;=5,"YES","no - dead move")</f>
        <v>no - dead move</v>
      </c>
    </row>
    <row r="1184" customFormat="false" ht="15" hidden="false" customHeight="false" outlineLevel="0" collapsed="false">
      <c r="A1184" s="17" t="n">
        <v>1180</v>
      </c>
      <c r="B1184" s="17" t="s">
        <v>40</v>
      </c>
      <c r="C1184" s="17" t="s">
        <v>42</v>
      </c>
      <c r="D1184" s="17" t="s">
        <v>43</v>
      </c>
      <c r="E1184" s="17" t="s">
        <v>46</v>
      </c>
      <c r="F1184" s="25" t="n">
        <f aca="false">SUMPRODUCT(--((('Yellow Bosses'!$H$5:$H$53&gt;=2)+('Yellow Bosses'!$J$5:$J$53&gt;=2)+('Yellow Bosses'!$K$5:$K$53&gt;=2)+('Yellow Bosses'!$N$5:$N$53&gt;=2))&gt;0))</f>
        <v>24</v>
      </c>
      <c r="G1184" s="26" t="n">
        <f aca="false">F1184/49</f>
        <v>0.489795918367347</v>
      </c>
      <c r="H1184" s="25" t="n">
        <f aca="false">49-SUMPRODUCT(--((('Yellow Bosses'!$H$5:$H$53&gt;=1)+('Yellow Bosses'!$J$5:$J$53&gt;=1)+('Yellow Bosses'!$K$5:$K$53&gt;=1)+('Yellow Bosses'!$N$5:$N$53&gt;=1))&gt;0))</f>
        <v>0</v>
      </c>
      <c r="I1184" s="25" t="n">
        <f aca="false">SUMPRODUCT(--((('Yellow Bosses'!$H$5:$H$53&gt;0)+('Yellow Bosses'!$J$5:$J$53&gt;0)+('Yellow Bosses'!$K$5:$K$53&gt;0)+('Yellow Bosses'!$N$5:$N$53&gt;0))=0))</f>
        <v>0</v>
      </c>
      <c r="J1184" s="25" t="n">
        <f aca="false">SUMPRODUCT(--(((Effectiveness!$E$5:$E$155&gt;=2)+(Effectiveness!$G$5:$G$155&gt;=2)+(Effectiveness!$H$5:$H$155&gt;=2)+(Effectiveness!$K$5:$K$155&gt;=2))&gt;0))</f>
        <v>88</v>
      </c>
      <c r="K1184" s="26" t="n">
        <f aca="false">J1184/151</f>
        <v>0.582781456953642</v>
      </c>
      <c r="L1184" s="25" t="n">
        <f aca="false">MIN(INDEX('Move Reality'!$F$5:$F$19,MATCH(B1184,'Move Reality'!$A$5:$A$19,0)),INDEX('Move Reality'!$F$5:$F$19,MATCH(C1184,'Move Reality'!$A$5:$A$19,0)),INDEX('Move Reality'!$F$5:$F$19,MATCH(D1184,'Move Reality'!$A$5:$A$19,0)),INDEX('Move Reality'!$F$5:$F$19,MATCH(E1184,'Move Reality'!$A$5:$A$19,0)))</f>
        <v>5</v>
      </c>
      <c r="M1184" s="28" t="str">
        <f aca="false">IF(L1184&gt;=5,"YES","no - dead move")</f>
        <v>YES</v>
      </c>
    </row>
    <row r="1185" customFormat="false" ht="15" hidden="false" customHeight="false" outlineLevel="0" collapsed="false">
      <c r="A1185" s="17" t="n">
        <v>1181</v>
      </c>
      <c r="B1185" s="17" t="s">
        <v>42</v>
      </c>
      <c r="C1185" s="17" t="s">
        <v>43</v>
      </c>
      <c r="D1185" s="17" t="s">
        <v>44</v>
      </c>
      <c r="E1185" s="17" t="s">
        <v>46</v>
      </c>
      <c r="F1185" s="25" t="n">
        <f aca="false">SUMPRODUCT(--((('Yellow Bosses'!$J$5:$J$53&gt;=2)+('Yellow Bosses'!$K$5:$K$53&gt;=2)+('Yellow Bosses'!$L$5:$L$53&gt;=2)+('Yellow Bosses'!$N$5:$N$53&gt;=2))&gt;0))</f>
        <v>24</v>
      </c>
      <c r="G1185" s="26" t="n">
        <f aca="false">F1185/49</f>
        <v>0.489795918367347</v>
      </c>
      <c r="H1185" s="25" t="n">
        <f aca="false">49-SUMPRODUCT(--((('Yellow Bosses'!$J$5:$J$53&gt;=1)+('Yellow Bosses'!$K$5:$K$53&gt;=1)+('Yellow Bosses'!$L$5:$L$53&gt;=1)+('Yellow Bosses'!$N$5:$N$53&gt;=1))&gt;0))</f>
        <v>3</v>
      </c>
      <c r="I1185" s="25" t="n">
        <f aca="false">SUMPRODUCT(--((('Yellow Bosses'!$J$5:$J$53&gt;0)+('Yellow Bosses'!$K$5:$K$53&gt;0)+('Yellow Bosses'!$L$5:$L$53&gt;0)+('Yellow Bosses'!$N$5:$N$53&gt;0))=0))</f>
        <v>0</v>
      </c>
      <c r="J1185" s="25" t="n">
        <f aca="false">SUMPRODUCT(--(((Effectiveness!$G$5:$G$155&gt;=2)+(Effectiveness!$H$5:$H$155&gt;=2)+(Effectiveness!$I$5:$I$155&gt;=2)+(Effectiveness!$K$5:$K$155&gt;=2))&gt;0))</f>
        <v>88</v>
      </c>
      <c r="K1185" s="26" t="n">
        <f aca="false">J1185/151</f>
        <v>0.582781456953642</v>
      </c>
      <c r="L1185" s="25" t="n">
        <f aca="false">MIN(INDEX('Move Reality'!$F$5:$F$19,MATCH(B1185,'Move Reality'!$A$5:$A$19,0)),INDEX('Move Reality'!$F$5:$F$19,MATCH(C1185,'Move Reality'!$A$5:$A$19,0)),INDEX('Move Reality'!$F$5:$F$19,MATCH(D1185,'Move Reality'!$A$5:$A$19,0)),INDEX('Move Reality'!$F$5:$F$19,MATCH(E1185,'Move Reality'!$A$5:$A$19,0)))</f>
        <v>4</v>
      </c>
      <c r="M1185" s="28" t="str">
        <f aca="false">IF(L1185&gt;=5,"YES","no - dead move")</f>
        <v>no - dead move</v>
      </c>
    </row>
    <row r="1186" customFormat="false" ht="15" hidden="false" customHeight="false" outlineLevel="0" collapsed="false">
      <c r="A1186" s="17" t="n">
        <v>1182</v>
      </c>
      <c r="B1186" s="17" t="s">
        <v>40</v>
      </c>
      <c r="C1186" s="17" t="s">
        <v>41</v>
      </c>
      <c r="D1186" s="17" t="s">
        <v>43</v>
      </c>
      <c r="E1186" s="17" t="s">
        <v>52</v>
      </c>
      <c r="F1186" s="25" t="n">
        <f aca="false">SUMPRODUCT(--((('Yellow Bosses'!$H$5:$H$53&gt;=2)+('Yellow Bosses'!$I$5:$I$53&gt;=2)+('Yellow Bosses'!$K$5:$K$53&gt;=2)+('Yellow Bosses'!$T$5:$T$53&gt;=2))&gt;0))</f>
        <v>24</v>
      </c>
      <c r="G1186" s="26" t="n">
        <f aca="false">F1186/49</f>
        <v>0.489795918367347</v>
      </c>
      <c r="H1186" s="25" t="n">
        <f aca="false">49-SUMPRODUCT(--((('Yellow Bosses'!$H$5:$H$53&gt;=1)+('Yellow Bosses'!$I$5:$I$53&gt;=1)+('Yellow Bosses'!$K$5:$K$53&gt;=1)+('Yellow Bosses'!$T$5:$T$53&gt;=1))&gt;0))</f>
        <v>5</v>
      </c>
      <c r="I1186" s="25" t="n">
        <f aca="false">SUMPRODUCT(--((('Yellow Bosses'!$H$5:$H$53&gt;0)+('Yellow Bosses'!$I$5:$I$53&gt;0)+('Yellow Bosses'!$K$5:$K$53&gt;0)+('Yellow Bosses'!$T$5:$T$53&gt;0))=0))</f>
        <v>0</v>
      </c>
      <c r="J1186" s="25" t="n">
        <f aca="false">SUMPRODUCT(--(((Effectiveness!$E$5:$E$155&gt;=2)+(Effectiveness!$F$5:$F$155&gt;=2)+(Effectiveness!$H$5:$H$155&gt;=2)+(Effectiveness!$Q$5:$Q$155&gt;=2))&gt;0))</f>
        <v>83</v>
      </c>
      <c r="K1186" s="26" t="n">
        <f aca="false">J1186/151</f>
        <v>0.549668874172186</v>
      </c>
      <c r="L1186" s="25" t="n">
        <f aca="false">MIN(INDEX('Move Reality'!$F$5:$F$19,MATCH(B1186,'Move Reality'!$A$5:$A$19,0)),INDEX('Move Reality'!$F$5:$F$19,MATCH(C1186,'Move Reality'!$A$5:$A$19,0)),INDEX('Move Reality'!$F$5:$F$19,MATCH(D1186,'Move Reality'!$A$5:$A$19,0)),INDEX('Move Reality'!$F$5:$F$19,MATCH(E1186,'Move Reality'!$A$5:$A$19,0)))</f>
        <v>6</v>
      </c>
      <c r="M1186" s="28" t="str">
        <f aca="false">IF(L1186&gt;=5,"YES","no - dead move")</f>
        <v>YES</v>
      </c>
    </row>
    <row r="1187" customFormat="false" ht="15" hidden="false" customHeight="false" outlineLevel="0" collapsed="false">
      <c r="A1187" s="17" t="n">
        <v>1183</v>
      </c>
      <c r="B1187" s="17" t="s">
        <v>40</v>
      </c>
      <c r="C1187" s="17" t="s">
        <v>41</v>
      </c>
      <c r="D1187" s="17" t="s">
        <v>44</v>
      </c>
      <c r="E1187" s="17" t="s">
        <v>46</v>
      </c>
      <c r="F1187" s="25" t="n">
        <f aca="false">SUMPRODUCT(--((('Yellow Bosses'!$H$5:$H$53&gt;=2)+('Yellow Bosses'!$I$5:$I$53&gt;=2)+('Yellow Bosses'!$L$5:$L$53&gt;=2)+('Yellow Bosses'!$N$5:$N$53&gt;=2))&gt;0))</f>
        <v>24</v>
      </c>
      <c r="G1187" s="26" t="n">
        <f aca="false">F1187/49</f>
        <v>0.489795918367347</v>
      </c>
      <c r="H1187" s="25" t="n">
        <f aca="false">49-SUMPRODUCT(--((('Yellow Bosses'!$H$5:$H$53&gt;=1)+('Yellow Bosses'!$I$5:$I$53&gt;=1)+('Yellow Bosses'!$L$5:$L$53&gt;=1)+('Yellow Bosses'!$N$5:$N$53&gt;=1))&gt;0))</f>
        <v>0</v>
      </c>
      <c r="I1187" s="25" t="n">
        <f aca="false">SUMPRODUCT(--((('Yellow Bosses'!$H$5:$H$53&gt;0)+('Yellow Bosses'!$I$5:$I$53&gt;0)+('Yellow Bosses'!$L$5:$L$53&gt;0)+('Yellow Bosses'!$N$5:$N$53&gt;0))=0))</f>
        <v>0</v>
      </c>
      <c r="J1187" s="25" t="n">
        <f aca="false">SUMPRODUCT(--(((Effectiveness!$E$5:$E$155&gt;=2)+(Effectiveness!$F$5:$F$155&gt;=2)+(Effectiveness!$I$5:$I$155&gt;=2)+(Effectiveness!$K$5:$K$155&gt;=2))&gt;0))</f>
        <v>83</v>
      </c>
      <c r="K1187" s="26" t="n">
        <f aca="false">J1187/151</f>
        <v>0.549668874172186</v>
      </c>
      <c r="L1187" s="25" t="n">
        <f aca="false">MIN(INDEX('Move Reality'!$F$5:$F$19,MATCH(B1187,'Move Reality'!$A$5:$A$19,0)),INDEX('Move Reality'!$F$5:$F$19,MATCH(C1187,'Move Reality'!$A$5:$A$19,0)),INDEX('Move Reality'!$F$5:$F$19,MATCH(D1187,'Move Reality'!$A$5:$A$19,0)),INDEX('Move Reality'!$F$5:$F$19,MATCH(E1187,'Move Reality'!$A$5:$A$19,0)))</f>
        <v>4</v>
      </c>
      <c r="M1187" s="28" t="str">
        <f aca="false">IF(L1187&gt;=5,"YES","no - dead move")</f>
        <v>no - dead move</v>
      </c>
    </row>
    <row r="1188" customFormat="false" ht="15" hidden="false" customHeight="false" outlineLevel="0" collapsed="false">
      <c r="A1188" s="17" t="n">
        <v>1184</v>
      </c>
      <c r="B1188" s="17" t="s">
        <v>41</v>
      </c>
      <c r="C1188" s="17" t="s">
        <v>43</v>
      </c>
      <c r="D1188" s="17" t="s">
        <v>47</v>
      </c>
      <c r="E1188" s="17" t="s">
        <v>52</v>
      </c>
      <c r="F1188" s="25" t="n">
        <f aca="false">SUMPRODUCT(--((('Yellow Bosses'!$I$5:$I$53&gt;=2)+('Yellow Bosses'!$K$5:$K$53&gt;=2)+('Yellow Bosses'!$O$5:$O$53&gt;=2)+('Yellow Bosses'!$T$5:$T$53&gt;=2))&gt;0))</f>
        <v>24</v>
      </c>
      <c r="G1188" s="26" t="n">
        <f aca="false">F1188/49</f>
        <v>0.489795918367347</v>
      </c>
      <c r="H1188" s="25" t="n">
        <f aca="false">49-SUMPRODUCT(--((('Yellow Bosses'!$I$5:$I$53&gt;=1)+('Yellow Bosses'!$K$5:$K$53&gt;=1)+('Yellow Bosses'!$O$5:$O$53&gt;=1)+('Yellow Bosses'!$T$5:$T$53&gt;=1))&gt;0))</f>
        <v>5</v>
      </c>
      <c r="I1188" s="25" t="n">
        <f aca="false">SUMPRODUCT(--((('Yellow Bosses'!$I$5:$I$53&gt;0)+('Yellow Bosses'!$K$5:$K$53&gt;0)+('Yellow Bosses'!$O$5:$O$53&gt;0)+('Yellow Bosses'!$T$5:$T$53&gt;0))=0))</f>
        <v>0</v>
      </c>
      <c r="J1188" s="25" t="n">
        <f aca="false">SUMPRODUCT(--(((Effectiveness!$F$5:$F$155&gt;=2)+(Effectiveness!$H$5:$H$155&gt;=2)+(Effectiveness!$L$5:$L$155&gt;=2)+(Effectiveness!$Q$5:$Q$155&gt;=2))&gt;0))</f>
        <v>83</v>
      </c>
      <c r="K1188" s="26" t="n">
        <f aca="false">J1188/151</f>
        <v>0.549668874172186</v>
      </c>
      <c r="L1188" s="25" t="n">
        <f aca="false">MIN(INDEX('Move Reality'!$F$5:$F$19,MATCH(B1188,'Move Reality'!$A$5:$A$19,0)),INDEX('Move Reality'!$F$5:$F$19,MATCH(C1188,'Move Reality'!$A$5:$A$19,0)),INDEX('Move Reality'!$F$5:$F$19,MATCH(D1188,'Move Reality'!$A$5:$A$19,0)),INDEX('Move Reality'!$F$5:$F$19,MATCH(E1188,'Move Reality'!$A$5:$A$19,0)))</f>
        <v>2</v>
      </c>
      <c r="M1188" s="28" t="str">
        <f aca="false">IF(L1188&gt;=5,"YES","no - dead move")</f>
        <v>no - dead move</v>
      </c>
    </row>
    <row r="1189" customFormat="false" ht="15" hidden="false" customHeight="false" outlineLevel="0" collapsed="false">
      <c r="A1189" s="17" t="n">
        <v>1185</v>
      </c>
      <c r="B1189" s="17" t="s">
        <v>41</v>
      </c>
      <c r="C1189" s="17" t="s">
        <v>44</v>
      </c>
      <c r="D1189" s="17" t="s">
        <v>46</v>
      </c>
      <c r="E1189" s="17" t="s">
        <v>47</v>
      </c>
      <c r="F1189" s="25" t="n">
        <f aca="false">SUMPRODUCT(--((('Yellow Bosses'!$I$5:$I$53&gt;=2)+('Yellow Bosses'!$L$5:$L$53&gt;=2)+('Yellow Bosses'!$N$5:$N$53&gt;=2)+('Yellow Bosses'!$O$5:$O$53&gt;=2))&gt;0))</f>
        <v>24</v>
      </c>
      <c r="G1189" s="26" t="n">
        <f aca="false">F1189/49</f>
        <v>0.489795918367347</v>
      </c>
      <c r="H1189" s="25" t="n">
        <f aca="false">49-SUMPRODUCT(--((('Yellow Bosses'!$I$5:$I$53&gt;=1)+('Yellow Bosses'!$L$5:$L$53&gt;=1)+('Yellow Bosses'!$N$5:$N$53&gt;=1)+('Yellow Bosses'!$O$5:$O$53&gt;=1))&gt;0))</f>
        <v>0</v>
      </c>
      <c r="I1189" s="25" t="n">
        <f aca="false">SUMPRODUCT(--((('Yellow Bosses'!$I$5:$I$53&gt;0)+('Yellow Bosses'!$L$5:$L$53&gt;0)+('Yellow Bosses'!$N$5:$N$53&gt;0)+('Yellow Bosses'!$O$5:$O$53&gt;0))=0))</f>
        <v>0</v>
      </c>
      <c r="J1189" s="25" t="n">
        <f aca="false">SUMPRODUCT(--(((Effectiveness!$F$5:$F$155&gt;=2)+(Effectiveness!$I$5:$I$155&gt;=2)+(Effectiveness!$K$5:$K$155&gt;=2)+(Effectiveness!$L$5:$L$155&gt;=2))&gt;0))</f>
        <v>83</v>
      </c>
      <c r="K1189" s="26" t="n">
        <f aca="false">J1189/151</f>
        <v>0.549668874172186</v>
      </c>
      <c r="L1189" s="25" t="n">
        <f aca="false">MIN(INDEX('Move Reality'!$F$5:$F$19,MATCH(B1189,'Move Reality'!$A$5:$A$19,0)),INDEX('Move Reality'!$F$5:$F$19,MATCH(C1189,'Move Reality'!$A$5:$A$19,0)),INDEX('Move Reality'!$F$5:$F$19,MATCH(D1189,'Move Reality'!$A$5:$A$19,0)),INDEX('Move Reality'!$F$5:$F$19,MATCH(E1189,'Move Reality'!$A$5:$A$19,0)))</f>
        <v>2</v>
      </c>
      <c r="M1189" s="28" t="str">
        <f aca="false">IF(L1189&gt;=5,"YES","no - dead move")</f>
        <v>no - dead move</v>
      </c>
    </row>
    <row r="1190" customFormat="false" ht="15" hidden="false" customHeight="false" outlineLevel="0" collapsed="false">
      <c r="A1190" s="17" t="n">
        <v>1186</v>
      </c>
      <c r="B1190" s="17" t="s">
        <v>42</v>
      </c>
      <c r="C1190" s="17" t="s">
        <v>44</v>
      </c>
      <c r="D1190" s="17" t="s">
        <v>46</v>
      </c>
      <c r="E1190" s="17" t="s">
        <v>47</v>
      </c>
      <c r="F1190" s="25" t="n">
        <f aca="false">SUMPRODUCT(--((('Yellow Bosses'!$J$5:$J$53&gt;=2)+('Yellow Bosses'!$L$5:$L$53&gt;=2)+('Yellow Bosses'!$N$5:$N$53&gt;=2)+('Yellow Bosses'!$O$5:$O$53&gt;=2))&gt;0))</f>
        <v>24</v>
      </c>
      <c r="G1190" s="26" t="n">
        <f aca="false">F1190/49</f>
        <v>0.489795918367347</v>
      </c>
      <c r="H1190" s="25" t="n">
        <f aca="false">49-SUMPRODUCT(--((('Yellow Bosses'!$J$5:$J$53&gt;=1)+('Yellow Bosses'!$L$5:$L$53&gt;=1)+('Yellow Bosses'!$N$5:$N$53&gt;=1)+('Yellow Bosses'!$O$5:$O$53&gt;=1))&gt;0))</f>
        <v>0</v>
      </c>
      <c r="I1190" s="25" t="n">
        <f aca="false">SUMPRODUCT(--((('Yellow Bosses'!$J$5:$J$53&gt;0)+('Yellow Bosses'!$L$5:$L$53&gt;0)+('Yellow Bosses'!$N$5:$N$53&gt;0)+('Yellow Bosses'!$O$5:$O$53&gt;0))=0))</f>
        <v>0</v>
      </c>
      <c r="J1190" s="25" t="n">
        <f aca="false">SUMPRODUCT(--(((Effectiveness!$G$5:$G$155&gt;=2)+(Effectiveness!$I$5:$I$155&gt;=2)+(Effectiveness!$K$5:$K$155&gt;=2)+(Effectiveness!$L$5:$L$155&gt;=2))&gt;0))</f>
        <v>82</v>
      </c>
      <c r="K1190" s="26" t="n">
        <f aca="false">J1190/151</f>
        <v>0.543046357615894</v>
      </c>
      <c r="L1190" s="25" t="n">
        <f aca="false">MIN(INDEX('Move Reality'!$F$5:$F$19,MATCH(B1190,'Move Reality'!$A$5:$A$19,0)),INDEX('Move Reality'!$F$5:$F$19,MATCH(C1190,'Move Reality'!$A$5:$A$19,0)),INDEX('Move Reality'!$F$5:$F$19,MATCH(D1190,'Move Reality'!$A$5:$A$19,0)),INDEX('Move Reality'!$F$5:$F$19,MATCH(E1190,'Move Reality'!$A$5:$A$19,0)))</f>
        <v>2</v>
      </c>
      <c r="M1190" s="28" t="str">
        <f aca="false">IF(L1190&gt;=5,"YES","no - dead move")</f>
        <v>no - dead move</v>
      </c>
    </row>
    <row r="1191" customFormat="false" ht="15" hidden="false" customHeight="false" outlineLevel="0" collapsed="false">
      <c r="A1191" s="17" t="n">
        <v>1187</v>
      </c>
      <c r="B1191" s="17" t="s">
        <v>40</v>
      </c>
      <c r="C1191" s="17" t="s">
        <v>43</v>
      </c>
      <c r="D1191" s="17" t="s">
        <v>49</v>
      </c>
      <c r="E1191" s="17" t="s">
        <v>53</v>
      </c>
      <c r="F1191" s="25" t="n">
        <f aca="false">SUMPRODUCT(--((('Yellow Bosses'!$H$5:$H$53&gt;=2)+('Yellow Bosses'!$K$5:$K$53&gt;=2)+('Yellow Bosses'!$Q$5:$Q$53&gt;=2)+('Yellow Bosses'!$U$5:$U$53&gt;=2))&gt;0))</f>
        <v>24</v>
      </c>
      <c r="G1191" s="26" t="n">
        <f aca="false">F1191/49</f>
        <v>0.489795918367347</v>
      </c>
      <c r="H1191" s="25" t="n">
        <f aca="false">49-SUMPRODUCT(--((('Yellow Bosses'!$H$5:$H$53&gt;=1)+('Yellow Bosses'!$K$5:$K$53&gt;=1)+('Yellow Bosses'!$Q$5:$Q$53&gt;=1)+('Yellow Bosses'!$U$5:$U$53&gt;=1))&gt;0))</f>
        <v>0</v>
      </c>
      <c r="I1191" s="25" t="n">
        <f aca="false">SUMPRODUCT(--((('Yellow Bosses'!$H$5:$H$53&gt;0)+('Yellow Bosses'!$K$5:$K$53&gt;0)+('Yellow Bosses'!$Q$5:$Q$53&gt;0)+('Yellow Bosses'!$U$5:$U$53&gt;0))=0))</f>
        <v>0</v>
      </c>
      <c r="J1191" s="25" t="n">
        <f aca="false">SUMPRODUCT(--(((Effectiveness!$E$5:$E$155&gt;=2)+(Effectiveness!$H$5:$H$155&gt;=2)+(Effectiveness!$N$5:$N$155&gt;=2)+(Effectiveness!$R$5:$R$155&gt;=2))&gt;0))</f>
        <v>80</v>
      </c>
      <c r="K1191" s="26" t="n">
        <f aca="false">J1191/151</f>
        <v>0.529801324503311</v>
      </c>
      <c r="L1191" s="25" t="n">
        <f aca="false">MIN(INDEX('Move Reality'!$F$5:$F$19,MATCH(B1191,'Move Reality'!$A$5:$A$19,0)),INDEX('Move Reality'!$F$5:$F$19,MATCH(C1191,'Move Reality'!$A$5:$A$19,0)),INDEX('Move Reality'!$F$5:$F$19,MATCH(D1191,'Move Reality'!$A$5:$A$19,0)),INDEX('Move Reality'!$F$5:$F$19,MATCH(E1191,'Move Reality'!$A$5:$A$19,0)))</f>
        <v>1</v>
      </c>
      <c r="M1191" s="28" t="str">
        <f aca="false">IF(L1191&gt;=5,"YES","no - dead move")</f>
        <v>no - dead move</v>
      </c>
    </row>
    <row r="1192" customFormat="false" ht="15" hidden="false" customHeight="false" outlineLevel="0" collapsed="false">
      <c r="A1192" s="17" t="n">
        <v>1188</v>
      </c>
      <c r="B1192" s="17" t="s">
        <v>40</v>
      </c>
      <c r="C1192" s="17" t="s">
        <v>43</v>
      </c>
      <c r="D1192" s="17" t="s">
        <v>49</v>
      </c>
      <c r="E1192" s="17" t="s">
        <v>54</v>
      </c>
      <c r="F1192" s="25" t="n">
        <f aca="false">SUMPRODUCT(--((('Yellow Bosses'!$H$5:$H$53&gt;=2)+('Yellow Bosses'!$K$5:$K$53&gt;=2)+('Yellow Bosses'!$Q$5:$Q$53&gt;=2)+('Yellow Bosses'!$V$5:$V$53&gt;=2))&gt;0))</f>
        <v>24</v>
      </c>
      <c r="G1192" s="26" t="n">
        <f aca="false">F1192/49</f>
        <v>0.489795918367347</v>
      </c>
      <c r="H1192" s="25" t="n">
        <f aca="false">49-SUMPRODUCT(--((('Yellow Bosses'!$H$5:$H$53&gt;=1)+('Yellow Bosses'!$K$5:$K$53&gt;=1)+('Yellow Bosses'!$Q$5:$Q$53&gt;=1)+('Yellow Bosses'!$V$5:$V$53&gt;=1))&gt;0))</f>
        <v>0</v>
      </c>
      <c r="I1192" s="25" t="n">
        <f aca="false">SUMPRODUCT(--((('Yellow Bosses'!$H$5:$H$53&gt;0)+('Yellow Bosses'!$K$5:$K$53&gt;0)+('Yellow Bosses'!$Q$5:$Q$53&gt;0)+('Yellow Bosses'!$V$5:$V$53&gt;0))=0))</f>
        <v>0</v>
      </c>
      <c r="J1192" s="25" t="n">
        <f aca="false">SUMPRODUCT(--(((Effectiveness!$E$5:$E$155&gt;=2)+(Effectiveness!$H$5:$H$155&gt;=2)+(Effectiveness!$N$5:$N$155&gt;=2)+(Effectiveness!$S$5:$S$155&gt;=2))&gt;0))</f>
        <v>80</v>
      </c>
      <c r="K1192" s="26" t="n">
        <f aca="false">J1192/151</f>
        <v>0.529801324503311</v>
      </c>
      <c r="L1192" s="25" t="n">
        <f aca="false">MIN(INDEX('Move Reality'!$F$5:$F$19,MATCH(B1192,'Move Reality'!$A$5:$A$19,0)),INDEX('Move Reality'!$F$5:$F$19,MATCH(C1192,'Move Reality'!$A$5:$A$19,0)),INDEX('Move Reality'!$F$5:$F$19,MATCH(D1192,'Move Reality'!$A$5:$A$19,0)),INDEX('Move Reality'!$F$5:$F$19,MATCH(E1192,'Move Reality'!$A$5:$A$19,0)))</f>
        <v>1</v>
      </c>
      <c r="M1192" s="28" t="str">
        <f aca="false">IF(L1192&gt;=5,"YES","no - dead move")</f>
        <v>no - dead move</v>
      </c>
    </row>
    <row r="1193" customFormat="false" ht="15" hidden="false" customHeight="false" outlineLevel="0" collapsed="false">
      <c r="A1193" s="17" t="n">
        <v>1189</v>
      </c>
      <c r="B1193" s="17" t="s">
        <v>43</v>
      </c>
      <c r="C1193" s="17" t="s">
        <v>47</v>
      </c>
      <c r="D1193" s="17" t="s">
        <v>49</v>
      </c>
      <c r="E1193" s="17" t="s">
        <v>53</v>
      </c>
      <c r="F1193" s="25" t="n">
        <f aca="false">SUMPRODUCT(--((('Yellow Bosses'!$K$5:$K$53&gt;=2)+('Yellow Bosses'!$O$5:$O$53&gt;=2)+('Yellow Bosses'!$Q$5:$Q$53&gt;=2)+('Yellow Bosses'!$U$5:$U$53&gt;=2))&gt;0))</f>
        <v>24</v>
      </c>
      <c r="G1193" s="26" t="n">
        <f aca="false">F1193/49</f>
        <v>0.489795918367347</v>
      </c>
      <c r="H1193" s="25" t="n">
        <f aca="false">49-SUMPRODUCT(--((('Yellow Bosses'!$K$5:$K$53&gt;=1)+('Yellow Bosses'!$O$5:$O$53&gt;=1)+('Yellow Bosses'!$Q$5:$Q$53&gt;=1)+('Yellow Bosses'!$U$5:$U$53&gt;=1))&gt;0))</f>
        <v>0</v>
      </c>
      <c r="I1193" s="25" t="n">
        <f aca="false">SUMPRODUCT(--((('Yellow Bosses'!$K$5:$K$53&gt;0)+('Yellow Bosses'!$O$5:$O$53&gt;0)+('Yellow Bosses'!$Q$5:$Q$53&gt;0)+('Yellow Bosses'!$U$5:$U$53&gt;0))=0))</f>
        <v>0</v>
      </c>
      <c r="J1193" s="25" t="n">
        <f aca="false">SUMPRODUCT(--(((Effectiveness!$H$5:$H$155&gt;=2)+(Effectiveness!$L$5:$L$155&gt;=2)+(Effectiveness!$N$5:$N$155&gt;=2)+(Effectiveness!$R$5:$R$155&gt;=2))&gt;0))</f>
        <v>80</v>
      </c>
      <c r="K1193" s="26" t="n">
        <f aca="false">J1193/151</f>
        <v>0.529801324503311</v>
      </c>
      <c r="L1193" s="25" t="n">
        <f aca="false">MIN(INDEX('Move Reality'!$F$5:$F$19,MATCH(B1193,'Move Reality'!$A$5:$A$19,0)),INDEX('Move Reality'!$F$5:$F$19,MATCH(C1193,'Move Reality'!$A$5:$A$19,0)),INDEX('Move Reality'!$F$5:$F$19,MATCH(D1193,'Move Reality'!$A$5:$A$19,0)),INDEX('Move Reality'!$F$5:$F$19,MATCH(E1193,'Move Reality'!$A$5:$A$19,0)))</f>
        <v>1</v>
      </c>
      <c r="M1193" s="28" t="str">
        <f aca="false">IF(L1193&gt;=5,"YES","no - dead move")</f>
        <v>no - dead move</v>
      </c>
    </row>
    <row r="1194" customFormat="false" ht="15" hidden="false" customHeight="false" outlineLevel="0" collapsed="false">
      <c r="A1194" s="17" t="n">
        <v>1190</v>
      </c>
      <c r="B1194" s="17" t="s">
        <v>43</v>
      </c>
      <c r="C1194" s="17" t="s">
        <v>47</v>
      </c>
      <c r="D1194" s="17" t="s">
        <v>49</v>
      </c>
      <c r="E1194" s="17" t="s">
        <v>54</v>
      </c>
      <c r="F1194" s="25" t="n">
        <f aca="false">SUMPRODUCT(--((('Yellow Bosses'!$K$5:$K$53&gt;=2)+('Yellow Bosses'!$O$5:$O$53&gt;=2)+('Yellow Bosses'!$Q$5:$Q$53&gt;=2)+('Yellow Bosses'!$V$5:$V$53&gt;=2))&gt;0))</f>
        <v>24</v>
      </c>
      <c r="G1194" s="26" t="n">
        <f aca="false">F1194/49</f>
        <v>0.489795918367347</v>
      </c>
      <c r="H1194" s="25" t="n">
        <f aca="false">49-SUMPRODUCT(--((('Yellow Bosses'!$K$5:$K$53&gt;=1)+('Yellow Bosses'!$O$5:$O$53&gt;=1)+('Yellow Bosses'!$Q$5:$Q$53&gt;=1)+('Yellow Bosses'!$V$5:$V$53&gt;=1))&gt;0))</f>
        <v>0</v>
      </c>
      <c r="I1194" s="25" t="n">
        <f aca="false">SUMPRODUCT(--((('Yellow Bosses'!$K$5:$K$53&gt;0)+('Yellow Bosses'!$O$5:$O$53&gt;0)+('Yellow Bosses'!$Q$5:$Q$53&gt;0)+('Yellow Bosses'!$V$5:$V$53&gt;0))=0))</f>
        <v>0</v>
      </c>
      <c r="J1194" s="25" t="n">
        <f aca="false">SUMPRODUCT(--(((Effectiveness!$H$5:$H$155&gt;=2)+(Effectiveness!$L$5:$L$155&gt;=2)+(Effectiveness!$N$5:$N$155&gt;=2)+(Effectiveness!$S$5:$S$155&gt;=2))&gt;0))</f>
        <v>80</v>
      </c>
      <c r="K1194" s="26" t="n">
        <f aca="false">J1194/151</f>
        <v>0.529801324503311</v>
      </c>
      <c r="L1194" s="25" t="n">
        <f aca="false">MIN(INDEX('Move Reality'!$F$5:$F$19,MATCH(B1194,'Move Reality'!$A$5:$A$19,0)),INDEX('Move Reality'!$F$5:$F$19,MATCH(C1194,'Move Reality'!$A$5:$A$19,0)),INDEX('Move Reality'!$F$5:$F$19,MATCH(D1194,'Move Reality'!$A$5:$A$19,0)),INDEX('Move Reality'!$F$5:$F$19,MATCH(E1194,'Move Reality'!$A$5:$A$19,0)))</f>
        <v>1</v>
      </c>
      <c r="M1194" s="28" t="str">
        <f aca="false">IF(L1194&gt;=5,"YES","no - dead move")</f>
        <v>no - dead move</v>
      </c>
    </row>
    <row r="1195" customFormat="false" ht="15" hidden="false" customHeight="false" outlineLevel="0" collapsed="false">
      <c r="A1195" s="17" t="n">
        <v>1191</v>
      </c>
      <c r="B1195" s="17" t="s">
        <v>43</v>
      </c>
      <c r="C1195" s="17" t="s">
        <v>47</v>
      </c>
      <c r="D1195" s="17" t="s">
        <v>52</v>
      </c>
      <c r="E1195" s="17" t="s">
        <v>54</v>
      </c>
      <c r="F1195" s="25" t="n">
        <f aca="false">SUMPRODUCT(--((('Yellow Bosses'!$K$5:$K$53&gt;=2)+('Yellow Bosses'!$O$5:$O$53&gt;=2)+('Yellow Bosses'!$T$5:$T$53&gt;=2)+('Yellow Bosses'!$V$5:$V$53&gt;=2))&gt;0))</f>
        <v>24</v>
      </c>
      <c r="G1195" s="26" t="n">
        <f aca="false">F1195/49</f>
        <v>0.489795918367347</v>
      </c>
      <c r="H1195" s="25" t="n">
        <f aca="false">49-SUMPRODUCT(--((('Yellow Bosses'!$K$5:$K$53&gt;=1)+('Yellow Bosses'!$O$5:$O$53&gt;=1)+('Yellow Bosses'!$T$5:$T$53&gt;=1)+('Yellow Bosses'!$V$5:$V$53&gt;=1))&gt;0))</f>
        <v>0</v>
      </c>
      <c r="I1195" s="25" t="n">
        <f aca="false">SUMPRODUCT(--((('Yellow Bosses'!$K$5:$K$53&gt;0)+('Yellow Bosses'!$O$5:$O$53&gt;0)+('Yellow Bosses'!$T$5:$T$53&gt;0)+('Yellow Bosses'!$V$5:$V$53&gt;0))=0))</f>
        <v>0</v>
      </c>
      <c r="J1195" s="25" t="n">
        <f aca="false">SUMPRODUCT(--(((Effectiveness!$H$5:$H$155&gt;=2)+(Effectiveness!$L$5:$L$155&gt;=2)+(Effectiveness!$Q$5:$Q$155&gt;=2)+(Effectiveness!$S$5:$S$155&gt;=2))&gt;0))</f>
        <v>76</v>
      </c>
      <c r="K1195" s="26" t="n">
        <f aca="false">J1195/151</f>
        <v>0.503311258278146</v>
      </c>
      <c r="L1195" s="25" t="n">
        <f aca="false">MIN(INDEX('Move Reality'!$F$5:$F$19,MATCH(B1195,'Move Reality'!$A$5:$A$19,0)),INDEX('Move Reality'!$F$5:$F$19,MATCH(C1195,'Move Reality'!$A$5:$A$19,0)),INDEX('Move Reality'!$F$5:$F$19,MATCH(D1195,'Move Reality'!$A$5:$A$19,0)),INDEX('Move Reality'!$F$5:$F$19,MATCH(E1195,'Move Reality'!$A$5:$A$19,0)))</f>
        <v>1</v>
      </c>
      <c r="M1195" s="28" t="str">
        <f aca="false">IF(L1195&gt;=5,"YES","no - dead move")</f>
        <v>no - dead move</v>
      </c>
    </row>
    <row r="1196" customFormat="false" ht="15" hidden="false" customHeight="false" outlineLevel="0" collapsed="false">
      <c r="A1196" s="17" t="n">
        <v>1192</v>
      </c>
      <c r="B1196" s="17" t="s">
        <v>40</v>
      </c>
      <c r="C1196" s="17" t="s">
        <v>42</v>
      </c>
      <c r="D1196" s="17" t="s">
        <v>46</v>
      </c>
      <c r="E1196" s="17" t="s">
        <v>48</v>
      </c>
      <c r="F1196" s="25" t="n">
        <f aca="false">SUMPRODUCT(--((('Yellow Bosses'!$H$5:$H$53&gt;=2)+('Yellow Bosses'!$J$5:$J$53&gt;=2)+('Yellow Bosses'!$N$5:$N$53&gt;=2)+('Yellow Bosses'!$P$5:$P$53&gt;=2))&gt;0))</f>
        <v>24</v>
      </c>
      <c r="G1196" s="26" t="n">
        <f aca="false">F1196/49</f>
        <v>0.489795918367347</v>
      </c>
      <c r="H1196" s="25" t="n">
        <f aca="false">49-SUMPRODUCT(--((('Yellow Bosses'!$H$5:$H$53&gt;=1)+('Yellow Bosses'!$J$5:$J$53&gt;=1)+('Yellow Bosses'!$N$5:$N$53&gt;=1)+('Yellow Bosses'!$P$5:$P$53&gt;=1))&gt;0))</f>
        <v>0</v>
      </c>
      <c r="I1196" s="25" t="n">
        <f aca="false">SUMPRODUCT(--((('Yellow Bosses'!$H$5:$H$53&gt;0)+('Yellow Bosses'!$J$5:$J$53&gt;0)+('Yellow Bosses'!$N$5:$N$53&gt;0)+('Yellow Bosses'!$P$5:$P$53&gt;0))=0))</f>
        <v>0</v>
      </c>
      <c r="J1196" s="25" t="n">
        <f aca="false">SUMPRODUCT(--(((Effectiveness!$E$5:$E$155&gt;=2)+(Effectiveness!$G$5:$G$155&gt;=2)+(Effectiveness!$K$5:$K$155&gt;=2)+(Effectiveness!$M$5:$M$155&gt;=2))&gt;0))</f>
        <v>73</v>
      </c>
      <c r="K1196" s="26" t="n">
        <f aca="false">J1196/151</f>
        <v>0.483443708609272</v>
      </c>
      <c r="L1196" s="25" t="n">
        <f aca="false">MIN(INDEX('Move Reality'!$F$5:$F$19,MATCH(B1196,'Move Reality'!$A$5:$A$19,0)),INDEX('Move Reality'!$F$5:$F$19,MATCH(C1196,'Move Reality'!$A$5:$A$19,0)),INDEX('Move Reality'!$F$5:$F$19,MATCH(D1196,'Move Reality'!$A$5:$A$19,0)),INDEX('Move Reality'!$F$5:$F$19,MATCH(E1196,'Move Reality'!$A$5:$A$19,0)))</f>
        <v>5</v>
      </c>
      <c r="M1196" s="28" t="str">
        <f aca="false">IF(L1196&gt;=5,"YES","no - dead move")</f>
        <v>YES</v>
      </c>
    </row>
    <row r="1197" customFormat="false" ht="15" hidden="false" customHeight="false" outlineLevel="0" collapsed="false">
      <c r="A1197" s="17" t="n">
        <v>1193</v>
      </c>
      <c r="B1197" s="17" t="s">
        <v>42</v>
      </c>
      <c r="C1197" s="17" t="s">
        <v>46</v>
      </c>
      <c r="D1197" s="17" t="s">
        <v>48</v>
      </c>
      <c r="E1197" s="17" t="s">
        <v>53</v>
      </c>
      <c r="F1197" s="25" t="n">
        <f aca="false">SUMPRODUCT(--((('Yellow Bosses'!$J$5:$J$53&gt;=2)+('Yellow Bosses'!$N$5:$N$53&gt;=2)+('Yellow Bosses'!$P$5:$P$53&gt;=2)+('Yellow Bosses'!$U$5:$U$53&gt;=2))&gt;0))</f>
        <v>24</v>
      </c>
      <c r="G1197" s="26" t="n">
        <f aca="false">F1197/49</f>
        <v>0.489795918367347</v>
      </c>
      <c r="H1197" s="25" t="n">
        <f aca="false">49-SUMPRODUCT(--((('Yellow Bosses'!$J$5:$J$53&gt;=1)+('Yellow Bosses'!$N$5:$N$53&gt;=1)+('Yellow Bosses'!$P$5:$P$53&gt;=1)+('Yellow Bosses'!$U$5:$U$53&gt;=1))&gt;0))</f>
        <v>1</v>
      </c>
      <c r="I1197" s="25" t="n">
        <f aca="false">SUMPRODUCT(--((('Yellow Bosses'!$J$5:$J$53&gt;0)+('Yellow Bosses'!$N$5:$N$53&gt;0)+('Yellow Bosses'!$P$5:$P$53&gt;0)+('Yellow Bosses'!$U$5:$U$53&gt;0))=0))</f>
        <v>0</v>
      </c>
      <c r="J1197" s="25" t="n">
        <f aca="false">SUMPRODUCT(--(((Effectiveness!$G$5:$G$155&gt;=2)+(Effectiveness!$K$5:$K$155&gt;=2)+(Effectiveness!$M$5:$M$155&gt;=2)+(Effectiveness!$R$5:$R$155&gt;=2))&gt;0))</f>
        <v>73</v>
      </c>
      <c r="K1197" s="26" t="n">
        <f aca="false">J1197/151</f>
        <v>0.483443708609272</v>
      </c>
      <c r="L1197" s="25" t="n">
        <f aca="false">MIN(INDEX('Move Reality'!$F$5:$F$19,MATCH(B1197,'Move Reality'!$A$5:$A$19,0)),INDEX('Move Reality'!$F$5:$F$19,MATCH(C1197,'Move Reality'!$A$5:$A$19,0)),INDEX('Move Reality'!$F$5:$F$19,MATCH(D1197,'Move Reality'!$A$5:$A$19,0)),INDEX('Move Reality'!$F$5:$F$19,MATCH(E1197,'Move Reality'!$A$5:$A$19,0)))</f>
        <v>1</v>
      </c>
      <c r="M1197" s="28" t="str">
        <f aca="false">IF(L1197&gt;=5,"YES","no - dead move")</f>
        <v>no - dead move</v>
      </c>
    </row>
    <row r="1198" customFormat="false" ht="15" hidden="false" customHeight="false" outlineLevel="0" collapsed="false">
      <c r="A1198" s="17" t="n">
        <v>1194</v>
      </c>
      <c r="B1198" s="17" t="s">
        <v>40</v>
      </c>
      <c r="C1198" s="17" t="s">
        <v>46</v>
      </c>
      <c r="D1198" s="17" t="s">
        <v>47</v>
      </c>
      <c r="E1198" s="17" t="s">
        <v>52</v>
      </c>
      <c r="F1198" s="25" t="n">
        <f aca="false">SUMPRODUCT(--((('Yellow Bosses'!$H$5:$H$53&gt;=2)+('Yellow Bosses'!$N$5:$N$53&gt;=2)+('Yellow Bosses'!$O$5:$O$53&gt;=2)+('Yellow Bosses'!$T$5:$T$53&gt;=2))&gt;0))</f>
        <v>24</v>
      </c>
      <c r="G1198" s="26" t="n">
        <f aca="false">F1198/49</f>
        <v>0.489795918367347</v>
      </c>
      <c r="H1198" s="25" t="n">
        <f aca="false">49-SUMPRODUCT(--((('Yellow Bosses'!$H$5:$H$53&gt;=1)+('Yellow Bosses'!$N$5:$N$53&gt;=1)+('Yellow Bosses'!$O$5:$O$53&gt;=1)+('Yellow Bosses'!$T$5:$T$53&gt;=1))&gt;0))</f>
        <v>0</v>
      </c>
      <c r="I1198" s="25" t="n">
        <f aca="false">SUMPRODUCT(--((('Yellow Bosses'!$H$5:$H$53&gt;0)+('Yellow Bosses'!$N$5:$N$53&gt;0)+('Yellow Bosses'!$O$5:$O$53&gt;0)+('Yellow Bosses'!$T$5:$T$53&gt;0))=0))</f>
        <v>0</v>
      </c>
      <c r="J1198" s="25" t="n">
        <f aca="false">SUMPRODUCT(--(((Effectiveness!$E$5:$E$155&gt;=2)+(Effectiveness!$K$5:$K$155&gt;=2)+(Effectiveness!$L$5:$L$155&gt;=2)+(Effectiveness!$Q$5:$Q$155&gt;=2))&gt;0))</f>
        <v>72</v>
      </c>
      <c r="K1198" s="26" t="n">
        <f aca="false">J1198/151</f>
        <v>0.47682119205298</v>
      </c>
      <c r="L1198" s="25" t="n">
        <f aca="false">MIN(INDEX('Move Reality'!$F$5:$F$19,MATCH(B1198,'Move Reality'!$A$5:$A$19,0)),INDEX('Move Reality'!$F$5:$F$19,MATCH(C1198,'Move Reality'!$A$5:$A$19,0)),INDEX('Move Reality'!$F$5:$F$19,MATCH(D1198,'Move Reality'!$A$5:$A$19,0)),INDEX('Move Reality'!$F$5:$F$19,MATCH(E1198,'Move Reality'!$A$5:$A$19,0)))</f>
        <v>2</v>
      </c>
      <c r="M1198" s="28" t="str">
        <f aca="false">IF(L1198&gt;=5,"YES","no - dead move")</f>
        <v>no - dead move</v>
      </c>
    </row>
    <row r="1199" customFormat="false" ht="15" hidden="false" customHeight="false" outlineLevel="0" collapsed="false">
      <c r="A1199" s="17" t="n">
        <v>1195</v>
      </c>
      <c r="B1199" s="17" t="s">
        <v>40</v>
      </c>
      <c r="C1199" s="17" t="s">
        <v>46</v>
      </c>
      <c r="D1199" s="17" t="s">
        <v>52</v>
      </c>
      <c r="E1199" s="17" t="s">
        <v>54</v>
      </c>
      <c r="F1199" s="25" t="n">
        <f aca="false">SUMPRODUCT(--((('Yellow Bosses'!$H$5:$H$53&gt;=2)+('Yellow Bosses'!$N$5:$N$53&gt;=2)+('Yellow Bosses'!$T$5:$T$53&gt;=2)+('Yellow Bosses'!$V$5:$V$53&gt;=2))&gt;0))</f>
        <v>24</v>
      </c>
      <c r="G1199" s="26" t="n">
        <f aca="false">F1199/49</f>
        <v>0.489795918367347</v>
      </c>
      <c r="H1199" s="25" t="n">
        <f aca="false">49-SUMPRODUCT(--((('Yellow Bosses'!$H$5:$H$53&gt;=1)+('Yellow Bosses'!$N$5:$N$53&gt;=1)+('Yellow Bosses'!$T$5:$T$53&gt;=1)+('Yellow Bosses'!$V$5:$V$53&gt;=1))&gt;0))</f>
        <v>0</v>
      </c>
      <c r="I1199" s="25" t="n">
        <f aca="false">SUMPRODUCT(--((('Yellow Bosses'!$H$5:$H$53&gt;0)+('Yellow Bosses'!$N$5:$N$53&gt;0)+('Yellow Bosses'!$T$5:$T$53&gt;0)+('Yellow Bosses'!$V$5:$V$53&gt;0))=0))</f>
        <v>0</v>
      </c>
      <c r="J1199" s="25" t="n">
        <f aca="false">SUMPRODUCT(--(((Effectiveness!$E$5:$E$155&gt;=2)+(Effectiveness!$K$5:$K$155&gt;=2)+(Effectiveness!$Q$5:$Q$155&gt;=2)+(Effectiveness!$S$5:$S$155&gt;=2))&gt;0))</f>
        <v>71</v>
      </c>
      <c r="K1199" s="26" t="n">
        <f aca="false">J1199/151</f>
        <v>0.470198675496689</v>
      </c>
      <c r="L1199" s="25" t="n">
        <f aca="false">MIN(INDEX('Move Reality'!$F$5:$F$19,MATCH(B1199,'Move Reality'!$A$5:$A$19,0)),INDEX('Move Reality'!$F$5:$F$19,MATCH(C1199,'Move Reality'!$A$5:$A$19,0)),INDEX('Move Reality'!$F$5:$F$19,MATCH(D1199,'Move Reality'!$A$5:$A$19,0)),INDEX('Move Reality'!$F$5:$F$19,MATCH(E1199,'Move Reality'!$A$5:$A$19,0)))</f>
        <v>1</v>
      </c>
      <c r="M1199" s="28" t="str">
        <f aca="false">IF(L1199&gt;=5,"YES","no - dead move")</f>
        <v>no - dead move</v>
      </c>
    </row>
    <row r="1200" customFormat="false" ht="15" hidden="false" customHeight="false" outlineLevel="0" collapsed="false">
      <c r="A1200" s="17" t="n">
        <v>1196</v>
      </c>
      <c r="B1200" s="17" t="s">
        <v>40</v>
      </c>
      <c r="C1200" s="17" t="s">
        <v>46</v>
      </c>
      <c r="D1200" s="17" t="s">
        <v>48</v>
      </c>
      <c r="E1200" s="17" t="s">
        <v>54</v>
      </c>
      <c r="F1200" s="25" t="n">
        <f aca="false">SUMPRODUCT(--((('Yellow Bosses'!$H$5:$H$53&gt;=2)+('Yellow Bosses'!$N$5:$N$53&gt;=2)+('Yellow Bosses'!$P$5:$P$53&gt;=2)+('Yellow Bosses'!$V$5:$V$53&gt;=2))&gt;0))</f>
        <v>24</v>
      </c>
      <c r="G1200" s="26" t="n">
        <f aca="false">F1200/49</f>
        <v>0.489795918367347</v>
      </c>
      <c r="H1200" s="25" t="n">
        <f aca="false">49-SUMPRODUCT(--((('Yellow Bosses'!$H$5:$H$53&gt;=1)+('Yellow Bosses'!$N$5:$N$53&gt;=1)+('Yellow Bosses'!$P$5:$P$53&gt;=1)+('Yellow Bosses'!$V$5:$V$53&gt;=1))&gt;0))</f>
        <v>0</v>
      </c>
      <c r="I1200" s="25" t="n">
        <f aca="false">SUMPRODUCT(--((('Yellow Bosses'!$H$5:$H$53&gt;0)+('Yellow Bosses'!$N$5:$N$53&gt;0)+('Yellow Bosses'!$P$5:$P$53&gt;0)+('Yellow Bosses'!$V$5:$V$53&gt;0))=0))</f>
        <v>0</v>
      </c>
      <c r="J1200" s="25" t="n">
        <f aca="false">SUMPRODUCT(--(((Effectiveness!$E$5:$E$155&gt;=2)+(Effectiveness!$K$5:$K$155&gt;=2)+(Effectiveness!$M$5:$M$155&gt;=2)+(Effectiveness!$S$5:$S$155&gt;=2))&gt;0))</f>
        <v>67</v>
      </c>
      <c r="K1200" s="26" t="n">
        <f aca="false">J1200/151</f>
        <v>0.443708609271523</v>
      </c>
      <c r="L1200" s="25" t="n">
        <f aca="false">MIN(INDEX('Move Reality'!$F$5:$F$19,MATCH(B1200,'Move Reality'!$A$5:$A$19,0)),INDEX('Move Reality'!$F$5:$F$19,MATCH(C1200,'Move Reality'!$A$5:$A$19,0)),INDEX('Move Reality'!$F$5:$F$19,MATCH(D1200,'Move Reality'!$A$5:$A$19,0)),INDEX('Move Reality'!$F$5:$F$19,MATCH(E1200,'Move Reality'!$A$5:$A$19,0)))</f>
        <v>1</v>
      </c>
      <c r="M1200" s="28" t="str">
        <f aca="false">IF(L1200&gt;=5,"YES","no - dead move")</f>
        <v>no - dead move</v>
      </c>
    </row>
    <row r="1201" customFormat="false" ht="15" hidden="false" customHeight="false" outlineLevel="0" collapsed="false">
      <c r="A1201" s="17" t="n">
        <v>1197</v>
      </c>
      <c r="B1201" s="17" t="s">
        <v>46</v>
      </c>
      <c r="C1201" s="17" t="s">
        <v>48</v>
      </c>
      <c r="D1201" s="17" t="s">
        <v>53</v>
      </c>
      <c r="E1201" s="17" t="s">
        <v>54</v>
      </c>
      <c r="F1201" s="25" t="n">
        <f aca="false">SUMPRODUCT(--((('Yellow Bosses'!$N$5:$N$53&gt;=2)+('Yellow Bosses'!$P$5:$P$53&gt;=2)+('Yellow Bosses'!$U$5:$U$53&gt;=2)+('Yellow Bosses'!$V$5:$V$53&gt;=2))&gt;0))</f>
        <v>24</v>
      </c>
      <c r="G1201" s="26" t="n">
        <f aca="false">F1201/49</f>
        <v>0.489795918367347</v>
      </c>
      <c r="H1201" s="25" t="n">
        <f aca="false">49-SUMPRODUCT(--((('Yellow Bosses'!$N$5:$N$53&gt;=1)+('Yellow Bosses'!$P$5:$P$53&gt;=1)+('Yellow Bosses'!$U$5:$U$53&gt;=1)+('Yellow Bosses'!$V$5:$V$53&gt;=1))&gt;0))</f>
        <v>0</v>
      </c>
      <c r="I1201" s="25" t="n">
        <f aca="false">SUMPRODUCT(--((('Yellow Bosses'!$N$5:$N$53&gt;0)+('Yellow Bosses'!$P$5:$P$53&gt;0)+('Yellow Bosses'!$U$5:$U$53&gt;0)+('Yellow Bosses'!$V$5:$V$53&gt;0))=0))</f>
        <v>0</v>
      </c>
      <c r="J1201" s="25" t="n">
        <f aca="false">SUMPRODUCT(--(((Effectiveness!$K$5:$K$155&gt;=2)+(Effectiveness!$M$5:$M$155&gt;=2)+(Effectiveness!$R$5:$R$155&gt;=2)+(Effectiveness!$S$5:$S$155&gt;=2))&gt;0))</f>
        <v>67</v>
      </c>
      <c r="K1201" s="26" t="n">
        <f aca="false">J1201/151</f>
        <v>0.443708609271523</v>
      </c>
      <c r="L1201" s="25" t="n">
        <f aca="false">MIN(INDEX('Move Reality'!$F$5:$F$19,MATCH(B1201,'Move Reality'!$A$5:$A$19,0)),INDEX('Move Reality'!$F$5:$F$19,MATCH(C1201,'Move Reality'!$A$5:$A$19,0)),INDEX('Move Reality'!$F$5:$F$19,MATCH(D1201,'Move Reality'!$A$5:$A$19,0)),INDEX('Move Reality'!$F$5:$F$19,MATCH(E1201,'Move Reality'!$A$5:$A$19,0)))</f>
        <v>1</v>
      </c>
      <c r="M1201" s="28" t="str">
        <f aca="false">IF(L1201&gt;=5,"YES","no - dead move")</f>
        <v>no - dead move</v>
      </c>
    </row>
    <row r="1202" customFormat="false" ht="15" hidden="false" customHeight="false" outlineLevel="0" collapsed="false">
      <c r="A1202" s="17" t="n">
        <v>1198</v>
      </c>
      <c r="B1202" s="17" t="s">
        <v>41</v>
      </c>
      <c r="C1202" s="17" t="s">
        <v>46</v>
      </c>
      <c r="D1202" s="17" t="s">
        <v>49</v>
      </c>
      <c r="E1202" s="17" t="s">
        <v>53</v>
      </c>
      <c r="F1202" s="25" t="n">
        <f aca="false">SUMPRODUCT(--((('Yellow Bosses'!$I$5:$I$53&gt;=2)+('Yellow Bosses'!$N$5:$N$53&gt;=2)+('Yellow Bosses'!$Q$5:$Q$53&gt;=2)+('Yellow Bosses'!$U$5:$U$53&gt;=2))&gt;0))</f>
        <v>24</v>
      </c>
      <c r="G1202" s="26" t="n">
        <f aca="false">F1202/49</f>
        <v>0.489795918367347</v>
      </c>
      <c r="H1202" s="25" t="n">
        <f aca="false">49-SUMPRODUCT(--((('Yellow Bosses'!$I$5:$I$53&gt;=1)+('Yellow Bosses'!$N$5:$N$53&gt;=1)+('Yellow Bosses'!$Q$5:$Q$53&gt;=1)+('Yellow Bosses'!$U$5:$U$53&gt;=1))&gt;0))</f>
        <v>0</v>
      </c>
      <c r="I1202" s="25" t="n">
        <f aca="false">SUMPRODUCT(--((('Yellow Bosses'!$I$5:$I$53&gt;0)+('Yellow Bosses'!$N$5:$N$53&gt;0)+('Yellow Bosses'!$Q$5:$Q$53&gt;0)+('Yellow Bosses'!$U$5:$U$53&gt;0))=0))</f>
        <v>0</v>
      </c>
      <c r="J1202" s="25" t="n">
        <f aca="false">SUMPRODUCT(--(((Effectiveness!$F$5:$F$155&gt;=2)+(Effectiveness!$K$5:$K$155&gt;=2)+(Effectiveness!$N$5:$N$155&gt;=2)+(Effectiveness!$R$5:$R$155&gt;=2))&gt;0))</f>
        <v>66</v>
      </c>
      <c r="K1202" s="26" t="n">
        <f aca="false">J1202/151</f>
        <v>0.437086092715232</v>
      </c>
      <c r="L1202" s="25" t="n">
        <f aca="false">MIN(INDEX('Move Reality'!$F$5:$F$19,MATCH(B1202,'Move Reality'!$A$5:$A$19,0)),INDEX('Move Reality'!$F$5:$F$19,MATCH(C1202,'Move Reality'!$A$5:$A$19,0)),INDEX('Move Reality'!$F$5:$F$19,MATCH(D1202,'Move Reality'!$A$5:$A$19,0)),INDEX('Move Reality'!$F$5:$F$19,MATCH(E1202,'Move Reality'!$A$5:$A$19,0)))</f>
        <v>1</v>
      </c>
      <c r="M1202" s="28" t="str">
        <f aca="false">IF(L1202&gt;=5,"YES","no - dead move")</f>
        <v>no - dead move</v>
      </c>
    </row>
    <row r="1203" customFormat="false" ht="15" hidden="false" customHeight="false" outlineLevel="0" collapsed="false">
      <c r="A1203" s="17" t="n">
        <v>1199</v>
      </c>
      <c r="B1203" s="17" t="s">
        <v>41</v>
      </c>
      <c r="C1203" s="17" t="s">
        <v>46</v>
      </c>
      <c r="D1203" s="17" t="s">
        <v>49</v>
      </c>
      <c r="E1203" s="17" t="s">
        <v>54</v>
      </c>
      <c r="F1203" s="25" t="n">
        <f aca="false">SUMPRODUCT(--((('Yellow Bosses'!$I$5:$I$53&gt;=2)+('Yellow Bosses'!$N$5:$N$53&gt;=2)+('Yellow Bosses'!$Q$5:$Q$53&gt;=2)+('Yellow Bosses'!$V$5:$V$53&gt;=2))&gt;0))</f>
        <v>24</v>
      </c>
      <c r="G1203" s="26" t="n">
        <f aca="false">F1203/49</f>
        <v>0.489795918367347</v>
      </c>
      <c r="H1203" s="25" t="n">
        <f aca="false">49-SUMPRODUCT(--((('Yellow Bosses'!$I$5:$I$53&gt;=1)+('Yellow Bosses'!$N$5:$N$53&gt;=1)+('Yellow Bosses'!$Q$5:$Q$53&gt;=1)+('Yellow Bosses'!$V$5:$V$53&gt;=1))&gt;0))</f>
        <v>0</v>
      </c>
      <c r="I1203" s="25" t="n">
        <f aca="false">SUMPRODUCT(--((('Yellow Bosses'!$I$5:$I$53&gt;0)+('Yellow Bosses'!$N$5:$N$53&gt;0)+('Yellow Bosses'!$Q$5:$Q$53&gt;0)+('Yellow Bosses'!$V$5:$V$53&gt;0))=0))</f>
        <v>0</v>
      </c>
      <c r="J1203" s="25" t="n">
        <f aca="false">SUMPRODUCT(--(((Effectiveness!$F$5:$F$155&gt;=2)+(Effectiveness!$K$5:$K$155&gt;=2)+(Effectiveness!$N$5:$N$155&gt;=2)+(Effectiveness!$S$5:$S$155&gt;=2))&gt;0))</f>
        <v>66</v>
      </c>
      <c r="K1203" s="26" t="n">
        <f aca="false">J1203/151</f>
        <v>0.437086092715232</v>
      </c>
      <c r="L1203" s="25" t="n">
        <f aca="false">MIN(INDEX('Move Reality'!$F$5:$F$19,MATCH(B1203,'Move Reality'!$A$5:$A$19,0)),INDEX('Move Reality'!$F$5:$F$19,MATCH(C1203,'Move Reality'!$A$5:$A$19,0)),INDEX('Move Reality'!$F$5:$F$19,MATCH(D1203,'Move Reality'!$A$5:$A$19,0)),INDEX('Move Reality'!$F$5:$F$19,MATCH(E1203,'Move Reality'!$A$5:$A$19,0)))</f>
        <v>1</v>
      </c>
      <c r="M1203" s="28" t="str">
        <f aca="false">IF(L1203&gt;=5,"YES","no - dead move")</f>
        <v>no - dead move</v>
      </c>
    </row>
    <row r="1204" customFormat="false" ht="15" hidden="false" customHeight="false" outlineLevel="0" collapsed="false">
      <c r="A1204" s="17" t="n">
        <v>1200</v>
      </c>
      <c r="B1204" s="17" t="s">
        <v>41</v>
      </c>
      <c r="C1204" s="17" t="s">
        <v>49</v>
      </c>
      <c r="D1204" s="17" t="s">
        <v>51</v>
      </c>
      <c r="E1204" s="17" t="s">
        <v>53</v>
      </c>
      <c r="F1204" s="25" t="n">
        <f aca="false">SUMPRODUCT(--((('Yellow Bosses'!$I$5:$I$53&gt;=2)+('Yellow Bosses'!$Q$5:$Q$53&gt;=2)+('Yellow Bosses'!$S$5:$S$53&gt;=2)+('Yellow Bosses'!$U$5:$U$53&gt;=2))&gt;0))</f>
        <v>24</v>
      </c>
      <c r="G1204" s="26" t="n">
        <f aca="false">F1204/49</f>
        <v>0.489795918367347</v>
      </c>
      <c r="H1204" s="25" t="n">
        <f aca="false">49-SUMPRODUCT(--((('Yellow Bosses'!$I$5:$I$53&gt;=1)+('Yellow Bosses'!$Q$5:$Q$53&gt;=1)+('Yellow Bosses'!$S$5:$S$53&gt;=1)+('Yellow Bosses'!$U$5:$U$53&gt;=1))&gt;0))</f>
        <v>0</v>
      </c>
      <c r="I1204" s="25" t="n">
        <f aca="false">SUMPRODUCT(--((('Yellow Bosses'!$I$5:$I$53&gt;0)+('Yellow Bosses'!$Q$5:$Q$53&gt;0)+('Yellow Bosses'!$S$5:$S$53&gt;0)+('Yellow Bosses'!$U$5:$U$53&gt;0))=0))</f>
        <v>0</v>
      </c>
      <c r="J1204" s="25" t="n">
        <f aca="false">SUMPRODUCT(--(((Effectiveness!$F$5:$F$155&gt;=2)+(Effectiveness!$N$5:$N$155&gt;=2)+(Effectiveness!$P$5:$P$155&gt;=2)+(Effectiveness!$R$5:$R$155&gt;=2))&gt;0))</f>
        <v>62</v>
      </c>
      <c r="K1204" s="26" t="n">
        <f aca="false">J1204/151</f>
        <v>0.410596026490066</v>
      </c>
      <c r="L1204" s="25" t="n">
        <f aca="false">MIN(INDEX('Move Reality'!$F$5:$F$19,MATCH(B1204,'Move Reality'!$A$5:$A$19,0)),INDEX('Move Reality'!$F$5:$F$19,MATCH(C1204,'Move Reality'!$A$5:$A$19,0)),INDEX('Move Reality'!$F$5:$F$19,MATCH(D1204,'Move Reality'!$A$5:$A$19,0)),INDEX('Move Reality'!$F$5:$F$19,MATCH(E1204,'Move Reality'!$A$5:$A$19,0)))</f>
        <v>1</v>
      </c>
      <c r="M1204" s="28" t="str">
        <f aca="false">IF(L1204&gt;=5,"YES","no - dead move")</f>
        <v>no - dead move</v>
      </c>
    </row>
    <row r="1205" customFormat="false" ht="15" hidden="false" customHeight="false" outlineLevel="0" collapsed="false">
      <c r="A1205" s="17" t="n">
        <v>1201</v>
      </c>
      <c r="B1205" s="17" t="s">
        <v>41</v>
      </c>
      <c r="C1205" s="17" t="s">
        <v>49</v>
      </c>
      <c r="D1205" s="17" t="s">
        <v>51</v>
      </c>
      <c r="E1205" s="17" t="s">
        <v>54</v>
      </c>
      <c r="F1205" s="25" t="n">
        <f aca="false">SUMPRODUCT(--((('Yellow Bosses'!$I$5:$I$53&gt;=2)+('Yellow Bosses'!$Q$5:$Q$53&gt;=2)+('Yellow Bosses'!$S$5:$S$53&gt;=2)+('Yellow Bosses'!$V$5:$V$53&gt;=2))&gt;0))</f>
        <v>24</v>
      </c>
      <c r="G1205" s="26" t="n">
        <f aca="false">F1205/49</f>
        <v>0.489795918367347</v>
      </c>
      <c r="H1205" s="25" t="n">
        <f aca="false">49-SUMPRODUCT(--((('Yellow Bosses'!$I$5:$I$53&gt;=1)+('Yellow Bosses'!$Q$5:$Q$53&gt;=1)+('Yellow Bosses'!$S$5:$S$53&gt;=1)+('Yellow Bosses'!$V$5:$V$53&gt;=1))&gt;0))</f>
        <v>0</v>
      </c>
      <c r="I1205" s="25" t="n">
        <f aca="false">SUMPRODUCT(--((('Yellow Bosses'!$I$5:$I$53&gt;0)+('Yellow Bosses'!$Q$5:$Q$53&gt;0)+('Yellow Bosses'!$S$5:$S$53&gt;0)+('Yellow Bosses'!$V$5:$V$53&gt;0))=0))</f>
        <v>0</v>
      </c>
      <c r="J1205" s="25" t="n">
        <f aca="false">SUMPRODUCT(--(((Effectiveness!$F$5:$F$155&gt;=2)+(Effectiveness!$N$5:$N$155&gt;=2)+(Effectiveness!$P$5:$P$155&gt;=2)+(Effectiveness!$S$5:$S$155&gt;=2))&gt;0))</f>
        <v>62</v>
      </c>
      <c r="K1205" s="26" t="n">
        <f aca="false">J1205/151</f>
        <v>0.410596026490066</v>
      </c>
      <c r="L1205" s="25" t="n">
        <f aca="false">MIN(INDEX('Move Reality'!$F$5:$F$19,MATCH(B1205,'Move Reality'!$A$5:$A$19,0)),INDEX('Move Reality'!$F$5:$F$19,MATCH(C1205,'Move Reality'!$A$5:$A$19,0)),INDEX('Move Reality'!$F$5:$F$19,MATCH(D1205,'Move Reality'!$A$5:$A$19,0)),INDEX('Move Reality'!$F$5:$F$19,MATCH(E1205,'Move Reality'!$A$5:$A$19,0)))</f>
        <v>1</v>
      </c>
      <c r="M1205" s="28" t="str">
        <f aca="false">IF(L1205&gt;=5,"YES","no - dead move")</f>
        <v>no - dead move</v>
      </c>
    </row>
    <row r="1206" customFormat="false" ht="15" hidden="false" customHeight="false" outlineLevel="0" collapsed="false">
      <c r="A1206" s="17" t="n">
        <v>1202</v>
      </c>
      <c r="B1206" s="17" t="s">
        <v>40</v>
      </c>
      <c r="C1206" s="17" t="s">
        <v>49</v>
      </c>
      <c r="D1206" s="17" t="s">
        <v>51</v>
      </c>
      <c r="E1206" s="17" t="s">
        <v>53</v>
      </c>
      <c r="F1206" s="25" t="n">
        <f aca="false">SUMPRODUCT(--((('Yellow Bosses'!$H$5:$H$53&gt;=2)+('Yellow Bosses'!$Q$5:$Q$53&gt;=2)+('Yellow Bosses'!$S$5:$S$53&gt;=2)+('Yellow Bosses'!$U$5:$U$53&gt;=2))&gt;0))</f>
        <v>24</v>
      </c>
      <c r="G1206" s="26" t="n">
        <f aca="false">F1206/49</f>
        <v>0.489795918367347</v>
      </c>
      <c r="H1206" s="25" t="n">
        <f aca="false">49-SUMPRODUCT(--((('Yellow Bosses'!$H$5:$H$53&gt;=1)+('Yellow Bosses'!$Q$5:$Q$53&gt;=1)+('Yellow Bosses'!$S$5:$S$53&gt;=1)+('Yellow Bosses'!$U$5:$U$53&gt;=1))&gt;0))</f>
        <v>0</v>
      </c>
      <c r="I1206" s="25" t="n">
        <f aca="false">SUMPRODUCT(--((('Yellow Bosses'!$H$5:$H$53&gt;0)+('Yellow Bosses'!$Q$5:$Q$53&gt;0)+('Yellow Bosses'!$S$5:$S$53&gt;0)+('Yellow Bosses'!$U$5:$U$53&gt;0))=0))</f>
        <v>0</v>
      </c>
      <c r="J1206" s="25" t="n">
        <f aca="false">SUMPRODUCT(--(((Effectiveness!$E$5:$E$155&gt;=2)+(Effectiveness!$N$5:$N$155&gt;=2)+(Effectiveness!$P$5:$P$155&gt;=2)+(Effectiveness!$R$5:$R$155&gt;=2))&gt;0))</f>
        <v>61</v>
      </c>
      <c r="K1206" s="26" t="n">
        <f aca="false">J1206/151</f>
        <v>0.403973509933775</v>
      </c>
      <c r="L1206" s="25" t="n">
        <f aca="false">MIN(INDEX('Move Reality'!$F$5:$F$19,MATCH(B1206,'Move Reality'!$A$5:$A$19,0)),INDEX('Move Reality'!$F$5:$F$19,MATCH(C1206,'Move Reality'!$A$5:$A$19,0)),INDEX('Move Reality'!$F$5:$F$19,MATCH(D1206,'Move Reality'!$A$5:$A$19,0)),INDEX('Move Reality'!$F$5:$F$19,MATCH(E1206,'Move Reality'!$A$5:$A$19,0)))</f>
        <v>1</v>
      </c>
      <c r="M1206" s="28" t="str">
        <f aca="false">IF(L1206&gt;=5,"YES","no - dead move")</f>
        <v>no - dead move</v>
      </c>
    </row>
    <row r="1207" customFormat="false" ht="15" hidden="false" customHeight="false" outlineLevel="0" collapsed="false">
      <c r="A1207" s="17" t="n">
        <v>1203</v>
      </c>
      <c r="B1207" s="17" t="s">
        <v>40</v>
      </c>
      <c r="C1207" s="17" t="s">
        <v>49</v>
      </c>
      <c r="D1207" s="17" t="s">
        <v>51</v>
      </c>
      <c r="E1207" s="17" t="s">
        <v>54</v>
      </c>
      <c r="F1207" s="25" t="n">
        <f aca="false">SUMPRODUCT(--((('Yellow Bosses'!$H$5:$H$53&gt;=2)+('Yellow Bosses'!$Q$5:$Q$53&gt;=2)+('Yellow Bosses'!$S$5:$S$53&gt;=2)+('Yellow Bosses'!$V$5:$V$53&gt;=2))&gt;0))</f>
        <v>24</v>
      </c>
      <c r="G1207" s="26" t="n">
        <f aca="false">F1207/49</f>
        <v>0.489795918367347</v>
      </c>
      <c r="H1207" s="25" t="n">
        <f aca="false">49-SUMPRODUCT(--((('Yellow Bosses'!$H$5:$H$53&gt;=1)+('Yellow Bosses'!$Q$5:$Q$53&gt;=1)+('Yellow Bosses'!$S$5:$S$53&gt;=1)+('Yellow Bosses'!$V$5:$V$53&gt;=1))&gt;0))</f>
        <v>0</v>
      </c>
      <c r="I1207" s="25" t="n">
        <f aca="false">SUMPRODUCT(--((('Yellow Bosses'!$H$5:$H$53&gt;0)+('Yellow Bosses'!$Q$5:$Q$53&gt;0)+('Yellow Bosses'!$S$5:$S$53&gt;0)+('Yellow Bosses'!$V$5:$V$53&gt;0))=0))</f>
        <v>0</v>
      </c>
      <c r="J1207" s="25" t="n">
        <f aca="false">SUMPRODUCT(--(((Effectiveness!$E$5:$E$155&gt;=2)+(Effectiveness!$N$5:$N$155&gt;=2)+(Effectiveness!$P$5:$P$155&gt;=2)+(Effectiveness!$S$5:$S$155&gt;=2))&gt;0))</f>
        <v>61</v>
      </c>
      <c r="K1207" s="26" t="n">
        <f aca="false">J1207/151</f>
        <v>0.403973509933775</v>
      </c>
      <c r="L1207" s="25" t="n">
        <f aca="false">MIN(INDEX('Move Reality'!$F$5:$F$19,MATCH(B1207,'Move Reality'!$A$5:$A$19,0)),INDEX('Move Reality'!$F$5:$F$19,MATCH(C1207,'Move Reality'!$A$5:$A$19,0)),INDEX('Move Reality'!$F$5:$F$19,MATCH(D1207,'Move Reality'!$A$5:$A$19,0)),INDEX('Move Reality'!$F$5:$F$19,MATCH(E1207,'Move Reality'!$A$5:$A$19,0)))</f>
        <v>1</v>
      </c>
      <c r="M1207" s="28" t="str">
        <f aca="false">IF(L1207&gt;=5,"YES","no - dead move")</f>
        <v>no - dead move</v>
      </c>
    </row>
    <row r="1208" customFormat="false" ht="15" hidden="false" customHeight="false" outlineLevel="0" collapsed="false">
      <c r="A1208" s="17" t="n">
        <v>1204</v>
      </c>
      <c r="B1208" s="17" t="s">
        <v>41</v>
      </c>
      <c r="C1208" s="17" t="s">
        <v>46</v>
      </c>
      <c r="D1208" s="17" t="s">
        <v>53</v>
      </c>
      <c r="E1208" s="17" t="s">
        <v>54</v>
      </c>
      <c r="F1208" s="25" t="n">
        <f aca="false">SUMPRODUCT(--((('Yellow Bosses'!$I$5:$I$53&gt;=2)+('Yellow Bosses'!$N$5:$N$53&gt;=2)+('Yellow Bosses'!$U$5:$U$53&gt;=2)+('Yellow Bosses'!$V$5:$V$53&gt;=2))&gt;0))</f>
        <v>24</v>
      </c>
      <c r="G1208" s="26" t="n">
        <f aca="false">F1208/49</f>
        <v>0.489795918367347</v>
      </c>
      <c r="H1208" s="25" t="n">
        <f aca="false">49-SUMPRODUCT(--((('Yellow Bosses'!$I$5:$I$53&gt;=1)+('Yellow Bosses'!$N$5:$N$53&gt;=1)+('Yellow Bosses'!$U$5:$U$53&gt;=1)+('Yellow Bosses'!$V$5:$V$53&gt;=1))&gt;0))</f>
        <v>0</v>
      </c>
      <c r="I1208" s="25" t="n">
        <f aca="false">SUMPRODUCT(--((('Yellow Bosses'!$I$5:$I$53&gt;0)+('Yellow Bosses'!$N$5:$N$53&gt;0)+('Yellow Bosses'!$U$5:$U$53&gt;0)+('Yellow Bosses'!$V$5:$V$53&gt;0))=0))</f>
        <v>0</v>
      </c>
      <c r="J1208" s="25" t="n">
        <f aca="false">SUMPRODUCT(--(((Effectiveness!$F$5:$F$155&gt;=2)+(Effectiveness!$K$5:$K$155&gt;=2)+(Effectiveness!$R$5:$R$155&gt;=2)+(Effectiveness!$S$5:$S$155&gt;=2))&gt;0))</f>
        <v>61</v>
      </c>
      <c r="K1208" s="26" t="n">
        <f aca="false">J1208/151</f>
        <v>0.403973509933775</v>
      </c>
      <c r="L1208" s="25" t="n">
        <f aca="false">MIN(INDEX('Move Reality'!$F$5:$F$19,MATCH(B1208,'Move Reality'!$A$5:$A$19,0)),INDEX('Move Reality'!$F$5:$F$19,MATCH(C1208,'Move Reality'!$A$5:$A$19,0)),INDEX('Move Reality'!$F$5:$F$19,MATCH(D1208,'Move Reality'!$A$5:$A$19,0)),INDEX('Move Reality'!$F$5:$F$19,MATCH(E1208,'Move Reality'!$A$5:$A$19,0)))</f>
        <v>1</v>
      </c>
      <c r="M1208" s="28" t="str">
        <f aca="false">IF(L1208&gt;=5,"YES","no - dead move")</f>
        <v>no - dead move</v>
      </c>
    </row>
    <row r="1209" customFormat="false" ht="15" hidden="false" customHeight="false" outlineLevel="0" collapsed="false">
      <c r="A1209" s="17" t="n">
        <v>1205</v>
      </c>
      <c r="B1209" s="17" t="s">
        <v>47</v>
      </c>
      <c r="C1209" s="17" t="s">
        <v>49</v>
      </c>
      <c r="D1209" s="17" t="s">
        <v>51</v>
      </c>
      <c r="E1209" s="17" t="s">
        <v>53</v>
      </c>
      <c r="F1209" s="25" t="n">
        <f aca="false">SUMPRODUCT(--((('Yellow Bosses'!$O$5:$O$53&gt;=2)+('Yellow Bosses'!$Q$5:$Q$53&gt;=2)+('Yellow Bosses'!$S$5:$S$53&gt;=2)+('Yellow Bosses'!$U$5:$U$53&gt;=2))&gt;0))</f>
        <v>24</v>
      </c>
      <c r="G1209" s="26" t="n">
        <f aca="false">F1209/49</f>
        <v>0.489795918367347</v>
      </c>
      <c r="H1209" s="25" t="n">
        <f aca="false">49-SUMPRODUCT(--((('Yellow Bosses'!$O$5:$O$53&gt;=1)+('Yellow Bosses'!$Q$5:$Q$53&gt;=1)+('Yellow Bosses'!$S$5:$S$53&gt;=1)+('Yellow Bosses'!$U$5:$U$53&gt;=1))&gt;0))</f>
        <v>0</v>
      </c>
      <c r="I1209" s="25" t="n">
        <f aca="false">SUMPRODUCT(--((('Yellow Bosses'!$O$5:$O$53&gt;0)+('Yellow Bosses'!$Q$5:$Q$53&gt;0)+('Yellow Bosses'!$S$5:$S$53&gt;0)+('Yellow Bosses'!$U$5:$U$53&gt;0))=0))</f>
        <v>0</v>
      </c>
      <c r="J1209" s="25" t="n">
        <f aca="false">SUMPRODUCT(--(((Effectiveness!$L$5:$L$155&gt;=2)+(Effectiveness!$N$5:$N$155&gt;=2)+(Effectiveness!$P$5:$P$155&gt;=2)+(Effectiveness!$R$5:$R$155&gt;=2))&gt;0))</f>
        <v>61</v>
      </c>
      <c r="K1209" s="26" t="n">
        <f aca="false">J1209/151</f>
        <v>0.403973509933775</v>
      </c>
      <c r="L1209" s="25" t="n">
        <f aca="false">MIN(INDEX('Move Reality'!$F$5:$F$19,MATCH(B1209,'Move Reality'!$A$5:$A$19,0)),INDEX('Move Reality'!$F$5:$F$19,MATCH(C1209,'Move Reality'!$A$5:$A$19,0)),INDEX('Move Reality'!$F$5:$F$19,MATCH(D1209,'Move Reality'!$A$5:$A$19,0)),INDEX('Move Reality'!$F$5:$F$19,MATCH(E1209,'Move Reality'!$A$5:$A$19,0)))</f>
        <v>1</v>
      </c>
      <c r="M1209" s="28" t="str">
        <f aca="false">IF(L1209&gt;=5,"YES","no - dead move")</f>
        <v>no - dead move</v>
      </c>
    </row>
    <row r="1210" customFormat="false" ht="15" hidden="false" customHeight="false" outlineLevel="0" collapsed="false">
      <c r="A1210" s="17" t="n">
        <v>1206</v>
      </c>
      <c r="B1210" s="17" t="s">
        <v>47</v>
      </c>
      <c r="C1210" s="17" t="s">
        <v>49</v>
      </c>
      <c r="D1210" s="17" t="s">
        <v>51</v>
      </c>
      <c r="E1210" s="17" t="s">
        <v>54</v>
      </c>
      <c r="F1210" s="25" t="n">
        <f aca="false">SUMPRODUCT(--((('Yellow Bosses'!$O$5:$O$53&gt;=2)+('Yellow Bosses'!$Q$5:$Q$53&gt;=2)+('Yellow Bosses'!$S$5:$S$53&gt;=2)+('Yellow Bosses'!$V$5:$V$53&gt;=2))&gt;0))</f>
        <v>24</v>
      </c>
      <c r="G1210" s="26" t="n">
        <f aca="false">F1210/49</f>
        <v>0.489795918367347</v>
      </c>
      <c r="H1210" s="25" t="n">
        <f aca="false">49-SUMPRODUCT(--((('Yellow Bosses'!$O$5:$O$53&gt;=1)+('Yellow Bosses'!$Q$5:$Q$53&gt;=1)+('Yellow Bosses'!$S$5:$S$53&gt;=1)+('Yellow Bosses'!$V$5:$V$53&gt;=1))&gt;0))</f>
        <v>0</v>
      </c>
      <c r="I1210" s="25" t="n">
        <f aca="false">SUMPRODUCT(--((('Yellow Bosses'!$O$5:$O$53&gt;0)+('Yellow Bosses'!$Q$5:$Q$53&gt;0)+('Yellow Bosses'!$S$5:$S$53&gt;0)+('Yellow Bosses'!$V$5:$V$53&gt;0))=0))</f>
        <v>0</v>
      </c>
      <c r="J1210" s="25" t="n">
        <f aca="false">SUMPRODUCT(--(((Effectiveness!$L$5:$L$155&gt;=2)+(Effectiveness!$N$5:$N$155&gt;=2)+(Effectiveness!$P$5:$P$155&gt;=2)+(Effectiveness!$S$5:$S$155&gt;=2))&gt;0))</f>
        <v>61</v>
      </c>
      <c r="K1210" s="26" t="n">
        <f aca="false">J1210/151</f>
        <v>0.403973509933775</v>
      </c>
      <c r="L1210" s="25" t="n">
        <f aca="false">MIN(INDEX('Move Reality'!$F$5:$F$19,MATCH(B1210,'Move Reality'!$A$5:$A$19,0)),INDEX('Move Reality'!$F$5:$F$19,MATCH(C1210,'Move Reality'!$A$5:$A$19,0)),INDEX('Move Reality'!$F$5:$F$19,MATCH(D1210,'Move Reality'!$A$5:$A$19,0)),INDEX('Move Reality'!$F$5:$F$19,MATCH(E1210,'Move Reality'!$A$5:$A$19,0)))</f>
        <v>1</v>
      </c>
      <c r="M1210" s="28" t="str">
        <f aca="false">IF(L1210&gt;=5,"YES","no - dead move")</f>
        <v>no - dead move</v>
      </c>
    </row>
    <row r="1211" customFormat="false" ht="15" hidden="false" customHeight="false" outlineLevel="0" collapsed="false">
      <c r="A1211" s="17" t="n">
        <v>1207</v>
      </c>
      <c r="B1211" s="17" t="s">
        <v>40</v>
      </c>
      <c r="C1211" s="17" t="s">
        <v>42</v>
      </c>
      <c r="D1211" s="17" t="s">
        <v>44</v>
      </c>
      <c r="E1211" s="17" t="s">
        <v>53</v>
      </c>
      <c r="F1211" s="25" t="n">
        <f aca="false">SUMPRODUCT(--((('Yellow Bosses'!$H$5:$H$53&gt;=2)+('Yellow Bosses'!$J$5:$J$53&gt;=2)+('Yellow Bosses'!$L$5:$L$53&gt;=2)+('Yellow Bosses'!$U$5:$U$53&gt;=2))&gt;0))</f>
        <v>24</v>
      </c>
      <c r="G1211" s="26" t="n">
        <f aca="false">F1211/49</f>
        <v>0.489795918367347</v>
      </c>
      <c r="H1211" s="25" t="n">
        <f aca="false">49-SUMPRODUCT(--((('Yellow Bosses'!$H$5:$H$53&gt;=1)+('Yellow Bosses'!$J$5:$J$53&gt;=1)+('Yellow Bosses'!$L$5:$L$53&gt;=1)+('Yellow Bosses'!$U$5:$U$53&gt;=1))&gt;0))</f>
        <v>0</v>
      </c>
      <c r="I1211" s="25" t="n">
        <f aca="false">SUMPRODUCT(--((('Yellow Bosses'!$H$5:$H$53&gt;0)+('Yellow Bosses'!$J$5:$J$53&gt;0)+('Yellow Bosses'!$L$5:$L$53&gt;0)+('Yellow Bosses'!$U$5:$U$53&gt;0))=0))</f>
        <v>0</v>
      </c>
      <c r="J1211" s="25" t="n">
        <f aca="false">SUMPRODUCT(--(((Effectiveness!$E$5:$E$155&gt;=2)+(Effectiveness!$G$5:$G$155&gt;=2)+(Effectiveness!$I$5:$I$155&gt;=2)+(Effectiveness!$R$5:$R$155&gt;=2))&gt;0))</f>
        <v>59</v>
      </c>
      <c r="K1211" s="26" t="n">
        <f aca="false">J1211/151</f>
        <v>0.390728476821192</v>
      </c>
      <c r="L1211" s="25" t="n">
        <f aca="false">MIN(INDEX('Move Reality'!$F$5:$F$19,MATCH(B1211,'Move Reality'!$A$5:$A$19,0)),INDEX('Move Reality'!$F$5:$F$19,MATCH(C1211,'Move Reality'!$A$5:$A$19,0)),INDEX('Move Reality'!$F$5:$F$19,MATCH(D1211,'Move Reality'!$A$5:$A$19,0)),INDEX('Move Reality'!$F$5:$F$19,MATCH(E1211,'Move Reality'!$A$5:$A$19,0)))</f>
        <v>1</v>
      </c>
      <c r="M1211" s="28" t="str">
        <f aca="false">IF(L1211&gt;=5,"YES","no - dead move")</f>
        <v>no - dead move</v>
      </c>
    </row>
    <row r="1212" customFormat="false" ht="15" hidden="false" customHeight="false" outlineLevel="0" collapsed="false">
      <c r="A1212" s="17" t="n">
        <v>1208</v>
      </c>
      <c r="B1212" s="17" t="s">
        <v>40</v>
      </c>
      <c r="C1212" s="17" t="s">
        <v>42</v>
      </c>
      <c r="D1212" s="17" t="s">
        <v>44</v>
      </c>
      <c r="E1212" s="17" t="s">
        <v>54</v>
      </c>
      <c r="F1212" s="25" t="n">
        <f aca="false">SUMPRODUCT(--((('Yellow Bosses'!$H$5:$H$53&gt;=2)+('Yellow Bosses'!$J$5:$J$53&gt;=2)+('Yellow Bosses'!$L$5:$L$53&gt;=2)+('Yellow Bosses'!$V$5:$V$53&gt;=2))&gt;0))</f>
        <v>24</v>
      </c>
      <c r="G1212" s="26" t="n">
        <f aca="false">F1212/49</f>
        <v>0.489795918367347</v>
      </c>
      <c r="H1212" s="25" t="n">
        <f aca="false">49-SUMPRODUCT(--((('Yellow Bosses'!$H$5:$H$53&gt;=1)+('Yellow Bosses'!$J$5:$J$53&gt;=1)+('Yellow Bosses'!$L$5:$L$53&gt;=1)+('Yellow Bosses'!$V$5:$V$53&gt;=1))&gt;0))</f>
        <v>0</v>
      </c>
      <c r="I1212" s="25" t="n">
        <f aca="false">SUMPRODUCT(--((('Yellow Bosses'!$H$5:$H$53&gt;0)+('Yellow Bosses'!$J$5:$J$53&gt;0)+('Yellow Bosses'!$L$5:$L$53&gt;0)+('Yellow Bosses'!$V$5:$V$53&gt;0))=0))</f>
        <v>0</v>
      </c>
      <c r="J1212" s="25" t="n">
        <f aca="false">SUMPRODUCT(--(((Effectiveness!$E$5:$E$155&gt;=2)+(Effectiveness!$G$5:$G$155&gt;=2)+(Effectiveness!$I$5:$I$155&gt;=2)+(Effectiveness!$S$5:$S$155&gt;=2))&gt;0))</f>
        <v>59</v>
      </c>
      <c r="K1212" s="26" t="n">
        <f aca="false">J1212/151</f>
        <v>0.390728476821192</v>
      </c>
      <c r="L1212" s="25" t="n">
        <f aca="false">MIN(INDEX('Move Reality'!$F$5:$F$19,MATCH(B1212,'Move Reality'!$A$5:$A$19,0)),INDEX('Move Reality'!$F$5:$F$19,MATCH(C1212,'Move Reality'!$A$5:$A$19,0)),INDEX('Move Reality'!$F$5:$F$19,MATCH(D1212,'Move Reality'!$A$5:$A$19,0)),INDEX('Move Reality'!$F$5:$F$19,MATCH(E1212,'Move Reality'!$A$5:$A$19,0)))</f>
        <v>1</v>
      </c>
      <c r="M1212" s="28" t="str">
        <f aca="false">IF(L1212&gt;=5,"YES","no - dead move")</f>
        <v>no - dead move</v>
      </c>
    </row>
    <row r="1213" customFormat="false" ht="15" hidden="false" customHeight="false" outlineLevel="0" collapsed="false">
      <c r="A1213" s="17" t="n">
        <v>1209</v>
      </c>
      <c r="B1213" s="17" t="s">
        <v>41</v>
      </c>
      <c r="C1213" s="17" t="s">
        <v>51</v>
      </c>
      <c r="D1213" s="17" t="s">
        <v>53</v>
      </c>
      <c r="E1213" s="17" t="s">
        <v>54</v>
      </c>
      <c r="F1213" s="25" t="n">
        <f aca="false">SUMPRODUCT(--((('Yellow Bosses'!$I$5:$I$53&gt;=2)+('Yellow Bosses'!$S$5:$S$53&gt;=2)+('Yellow Bosses'!$U$5:$U$53&gt;=2)+('Yellow Bosses'!$V$5:$V$53&gt;=2))&gt;0))</f>
        <v>24</v>
      </c>
      <c r="G1213" s="26" t="n">
        <f aca="false">F1213/49</f>
        <v>0.489795918367347</v>
      </c>
      <c r="H1213" s="25" t="n">
        <f aca="false">49-SUMPRODUCT(--((('Yellow Bosses'!$I$5:$I$53&gt;=1)+('Yellow Bosses'!$S$5:$S$53&gt;=1)+('Yellow Bosses'!$U$5:$U$53&gt;=1)+('Yellow Bosses'!$V$5:$V$53&gt;=1))&gt;0))</f>
        <v>0</v>
      </c>
      <c r="I1213" s="25" t="n">
        <f aca="false">SUMPRODUCT(--((('Yellow Bosses'!$I$5:$I$53&gt;0)+('Yellow Bosses'!$S$5:$S$53&gt;0)+('Yellow Bosses'!$U$5:$U$53&gt;0)+('Yellow Bosses'!$V$5:$V$53&gt;0))=0))</f>
        <v>0</v>
      </c>
      <c r="J1213" s="25" t="n">
        <f aca="false">SUMPRODUCT(--(((Effectiveness!$F$5:$F$155&gt;=2)+(Effectiveness!$P$5:$P$155&gt;=2)+(Effectiveness!$R$5:$R$155&gt;=2)+(Effectiveness!$S$5:$S$155&gt;=2))&gt;0))</f>
        <v>57</v>
      </c>
      <c r="K1213" s="26" t="n">
        <f aca="false">J1213/151</f>
        <v>0.377483443708609</v>
      </c>
      <c r="L1213" s="25" t="n">
        <f aca="false">MIN(INDEX('Move Reality'!$F$5:$F$19,MATCH(B1213,'Move Reality'!$A$5:$A$19,0)),INDEX('Move Reality'!$F$5:$F$19,MATCH(C1213,'Move Reality'!$A$5:$A$19,0)),INDEX('Move Reality'!$F$5:$F$19,MATCH(D1213,'Move Reality'!$A$5:$A$19,0)),INDEX('Move Reality'!$F$5:$F$19,MATCH(E1213,'Move Reality'!$A$5:$A$19,0)))</f>
        <v>1</v>
      </c>
      <c r="M1213" s="28" t="str">
        <f aca="false">IF(L1213&gt;=5,"YES","no - dead move")</f>
        <v>no - dead move</v>
      </c>
    </row>
    <row r="1214" customFormat="false" ht="15" hidden="false" customHeight="false" outlineLevel="0" collapsed="false">
      <c r="A1214" s="17" t="n">
        <v>1210</v>
      </c>
      <c r="B1214" s="17" t="s">
        <v>42</v>
      </c>
      <c r="C1214" s="17" t="s">
        <v>46</v>
      </c>
      <c r="D1214" s="17" t="s">
        <v>53</v>
      </c>
      <c r="E1214" s="17" t="s">
        <v>54</v>
      </c>
      <c r="F1214" s="25" t="n">
        <f aca="false">SUMPRODUCT(--((('Yellow Bosses'!$J$5:$J$53&gt;=2)+('Yellow Bosses'!$N$5:$N$53&gt;=2)+('Yellow Bosses'!$U$5:$U$53&gt;=2)+('Yellow Bosses'!$V$5:$V$53&gt;=2))&gt;0))</f>
        <v>24</v>
      </c>
      <c r="G1214" s="26" t="n">
        <f aca="false">F1214/49</f>
        <v>0.489795918367347</v>
      </c>
      <c r="H1214" s="25" t="n">
        <f aca="false">49-SUMPRODUCT(--((('Yellow Bosses'!$J$5:$J$53&gt;=1)+('Yellow Bosses'!$N$5:$N$53&gt;=1)+('Yellow Bosses'!$U$5:$U$53&gt;=1)+('Yellow Bosses'!$V$5:$V$53&gt;=1))&gt;0))</f>
        <v>0</v>
      </c>
      <c r="I1214" s="25" t="n">
        <f aca="false">SUMPRODUCT(--((('Yellow Bosses'!$J$5:$J$53&gt;0)+('Yellow Bosses'!$N$5:$N$53&gt;0)+('Yellow Bosses'!$U$5:$U$53&gt;0)+('Yellow Bosses'!$V$5:$V$53&gt;0))=0))</f>
        <v>0</v>
      </c>
      <c r="J1214" s="25" t="n">
        <f aca="false">SUMPRODUCT(--(((Effectiveness!$G$5:$G$155&gt;=2)+(Effectiveness!$K$5:$K$155&gt;=2)+(Effectiveness!$R$5:$R$155&gt;=2)+(Effectiveness!$S$5:$S$155&gt;=2))&gt;0))</f>
        <v>56</v>
      </c>
      <c r="K1214" s="26" t="n">
        <f aca="false">J1214/151</f>
        <v>0.370860927152318</v>
      </c>
      <c r="L1214" s="25" t="n">
        <f aca="false">MIN(INDEX('Move Reality'!$F$5:$F$19,MATCH(B1214,'Move Reality'!$A$5:$A$19,0)),INDEX('Move Reality'!$F$5:$F$19,MATCH(C1214,'Move Reality'!$A$5:$A$19,0)),INDEX('Move Reality'!$F$5:$F$19,MATCH(D1214,'Move Reality'!$A$5:$A$19,0)),INDEX('Move Reality'!$F$5:$F$19,MATCH(E1214,'Move Reality'!$A$5:$A$19,0)))</f>
        <v>1</v>
      </c>
      <c r="M1214" s="28" t="str">
        <f aca="false">IF(L1214&gt;=5,"YES","no - dead move")</f>
        <v>no - dead move</v>
      </c>
    </row>
    <row r="1215" customFormat="false" ht="15" hidden="false" customHeight="false" outlineLevel="0" collapsed="false">
      <c r="A1215" s="17" t="n">
        <v>1211</v>
      </c>
      <c r="B1215" s="17" t="s">
        <v>47</v>
      </c>
      <c r="C1215" s="17" t="s">
        <v>51</v>
      </c>
      <c r="D1215" s="17" t="s">
        <v>53</v>
      </c>
      <c r="E1215" s="17" t="s">
        <v>54</v>
      </c>
      <c r="F1215" s="25" t="n">
        <f aca="false">SUMPRODUCT(--((('Yellow Bosses'!$O$5:$O$53&gt;=2)+('Yellow Bosses'!$S$5:$S$53&gt;=2)+('Yellow Bosses'!$U$5:$U$53&gt;=2)+('Yellow Bosses'!$V$5:$V$53&gt;=2))&gt;0))</f>
        <v>24</v>
      </c>
      <c r="G1215" s="26" t="n">
        <f aca="false">F1215/49</f>
        <v>0.489795918367347</v>
      </c>
      <c r="H1215" s="25" t="n">
        <f aca="false">49-SUMPRODUCT(--((('Yellow Bosses'!$O$5:$O$53&gt;=1)+('Yellow Bosses'!$S$5:$S$53&gt;=1)+('Yellow Bosses'!$U$5:$U$53&gt;=1)+('Yellow Bosses'!$V$5:$V$53&gt;=1))&gt;0))</f>
        <v>0</v>
      </c>
      <c r="I1215" s="25" t="n">
        <f aca="false">SUMPRODUCT(--((('Yellow Bosses'!$O$5:$O$53&gt;0)+('Yellow Bosses'!$S$5:$S$53&gt;0)+('Yellow Bosses'!$U$5:$U$53&gt;0)+('Yellow Bosses'!$V$5:$V$53&gt;0))=0))</f>
        <v>0</v>
      </c>
      <c r="J1215" s="25" t="n">
        <f aca="false">SUMPRODUCT(--(((Effectiveness!$L$5:$L$155&gt;=2)+(Effectiveness!$P$5:$P$155&gt;=2)+(Effectiveness!$R$5:$R$155&gt;=2)+(Effectiveness!$S$5:$S$155&gt;=2))&gt;0))</f>
        <v>56</v>
      </c>
      <c r="K1215" s="26" t="n">
        <f aca="false">J1215/151</f>
        <v>0.370860927152318</v>
      </c>
      <c r="L1215" s="25" t="n">
        <f aca="false">MIN(INDEX('Move Reality'!$F$5:$F$19,MATCH(B1215,'Move Reality'!$A$5:$A$19,0)),INDEX('Move Reality'!$F$5:$F$19,MATCH(C1215,'Move Reality'!$A$5:$A$19,0)),INDEX('Move Reality'!$F$5:$F$19,MATCH(D1215,'Move Reality'!$A$5:$A$19,0)),INDEX('Move Reality'!$F$5:$F$19,MATCH(E1215,'Move Reality'!$A$5:$A$19,0)))</f>
        <v>1</v>
      </c>
      <c r="M1215" s="28" t="str">
        <f aca="false">IF(L1215&gt;=5,"YES","no - dead move")</f>
        <v>no - dead move</v>
      </c>
    </row>
    <row r="1216" customFormat="false" ht="15" hidden="false" customHeight="false" outlineLevel="0" collapsed="false">
      <c r="A1216" s="17" t="n">
        <v>1212</v>
      </c>
      <c r="B1216" s="17" t="s">
        <v>40</v>
      </c>
      <c r="C1216" s="17" t="s">
        <v>51</v>
      </c>
      <c r="D1216" s="17" t="s">
        <v>53</v>
      </c>
      <c r="E1216" s="17" t="s">
        <v>54</v>
      </c>
      <c r="F1216" s="25" t="n">
        <f aca="false">SUMPRODUCT(--((('Yellow Bosses'!$H$5:$H$53&gt;=2)+('Yellow Bosses'!$S$5:$S$53&gt;=2)+('Yellow Bosses'!$U$5:$U$53&gt;=2)+('Yellow Bosses'!$V$5:$V$53&gt;=2))&gt;0))</f>
        <v>24</v>
      </c>
      <c r="G1216" s="26" t="n">
        <f aca="false">F1216/49</f>
        <v>0.489795918367347</v>
      </c>
      <c r="H1216" s="25" t="n">
        <f aca="false">49-SUMPRODUCT(--((('Yellow Bosses'!$H$5:$H$53&gt;=1)+('Yellow Bosses'!$S$5:$S$53&gt;=1)+('Yellow Bosses'!$U$5:$U$53&gt;=1)+('Yellow Bosses'!$V$5:$V$53&gt;=1))&gt;0))</f>
        <v>0</v>
      </c>
      <c r="I1216" s="25" t="n">
        <f aca="false">SUMPRODUCT(--((('Yellow Bosses'!$H$5:$H$53&gt;0)+('Yellow Bosses'!$S$5:$S$53&gt;0)+('Yellow Bosses'!$U$5:$U$53&gt;0)+('Yellow Bosses'!$V$5:$V$53&gt;0))=0))</f>
        <v>0</v>
      </c>
      <c r="J1216" s="25" t="n">
        <f aca="false">SUMPRODUCT(--(((Effectiveness!$E$5:$E$155&gt;=2)+(Effectiveness!$P$5:$P$155&gt;=2)+(Effectiveness!$R$5:$R$155&gt;=2)+(Effectiveness!$S$5:$S$155&gt;=2))&gt;0))</f>
        <v>51</v>
      </c>
      <c r="K1216" s="26" t="n">
        <f aca="false">J1216/151</f>
        <v>0.337748344370861</v>
      </c>
      <c r="L1216" s="25" t="n">
        <f aca="false">MIN(INDEX('Move Reality'!$F$5:$F$19,MATCH(B1216,'Move Reality'!$A$5:$A$19,0)),INDEX('Move Reality'!$F$5:$F$19,MATCH(C1216,'Move Reality'!$A$5:$A$19,0)),INDEX('Move Reality'!$F$5:$F$19,MATCH(D1216,'Move Reality'!$A$5:$A$19,0)),INDEX('Move Reality'!$F$5:$F$19,MATCH(E1216,'Move Reality'!$A$5:$A$19,0)))</f>
        <v>1</v>
      </c>
      <c r="M1216" s="28" t="str">
        <f aca="false">IF(L1216&gt;=5,"YES","no - dead move")</f>
        <v>no - dead move</v>
      </c>
    </row>
    <row r="1217" customFormat="false" ht="15" hidden="false" customHeight="false" outlineLevel="0" collapsed="false">
      <c r="A1217" s="17" t="n">
        <v>1213</v>
      </c>
      <c r="B1217" s="17" t="s">
        <v>40</v>
      </c>
      <c r="C1217" s="17" t="s">
        <v>43</v>
      </c>
      <c r="D1217" s="17" t="s">
        <v>52</v>
      </c>
      <c r="E1217" s="17" t="s">
        <v>53</v>
      </c>
      <c r="F1217" s="25" t="n">
        <f aca="false">SUMPRODUCT(--((('Yellow Bosses'!$H$5:$H$53&gt;=2)+('Yellow Bosses'!$K$5:$K$53&gt;=2)+('Yellow Bosses'!$T$5:$T$53&gt;=2)+('Yellow Bosses'!$U$5:$U$53&gt;=2))&gt;0))</f>
        <v>23</v>
      </c>
      <c r="G1217" s="26" t="n">
        <f aca="false">F1217/49</f>
        <v>0.469387755102041</v>
      </c>
      <c r="H1217" s="25" t="n">
        <f aca="false">49-SUMPRODUCT(--((('Yellow Bosses'!$H$5:$H$53&gt;=1)+('Yellow Bosses'!$K$5:$K$53&gt;=1)+('Yellow Bosses'!$T$5:$T$53&gt;=1)+('Yellow Bosses'!$U$5:$U$53&gt;=1))&gt;0))</f>
        <v>0</v>
      </c>
      <c r="I1217" s="25" t="n">
        <f aca="false">SUMPRODUCT(--((('Yellow Bosses'!$H$5:$H$53&gt;0)+('Yellow Bosses'!$K$5:$K$53&gt;0)+('Yellow Bosses'!$T$5:$T$53&gt;0)+('Yellow Bosses'!$U$5:$U$53&gt;0))=0))</f>
        <v>0</v>
      </c>
      <c r="J1217" s="25" t="n">
        <f aca="false">SUMPRODUCT(--(((Effectiveness!$E$5:$E$155&gt;=2)+(Effectiveness!$H$5:$H$155&gt;=2)+(Effectiveness!$Q$5:$Q$155&gt;=2)+(Effectiveness!$R$5:$R$155&gt;=2))&gt;0))</f>
        <v>74</v>
      </c>
      <c r="K1217" s="26" t="n">
        <f aca="false">J1217/151</f>
        <v>0.490066225165563</v>
      </c>
      <c r="L1217" s="25" t="n">
        <f aca="false">MIN(INDEX('Move Reality'!$F$5:$F$19,MATCH(B1217,'Move Reality'!$A$5:$A$19,0)),INDEX('Move Reality'!$F$5:$F$19,MATCH(C1217,'Move Reality'!$A$5:$A$19,0)),INDEX('Move Reality'!$F$5:$F$19,MATCH(D1217,'Move Reality'!$A$5:$A$19,0)),INDEX('Move Reality'!$F$5:$F$19,MATCH(E1217,'Move Reality'!$A$5:$A$19,0)))</f>
        <v>1</v>
      </c>
      <c r="M1217" s="28" t="str">
        <f aca="false">IF(L1217&gt;=5,"YES","no - dead move")</f>
        <v>no - dead move</v>
      </c>
    </row>
    <row r="1218" customFormat="false" ht="15" hidden="false" customHeight="false" outlineLevel="0" collapsed="false">
      <c r="A1218" s="17" t="n">
        <v>1214</v>
      </c>
      <c r="B1218" s="17" t="s">
        <v>40</v>
      </c>
      <c r="C1218" s="17" t="s">
        <v>46</v>
      </c>
      <c r="D1218" s="17" t="s">
        <v>47</v>
      </c>
      <c r="E1218" s="17" t="s">
        <v>48</v>
      </c>
      <c r="F1218" s="25" t="n">
        <f aca="false">SUMPRODUCT(--((('Yellow Bosses'!$H$5:$H$53&gt;=2)+('Yellow Bosses'!$N$5:$N$53&gt;=2)+('Yellow Bosses'!$O$5:$O$53&gt;=2)+('Yellow Bosses'!$P$5:$P$53&gt;=2))&gt;0))</f>
        <v>23</v>
      </c>
      <c r="G1218" s="26" t="n">
        <f aca="false">F1218/49</f>
        <v>0.469387755102041</v>
      </c>
      <c r="H1218" s="25" t="n">
        <f aca="false">49-SUMPRODUCT(--((('Yellow Bosses'!$H$5:$H$53&gt;=1)+('Yellow Bosses'!$N$5:$N$53&gt;=1)+('Yellow Bosses'!$O$5:$O$53&gt;=1)+('Yellow Bosses'!$P$5:$P$53&gt;=1))&gt;0))</f>
        <v>0</v>
      </c>
      <c r="I1218" s="25" t="n">
        <f aca="false">SUMPRODUCT(--((('Yellow Bosses'!$H$5:$H$53&gt;0)+('Yellow Bosses'!$N$5:$N$53&gt;0)+('Yellow Bosses'!$O$5:$O$53&gt;0)+('Yellow Bosses'!$P$5:$P$53&gt;0))=0))</f>
        <v>0</v>
      </c>
      <c r="J1218" s="25" t="n">
        <f aca="false">SUMPRODUCT(--(((Effectiveness!$E$5:$E$155&gt;=2)+(Effectiveness!$K$5:$K$155&gt;=2)+(Effectiveness!$L$5:$L$155&gt;=2)+(Effectiveness!$M$5:$M$155&gt;=2))&gt;0))</f>
        <v>74</v>
      </c>
      <c r="K1218" s="26" t="n">
        <f aca="false">J1218/151</f>
        <v>0.490066225165563</v>
      </c>
      <c r="L1218" s="25" t="n">
        <f aca="false">MIN(INDEX('Move Reality'!$F$5:$F$19,MATCH(B1218,'Move Reality'!$A$5:$A$19,0)),INDEX('Move Reality'!$F$5:$F$19,MATCH(C1218,'Move Reality'!$A$5:$A$19,0)),INDEX('Move Reality'!$F$5:$F$19,MATCH(D1218,'Move Reality'!$A$5:$A$19,0)),INDEX('Move Reality'!$F$5:$F$19,MATCH(E1218,'Move Reality'!$A$5:$A$19,0)))</f>
        <v>2</v>
      </c>
      <c r="M1218" s="28" t="str">
        <f aca="false">IF(L1218&gt;=5,"YES","no - dead move")</f>
        <v>no - dead move</v>
      </c>
    </row>
    <row r="1219" customFormat="false" ht="15" hidden="false" customHeight="false" outlineLevel="0" collapsed="false">
      <c r="A1219" s="17" t="n">
        <v>1215</v>
      </c>
      <c r="B1219" s="17" t="s">
        <v>46</v>
      </c>
      <c r="C1219" s="17" t="s">
        <v>47</v>
      </c>
      <c r="D1219" s="17" t="s">
        <v>48</v>
      </c>
      <c r="E1219" s="17" t="s">
        <v>53</v>
      </c>
      <c r="F1219" s="25" t="n">
        <f aca="false">SUMPRODUCT(--((('Yellow Bosses'!$N$5:$N$53&gt;=2)+('Yellow Bosses'!$O$5:$O$53&gt;=2)+('Yellow Bosses'!$P$5:$P$53&gt;=2)+('Yellow Bosses'!$U$5:$U$53&gt;=2))&gt;0))</f>
        <v>23</v>
      </c>
      <c r="G1219" s="26" t="n">
        <f aca="false">F1219/49</f>
        <v>0.469387755102041</v>
      </c>
      <c r="H1219" s="25" t="n">
        <f aca="false">49-SUMPRODUCT(--((('Yellow Bosses'!$N$5:$N$53&gt;=1)+('Yellow Bosses'!$O$5:$O$53&gt;=1)+('Yellow Bosses'!$P$5:$P$53&gt;=1)+('Yellow Bosses'!$U$5:$U$53&gt;=1))&gt;0))</f>
        <v>0</v>
      </c>
      <c r="I1219" s="25" t="n">
        <f aca="false">SUMPRODUCT(--((('Yellow Bosses'!$N$5:$N$53&gt;0)+('Yellow Bosses'!$O$5:$O$53&gt;0)+('Yellow Bosses'!$P$5:$P$53&gt;0)+('Yellow Bosses'!$U$5:$U$53&gt;0))=0))</f>
        <v>0</v>
      </c>
      <c r="J1219" s="25" t="n">
        <f aca="false">SUMPRODUCT(--(((Effectiveness!$K$5:$K$155&gt;=2)+(Effectiveness!$L$5:$L$155&gt;=2)+(Effectiveness!$M$5:$M$155&gt;=2)+(Effectiveness!$R$5:$R$155&gt;=2))&gt;0))</f>
        <v>74</v>
      </c>
      <c r="K1219" s="26" t="n">
        <f aca="false">J1219/151</f>
        <v>0.490066225165563</v>
      </c>
      <c r="L1219" s="25" t="n">
        <f aca="false">MIN(INDEX('Move Reality'!$F$5:$F$19,MATCH(B1219,'Move Reality'!$A$5:$A$19,0)),INDEX('Move Reality'!$F$5:$F$19,MATCH(C1219,'Move Reality'!$A$5:$A$19,0)),INDEX('Move Reality'!$F$5:$F$19,MATCH(D1219,'Move Reality'!$A$5:$A$19,0)),INDEX('Move Reality'!$F$5:$F$19,MATCH(E1219,'Move Reality'!$A$5:$A$19,0)))</f>
        <v>1</v>
      </c>
      <c r="M1219" s="28" t="str">
        <f aca="false">IF(L1219&gt;=5,"YES","no - dead move")</f>
        <v>no - dead move</v>
      </c>
    </row>
    <row r="1220" customFormat="false" ht="15" hidden="false" customHeight="false" outlineLevel="0" collapsed="false">
      <c r="A1220" s="17" t="n">
        <v>1216</v>
      </c>
      <c r="B1220" s="17" t="s">
        <v>40</v>
      </c>
      <c r="C1220" s="17" t="s">
        <v>42</v>
      </c>
      <c r="D1220" s="17" t="s">
        <v>43</v>
      </c>
      <c r="E1220" s="17" t="s">
        <v>44</v>
      </c>
      <c r="F1220" s="25" t="n">
        <f aca="false">SUMPRODUCT(--((('Yellow Bosses'!$H$5:$H$53&gt;=2)+('Yellow Bosses'!$J$5:$J$53&gt;=2)+('Yellow Bosses'!$K$5:$K$53&gt;=2)+('Yellow Bosses'!$L$5:$L$53&gt;=2))&gt;0))</f>
        <v>23</v>
      </c>
      <c r="G1220" s="26" t="n">
        <f aca="false">F1220/49</f>
        <v>0.469387755102041</v>
      </c>
      <c r="H1220" s="25" t="n">
        <f aca="false">49-SUMPRODUCT(--((('Yellow Bosses'!$H$5:$H$53&gt;=1)+('Yellow Bosses'!$J$5:$J$53&gt;=1)+('Yellow Bosses'!$K$5:$K$53&gt;=1)+('Yellow Bosses'!$L$5:$L$53&gt;=1))&gt;0))</f>
        <v>0</v>
      </c>
      <c r="I1220" s="25" t="n">
        <f aca="false">SUMPRODUCT(--((('Yellow Bosses'!$H$5:$H$53&gt;0)+('Yellow Bosses'!$J$5:$J$53&gt;0)+('Yellow Bosses'!$K$5:$K$53&gt;0)+('Yellow Bosses'!$L$5:$L$53&gt;0))=0))</f>
        <v>0</v>
      </c>
      <c r="J1220" s="25" t="n">
        <f aca="false">SUMPRODUCT(--(((Effectiveness!$E$5:$E$155&gt;=2)+(Effectiveness!$G$5:$G$155&gt;=2)+(Effectiveness!$H$5:$H$155&gt;=2)+(Effectiveness!$I$5:$I$155&gt;=2))&gt;0))</f>
        <v>72</v>
      </c>
      <c r="K1220" s="26" t="n">
        <f aca="false">J1220/151</f>
        <v>0.47682119205298</v>
      </c>
      <c r="L1220" s="25" t="n">
        <f aca="false">MIN(INDEX('Move Reality'!$F$5:$F$19,MATCH(B1220,'Move Reality'!$A$5:$A$19,0)),INDEX('Move Reality'!$F$5:$F$19,MATCH(C1220,'Move Reality'!$A$5:$A$19,0)),INDEX('Move Reality'!$F$5:$F$19,MATCH(D1220,'Move Reality'!$A$5:$A$19,0)),INDEX('Move Reality'!$F$5:$F$19,MATCH(E1220,'Move Reality'!$A$5:$A$19,0)))</f>
        <v>4</v>
      </c>
      <c r="M1220" s="28" t="str">
        <f aca="false">IF(L1220&gt;=5,"YES","no - dead move")</f>
        <v>no - dead move</v>
      </c>
    </row>
    <row r="1221" customFormat="false" ht="15" hidden="false" customHeight="false" outlineLevel="0" collapsed="false">
      <c r="A1221" s="17" t="n">
        <v>1217</v>
      </c>
      <c r="B1221" s="17" t="s">
        <v>40</v>
      </c>
      <c r="C1221" s="17" t="s">
        <v>41</v>
      </c>
      <c r="D1221" s="17" t="s">
        <v>44</v>
      </c>
      <c r="E1221" s="17" t="s">
        <v>47</v>
      </c>
      <c r="F1221" s="25" t="n">
        <f aca="false">SUMPRODUCT(--((('Yellow Bosses'!$H$5:$H$53&gt;=2)+('Yellow Bosses'!$I$5:$I$53&gt;=2)+('Yellow Bosses'!$L$5:$L$53&gt;=2)+('Yellow Bosses'!$O$5:$O$53&gt;=2))&gt;0))</f>
        <v>23</v>
      </c>
      <c r="G1221" s="26" t="n">
        <f aca="false">F1221/49</f>
        <v>0.469387755102041</v>
      </c>
      <c r="H1221" s="25" t="n">
        <f aca="false">49-SUMPRODUCT(--((('Yellow Bosses'!$H$5:$H$53&gt;=1)+('Yellow Bosses'!$I$5:$I$53&gt;=1)+('Yellow Bosses'!$L$5:$L$53&gt;=1)+('Yellow Bosses'!$O$5:$O$53&gt;=1))&gt;0))</f>
        <v>0</v>
      </c>
      <c r="I1221" s="25" t="n">
        <f aca="false">SUMPRODUCT(--((('Yellow Bosses'!$H$5:$H$53&gt;0)+('Yellow Bosses'!$I$5:$I$53&gt;0)+('Yellow Bosses'!$L$5:$L$53&gt;0)+('Yellow Bosses'!$O$5:$O$53&gt;0))=0))</f>
        <v>0</v>
      </c>
      <c r="J1221" s="25" t="n">
        <f aca="false">SUMPRODUCT(--(((Effectiveness!$E$5:$E$155&gt;=2)+(Effectiveness!$F$5:$F$155&gt;=2)+(Effectiveness!$I$5:$I$155&gt;=2)+(Effectiveness!$L$5:$L$155&gt;=2))&gt;0))</f>
        <v>67</v>
      </c>
      <c r="K1221" s="26" t="n">
        <f aca="false">J1221/151</f>
        <v>0.443708609271523</v>
      </c>
      <c r="L1221" s="25" t="n">
        <f aca="false">MIN(INDEX('Move Reality'!$F$5:$F$19,MATCH(B1221,'Move Reality'!$A$5:$A$19,0)),INDEX('Move Reality'!$F$5:$F$19,MATCH(C1221,'Move Reality'!$A$5:$A$19,0)),INDEX('Move Reality'!$F$5:$F$19,MATCH(D1221,'Move Reality'!$A$5:$A$19,0)),INDEX('Move Reality'!$F$5:$F$19,MATCH(E1221,'Move Reality'!$A$5:$A$19,0)))</f>
        <v>2</v>
      </c>
      <c r="M1221" s="28" t="str">
        <f aca="false">IF(L1221&gt;=5,"YES","no - dead move")</f>
        <v>no - dead move</v>
      </c>
    </row>
    <row r="1222" customFormat="false" ht="15" hidden="false" customHeight="false" outlineLevel="0" collapsed="false">
      <c r="A1222" s="17" t="n">
        <v>1218</v>
      </c>
      <c r="B1222" s="17" t="s">
        <v>40</v>
      </c>
      <c r="C1222" s="17" t="s">
        <v>42</v>
      </c>
      <c r="D1222" s="17" t="s">
        <v>44</v>
      </c>
      <c r="E1222" s="17" t="s">
        <v>47</v>
      </c>
      <c r="F1222" s="25" t="n">
        <f aca="false">SUMPRODUCT(--((('Yellow Bosses'!$H$5:$H$53&gt;=2)+('Yellow Bosses'!$J$5:$J$53&gt;=2)+('Yellow Bosses'!$L$5:$L$53&gt;=2)+('Yellow Bosses'!$O$5:$O$53&gt;=2))&gt;0))</f>
        <v>23</v>
      </c>
      <c r="G1222" s="26" t="n">
        <f aca="false">F1222/49</f>
        <v>0.469387755102041</v>
      </c>
      <c r="H1222" s="25" t="n">
        <f aca="false">49-SUMPRODUCT(--((('Yellow Bosses'!$H$5:$H$53&gt;=1)+('Yellow Bosses'!$J$5:$J$53&gt;=1)+('Yellow Bosses'!$L$5:$L$53&gt;=1)+('Yellow Bosses'!$O$5:$O$53&gt;=1))&gt;0))</f>
        <v>0</v>
      </c>
      <c r="I1222" s="25" t="n">
        <f aca="false">SUMPRODUCT(--((('Yellow Bosses'!$H$5:$H$53&gt;0)+('Yellow Bosses'!$J$5:$J$53&gt;0)+('Yellow Bosses'!$L$5:$L$53&gt;0)+('Yellow Bosses'!$O$5:$O$53&gt;0))=0))</f>
        <v>0</v>
      </c>
      <c r="J1222" s="25" t="n">
        <f aca="false">SUMPRODUCT(--(((Effectiveness!$E$5:$E$155&gt;=2)+(Effectiveness!$G$5:$G$155&gt;=2)+(Effectiveness!$I$5:$I$155&gt;=2)+(Effectiveness!$L$5:$L$155&gt;=2))&gt;0))</f>
        <v>66</v>
      </c>
      <c r="K1222" s="26" t="n">
        <f aca="false">J1222/151</f>
        <v>0.437086092715232</v>
      </c>
      <c r="L1222" s="25" t="n">
        <f aca="false">MIN(INDEX('Move Reality'!$F$5:$F$19,MATCH(B1222,'Move Reality'!$A$5:$A$19,0)),INDEX('Move Reality'!$F$5:$F$19,MATCH(C1222,'Move Reality'!$A$5:$A$19,0)),INDEX('Move Reality'!$F$5:$F$19,MATCH(D1222,'Move Reality'!$A$5:$A$19,0)),INDEX('Move Reality'!$F$5:$F$19,MATCH(E1222,'Move Reality'!$A$5:$A$19,0)))</f>
        <v>2</v>
      </c>
      <c r="M1222" s="28" t="str">
        <f aca="false">IF(L1222&gt;=5,"YES","no - dead move")</f>
        <v>no - dead move</v>
      </c>
    </row>
    <row r="1223" customFormat="false" ht="15" hidden="false" customHeight="false" outlineLevel="0" collapsed="false">
      <c r="A1223" s="17" t="n">
        <v>1219</v>
      </c>
      <c r="B1223" s="17" t="s">
        <v>43</v>
      </c>
      <c r="C1223" s="17" t="s">
        <v>44</v>
      </c>
      <c r="D1223" s="17" t="s">
        <v>53</v>
      </c>
      <c r="E1223" s="17" t="s">
        <v>54</v>
      </c>
      <c r="F1223" s="25" t="n">
        <f aca="false">SUMPRODUCT(--((('Yellow Bosses'!$K$5:$K$53&gt;=2)+('Yellow Bosses'!$L$5:$L$53&gt;=2)+('Yellow Bosses'!$U$5:$U$53&gt;=2)+('Yellow Bosses'!$V$5:$V$53&gt;=2))&gt;0))</f>
        <v>23</v>
      </c>
      <c r="G1223" s="26" t="n">
        <f aca="false">F1223/49</f>
        <v>0.469387755102041</v>
      </c>
      <c r="H1223" s="25" t="n">
        <f aca="false">49-SUMPRODUCT(--((('Yellow Bosses'!$K$5:$K$53&gt;=1)+('Yellow Bosses'!$L$5:$L$53&gt;=1)+('Yellow Bosses'!$U$5:$U$53&gt;=1)+('Yellow Bosses'!$V$5:$V$53&gt;=1))&gt;0))</f>
        <v>0</v>
      </c>
      <c r="I1223" s="25" t="n">
        <f aca="false">SUMPRODUCT(--((('Yellow Bosses'!$K$5:$K$53&gt;0)+('Yellow Bosses'!$L$5:$L$53&gt;0)+('Yellow Bosses'!$U$5:$U$53&gt;0)+('Yellow Bosses'!$V$5:$V$53&gt;0))=0))</f>
        <v>0</v>
      </c>
      <c r="J1223" s="25" t="n">
        <f aca="false">SUMPRODUCT(--(((Effectiveness!$H$5:$H$155&gt;=2)+(Effectiveness!$I$5:$I$155&gt;=2)+(Effectiveness!$R$5:$R$155&gt;=2)+(Effectiveness!$S$5:$S$155&gt;=2))&gt;0))</f>
        <v>66</v>
      </c>
      <c r="K1223" s="26" t="n">
        <f aca="false">J1223/151</f>
        <v>0.437086092715232</v>
      </c>
      <c r="L1223" s="25" t="n">
        <f aca="false">MIN(INDEX('Move Reality'!$F$5:$F$19,MATCH(B1223,'Move Reality'!$A$5:$A$19,0)),INDEX('Move Reality'!$F$5:$F$19,MATCH(C1223,'Move Reality'!$A$5:$A$19,0)),INDEX('Move Reality'!$F$5:$F$19,MATCH(D1223,'Move Reality'!$A$5:$A$19,0)),INDEX('Move Reality'!$F$5:$F$19,MATCH(E1223,'Move Reality'!$A$5:$A$19,0)))</f>
        <v>1</v>
      </c>
      <c r="M1223" s="28" t="str">
        <f aca="false">IF(L1223&gt;=5,"YES","no - dead move")</f>
        <v>no - dead move</v>
      </c>
    </row>
    <row r="1224" customFormat="false" ht="15" hidden="false" customHeight="false" outlineLevel="0" collapsed="false">
      <c r="A1224" s="17" t="n">
        <v>1220</v>
      </c>
      <c r="B1224" s="17" t="s">
        <v>40</v>
      </c>
      <c r="C1224" s="17" t="s">
        <v>46</v>
      </c>
      <c r="D1224" s="17" t="s">
        <v>49</v>
      </c>
      <c r="E1224" s="17" t="s">
        <v>53</v>
      </c>
      <c r="F1224" s="25" t="n">
        <f aca="false">SUMPRODUCT(--((('Yellow Bosses'!$H$5:$H$53&gt;=2)+('Yellow Bosses'!$N$5:$N$53&gt;=2)+('Yellow Bosses'!$Q$5:$Q$53&gt;=2)+('Yellow Bosses'!$U$5:$U$53&gt;=2))&gt;0))</f>
        <v>23</v>
      </c>
      <c r="G1224" s="26" t="n">
        <f aca="false">F1224/49</f>
        <v>0.469387755102041</v>
      </c>
      <c r="H1224" s="25" t="n">
        <f aca="false">49-SUMPRODUCT(--((('Yellow Bosses'!$H$5:$H$53&gt;=1)+('Yellow Bosses'!$N$5:$N$53&gt;=1)+('Yellow Bosses'!$Q$5:$Q$53&gt;=1)+('Yellow Bosses'!$U$5:$U$53&gt;=1))&gt;0))</f>
        <v>0</v>
      </c>
      <c r="I1224" s="25" t="n">
        <f aca="false">SUMPRODUCT(--((('Yellow Bosses'!$H$5:$H$53&gt;0)+('Yellow Bosses'!$N$5:$N$53&gt;0)+('Yellow Bosses'!$Q$5:$Q$53&gt;0)+('Yellow Bosses'!$U$5:$U$53&gt;0))=0))</f>
        <v>0</v>
      </c>
      <c r="J1224" s="25" t="n">
        <f aca="false">SUMPRODUCT(--(((Effectiveness!$E$5:$E$155&gt;=2)+(Effectiveness!$K$5:$K$155&gt;=2)+(Effectiveness!$N$5:$N$155&gt;=2)+(Effectiveness!$R$5:$R$155&gt;=2))&gt;0))</f>
        <v>64</v>
      </c>
      <c r="K1224" s="26" t="n">
        <f aca="false">J1224/151</f>
        <v>0.423841059602649</v>
      </c>
      <c r="L1224" s="25" t="n">
        <f aca="false">MIN(INDEX('Move Reality'!$F$5:$F$19,MATCH(B1224,'Move Reality'!$A$5:$A$19,0)),INDEX('Move Reality'!$F$5:$F$19,MATCH(C1224,'Move Reality'!$A$5:$A$19,0)),INDEX('Move Reality'!$F$5:$F$19,MATCH(D1224,'Move Reality'!$A$5:$A$19,0)),INDEX('Move Reality'!$F$5:$F$19,MATCH(E1224,'Move Reality'!$A$5:$A$19,0)))</f>
        <v>1</v>
      </c>
      <c r="M1224" s="28" t="str">
        <f aca="false">IF(L1224&gt;=5,"YES","no - dead move")</f>
        <v>no - dead move</v>
      </c>
    </row>
    <row r="1225" customFormat="false" ht="15" hidden="false" customHeight="false" outlineLevel="0" collapsed="false">
      <c r="A1225" s="17" t="n">
        <v>1221</v>
      </c>
      <c r="B1225" s="17" t="s">
        <v>40</v>
      </c>
      <c r="C1225" s="17" t="s">
        <v>46</v>
      </c>
      <c r="D1225" s="17" t="s">
        <v>49</v>
      </c>
      <c r="E1225" s="17" t="s">
        <v>54</v>
      </c>
      <c r="F1225" s="25" t="n">
        <f aca="false">SUMPRODUCT(--((('Yellow Bosses'!$H$5:$H$53&gt;=2)+('Yellow Bosses'!$N$5:$N$53&gt;=2)+('Yellow Bosses'!$Q$5:$Q$53&gt;=2)+('Yellow Bosses'!$V$5:$V$53&gt;=2))&gt;0))</f>
        <v>23</v>
      </c>
      <c r="G1225" s="26" t="n">
        <f aca="false">F1225/49</f>
        <v>0.469387755102041</v>
      </c>
      <c r="H1225" s="25" t="n">
        <f aca="false">49-SUMPRODUCT(--((('Yellow Bosses'!$H$5:$H$53&gt;=1)+('Yellow Bosses'!$N$5:$N$53&gt;=1)+('Yellow Bosses'!$Q$5:$Q$53&gt;=1)+('Yellow Bosses'!$V$5:$V$53&gt;=1))&gt;0))</f>
        <v>0</v>
      </c>
      <c r="I1225" s="25" t="n">
        <f aca="false">SUMPRODUCT(--((('Yellow Bosses'!$H$5:$H$53&gt;0)+('Yellow Bosses'!$N$5:$N$53&gt;0)+('Yellow Bosses'!$Q$5:$Q$53&gt;0)+('Yellow Bosses'!$V$5:$V$53&gt;0))=0))</f>
        <v>0</v>
      </c>
      <c r="J1225" s="25" t="n">
        <f aca="false">SUMPRODUCT(--(((Effectiveness!$E$5:$E$155&gt;=2)+(Effectiveness!$K$5:$K$155&gt;=2)+(Effectiveness!$N$5:$N$155&gt;=2)+(Effectiveness!$S$5:$S$155&gt;=2))&gt;0))</f>
        <v>64</v>
      </c>
      <c r="K1225" s="26" t="n">
        <f aca="false">J1225/151</f>
        <v>0.423841059602649</v>
      </c>
      <c r="L1225" s="25" t="n">
        <f aca="false">MIN(INDEX('Move Reality'!$F$5:$F$19,MATCH(B1225,'Move Reality'!$A$5:$A$19,0)),INDEX('Move Reality'!$F$5:$F$19,MATCH(C1225,'Move Reality'!$A$5:$A$19,0)),INDEX('Move Reality'!$F$5:$F$19,MATCH(D1225,'Move Reality'!$A$5:$A$19,0)),INDEX('Move Reality'!$F$5:$F$19,MATCH(E1225,'Move Reality'!$A$5:$A$19,0)))</f>
        <v>1</v>
      </c>
      <c r="M1225" s="28" t="str">
        <f aca="false">IF(L1225&gt;=5,"YES","no - dead move")</f>
        <v>no - dead move</v>
      </c>
    </row>
    <row r="1226" customFormat="false" ht="15" hidden="false" customHeight="false" outlineLevel="0" collapsed="false">
      <c r="A1226" s="17" t="n">
        <v>1222</v>
      </c>
      <c r="B1226" s="17" t="s">
        <v>46</v>
      </c>
      <c r="C1226" s="17" t="s">
        <v>47</v>
      </c>
      <c r="D1226" s="17" t="s">
        <v>49</v>
      </c>
      <c r="E1226" s="17" t="s">
        <v>53</v>
      </c>
      <c r="F1226" s="25" t="n">
        <f aca="false">SUMPRODUCT(--((('Yellow Bosses'!$N$5:$N$53&gt;=2)+('Yellow Bosses'!$O$5:$O$53&gt;=2)+('Yellow Bosses'!$Q$5:$Q$53&gt;=2)+('Yellow Bosses'!$U$5:$U$53&gt;=2))&gt;0))</f>
        <v>23</v>
      </c>
      <c r="G1226" s="26" t="n">
        <f aca="false">F1226/49</f>
        <v>0.469387755102041</v>
      </c>
      <c r="H1226" s="25" t="n">
        <f aca="false">49-SUMPRODUCT(--((('Yellow Bosses'!$N$5:$N$53&gt;=1)+('Yellow Bosses'!$O$5:$O$53&gt;=1)+('Yellow Bosses'!$Q$5:$Q$53&gt;=1)+('Yellow Bosses'!$U$5:$U$53&gt;=1))&gt;0))</f>
        <v>0</v>
      </c>
      <c r="I1226" s="25" t="n">
        <f aca="false">SUMPRODUCT(--((('Yellow Bosses'!$N$5:$N$53&gt;0)+('Yellow Bosses'!$O$5:$O$53&gt;0)+('Yellow Bosses'!$Q$5:$Q$53&gt;0)+('Yellow Bosses'!$U$5:$U$53&gt;0))=0))</f>
        <v>0</v>
      </c>
      <c r="J1226" s="25" t="n">
        <f aca="false">SUMPRODUCT(--(((Effectiveness!$K$5:$K$155&gt;=2)+(Effectiveness!$L$5:$L$155&gt;=2)+(Effectiveness!$N$5:$N$155&gt;=2)+(Effectiveness!$R$5:$R$155&gt;=2))&gt;0))</f>
        <v>64</v>
      </c>
      <c r="K1226" s="26" t="n">
        <f aca="false">J1226/151</f>
        <v>0.423841059602649</v>
      </c>
      <c r="L1226" s="25" t="n">
        <f aca="false">MIN(INDEX('Move Reality'!$F$5:$F$19,MATCH(B1226,'Move Reality'!$A$5:$A$19,0)),INDEX('Move Reality'!$F$5:$F$19,MATCH(C1226,'Move Reality'!$A$5:$A$19,0)),INDEX('Move Reality'!$F$5:$F$19,MATCH(D1226,'Move Reality'!$A$5:$A$19,0)),INDEX('Move Reality'!$F$5:$F$19,MATCH(E1226,'Move Reality'!$A$5:$A$19,0)))</f>
        <v>1</v>
      </c>
      <c r="M1226" s="28" t="str">
        <f aca="false">IF(L1226&gt;=5,"YES","no - dead move")</f>
        <v>no - dead move</v>
      </c>
    </row>
    <row r="1227" customFormat="false" ht="15" hidden="false" customHeight="false" outlineLevel="0" collapsed="false">
      <c r="A1227" s="17" t="n">
        <v>1223</v>
      </c>
      <c r="B1227" s="17" t="s">
        <v>46</v>
      </c>
      <c r="C1227" s="17" t="s">
        <v>47</v>
      </c>
      <c r="D1227" s="17" t="s">
        <v>49</v>
      </c>
      <c r="E1227" s="17" t="s">
        <v>54</v>
      </c>
      <c r="F1227" s="25" t="n">
        <f aca="false">SUMPRODUCT(--((('Yellow Bosses'!$N$5:$N$53&gt;=2)+('Yellow Bosses'!$O$5:$O$53&gt;=2)+('Yellow Bosses'!$Q$5:$Q$53&gt;=2)+('Yellow Bosses'!$V$5:$V$53&gt;=2))&gt;0))</f>
        <v>23</v>
      </c>
      <c r="G1227" s="26" t="n">
        <f aca="false">F1227/49</f>
        <v>0.469387755102041</v>
      </c>
      <c r="H1227" s="25" t="n">
        <f aca="false">49-SUMPRODUCT(--((('Yellow Bosses'!$N$5:$N$53&gt;=1)+('Yellow Bosses'!$O$5:$O$53&gt;=1)+('Yellow Bosses'!$Q$5:$Q$53&gt;=1)+('Yellow Bosses'!$V$5:$V$53&gt;=1))&gt;0))</f>
        <v>0</v>
      </c>
      <c r="I1227" s="25" t="n">
        <f aca="false">SUMPRODUCT(--((('Yellow Bosses'!$N$5:$N$53&gt;0)+('Yellow Bosses'!$O$5:$O$53&gt;0)+('Yellow Bosses'!$Q$5:$Q$53&gt;0)+('Yellow Bosses'!$V$5:$V$53&gt;0))=0))</f>
        <v>0</v>
      </c>
      <c r="J1227" s="25" t="n">
        <f aca="false">SUMPRODUCT(--(((Effectiveness!$K$5:$K$155&gt;=2)+(Effectiveness!$L$5:$L$155&gt;=2)+(Effectiveness!$N$5:$N$155&gt;=2)+(Effectiveness!$S$5:$S$155&gt;=2))&gt;0))</f>
        <v>64</v>
      </c>
      <c r="K1227" s="26" t="n">
        <f aca="false">J1227/151</f>
        <v>0.423841059602649</v>
      </c>
      <c r="L1227" s="25" t="n">
        <f aca="false">MIN(INDEX('Move Reality'!$F$5:$F$19,MATCH(B1227,'Move Reality'!$A$5:$A$19,0)),INDEX('Move Reality'!$F$5:$F$19,MATCH(C1227,'Move Reality'!$A$5:$A$19,0)),INDEX('Move Reality'!$F$5:$F$19,MATCH(D1227,'Move Reality'!$A$5:$A$19,0)),INDEX('Move Reality'!$F$5:$F$19,MATCH(E1227,'Move Reality'!$A$5:$A$19,0)))</f>
        <v>1</v>
      </c>
      <c r="M1227" s="28" t="str">
        <f aca="false">IF(L1227&gt;=5,"YES","no - dead move")</f>
        <v>no - dead move</v>
      </c>
    </row>
    <row r="1228" customFormat="false" ht="15" hidden="false" customHeight="false" outlineLevel="0" collapsed="false">
      <c r="A1228" s="17" t="n">
        <v>1224</v>
      </c>
      <c r="B1228" s="17" t="s">
        <v>40</v>
      </c>
      <c r="C1228" s="17" t="s">
        <v>41</v>
      </c>
      <c r="D1228" s="17" t="s">
        <v>49</v>
      </c>
      <c r="E1228" s="17" t="s">
        <v>52</v>
      </c>
      <c r="F1228" s="25" t="n">
        <f aca="false">SUMPRODUCT(--((('Yellow Bosses'!$H$5:$H$53&gt;=2)+('Yellow Bosses'!$I$5:$I$53&gt;=2)+('Yellow Bosses'!$Q$5:$Q$53&gt;=2)+('Yellow Bosses'!$T$5:$T$53&gt;=2))&gt;0))</f>
        <v>23</v>
      </c>
      <c r="G1228" s="26" t="n">
        <f aca="false">F1228/49</f>
        <v>0.469387755102041</v>
      </c>
      <c r="H1228" s="25" t="n">
        <f aca="false">49-SUMPRODUCT(--((('Yellow Bosses'!$H$5:$H$53&gt;=1)+('Yellow Bosses'!$I$5:$I$53&gt;=1)+('Yellow Bosses'!$Q$5:$Q$53&gt;=1)+('Yellow Bosses'!$T$5:$T$53&gt;=1))&gt;0))</f>
        <v>5</v>
      </c>
      <c r="I1228" s="25" t="n">
        <f aca="false">SUMPRODUCT(--((('Yellow Bosses'!$H$5:$H$53&gt;0)+('Yellow Bosses'!$I$5:$I$53&gt;0)+('Yellow Bosses'!$Q$5:$Q$53&gt;0)+('Yellow Bosses'!$T$5:$T$53&gt;0))=0))</f>
        <v>0</v>
      </c>
      <c r="J1228" s="25" t="n">
        <f aca="false">SUMPRODUCT(--(((Effectiveness!$E$5:$E$155&gt;=2)+(Effectiveness!$F$5:$F$155&gt;=2)+(Effectiveness!$N$5:$N$155&gt;=2)+(Effectiveness!$Q$5:$Q$155&gt;=2))&gt;0))</f>
        <v>63</v>
      </c>
      <c r="K1228" s="26" t="n">
        <f aca="false">J1228/151</f>
        <v>0.417218543046358</v>
      </c>
      <c r="L1228" s="25" t="n">
        <f aca="false">MIN(INDEX('Move Reality'!$F$5:$F$19,MATCH(B1228,'Move Reality'!$A$5:$A$19,0)),INDEX('Move Reality'!$F$5:$F$19,MATCH(C1228,'Move Reality'!$A$5:$A$19,0)),INDEX('Move Reality'!$F$5:$F$19,MATCH(D1228,'Move Reality'!$A$5:$A$19,0)),INDEX('Move Reality'!$F$5:$F$19,MATCH(E1228,'Move Reality'!$A$5:$A$19,0)))</f>
        <v>5</v>
      </c>
      <c r="M1228" s="28" t="str">
        <f aca="false">IF(L1228&gt;=5,"YES","no - dead move")</f>
        <v>YES</v>
      </c>
    </row>
    <row r="1229" customFormat="false" ht="15" hidden="false" customHeight="false" outlineLevel="0" collapsed="false">
      <c r="A1229" s="17" t="n">
        <v>1225</v>
      </c>
      <c r="B1229" s="17" t="s">
        <v>40</v>
      </c>
      <c r="C1229" s="17" t="s">
        <v>47</v>
      </c>
      <c r="D1229" s="17" t="s">
        <v>49</v>
      </c>
      <c r="E1229" s="17" t="s">
        <v>52</v>
      </c>
      <c r="F1229" s="25" t="n">
        <f aca="false">SUMPRODUCT(--((('Yellow Bosses'!$H$5:$H$53&gt;=2)+('Yellow Bosses'!$O$5:$O$53&gt;=2)+('Yellow Bosses'!$Q$5:$Q$53&gt;=2)+('Yellow Bosses'!$T$5:$T$53&gt;=2))&gt;0))</f>
        <v>23</v>
      </c>
      <c r="G1229" s="26" t="n">
        <f aca="false">F1229/49</f>
        <v>0.469387755102041</v>
      </c>
      <c r="H1229" s="25" t="n">
        <f aca="false">49-SUMPRODUCT(--((('Yellow Bosses'!$H$5:$H$53&gt;=1)+('Yellow Bosses'!$O$5:$O$53&gt;=1)+('Yellow Bosses'!$Q$5:$Q$53&gt;=1)+('Yellow Bosses'!$T$5:$T$53&gt;=1))&gt;0))</f>
        <v>5</v>
      </c>
      <c r="I1229" s="25" t="n">
        <f aca="false">SUMPRODUCT(--((('Yellow Bosses'!$H$5:$H$53&gt;0)+('Yellow Bosses'!$O$5:$O$53&gt;0)+('Yellow Bosses'!$Q$5:$Q$53&gt;0)+('Yellow Bosses'!$T$5:$T$53&gt;0))=0))</f>
        <v>0</v>
      </c>
      <c r="J1229" s="25" t="n">
        <f aca="false">SUMPRODUCT(--(((Effectiveness!$E$5:$E$155&gt;=2)+(Effectiveness!$L$5:$L$155&gt;=2)+(Effectiveness!$N$5:$N$155&gt;=2)+(Effectiveness!$Q$5:$Q$155&gt;=2))&gt;0))</f>
        <v>63</v>
      </c>
      <c r="K1229" s="26" t="n">
        <f aca="false">J1229/151</f>
        <v>0.417218543046358</v>
      </c>
      <c r="L1229" s="25" t="n">
        <f aca="false">MIN(INDEX('Move Reality'!$F$5:$F$19,MATCH(B1229,'Move Reality'!$A$5:$A$19,0)),INDEX('Move Reality'!$F$5:$F$19,MATCH(C1229,'Move Reality'!$A$5:$A$19,0)),INDEX('Move Reality'!$F$5:$F$19,MATCH(D1229,'Move Reality'!$A$5:$A$19,0)),INDEX('Move Reality'!$F$5:$F$19,MATCH(E1229,'Move Reality'!$A$5:$A$19,0)))</f>
        <v>2</v>
      </c>
      <c r="M1229" s="28" t="str">
        <f aca="false">IF(L1229&gt;=5,"YES","no - dead move")</f>
        <v>no - dead move</v>
      </c>
    </row>
    <row r="1230" customFormat="false" ht="15" hidden="false" customHeight="false" outlineLevel="0" collapsed="false">
      <c r="A1230" s="17" t="n">
        <v>1226</v>
      </c>
      <c r="B1230" s="17" t="s">
        <v>41</v>
      </c>
      <c r="C1230" s="17" t="s">
        <v>47</v>
      </c>
      <c r="D1230" s="17" t="s">
        <v>49</v>
      </c>
      <c r="E1230" s="17" t="s">
        <v>52</v>
      </c>
      <c r="F1230" s="25" t="n">
        <f aca="false">SUMPRODUCT(--((('Yellow Bosses'!$I$5:$I$53&gt;=2)+('Yellow Bosses'!$O$5:$O$53&gt;=2)+('Yellow Bosses'!$Q$5:$Q$53&gt;=2)+('Yellow Bosses'!$T$5:$T$53&gt;=2))&gt;0))</f>
        <v>23</v>
      </c>
      <c r="G1230" s="26" t="n">
        <f aca="false">F1230/49</f>
        <v>0.469387755102041</v>
      </c>
      <c r="H1230" s="25" t="n">
        <f aca="false">49-SUMPRODUCT(--((('Yellow Bosses'!$I$5:$I$53&gt;=1)+('Yellow Bosses'!$O$5:$O$53&gt;=1)+('Yellow Bosses'!$Q$5:$Q$53&gt;=1)+('Yellow Bosses'!$T$5:$T$53&gt;=1))&gt;0))</f>
        <v>5</v>
      </c>
      <c r="I1230" s="25" t="n">
        <f aca="false">SUMPRODUCT(--((('Yellow Bosses'!$I$5:$I$53&gt;0)+('Yellow Bosses'!$O$5:$O$53&gt;0)+('Yellow Bosses'!$Q$5:$Q$53&gt;0)+('Yellow Bosses'!$T$5:$T$53&gt;0))=0))</f>
        <v>0</v>
      </c>
      <c r="J1230" s="25" t="n">
        <f aca="false">SUMPRODUCT(--(((Effectiveness!$F$5:$F$155&gt;=2)+(Effectiveness!$L$5:$L$155&gt;=2)+(Effectiveness!$N$5:$N$155&gt;=2)+(Effectiveness!$Q$5:$Q$155&gt;=2))&gt;0))</f>
        <v>63</v>
      </c>
      <c r="K1230" s="26" t="n">
        <f aca="false">J1230/151</f>
        <v>0.417218543046358</v>
      </c>
      <c r="L1230" s="25" t="n">
        <f aca="false">MIN(INDEX('Move Reality'!$F$5:$F$19,MATCH(B1230,'Move Reality'!$A$5:$A$19,0)),INDEX('Move Reality'!$F$5:$F$19,MATCH(C1230,'Move Reality'!$A$5:$A$19,0)),INDEX('Move Reality'!$F$5:$F$19,MATCH(D1230,'Move Reality'!$A$5:$A$19,0)),INDEX('Move Reality'!$F$5:$F$19,MATCH(E1230,'Move Reality'!$A$5:$A$19,0)))</f>
        <v>2</v>
      </c>
      <c r="M1230" s="28" t="str">
        <f aca="false">IF(L1230&gt;=5,"YES","no - dead move")</f>
        <v>no - dead move</v>
      </c>
    </row>
    <row r="1231" customFormat="false" ht="15" hidden="false" customHeight="false" outlineLevel="0" collapsed="false">
      <c r="A1231" s="17" t="n">
        <v>1227</v>
      </c>
      <c r="B1231" s="17" t="s">
        <v>42</v>
      </c>
      <c r="C1231" s="17" t="s">
        <v>46</v>
      </c>
      <c r="D1231" s="17" t="s">
        <v>47</v>
      </c>
      <c r="E1231" s="17" t="s">
        <v>53</v>
      </c>
      <c r="F1231" s="25" t="n">
        <f aca="false">SUMPRODUCT(--((('Yellow Bosses'!$J$5:$J$53&gt;=2)+('Yellow Bosses'!$N$5:$N$53&gt;=2)+('Yellow Bosses'!$O$5:$O$53&gt;=2)+('Yellow Bosses'!$U$5:$U$53&gt;=2))&gt;0))</f>
        <v>23</v>
      </c>
      <c r="G1231" s="26" t="n">
        <f aca="false">F1231/49</f>
        <v>0.469387755102041</v>
      </c>
      <c r="H1231" s="25" t="n">
        <f aca="false">49-SUMPRODUCT(--((('Yellow Bosses'!$J$5:$J$53&gt;=1)+('Yellow Bosses'!$N$5:$N$53&gt;=1)+('Yellow Bosses'!$O$5:$O$53&gt;=1)+('Yellow Bosses'!$U$5:$U$53&gt;=1))&gt;0))</f>
        <v>0</v>
      </c>
      <c r="I1231" s="25" t="n">
        <f aca="false">SUMPRODUCT(--((('Yellow Bosses'!$J$5:$J$53&gt;0)+('Yellow Bosses'!$N$5:$N$53&gt;0)+('Yellow Bosses'!$O$5:$O$53&gt;0)+('Yellow Bosses'!$U$5:$U$53&gt;0))=0))</f>
        <v>0</v>
      </c>
      <c r="J1231" s="25" t="n">
        <f aca="false">SUMPRODUCT(--(((Effectiveness!$G$5:$G$155&gt;=2)+(Effectiveness!$K$5:$K$155&gt;=2)+(Effectiveness!$L$5:$L$155&gt;=2)+(Effectiveness!$R$5:$R$155&gt;=2))&gt;0))</f>
        <v>63</v>
      </c>
      <c r="K1231" s="26" t="n">
        <f aca="false">J1231/151</f>
        <v>0.417218543046358</v>
      </c>
      <c r="L1231" s="25" t="n">
        <f aca="false">MIN(INDEX('Move Reality'!$F$5:$F$19,MATCH(B1231,'Move Reality'!$A$5:$A$19,0)),INDEX('Move Reality'!$F$5:$F$19,MATCH(C1231,'Move Reality'!$A$5:$A$19,0)),INDEX('Move Reality'!$F$5:$F$19,MATCH(D1231,'Move Reality'!$A$5:$A$19,0)),INDEX('Move Reality'!$F$5:$F$19,MATCH(E1231,'Move Reality'!$A$5:$A$19,0)))</f>
        <v>1</v>
      </c>
      <c r="M1231" s="28" t="str">
        <f aca="false">IF(L1231&gt;=5,"YES","no - dead move")</f>
        <v>no - dead move</v>
      </c>
    </row>
    <row r="1232" customFormat="false" ht="15" hidden="false" customHeight="false" outlineLevel="0" collapsed="false">
      <c r="A1232" s="17" t="n">
        <v>1228</v>
      </c>
      <c r="B1232" s="17" t="s">
        <v>42</v>
      </c>
      <c r="C1232" s="17" t="s">
        <v>46</v>
      </c>
      <c r="D1232" s="17" t="s">
        <v>47</v>
      </c>
      <c r="E1232" s="17" t="s">
        <v>54</v>
      </c>
      <c r="F1232" s="25" t="n">
        <f aca="false">SUMPRODUCT(--((('Yellow Bosses'!$J$5:$J$53&gt;=2)+('Yellow Bosses'!$N$5:$N$53&gt;=2)+('Yellow Bosses'!$O$5:$O$53&gt;=2)+('Yellow Bosses'!$V$5:$V$53&gt;=2))&gt;0))</f>
        <v>23</v>
      </c>
      <c r="G1232" s="26" t="n">
        <f aca="false">F1232/49</f>
        <v>0.469387755102041</v>
      </c>
      <c r="H1232" s="25" t="n">
        <f aca="false">49-SUMPRODUCT(--((('Yellow Bosses'!$J$5:$J$53&gt;=1)+('Yellow Bosses'!$N$5:$N$53&gt;=1)+('Yellow Bosses'!$O$5:$O$53&gt;=1)+('Yellow Bosses'!$V$5:$V$53&gt;=1))&gt;0))</f>
        <v>0</v>
      </c>
      <c r="I1232" s="25" t="n">
        <f aca="false">SUMPRODUCT(--((('Yellow Bosses'!$J$5:$J$53&gt;0)+('Yellow Bosses'!$N$5:$N$53&gt;0)+('Yellow Bosses'!$O$5:$O$53&gt;0)+('Yellow Bosses'!$V$5:$V$53&gt;0))=0))</f>
        <v>0</v>
      </c>
      <c r="J1232" s="25" t="n">
        <f aca="false">SUMPRODUCT(--(((Effectiveness!$G$5:$G$155&gt;=2)+(Effectiveness!$K$5:$K$155&gt;=2)+(Effectiveness!$L$5:$L$155&gt;=2)+(Effectiveness!$S$5:$S$155&gt;=2))&gt;0))</f>
        <v>63</v>
      </c>
      <c r="K1232" s="26" t="n">
        <f aca="false">J1232/151</f>
        <v>0.417218543046358</v>
      </c>
      <c r="L1232" s="25" t="n">
        <f aca="false">MIN(INDEX('Move Reality'!$F$5:$F$19,MATCH(B1232,'Move Reality'!$A$5:$A$19,0)),INDEX('Move Reality'!$F$5:$F$19,MATCH(C1232,'Move Reality'!$A$5:$A$19,0)),INDEX('Move Reality'!$F$5:$F$19,MATCH(D1232,'Move Reality'!$A$5:$A$19,0)),INDEX('Move Reality'!$F$5:$F$19,MATCH(E1232,'Move Reality'!$A$5:$A$19,0)))</f>
        <v>1</v>
      </c>
      <c r="M1232" s="28" t="str">
        <f aca="false">IF(L1232&gt;=5,"YES","no - dead move")</f>
        <v>no - dead move</v>
      </c>
    </row>
    <row r="1233" customFormat="false" ht="15" hidden="false" customHeight="false" outlineLevel="0" collapsed="false">
      <c r="A1233" s="17" t="n">
        <v>1229</v>
      </c>
      <c r="B1233" s="17" t="s">
        <v>40</v>
      </c>
      <c r="C1233" s="17" t="s">
        <v>41</v>
      </c>
      <c r="D1233" s="17" t="s">
        <v>52</v>
      </c>
      <c r="E1233" s="17" t="s">
        <v>53</v>
      </c>
      <c r="F1233" s="25" t="n">
        <f aca="false">SUMPRODUCT(--((('Yellow Bosses'!$H$5:$H$53&gt;=2)+('Yellow Bosses'!$I$5:$I$53&gt;=2)+('Yellow Bosses'!$T$5:$T$53&gt;=2)+('Yellow Bosses'!$U$5:$U$53&gt;=2))&gt;0))</f>
        <v>23</v>
      </c>
      <c r="G1233" s="26" t="n">
        <f aca="false">F1233/49</f>
        <v>0.469387755102041</v>
      </c>
      <c r="H1233" s="25" t="n">
        <f aca="false">49-SUMPRODUCT(--((('Yellow Bosses'!$H$5:$H$53&gt;=1)+('Yellow Bosses'!$I$5:$I$53&gt;=1)+('Yellow Bosses'!$T$5:$T$53&gt;=1)+('Yellow Bosses'!$U$5:$U$53&gt;=1))&gt;0))</f>
        <v>0</v>
      </c>
      <c r="I1233" s="25" t="n">
        <f aca="false">SUMPRODUCT(--((('Yellow Bosses'!$H$5:$H$53&gt;0)+('Yellow Bosses'!$I$5:$I$53&gt;0)+('Yellow Bosses'!$T$5:$T$53&gt;0)+('Yellow Bosses'!$U$5:$U$53&gt;0))=0))</f>
        <v>0</v>
      </c>
      <c r="J1233" s="25" t="n">
        <f aca="false">SUMPRODUCT(--(((Effectiveness!$E$5:$E$155&gt;=2)+(Effectiveness!$F$5:$F$155&gt;=2)+(Effectiveness!$Q$5:$Q$155&gt;=2)+(Effectiveness!$R$5:$R$155&gt;=2))&gt;0))</f>
        <v>58</v>
      </c>
      <c r="K1233" s="26" t="n">
        <f aca="false">J1233/151</f>
        <v>0.384105960264901</v>
      </c>
      <c r="L1233" s="25" t="n">
        <f aca="false">MIN(INDEX('Move Reality'!$F$5:$F$19,MATCH(B1233,'Move Reality'!$A$5:$A$19,0)),INDEX('Move Reality'!$F$5:$F$19,MATCH(C1233,'Move Reality'!$A$5:$A$19,0)),INDEX('Move Reality'!$F$5:$F$19,MATCH(D1233,'Move Reality'!$A$5:$A$19,0)),INDEX('Move Reality'!$F$5:$F$19,MATCH(E1233,'Move Reality'!$A$5:$A$19,0)))</f>
        <v>1</v>
      </c>
      <c r="M1233" s="28" t="str">
        <f aca="false">IF(L1233&gt;=5,"YES","no - dead move")</f>
        <v>no - dead move</v>
      </c>
    </row>
    <row r="1234" customFormat="false" ht="15" hidden="false" customHeight="false" outlineLevel="0" collapsed="false">
      <c r="A1234" s="17" t="n">
        <v>1230</v>
      </c>
      <c r="B1234" s="17" t="s">
        <v>41</v>
      </c>
      <c r="C1234" s="17" t="s">
        <v>47</v>
      </c>
      <c r="D1234" s="17" t="s">
        <v>52</v>
      </c>
      <c r="E1234" s="17" t="s">
        <v>53</v>
      </c>
      <c r="F1234" s="25" t="n">
        <f aca="false">SUMPRODUCT(--((('Yellow Bosses'!$I$5:$I$53&gt;=2)+('Yellow Bosses'!$O$5:$O$53&gt;=2)+('Yellow Bosses'!$T$5:$T$53&gt;=2)+('Yellow Bosses'!$U$5:$U$53&gt;=2))&gt;0))</f>
        <v>23</v>
      </c>
      <c r="G1234" s="26" t="n">
        <f aca="false">F1234/49</f>
        <v>0.469387755102041</v>
      </c>
      <c r="H1234" s="25" t="n">
        <f aca="false">49-SUMPRODUCT(--((('Yellow Bosses'!$I$5:$I$53&gt;=1)+('Yellow Bosses'!$O$5:$O$53&gt;=1)+('Yellow Bosses'!$T$5:$T$53&gt;=1)+('Yellow Bosses'!$U$5:$U$53&gt;=1))&gt;0))</f>
        <v>0</v>
      </c>
      <c r="I1234" s="25" t="n">
        <f aca="false">SUMPRODUCT(--((('Yellow Bosses'!$I$5:$I$53&gt;0)+('Yellow Bosses'!$O$5:$O$53&gt;0)+('Yellow Bosses'!$T$5:$T$53&gt;0)+('Yellow Bosses'!$U$5:$U$53&gt;0))=0))</f>
        <v>0</v>
      </c>
      <c r="J1234" s="25" t="n">
        <f aca="false">SUMPRODUCT(--(((Effectiveness!$F$5:$F$155&gt;=2)+(Effectiveness!$L$5:$L$155&gt;=2)+(Effectiveness!$Q$5:$Q$155&gt;=2)+(Effectiveness!$R$5:$R$155&gt;=2))&gt;0))</f>
        <v>58</v>
      </c>
      <c r="K1234" s="26" t="n">
        <f aca="false">J1234/151</f>
        <v>0.384105960264901</v>
      </c>
      <c r="L1234" s="25" t="n">
        <f aca="false">MIN(INDEX('Move Reality'!$F$5:$F$19,MATCH(B1234,'Move Reality'!$A$5:$A$19,0)),INDEX('Move Reality'!$F$5:$F$19,MATCH(C1234,'Move Reality'!$A$5:$A$19,0)),INDEX('Move Reality'!$F$5:$F$19,MATCH(D1234,'Move Reality'!$A$5:$A$19,0)),INDEX('Move Reality'!$F$5:$F$19,MATCH(E1234,'Move Reality'!$A$5:$A$19,0)))</f>
        <v>1</v>
      </c>
      <c r="M1234" s="28" t="str">
        <f aca="false">IF(L1234&gt;=5,"YES","no - dead move")</f>
        <v>no - dead move</v>
      </c>
    </row>
    <row r="1235" customFormat="false" ht="15" hidden="false" customHeight="false" outlineLevel="0" collapsed="false">
      <c r="A1235" s="17" t="n">
        <v>1231</v>
      </c>
      <c r="B1235" s="17" t="s">
        <v>40</v>
      </c>
      <c r="C1235" s="17" t="s">
        <v>41</v>
      </c>
      <c r="D1235" s="17" t="s">
        <v>45</v>
      </c>
      <c r="E1235" s="17" t="s">
        <v>47</v>
      </c>
      <c r="F1235" s="25" t="n">
        <f aca="false">SUMPRODUCT(--((('Yellow Bosses'!$H$5:$H$53&gt;=2)+('Yellow Bosses'!$I$5:$I$53&gt;=2)+('Yellow Bosses'!$M$5:$M$53&gt;=2)+('Yellow Bosses'!$O$5:$O$53&gt;=2))&gt;0))</f>
        <v>23</v>
      </c>
      <c r="G1235" s="26" t="n">
        <f aca="false">F1235/49</f>
        <v>0.469387755102041</v>
      </c>
      <c r="H1235" s="25" t="n">
        <f aca="false">49-SUMPRODUCT(--((('Yellow Bosses'!$H$5:$H$53&gt;=1)+('Yellow Bosses'!$I$5:$I$53&gt;=1)+('Yellow Bosses'!$M$5:$M$53&gt;=1)+('Yellow Bosses'!$O$5:$O$53&gt;=1))&gt;0))</f>
        <v>0</v>
      </c>
      <c r="I1235" s="25" t="n">
        <f aca="false">SUMPRODUCT(--((('Yellow Bosses'!$H$5:$H$53&gt;0)+('Yellow Bosses'!$I$5:$I$53&gt;0)+('Yellow Bosses'!$M$5:$M$53&gt;0)+('Yellow Bosses'!$O$5:$O$53&gt;0))=0))</f>
        <v>0</v>
      </c>
      <c r="J1235" s="25" t="n">
        <f aca="false">SUMPRODUCT(--(((Effectiveness!$E$5:$E$155&gt;=2)+(Effectiveness!$F$5:$F$155&gt;=2)+(Effectiveness!$J$5:$J$155&gt;=2)+(Effectiveness!$L$5:$L$155&gt;=2))&gt;0))</f>
        <v>57</v>
      </c>
      <c r="K1235" s="26" t="n">
        <f aca="false">J1235/151</f>
        <v>0.377483443708609</v>
      </c>
      <c r="L1235" s="25" t="n">
        <f aca="false">MIN(INDEX('Move Reality'!$F$5:$F$19,MATCH(B1235,'Move Reality'!$A$5:$A$19,0)),INDEX('Move Reality'!$F$5:$F$19,MATCH(C1235,'Move Reality'!$A$5:$A$19,0)),INDEX('Move Reality'!$F$5:$F$19,MATCH(D1235,'Move Reality'!$A$5:$A$19,0)),INDEX('Move Reality'!$F$5:$F$19,MATCH(E1235,'Move Reality'!$A$5:$A$19,0)))</f>
        <v>2</v>
      </c>
      <c r="M1235" s="28" t="str">
        <f aca="false">IF(L1235&gt;=5,"YES","no - dead move")</f>
        <v>no - dead move</v>
      </c>
    </row>
    <row r="1236" customFormat="false" ht="15" hidden="false" customHeight="false" outlineLevel="0" collapsed="false">
      <c r="A1236" s="17" t="n">
        <v>1232</v>
      </c>
      <c r="B1236" s="17" t="s">
        <v>40</v>
      </c>
      <c r="C1236" s="17" t="s">
        <v>41</v>
      </c>
      <c r="D1236" s="17" t="s">
        <v>45</v>
      </c>
      <c r="E1236" s="17" t="s">
        <v>54</v>
      </c>
      <c r="F1236" s="25" t="n">
        <f aca="false">SUMPRODUCT(--((('Yellow Bosses'!$H$5:$H$53&gt;=2)+('Yellow Bosses'!$I$5:$I$53&gt;=2)+('Yellow Bosses'!$M$5:$M$53&gt;=2)+('Yellow Bosses'!$V$5:$V$53&gt;=2))&gt;0))</f>
        <v>23</v>
      </c>
      <c r="G1236" s="26" t="n">
        <f aca="false">F1236/49</f>
        <v>0.469387755102041</v>
      </c>
      <c r="H1236" s="25" t="n">
        <f aca="false">49-SUMPRODUCT(--((('Yellow Bosses'!$H$5:$H$53&gt;=1)+('Yellow Bosses'!$I$5:$I$53&gt;=1)+('Yellow Bosses'!$M$5:$M$53&gt;=1)+('Yellow Bosses'!$V$5:$V$53&gt;=1))&gt;0))</f>
        <v>0</v>
      </c>
      <c r="I1236" s="25" t="n">
        <f aca="false">SUMPRODUCT(--((('Yellow Bosses'!$H$5:$H$53&gt;0)+('Yellow Bosses'!$I$5:$I$53&gt;0)+('Yellow Bosses'!$M$5:$M$53&gt;0)+('Yellow Bosses'!$V$5:$V$53&gt;0))=0))</f>
        <v>0</v>
      </c>
      <c r="J1236" s="25" t="n">
        <f aca="false">SUMPRODUCT(--(((Effectiveness!$E$5:$E$155&gt;=2)+(Effectiveness!$F$5:$F$155&gt;=2)+(Effectiveness!$J$5:$J$155&gt;=2)+(Effectiveness!$S$5:$S$155&gt;=2))&gt;0))</f>
        <v>57</v>
      </c>
      <c r="K1236" s="26" t="n">
        <f aca="false">J1236/151</f>
        <v>0.377483443708609</v>
      </c>
      <c r="L1236" s="25" t="n">
        <f aca="false">MIN(INDEX('Move Reality'!$F$5:$F$19,MATCH(B1236,'Move Reality'!$A$5:$A$19,0)),INDEX('Move Reality'!$F$5:$F$19,MATCH(C1236,'Move Reality'!$A$5:$A$19,0)),INDEX('Move Reality'!$F$5:$F$19,MATCH(D1236,'Move Reality'!$A$5:$A$19,0)),INDEX('Move Reality'!$F$5:$F$19,MATCH(E1236,'Move Reality'!$A$5:$A$19,0)))</f>
        <v>1</v>
      </c>
      <c r="M1236" s="28" t="str">
        <f aca="false">IF(L1236&gt;=5,"YES","no - dead move")</f>
        <v>no - dead move</v>
      </c>
    </row>
    <row r="1237" customFormat="false" ht="15" hidden="false" customHeight="false" outlineLevel="0" collapsed="false">
      <c r="A1237" s="17" t="n">
        <v>1233</v>
      </c>
      <c r="B1237" s="17" t="s">
        <v>40</v>
      </c>
      <c r="C1237" s="17" t="s">
        <v>42</v>
      </c>
      <c r="D1237" s="17" t="s">
        <v>48</v>
      </c>
      <c r="E1237" s="17" t="s">
        <v>54</v>
      </c>
      <c r="F1237" s="25" t="n">
        <f aca="false">SUMPRODUCT(--((('Yellow Bosses'!$H$5:$H$53&gt;=2)+('Yellow Bosses'!$J$5:$J$53&gt;=2)+('Yellow Bosses'!$P$5:$P$53&gt;=2)+('Yellow Bosses'!$V$5:$V$53&gt;=2))&gt;0))</f>
        <v>23</v>
      </c>
      <c r="G1237" s="26" t="n">
        <f aca="false">F1237/49</f>
        <v>0.469387755102041</v>
      </c>
      <c r="H1237" s="25" t="n">
        <f aca="false">49-SUMPRODUCT(--((('Yellow Bosses'!$H$5:$H$53&gt;=1)+('Yellow Bosses'!$J$5:$J$53&gt;=1)+('Yellow Bosses'!$P$5:$P$53&gt;=1)+('Yellow Bosses'!$V$5:$V$53&gt;=1))&gt;0))</f>
        <v>0</v>
      </c>
      <c r="I1237" s="25" t="n">
        <f aca="false">SUMPRODUCT(--((('Yellow Bosses'!$H$5:$H$53&gt;0)+('Yellow Bosses'!$J$5:$J$53&gt;0)+('Yellow Bosses'!$P$5:$P$53&gt;0)+('Yellow Bosses'!$V$5:$V$53&gt;0))=0))</f>
        <v>0</v>
      </c>
      <c r="J1237" s="25" t="n">
        <f aca="false">SUMPRODUCT(--(((Effectiveness!$E$5:$E$155&gt;=2)+(Effectiveness!$G$5:$G$155&gt;=2)+(Effectiveness!$M$5:$M$155&gt;=2)+(Effectiveness!$S$5:$S$155&gt;=2))&gt;0))</f>
        <v>57</v>
      </c>
      <c r="K1237" s="26" t="n">
        <f aca="false">J1237/151</f>
        <v>0.377483443708609</v>
      </c>
      <c r="L1237" s="25" t="n">
        <f aca="false">MIN(INDEX('Move Reality'!$F$5:$F$19,MATCH(B1237,'Move Reality'!$A$5:$A$19,0)),INDEX('Move Reality'!$F$5:$F$19,MATCH(C1237,'Move Reality'!$A$5:$A$19,0)),INDEX('Move Reality'!$F$5:$F$19,MATCH(D1237,'Move Reality'!$A$5:$A$19,0)),INDEX('Move Reality'!$F$5:$F$19,MATCH(E1237,'Move Reality'!$A$5:$A$19,0)))</f>
        <v>1</v>
      </c>
      <c r="M1237" s="28" t="str">
        <f aca="false">IF(L1237&gt;=5,"YES","no - dead move")</f>
        <v>no - dead move</v>
      </c>
    </row>
    <row r="1238" customFormat="false" ht="15" hidden="false" customHeight="false" outlineLevel="0" collapsed="false">
      <c r="A1238" s="17" t="n">
        <v>1234</v>
      </c>
      <c r="B1238" s="17" t="s">
        <v>41</v>
      </c>
      <c r="C1238" s="17" t="s">
        <v>45</v>
      </c>
      <c r="D1238" s="17" t="s">
        <v>47</v>
      </c>
      <c r="E1238" s="17" t="s">
        <v>54</v>
      </c>
      <c r="F1238" s="25" t="n">
        <f aca="false">SUMPRODUCT(--((('Yellow Bosses'!$I$5:$I$53&gt;=2)+('Yellow Bosses'!$M$5:$M$53&gt;=2)+('Yellow Bosses'!$O$5:$O$53&gt;=2)+('Yellow Bosses'!$V$5:$V$53&gt;=2))&gt;0))</f>
        <v>23</v>
      </c>
      <c r="G1238" s="26" t="n">
        <f aca="false">F1238/49</f>
        <v>0.469387755102041</v>
      </c>
      <c r="H1238" s="25" t="n">
        <f aca="false">49-SUMPRODUCT(--((('Yellow Bosses'!$I$5:$I$53&gt;=1)+('Yellow Bosses'!$M$5:$M$53&gt;=1)+('Yellow Bosses'!$O$5:$O$53&gt;=1)+('Yellow Bosses'!$V$5:$V$53&gt;=1))&gt;0))</f>
        <v>0</v>
      </c>
      <c r="I1238" s="25" t="n">
        <f aca="false">SUMPRODUCT(--((('Yellow Bosses'!$I$5:$I$53&gt;0)+('Yellow Bosses'!$M$5:$M$53&gt;0)+('Yellow Bosses'!$O$5:$O$53&gt;0)+('Yellow Bosses'!$V$5:$V$53&gt;0))=0))</f>
        <v>0</v>
      </c>
      <c r="J1238" s="25" t="n">
        <f aca="false">SUMPRODUCT(--(((Effectiveness!$F$5:$F$155&gt;=2)+(Effectiveness!$J$5:$J$155&gt;=2)+(Effectiveness!$L$5:$L$155&gt;=2)+(Effectiveness!$S$5:$S$155&gt;=2))&gt;0))</f>
        <v>57</v>
      </c>
      <c r="K1238" s="26" t="n">
        <f aca="false">J1238/151</f>
        <v>0.377483443708609</v>
      </c>
      <c r="L1238" s="25" t="n">
        <f aca="false">MIN(INDEX('Move Reality'!$F$5:$F$19,MATCH(B1238,'Move Reality'!$A$5:$A$19,0)),INDEX('Move Reality'!$F$5:$F$19,MATCH(C1238,'Move Reality'!$A$5:$A$19,0)),INDEX('Move Reality'!$F$5:$F$19,MATCH(D1238,'Move Reality'!$A$5:$A$19,0)),INDEX('Move Reality'!$F$5:$F$19,MATCH(E1238,'Move Reality'!$A$5:$A$19,0)))</f>
        <v>1</v>
      </c>
      <c r="M1238" s="28" t="str">
        <f aca="false">IF(L1238&gt;=5,"YES","no - dead move")</f>
        <v>no - dead move</v>
      </c>
    </row>
    <row r="1239" customFormat="false" ht="15" hidden="false" customHeight="false" outlineLevel="0" collapsed="false">
      <c r="A1239" s="17" t="n">
        <v>1235</v>
      </c>
      <c r="B1239" s="17" t="s">
        <v>42</v>
      </c>
      <c r="C1239" s="17" t="s">
        <v>48</v>
      </c>
      <c r="D1239" s="17" t="s">
        <v>53</v>
      </c>
      <c r="E1239" s="17" t="s">
        <v>54</v>
      </c>
      <c r="F1239" s="25" t="n">
        <f aca="false">SUMPRODUCT(--((('Yellow Bosses'!$J$5:$J$53&gt;=2)+('Yellow Bosses'!$P$5:$P$53&gt;=2)+('Yellow Bosses'!$U$5:$U$53&gt;=2)+('Yellow Bosses'!$V$5:$V$53&gt;=2))&gt;0))</f>
        <v>23</v>
      </c>
      <c r="G1239" s="26" t="n">
        <f aca="false">F1239/49</f>
        <v>0.469387755102041</v>
      </c>
      <c r="H1239" s="25" t="n">
        <f aca="false">49-SUMPRODUCT(--((('Yellow Bosses'!$J$5:$J$53&gt;=1)+('Yellow Bosses'!$P$5:$P$53&gt;=1)+('Yellow Bosses'!$U$5:$U$53&gt;=1)+('Yellow Bosses'!$V$5:$V$53&gt;=1))&gt;0))</f>
        <v>0</v>
      </c>
      <c r="I1239" s="25" t="n">
        <f aca="false">SUMPRODUCT(--((('Yellow Bosses'!$J$5:$J$53&gt;0)+('Yellow Bosses'!$P$5:$P$53&gt;0)+('Yellow Bosses'!$U$5:$U$53&gt;0)+('Yellow Bosses'!$V$5:$V$53&gt;0))=0))</f>
        <v>0</v>
      </c>
      <c r="J1239" s="25" t="n">
        <f aca="false">SUMPRODUCT(--(((Effectiveness!$G$5:$G$155&gt;=2)+(Effectiveness!$M$5:$M$155&gt;=2)+(Effectiveness!$R$5:$R$155&gt;=2)+(Effectiveness!$S$5:$S$155&gt;=2))&gt;0))</f>
        <v>57</v>
      </c>
      <c r="K1239" s="26" t="n">
        <f aca="false">J1239/151</f>
        <v>0.377483443708609</v>
      </c>
      <c r="L1239" s="25" t="n">
        <f aca="false">MIN(INDEX('Move Reality'!$F$5:$F$19,MATCH(B1239,'Move Reality'!$A$5:$A$19,0)),INDEX('Move Reality'!$F$5:$F$19,MATCH(C1239,'Move Reality'!$A$5:$A$19,0)),INDEX('Move Reality'!$F$5:$F$19,MATCH(D1239,'Move Reality'!$A$5:$A$19,0)),INDEX('Move Reality'!$F$5:$F$19,MATCH(E1239,'Move Reality'!$A$5:$A$19,0)))</f>
        <v>1</v>
      </c>
      <c r="M1239" s="28" t="str">
        <f aca="false">IF(L1239&gt;=5,"YES","no - dead move")</f>
        <v>no - dead move</v>
      </c>
    </row>
    <row r="1240" customFormat="false" ht="15" hidden="false" customHeight="false" outlineLevel="0" collapsed="false">
      <c r="A1240" s="17" t="n">
        <v>1236</v>
      </c>
      <c r="B1240" s="17" t="s">
        <v>40</v>
      </c>
      <c r="C1240" s="17" t="s">
        <v>41</v>
      </c>
      <c r="D1240" s="17" t="s">
        <v>42</v>
      </c>
      <c r="E1240" s="17" t="s">
        <v>47</v>
      </c>
      <c r="F1240" s="25" t="n">
        <f aca="false">SUMPRODUCT(--((('Yellow Bosses'!$H$5:$H$53&gt;=2)+('Yellow Bosses'!$I$5:$I$53&gt;=2)+('Yellow Bosses'!$J$5:$J$53&gt;=2)+('Yellow Bosses'!$O$5:$O$53&gt;=2))&gt;0))</f>
        <v>23</v>
      </c>
      <c r="G1240" s="26" t="n">
        <f aca="false">F1240/49</f>
        <v>0.469387755102041</v>
      </c>
      <c r="H1240" s="25" t="n">
        <f aca="false">49-SUMPRODUCT(--((('Yellow Bosses'!$H$5:$H$53&gt;=1)+('Yellow Bosses'!$I$5:$I$53&gt;=1)+('Yellow Bosses'!$J$5:$J$53&gt;=1)+('Yellow Bosses'!$O$5:$O$53&gt;=1))&gt;0))</f>
        <v>0</v>
      </c>
      <c r="I1240" s="25" t="n">
        <f aca="false">SUMPRODUCT(--((('Yellow Bosses'!$H$5:$H$53&gt;0)+('Yellow Bosses'!$I$5:$I$53&gt;0)+('Yellow Bosses'!$J$5:$J$53&gt;0)+('Yellow Bosses'!$O$5:$O$53&gt;0))=0))</f>
        <v>0</v>
      </c>
      <c r="J1240" s="25" t="n">
        <f aca="false">SUMPRODUCT(--(((Effectiveness!$E$5:$E$155&gt;=2)+(Effectiveness!$F$5:$F$155&gt;=2)+(Effectiveness!$G$5:$G$155&gt;=2)+(Effectiveness!$L$5:$L$155&gt;=2))&gt;0))</f>
        <v>53</v>
      </c>
      <c r="K1240" s="26" t="n">
        <f aca="false">J1240/151</f>
        <v>0.350993377483444</v>
      </c>
      <c r="L1240" s="25" t="n">
        <f aca="false">MIN(INDEX('Move Reality'!$F$5:$F$19,MATCH(B1240,'Move Reality'!$A$5:$A$19,0)),INDEX('Move Reality'!$F$5:$F$19,MATCH(C1240,'Move Reality'!$A$5:$A$19,0)),INDEX('Move Reality'!$F$5:$F$19,MATCH(D1240,'Move Reality'!$A$5:$A$19,0)),INDEX('Move Reality'!$F$5:$F$19,MATCH(E1240,'Move Reality'!$A$5:$A$19,0)))</f>
        <v>2</v>
      </c>
      <c r="M1240" s="28" t="str">
        <f aca="false">IF(L1240&gt;=5,"YES","no - dead move")</f>
        <v>no - dead move</v>
      </c>
    </row>
    <row r="1241" customFormat="false" ht="15" hidden="false" customHeight="false" outlineLevel="0" collapsed="false">
      <c r="A1241" s="17" t="n">
        <v>1237</v>
      </c>
      <c r="B1241" s="17" t="s">
        <v>47</v>
      </c>
      <c r="C1241" s="17" t="s">
        <v>52</v>
      </c>
      <c r="D1241" s="17" t="s">
        <v>53</v>
      </c>
      <c r="E1241" s="17" t="s">
        <v>54</v>
      </c>
      <c r="F1241" s="25" t="n">
        <f aca="false">SUMPRODUCT(--((('Yellow Bosses'!$O$5:$O$53&gt;=2)+('Yellow Bosses'!$T$5:$T$53&gt;=2)+('Yellow Bosses'!$U$5:$U$53&gt;=2)+('Yellow Bosses'!$V$5:$V$53&gt;=2))&gt;0))</f>
        <v>23</v>
      </c>
      <c r="G1241" s="26" t="n">
        <f aca="false">F1241/49</f>
        <v>0.469387755102041</v>
      </c>
      <c r="H1241" s="25" t="n">
        <f aca="false">49-SUMPRODUCT(--((('Yellow Bosses'!$O$5:$O$53&gt;=1)+('Yellow Bosses'!$T$5:$T$53&gt;=1)+('Yellow Bosses'!$U$5:$U$53&gt;=1)+('Yellow Bosses'!$V$5:$V$53&gt;=1))&gt;0))</f>
        <v>0</v>
      </c>
      <c r="I1241" s="25" t="n">
        <f aca="false">SUMPRODUCT(--((('Yellow Bosses'!$O$5:$O$53&gt;0)+('Yellow Bosses'!$T$5:$T$53&gt;0)+('Yellow Bosses'!$U$5:$U$53&gt;0)+('Yellow Bosses'!$V$5:$V$53&gt;0))=0))</f>
        <v>0</v>
      </c>
      <c r="J1241" s="25" t="n">
        <f aca="false">SUMPRODUCT(--(((Effectiveness!$L$5:$L$155&gt;=2)+(Effectiveness!$Q$5:$Q$155&gt;=2)+(Effectiveness!$R$5:$R$155&gt;=2)+(Effectiveness!$S$5:$S$155&gt;=2))&gt;0))</f>
        <v>51</v>
      </c>
      <c r="K1241" s="26" t="n">
        <f aca="false">J1241/151</f>
        <v>0.337748344370861</v>
      </c>
      <c r="L1241" s="25" t="n">
        <f aca="false">MIN(INDEX('Move Reality'!$F$5:$F$19,MATCH(B1241,'Move Reality'!$A$5:$A$19,0)),INDEX('Move Reality'!$F$5:$F$19,MATCH(C1241,'Move Reality'!$A$5:$A$19,0)),INDEX('Move Reality'!$F$5:$F$19,MATCH(D1241,'Move Reality'!$A$5:$A$19,0)),INDEX('Move Reality'!$F$5:$F$19,MATCH(E1241,'Move Reality'!$A$5:$A$19,0)))</f>
        <v>1</v>
      </c>
      <c r="M1241" s="28" t="str">
        <f aca="false">IF(L1241&gt;=5,"YES","no - dead move")</f>
        <v>no - dead move</v>
      </c>
    </row>
    <row r="1242" customFormat="false" ht="15" hidden="false" customHeight="false" outlineLevel="0" collapsed="false">
      <c r="A1242" s="17" t="n">
        <v>1238</v>
      </c>
      <c r="B1242" s="17" t="s">
        <v>40</v>
      </c>
      <c r="C1242" s="17" t="s">
        <v>41</v>
      </c>
      <c r="D1242" s="17" t="s">
        <v>43</v>
      </c>
      <c r="E1242" s="17" t="s">
        <v>49</v>
      </c>
      <c r="F1242" s="25" t="n">
        <f aca="false">SUMPRODUCT(--((('Yellow Bosses'!$H$5:$H$53&gt;=2)+('Yellow Bosses'!$I$5:$I$53&gt;=2)+('Yellow Bosses'!$K$5:$K$53&gt;=2)+('Yellow Bosses'!$Q$5:$Q$53&gt;=2))&gt;0))</f>
        <v>22</v>
      </c>
      <c r="G1242" s="26" t="n">
        <f aca="false">F1242/49</f>
        <v>0.448979591836735</v>
      </c>
      <c r="H1242" s="25" t="n">
        <f aca="false">49-SUMPRODUCT(--((('Yellow Bosses'!$H$5:$H$53&gt;=1)+('Yellow Bosses'!$I$5:$I$53&gt;=1)+('Yellow Bosses'!$K$5:$K$53&gt;=1)+('Yellow Bosses'!$Q$5:$Q$53&gt;=1))&gt;0))</f>
        <v>5</v>
      </c>
      <c r="I1242" s="25" t="n">
        <f aca="false">SUMPRODUCT(--((('Yellow Bosses'!$H$5:$H$53&gt;0)+('Yellow Bosses'!$I$5:$I$53&gt;0)+('Yellow Bosses'!$K$5:$K$53&gt;0)+('Yellow Bosses'!$Q$5:$Q$53&gt;0))=0))</f>
        <v>0</v>
      </c>
      <c r="J1242" s="25" t="n">
        <f aca="false">SUMPRODUCT(--(((Effectiveness!$E$5:$E$155&gt;=2)+(Effectiveness!$F$5:$F$155&gt;=2)+(Effectiveness!$H$5:$H$155&gt;=2)+(Effectiveness!$N$5:$N$155&gt;=2))&gt;0))</f>
        <v>78</v>
      </c>
      <c r="K1242" s="26" t="n">
        <f aca="false">J1242/151</f>
        <v>0.516556291390729</v>
      </c>
      <c r="L1242" s="25" t="n">
        <f aca="false">MIN(INDEX('Move Reality'!$F$5:$F$19,MATCH(B1242,'Move Reality'!$A$5:$A$19,0)),INDEX('Move Reality'!$F$5:$F$19,MATCH(C1242,'Move Reality'!$A$5:$A$19,0)),INDEX('Move Reality'!$F$5:$F$19,MATCH(D1242,'Move Reality'!$A$5:$A$19,0)),INDEX('Move Reality'!$F$5:$F$19,MATCH(E1242,'Move Reality'!$A$5:$A$19,0)))</f>
        <v>5</v>
      </c>
      <c r="M1242" s="28" t="str">
        <f aca="false">IF(L1242&gt;=5,"YES","no - dead move")</f>
        <v>YES</v>
      </c>
    </row>
    <row r="1243" customFormat="false" ht="15" hidden="false" customHeight="false" outlineLevel="0" collapsed="false">
      <c r="A1243" s="17" t="n">
        <v>1239</v>
      </c>
      <c r="B1243" s="17" t="s">
        <v>41</v>
      </c>
      <c r="C1243" s="17" t="s">
        <v>43</v>
      </c>
      <c r="D1243" s="17" t="s">
        <v>47</v>
      </c>
      <c r="E1243" s="17" t="s">
        <v>49</v>
      </c>
      <c r="F1243" s="25" t="n">
        <f aca="false">SUMPRODUCT(--((('Yellow Bosses'!$I$5:$I$53&gt;=2)+('Yellow Bosses'!$K$5:$K$53&gt;=2)+('Yellow Bosses'!$O$5:$O$53&gt;=2)+('Yellow Bosses'!$Q$5:$Q$53&gt;=2))&gt;0))</f>
        <v>22</v>
      </c>
      <c r="G1243" s="26" t="n">
        <f aca="false">F1243/49</f>
        <v>0.448979591836735</v>
      </c>
      <c r="H1243" s="25" t="n">
        <f aca="false">49-SUMPRODUCT(--((('Yellow Bosses'!$I$5:$I$53&gt;=1)+('Yellow Bosses'!$K$5:$K$53&gt;=1)+('Yellow Bosses'!$O$5:$O$53&gt;=1)+('Yellow Bosses'!$Q$5:$Q$53&gt;=1))&gt;0))</f>
        <v>5</v>
      </c>
      <c r="I1243" s="25" t="n">
        <f aca="false">SUMPRODUCT(--((('Yellow Bosses'!$I$5:$I$53&gt;0)+('Yellow Bosses'!$K$5:$K$53&gt;0)+('Yellow Bosses'!$O$5:$O$53&gt;0)+('Yellow Bosses'!$Q$5:$Q$53&gt;0))=0))</f>
        <v>0</v>
      </c>
      <c r="J1243" s="25" t="n">
        <f aca="false">SUMPRODUCT(--(((Effectiveness!$F$5:$F$155&gt;=2)+(Effectiveness!$H$5:$H$155&gt;=2)+(Effectiveness!$L$5:$L$155&gt;=2)+(Effectiveness!$N$5:$N$155&gt;=2))&gt;0))</f>
        <v>78</v>
      </c>
      <c r="K1243" s="26" t="n">
        <f aca="false">J1243/151</f>
        <v>0.516556291390729</v>
      </c>
      <c r="L1243" s="25" t="n">
        <f aca="false">MIN(INDEX('Move Reality'!$F$5:$F$19,MATCH(B1243,'Move Reality'!$A$5:$A$19,0)),INDEX('Move Reality'!$F$5:$F$19,MATCH(C1243,'Move Reality'!$A$5:$A$19,0)),INDEX('Move Reality'!$F$5:$F$19,MATCH(D1243,'Move Reality'!$A$5:$A$19,0)),INDEX('Move Reality'!$F$5:$F$19,MATCH(E1243,'Move Reality'!$A$5:$A$19,0)))</f>
        <v>2</v>
      </c>
      <c r="M1243" s="28" t="str">
        <f aca="false">IF(L1243&gt;=5,"YES","no - dead move")</f>
        <v>no - dead move</v>
      </c>
    </row>
    <row r="1244" customFormat="false" ht="15" hidden="false" customHeight="false" outlineLevel="0" collapsed="false">
      <c r="A1244" s="17" t="n">
        <v>1240</v>
      </c>
      <c r="B1244" s="17" t="s">
        <v>43</v>
      </c>
      <c r="C1244" s="17" t="s">
        <v>46</v>
      </c>
      <c r="D1244" s="17" t="s">
        <v>53</v>
      </c>
      <c r="E1244" s="17" t="s">
        <v>54</v>
      </c>
      <c r="F1244" s="25" t="n">
        <f aca="false">SUMPRODUCT(--((('Yellow Bosses'!$K$5:$K$53&gt;=2)+('Yellow Bosses'!$N$5:$N$53&gt;=2)+('Yellow Bosses'!$U$5:$U$53&gt;=2)+('Yellow Bosses'!$V$5:$V$53&gt;=2))&gt;0))</f>
        <v>22</v>
      </c>
      <c r="G1244" s="26" t="n">
        <f aca="false">F1244/49</f>
        <v>0.448979591836735</v>
      </c>
      <c r="H1244" s="25" t="n">
        <f aca="false">49-SUMPRODUCT(--((('Yellow Bosses'!$K$5:$K$53&gt;=1)+('Yellow Bosses'!$N$5:$N$53&gt;=1)+('Yellow Bosses'!$U$5:$U$53&gt;=1)+('Yellow Bosses'!$V$5:$V$53&gt;=1))&gt;0))</f>
        <v>0</v>
      </c>
      <c r="I1244" s="25" t="n">
        <f aca="false">SUMPRODUCT(--((('Yellow Bosses'!$K$5:$K$53&gt;0)+('Yellow Bosses'!$N$5:$N$53&gt;0)+('Yellow Bosses'!$U$5:$U$53&gt;0)+('Yellow Bosses'!$V$5:$V$53&gt;0))=0))</f>
        <v>0</v>
      </c>
      <c r="J1244" s="25" t="n">
        <f aca="false">SUMPRODUCT(--(((Effectiveness!$H$5:$H$155&gt;=2)+(Effectiveness!$K$5:$K$155&gt;=2)+(Effectiveness!$R$5:$R$155&gt;=2)+(Effectiveness!$S$5:$S$155&gt;=2))&gt;0))</f>
        <v>76</v>
      </c>
      <c r="K1244" s="26" t="n">
        <f aca="false">J1244/151</f>
        <v>0.503311258278146</v>
      </c>
      <c r="L1244" s="25" t="n">
        <f aca="false">MIN(INDEX('Move Reality'!$F$5:$F$19,MATCH(B1244,'Move Reality'!$A$5:$A$19,0)),INDEX('Move Reality'!$F$5:$F$19,MATCH(C1244,'Move Reality'!$A$5:$A$19,0)),INDEX('Move Reality'!$F$5:$F$19,MATCH(D1244,'Move Reality'!$A$5:$A$19,0)),INDEX('Move Reality'!$F$5:$F$19,MATCH(E1244,'Move Reality'!$A$5:$A$19,0)))</f>
        <v>1</v>
      </c>
      <c r="M1244" s="28" t="str">
        <f aca="false">IF(L1244&gt;=5,"YES","no - dead move")</f>
        <v>no - dead move</v>
      </c>
    </row>
    <row r="1245" customFormat="false" ht="15" hidden="false" customHeight="false" outlineLevel="0" collapsed="false">
      <c r="A1245" s="17" t="n">
        <v>1241</v>
      </c>
      <c r="B1245" s="17" t="s">
        <v>40</v>
      </c>
      <c r="C1245" s="17" t="s">
        <v>41</v>
      </c>
      <c r="D1245" s="17" t="s">
        <v>43</v>
      </c>
      <c r="E1245" s="17" t="s">
        <v>53</v>
      </c>
      <c r="F1245" s="25" t="n">
        <f aca="false">SUMPRODUCT(--((('Yellow Bosses'!$H$5:$H$53&gt;=2)+('Yellow Bosses'!$I$5:$I$53&gt;=2)+('Yellow Bosses'!$K$5:$K$53&gt;=2)+('Yellow Bosses'!$U$5:$U$53&gt;=2))&gt;0))</f>
        <v>22</v>
      </c>
      <c r="G1245" s="26" t="n">
        <f aca="false">F1245/49</f>
        <v>0.448979591836735</v>
      </c>
      <c r="H1245" s="25" t="n">
        <f aca="false">49-SUMPRODUCT(--((('Yellow Bosses'!$H$5:$H$53&gt;=1)+('Yellow Bosses'!$I$5:$I$53&gt;=1)+('Yellow Bosses'!$K$5:$K$53&gt;=1)+('Yellow Bosses'!$U$5:$U$53&gt;=1))&gt;0))</f>
        <v>0</v>
      </c>
      <c r="I1245" s="25" t="n">
        <f aca="false">SUMPRODUCT(--((('Yellow Bosses'!$H$5:$H$53&gt;0)+('Yellow Bosses'!$I$5:$I$53&gt;0)+('Yellow Bosses'!$K$5:$K$53&gt;0)+('Yellow Bosses'!$U$5:$U$53&gt;0))=0))</f>
        <v>0</v>
      </c>
      <c r="J1245" s="25" t="n">
        <f aca="false">SUMPRODUCT(--(((Effectiveness!$E$5:$E$155&gt;=2)+(Effectiveness!$F$5:$F$155&gt;=2)+(Effectiveness!$H$5:$H$155&gt;=2)+(Effectiveness!$R$5:$R$155&gt;=2))&gt;0))</f>
        <v>74</v>
      </c>
      <c r="K1245" s="26" t="n">
        <f aca="false">J1245/151</f>
        <v>0.490066225165563</v>
      </c>
      <c r="L1245" s="25" t="n">
        <f aca="false">MIN(INDEX('Move Reality'!$F$5:$F$19,MATCH(B1245,'Move Reality'!$A$5:$A$19,0)),INDEX('Move Reality'!$F$5:$F$19,MATCH(C1245,'Move Reality'!$A$5:$A$19,0)),INDEX('Move Reality'!$F$5:$F$19,MATCH(D1245,'Move Reality'!$A$5:$A$19,0)),INDEX('Move Reality'!$F$5:$F$19,MATCH(E1245,'Move Reality'!$A$5:$A$19,0)))</f>
        <v>1</v>
      </c>
      <c r="M1245" s="28" t="str">
        <f aca="false">IF(L1245&gt;=5,"YES","no - dead move")</f>
        <v>no - dead move</v>
      </c>
    </row>
    <row r="1246" customFormat="false" ht="15" hidden="false" customHeight="false" outlineLevel="0" collapsed="false">
      <c r="A1246" s="17" t="n">
        <v>1242</v>
      </c>
      <c r="B1246" s="17" t="s">
        <v>40</v>
      </c>
      <c r="C1246" s="17" t="s">
        <v>41</v>
      </c>
      <c r="D1246" s="17" t="s">
        <v>43</v>
      </c>
      <c r="E1246" s="17" t="s">
        <v>54</v>
      </c>
      <c r="F1246" s="25" t="n">
        <f aca="false">SUMPRODUCT(--((('Yellow Bosses'!$H$5:$H$53&gt;=2)+('Yellow Bosses'!$I$5:$I$53&gt;=2)+('Yellow Bosses'!$K$5:$K$53&gt;=2)+('Yellow Bosses'!$V$5:$V$53&gt;=2))&gt;0))</f>
        <v>22</v>
      </c>
      <c r="G1246" s="26" t="n">
        <f aca="false">F1246/49</f>
        <v>0.448979591836735</v>
      </c>
      <c r="H1246" s="25" t="n">
        <f aca="false">49-SUMPRODUCT(--((('Yellow Bosses'!$H$5:$H$53&gt;=1)+('Yellow Bosses'!$I$5:$I$53&gt;=1)+('Yellow Bosses'!$K$5:$K$53&gt;=1)+('Yellow Bosses'!$V$5:$V$53&gt;=1))&gt;0))</f>
        <v>0</v>
      </c>
      <c r="I1246" s="25" t="n">
        <f aca="false">SUMPRODUCT(--((('Yellow Bosses'!$H$5:$H$53&gt;0)+('Yellow Bosses'!$I$5:$I$53&gt;0)+('Yellow Bosses'!$K$5:$K$53&gt;0)+('Yellow Bosses'!$V$5:$V$53&gt;0))=0))</f>
        <v>0</v>
      </c>
      <c r="J1246" s="25" t="n">
        <f aca="false">SUMPRODUCT(--(((Effectiveness!$E$5:$E$155&gt;=2)+(Effectiveness!$F$5:$F$155&gt;=2)+(Effectiveness!$H$5:$H$155&gt;=2)+(Effectiveness!$S$5:$S$155&gt;=2))&gt;0))</f>
        <v>74</v>
      </c>
      <c r="K1246" s="26" t="n">
        <f aca="false">J1246/151</f>
        <v>0.490066225165563</v>
      </c>
      <c r="L1246" s="25" t="n">
        <f aca="false">MIN(INDEX('Move Reality'!$F$5:$F$19,MATCH(B1246,'Move Reality'!$A$5:$A$19,0)),INDEX('Move Reality'!$F$5:$F$19,MATCH(C1246,'Move Reality'!$A$5:$A$19,0)),INDEX('Move Reality'!$F$5:$F$19,MATCH(D1246,'Move Reality'!$A$5:$A$19,0)),INDEX('Move Reality'!$F$5:$F$19,MATCH(E1246,'Move Reality'!$A$5:$A$19,0)))</f>
        <v>1</v>
      </c>
      <c r="M1246" s="28" t="str">
        <f aca="false">IF(L1246&gt;=5,"YES","no - dead move")</f>
        <v>no - dead move</v>
      </c>
    </row>
    <row r="1247" customFormat="false" ht="15" hidden="false" customHeight="false" outlineLevel="0" collapsed="false">
      <c r="A1247" s="17" t="n">
        <v>1243</v>
      </c>
      <c r="B1247" s="17" t="s">
        <v>40</v>
      </c>
      <c r="C1247" s="17" t="s">
        <v>43</v>
      </c>
      <c r="D1247" s="17" t="s">
        <v>47</v>
      </c>
      <c r="E1247" s="17" t="s">
        <v>52</v>
      </c>
      <c r="F1247" s="25" t="n">
        <f aca="false">SUMPRODUCT(--((('Yellow Bosses'!$H$5:$H$53&gt;=2)+('Yellow Bosses'!$K$5:$K$53&gt;=2)+('Yellow Bosses'!$O$5:$O$53&gt;=2)+('Yellow Bosses'!$T$5:$T$53&gt;=2))&gt;0))</f>
        <v>22</v>
      </c>
      <c r="G1247" s="26" t="n">
        <f aca="false">F1247/49</f>
        <v>0.448979591836735</v>
      </c>
      <c r="H1247" s="25" t="n">
        <f aca="false">49-SUMPRODUCT(--((('Yellow Bosses'!$H$5:$H$53&gt;=1)+('Yellow Bosses'!$K$5:$K$53&gt;=1)+('Yellow Bosses'!$O$5:$O$53&gt;=1)+('Yellow Bosses'!$T$5:$T$53&gt;=1))&gt;0))</f>
        <v>5</v>
      </c>
      <c r="I1247" s="25" t="n">
        <f aca="false">SUMPRODUCT(--((('Yellow Bosses'!$H$5:$H$53&gt;0)+('Yellow Bosses'!$K$5:$K$53&gt;0)+('Yellow Bosses'!$O$5:$O$53&gt;0)+('Yellow Bosses'!$T$5:$T$53&gt;0))=0))</f>
        <v>0</v>
      </c>
      <c r="J1247" s="25" t="n">
        <f aca="false">SUMPRODUCT(--(((Effectiveness!$E$5:$E$155&gt;=2)+(Effectiveness!$H$5:$H$155&gt;=2)+(Effectiveness!$L$5:$L$155&gt;=2)+(Effectiveness!$Q$5:$Q$155&gt;=2))&gt;0))</f>
        <v>74</v>
      </c>
      <c r="K1247" s="26" t="n">
        <f aca="false">J1247/151</f>
        <v>0.490066225165563</v>
      </c>
      <c r="L1247" s="25" t="n">
        <f aca="false">MIN(INDEX('Move Reality'!$F$5:$F$19,MATCH(B1247,'Move Reality'!$A$5:$A$19,0)),INDEX('Move Reality'!$F$5:$F$19,MATCH(C1247,'Move Reality'!$A$5:$A$19,0)),INDEX('Move Reality'!$F$5:$F$19,MATCH(D1247,'Move Reality'!$A$5:$A$19,0)),INDEX('Move Reality'!$F$5:$F$19,MATCH(E1247,'Move Reality'!$A$5:$A$19,0)))</f>
        <v>2</v>
      </c>
      <c r="M1247" s="28" t="str">
        <f aca="false">IF(L1247&gt;=5,"YES","no - dead move")</f>
        <v>no - dead move</v>
      </c>
    </row>
    <row r="1248" customFormat="false" ht="15" hidden="false" customHeight="false" outlineLevel="0" collapsed="false">
      <c r="A1248" s="17" t="n">
        <v>1244</v>
      </c>
      <c r="B1248" s="17" t="s">
        <v>41</v>
      </c>
      <c r="C1248" s="17" t="s">
        <v>43</v>
      </c>
      <c r="D1248" s="17" t="s">
        <v>47</v>
      </c>
      <c r="E1248" s="17" t="s">
        <v>53</v>
      </c>
      <c r="F1248" s="25" t="n">
        <f aca="false">SUMPRODUCT(--((('Yellow Bosses'!$I$5:$I$53&gt;=2)+('Yellow Bosses'!$K$5:$K$53&gt;=2)+('Yellow Bosses'!$O$5:$O$53&gt;=2)+('Yellow Bosses'!$U$5:$U$53&gt;=2))&gt;0))</f>
        <v>22</v>
      </c>
      <c r="G1248" s="26" t="n">
        <f aca="false">F1248/49</f>
        <v>0.448979591836735</v>
      </c>
      <c r="H1248" s="25" t="n">
        <f aca="false">49-SUMPRODUCT(--((('Yellow Bosses'!$I$5:$I$53&gt;=1)+('Yellow Bosses'!$K$5:$K$53&gt;=1)+('Yellow Bosses'!$O$5:$O$53&gt;=1)+('Yellow Bosses'!$U$5:$U$53&gt;=1))&gt;0))</f>
        <v>0</v>
      </c>
      <c r="I1248" s="25" t="n">
        <f aca="false">SUMPRODUCT(--((('Yellow Bosses'!$I$5:$I$53&gt;0)+('Yellow Bosses'!$K$5:$K$53&gt;0)+('Yellow Bosses'!$O$5:$O$53&gt;0)+('Yellow Bosses'!$U$5:$U$53&gt;0))=0))</f>
        <v>0</v>
      </c>
      <c r="J1248" s="25" t="n">
        <f aca="false">SUMPRODUCT(--(((Effectiveness!$F$5:$F$155&gt;=2)+(Effectiveness!$H$5:$H$155&gt;=2)+(Effectiveness!$L$5:$L$155&gt;=2)+(Effectiveness!$R$5:$R$155&gt;=2))&gt;0))</f>
        <v>74</v>
      </c>
      <c r="K1248" s="26" t="n">
        <f aca="false">J1248/151</f>
        <v>0.490066225165563</v>
      </c>
      <c r="L1248" s="25" t="n">
        <f aca="false">MIN(INDEX('Move Reality'!$F$5:$F$19,MATCH(B1248,'Move Reality'!$A$5:$A$19,0)),INDEX('Move Reality'!$F$5:$F$19,MATCH(C1248,'Move Reality'!$A$5:$A$19,0)),INDEX('Move Reality'!$F$5:$F$19,MATCH(D1248,'Move Reality'!$A$5:$A$19,0)),INDEX('Move Reality'!$F$5:$F$19,MATCH(E1248,'Move Reality'!$A$5:$A$19,0)))</f>
        <v>1</v>
      </c>
      <c r="M1248" s="28" t="str">
        <f aca="false">IF(L1248&gt;=5,"YES","no - dead move")</f>
        <v>no - dead move</v>
      </c>
    </row>
    <row r="1249" customFormat="false" ht="15" hidden="false" customHeight="false" outlineLevel="0" collapsed="false">
      <c r="A1249" s="17" t="n">
        <v>1245</v>
      </c>
      <c r="B1249" s="17" t="s">
        <v>41</v>
      </c>
      <c r="C1249" s="17" t="s">
        <v>43</v>
      </c>
      <c r="D1249" s="17" t="s">
        <v>47</v>
      </c>
      <c r="E1249" s="17" t="s">
        <v>54</v>
      </c>
      <c r="F1249" s="25" t="n">
        <f aca="false">SUMPRODUCT(--((('Yellow Bosses'!$I$5:$I$53&gt;=2)+('Yellow Bosses'!$K$5:$K$53&gt;=2)+('Yellow Bosses'!$O$5:$O$53&gt;=2)+('Yellow Bosses'!$V$5:$V$53&gt;=2))&gt;0))</f>
        <v>22</v>
      </c>
      <c r="G1249" s="26" t="n">
        <f aca="false">F1249/49</f>
        <v>0.448979591836735</v>
      </c>
      <c r="H1249" s="25" t="n">
        <f aca="false">49-SUMPRODUCT(--((('Yellow Bosses'!$I$5:$I$53&gt;=1)+('Yellow Bosses'!$K$5:$K$53&gt;=1)+('Yellow Bosses'!$O$5:$O$53&gt;=1)+('Yellow Bosses'!$V$5:$V$53&gt;=1))&gt;0))</f>
        <v>0</v>
      </c>
      <c r="I1249" s="25" t="n">
        <f aca="false">SUMPRODUCT(--((('Yellow Bosses'!$I$5:$I$53&gt;0)+('Yellow Bosses'!$K$5:$K$53&gt;0)+('Yellow Bosses'!$O$5:$O$53&gt;0)+('Yellow Bosses'!$V$5:$V$53&gt;0))=0))</f>
        <v>0</v>
      </c>
      <c r="J1249" s="25" t="n">
        <f aca="false">SUMPRODUCT(--(((Effectiveness!$F$5:$F$155&gt;=2)+(Effectiveness!$H$5:$H$155&gt;=2)+(Effectiveness!$L$5:$L$155&gt;=2)+(Effectiveness!$S$5:$S$155&gt;=2))&gt;0))</f>
        <v>74</v>
      </c>
      <c r="K1249" s="26" t="n">
        <f aca="false">J1249/151</f>
        <v>0.490066225165563</v>
      </c>
      <c r="L1249" s="25" t="n">
        <f aca="false">MIN(INDEX('Move Reality'!$F$5:$F$19,MATCH(B1249,'Move Reality'!$A$5:$A$19,0)),INDEX('Move Reality'!$F$5:$F$19,MATCH(C1249,'Move Reality'!$A$5:$A$19,0)),INDEX('Move Reality'!$F$5:$F$19,MATCH(D1249,'Move Reality'!$A$5:$A$19,0)),INDEX('Move Reality'!$F$5:$F$19,MATCH(E1249,'Move Reality'!$A$5:$A$19,0)))</f>
        <v>1</v>
      </c>
      <c r="M1249" s="28" t="str">
        <f aca="false">IF(L1249&gt;=5,"YES","no - dead move")</f>
        <v>no - dead move</v>
      </c>
    </row>
    <row r="1250" customFormat="false" ht="15" hidden="false" customHeight="false" outlineLevel="0" collapsed="false">
      <c r="A1250" s="17" t="n">
        <v>1246</v>
      </c>
      <c r="B1250" s="17" t="s">
        <v>40</v>
      </c>
      <c r="C1250" s="17" t="s">
        <v>43</v>
      </c>
      <c r="D1250" s="17" t="s">
        <v>52</v>
      </c>
      <c r="E1250" s="17" t="s">
        <v>54</v>
      </c>
      <c r="F1250" s="25" t="n">
        <f aca="false">SUMPRODUCT(--((('Yellow Bosses'!$H$5:$H$53&gt;=2)+('Yellow Bosses'!$K$5:$K$53&gt;=2)+('Yellow Bosses'!$T$5:$T$53&gt;=2)+('Yellow Bosses'!$V$5:$V$53&gt;=2))&gt;0))</f>
        <v>22</v>
      </c>
      <c r="G1250" s="26" t="n">
        <f aca="false">F1250/49</f>
        <v>0.448979591836735</v>
      </c>
      <c r="H1250" s="25" t="n">
        <f aca="false">49-SUMPRODUCT(--((('Yellow Bosses'!$H$5:$H$53&gt;=1)+('Yellow Bosses'!$K$5:$K$53&gt;=1)+('Yellow Bosses'!$T$5:$T$53&gt;=1)+('Yellow Bosses'!$V$5:$V$53&gt;=1))&gt;0))</f>
        <v>0</v>
      </c>
      <c r="I1250" s="25" t="n">
        <f aca="false">SUMPRODUCT(--((('Yellow Bosses'!$H$5:$H$53&gt;0)+('Yellow Bosses'!$K$5:$K$53&gt;0)+('Yellow Bosses'!$T$5:$T$53&gt;0)+('Yellow Bosses'!$V$5:$V$53&gt;0))=0))</f>
        <v>0</v>
      </c>
      <c r="J1250" s="25" t="n">
        <f aca="false">SUMPRODUCT(--(((Effectiveness!$E$5:$E$155&gt;=2)+(Effectiveness!$H$5:$H$155&gt;=2)+(Effectiveness!$Q$5:$Q$155&gt;=2)+(Effectiveness!$S$5:$S$155&gt;=2))&gt;0))</f>
        <v>73</v>
      </c>
      <c r="K1250" s="26" t="n">
        <f aca="false">J1250/151</f>
        <v>0.483443708609272</v>
      </c>
      <c r="L1250" s="25" t="n">
        <f aca="false">MIN(INDEX('Move Reality'!$F$5:$F$19,MATCH(B1250,'Move Reality'!$A$5:$A$19,0)),INDEX('Move Reality'!$F$5:$F$19,MATCH(C1250,'Move Reality'!$A$5:$A$19,0)),INDEX('Move Reality'!$F$5:$F$19,MATCH(D1250,'Move Reality'!$A$5:$A$19,0)),INDEX('Move Reality'!$F$5:$F$19,MATCH(E1250,'Move Reality'!$A$5:$A$19,0)))</f>
        <v>1</v>
      </c>
      <c r="M1250" s="28" t="str">
        <f aca="false">IF(L1250&gt;=5,"YES","no - dead move")</f>
        <v>no - dead move</v>
      </c>
    </row>
    <row r="1251" customFormat="false" ht="15" hidden="false" customHeight="false" outlineLevel="0" collapsed="false">
      <c r="A1251" s="17" t="n">
        <v>1247</v>
      </c>
      <c r="B1251" s="17" t="s">
        <v>40</v>
      </c>
      <c r="C1251" s="17" t="s">
        <v>45</v>
      </c>
      <c r="D1251" s="17" t="s">
        <v>46</v>
      </c>
      <c r="E1251" s="17" t="s">
        <v>47</v>
      </c>
      <c r="F1251" s="25" t="n">
        <f aca="false">SUMPRODUCT(--((('Yellow Bosses'!$H$5:$H$53&gt;=2)+('Yellow Bosses'!$M$5:$M$53&gt;=2)+('Yellow Bosses'!$N$5:$N$53&gt;=2)+('Yellow Bosses'!$O$5:$O$53&gt;=2))&gt;0))</f>
        <v>22</v>
      </c>
      <c r="G1251" s="26" t="n">
        <f aca="false">F1251/49</f>
        <v>0.448979591836735</v>
      </c>
      <c r="H1251" s="25" t="n">
        <f aca="false">49-SUMPRODUCT(--((('Yellow Bosses'!$H$5:$H$53&gt;=1)+('Yellow Bosses'!$M$5:$M$53&gt;=1)+('Yellow Bosses'!$N$5:$N$53&gt;=1)+('Yellow Bosses'!$O$5:$O$53&gt;=1))&gt;0))</f>
        <v>0</v>
      </c>
      <c r="I1251" s="25" t="n">
        <f aca="false">SUMPRODUCT(--((('Yellow Bosses'!$H$5:$H$53&gt;0)+('Yellow Bosses'!$M$5:$M$53&gt;0)+('Yellow Bosses'!$N$5:$N$53&gt;0)+('Yellow Bosses'!$O$5:$O$53&gt;0))=0))</f>
        <v>0</v>
      </c>
      <c r="J1251" s="25" t="n">
        <f aca="false">SUMPRODUCT(--(((Effectiveness!$E$5:$E$155&gt;=2)+(Effectiveness!$J$5:$J$155&gt;=2)+(Effectiveness!$K$5:$K$155&gt;=2)+(Effectiveness!$L$5:$L$155&gt;=2))&gt;0))</f>
        <v>73</v>
      </c>
      <c r="K1251" s="26" t="n">
        <f aca="false">J1251/151</f>
        <v>0.483443708609272</v>
      </c>
      <c r="L1251" s="25" t="n">
        <f aca="false">MIN(INDEX('Move Reality'!$F$5:$F$19,MATCH(B1251,'Move Reality'!$A$5:$A$19,0)),INDEX('Move Reality'!$F$5:$F$19,MATCH(C1251,'Move Reality'!$A$5:$A$19,0)),INDEX('Move Reality'!$F$5:$F$19,MATCH(D1251,'Move Reality'!$A$5:$A$19,0)),INDEX('Move Reality'!$F$5:$F$19,MATCH(E1251,'Move Reality'!$A$5:$A$19,0)))</f>
        <v>2</v>
      </c>
      <c r="M1251" s="28" t="str">
        <f aca="false">IF(L1251&gt;=5,"YES","no - dead move")</f>
        <v>no - dead move</v>
      </c>
    </row>
    <row r="1252" customFormat="false" ht="15" hidden="false" customHeight="false" outlineLevel="0" collapsed="false">
      <c r="A1252" s="17" t="n">
        <v>1248</v>
      </c>
      <c r="B1252" s="17" t="s">
        <v>45</v>
      </c>
      <c r="C1252" s="17" t="s">
        <v>46</v>
      </c>
      <c r="D1252" s="17" t="s">
        <v>47</v>
      </c>
      <c r="E1252" s="17" t="s">
        <v>54</v>
      </c>
      <c r="F1252" s="25" t="n">
        <f aca="false">SUMPRODUCT(--((('Yellow Bosses'!$M$5:$M$53&gt;=2)+('Yellow Bosses'!$N$5:$N$53&gt;=2)+('Yellow Bosses'!$O$5:$O$53&gt;=2)+('Yellow Bosses'!$V$5:$V$53&gt;=2))&gt;0))</f>
        <v>22</v>
      </c>
      <c r="G1252" s="26" t="n">
        <f aca="false">F1252/49</f>
        <v>0.448979591836735</v>
      </c>
      <c r="H1252" s="25" t="n">
        <f aca="false">49-SUMPRODUCT(--((('Yellow Bosses'!$M$5:$M$53&gt;=1)+('Yellow Bosses'!$N$5:$N$53&gt;=1)+('Yellow Bosses'!$O$5:$O$53&gt;=1)+('Yellow Bosses'!$V$5:$V$53&gt;=1))&gt;0))</f>
        <v>0</v>
      </c>
      <c r="I1252" s="25" t="n">
        <f aca="false">SUMPRODUCT(--((('Yellow Bosses'!$M$5:$M$53&gt;0)+('Yellow Bosses'!$N$5:$N$53&gt;0)+('Yellow Bosses'!$O$5:$O$53&gt;0)+('Yellow Bosses'!$V$5:$V$53&gt;0))=0))</f>
        <v>0</v>
      </c>
      <c r="J1252" s="25" t="n">
        <f aca="false">SUMPRODUCT(--(((Effectiveness!$J$5:$J$155&gt;=2)+(Effectiveness!$K$5:$K$155&gt;=2)+(Effectiveness!$L$5:$L$155&gt;=2)+(Effectiveness!$S$5:$S$155&gt;=2))&gt;0))</f>
        <v>73</v>
      </c>
      <c r="K1252" s="26" t="n">
        <f aca="false">J1252/151</f>
        <v>0.483443708609272</v>
      </c>
      <c r="L1252" s="25" t="n">
        <f aca="false">MIN(INDEX('Move Reality'!$F$5:$F$19,MATCH(B1252,'Move Reality'!$A$5:$A$19,0)),INDEX('Move Reality'!$F$5:$F$19,MATCH(C1252,'Move Reality'!$A$5:$A$19,0)),INDEX('Move Reality'!$F$5:$F$19,MATCH(D1252,'Move Reality'!$A$5:$A$19,0)),INDEX('Move Reality'!$F$5:$F$19,MATCH(E1252,'Move Reality'!$A$5:$A$19,0)))</f>
        <v>1</v>
      </c>
      <c r="M1252" s="28" t="str">
        <f aca="false">IF(L1252&gt;=5,"YES","no - dead move")</f>
        <v>no - dead move</v>
      </c>
    </row>
    <row r="1253" customFormat="false" ht="15" hidden="false" customHeight="false" outlineLevel="0" collapsed="false">
      <c r="A1253" s="17" t="n">
        <v>1249</v>
      </c>
      <c r="B1253" s="17" t="s">
        <v>40</v>
      </c>
      <c r="C1253" s="17" t="s">
        <v>42</v>
      </c>
      <c r="D1253" s="17" t="s">
        <v>44</v>
      </c>
      <c r="E1253" s="17" t="s">
        <v>46</v>
      </c>
      <c r="F1253" s="25" t="n">
        <f aca="false">SUMPRODUCT(--((('Yellow Bosses'!$H$5:$H$53&gt;=2)+('Yellow Bosses'!$J$5:$J$53&gt;=2)+('Yellow Bosses'!$L$5:$L$53&gt;=2)+('Yellow Bosses'!$N$5:$N$53&gt;=2))&gt;0))</f>
        <v>22</v>
      </c>
      <c r="G1253" s="26" t="n">
        <f aca="false">F1253/49</f>
        <v>0.448979591836735</v>
      </c>
      <c r="H1253" s="25" t="n">
        <f aca="false">49-SUMPRODUCT(--((('Yellow Bosses'!$H$5:$H$53&gt;=1)+('Yellow Bosses'!$J$5:$J$53&gt;=1)+('Yellow Bosses'!$L$5:$L$53&gt;=1)+('Yellow Bosses'!$N$5:$N$53&gt;=1))&gt;0))</f>
        <v>0</v>
      </c>
      <c r="I1253" s="25" t="n">
        <f aca="false">SUMPRODUCT(--((('Yellow Bosses'!$H$5:$H$53&gt;0)+('Yellow Bosses'!$J$5:$J$53&gt;0)+('Yellow Bosses'!$L$5:$L$53&gt;0)+('Yellow Bosses'!$N$5:$N$53&gt;0))=0))</f>
        <v>0</v>
      </c>
      <c r="J1253" s="25" t="n">
        <f aca="false">SUMPRODUCT(--(((Effectiveness!$E$5:$E$155&gt;=2)+(Effectiveness!$G$5:$G$155&gt;=2)+(Effectiveness!$I$5:$I$155&gt;=2)+(Effectiveness!$K$5:$K$155&gt;=2))&gt;0))</f>
        <v>72</v>
      </c>
      <c r="K1253" s="26" t="n">
        <f aca="false">J1253/151</f>
        <v>0.47682119205298</v>
      </c>
      <c r="L1253" s="25" t="n">
        <f aca="false">MIN(INDEX('Move Reality'!$F$5:$F$19,MATCH(B1253,'Move Reality'!$A$5:$A$19,0)),INDEX('Move Reality'!$F$5:$F$19,MATCH(C1253,'Move Reality'!$A$5:$A$19,0)),INDEX('Move Reality'!$F$5:$F$19,MATCH(D1253,'Move Reality'!$A$5:$A$19,0)),INDEX('Move Reality'!$F$5:$F$19,MATCH(E1253,'Move Reality'!$A$5:$A$19,0)))</f>
        <v>4</v>
      </c>
      <c r="M1253" s="28" t="str">
        <f aca="false">IF(L1253&gt;=5,"YES","no - dead move")</f>
        <v>no - dead move</v>
      </c>
    </row>
    <row r="1254" customFormat="false" ht="15" hidden="false" customHeight="false" outlineLevel="0" collapsed="false">
      <c r="A1254" s="17" t="n">
        <v>1250</v>
      </c>
      <c r="B1254" s="17" t="s">
        <v>43</v>
      </c>
      <c r="C1254" s="17" t="s">
        <v>44</v>
      </c>
      <c r="D1254" s="17" t="s">
        <v>47</v>
      </c>
      <c r="E1254" s="17" t="s">
        <v>53</v>
      </c>
      <c r="F1254" s="25" t="n">
        <f aca="false">SUMPRODUCT(--((('Yellow Bosses'!$K$5:$K$53&gt;=2)+('Yellow Bosses'!$L$5:$L$53&gt;=2)+('Yellow Bosses'!$O$5:$O$53&gt;=2)+('Yellow Bosses'!$U$5:$U$53&gt;=2))&gt;0))</f>
        <v>22</v>
      </c>
      <c r="G1254" s="26" t="n">
        <f aca="false">F1254/49</f>
        <v>0.448979591836735</v>
      </c>
      <c r="H1254" s="25" t="n">
        <f aca="false">49-SUMPRODUCT(--((('Yellow Bosses'!$K$5:$K$53&gt;=1)+('Yellow Bosses'!$L$5:$L$53&gt;=1)+('Yellow Bosses'!$O$5:$O$53&gt;=1)+('Yellow Bosses'!$U$5:$U$53&gt;=1))&gt;0))</f>
        <v>0</v>
      </c>
      <c r="I1254" s="25" t="n">
        <f aca="false">SUMPRODUCT(--((('Yellow Bosses'!$K$5:$K$53&gt;0)+('Yellow Bosses'!$L$5:$L$53&gt;0)+('Yellow Bosses'!$O$5:$O$53&gt;0)+('Yellow Bosses'!$U$5:$U$53&gt;0))=0))</f>
        <v>0</v>
      </c>
      <c r="J1254" s="25" t="n">
        <f aca="false">SUMPRODUCT(--(((Effectiveness!$H$5:$H$155&gt;=2)+(Effectiveness!$I$5:$I$155&gt;=2)+(Effectiveness!$L$5:$L$155&gt;=2)+(Effectiveness!$R$5:$R$155&gt;=2))&gt;0))</f>
        <v>71</v>
      </c>
      <c r="K1254" s="26" t="n">
        <f aca="false">J1254/151</f>
        <v>0.470198675496689</v>
      </c>
      <c r="L1254" s="25" t="n">
        <f aca="false">MIN(INDEX('Move Reality'!$F$5:$F$19,MATCH(B1254,'Move Reality'!$A$5:$A$19,0)),INDEX('Move Reality'!$F$5:$F$19,MATCH(C1254,'Move Reality'!$A$5:$A$19,0)),INDEX('Move Reality'!$F$5:$F$19,MATCH(D1254,'Move Reality'!$A$5:$A$19,0)),INDEX('Move Reality'!$F$5:$F$19,MATCH(E1254,'Move Reality'!$A$5:$A$19,0)))</f>
        <v>1</v>
      </c>
      <c r="M1254" s="28" t="str">
        <f aca="false">IF(L1254&gt;=5,"YES","no - dead move")</f>
        <v>no - dead move</v>
      </c>
    </row>
    <row r="1255" customFormat="false" ht="15" hidden="false" customHeight="false" outlineLevel="0" collapsed="false">
      <c r="A1255" s="17" t="n">
        <v>1251</v>
      </c>
      <c r="B1255" s="17" t="s">
        <v>43</v>
      </c>
      <c r="C1255" s="17" t="s">
        <v>44</v>
      </c>
      <c r="D1255" s="17" t="s">
        <v>47</v>
      </c>
      <c r="E1255" s="17" t="s">
        <v>54</v>
      </c>
      <c r="F1255" s="25" t="n">
        <f aca="false">SUMPRODUCT(--((('Yellow Bosses'!$K$5:$K$53&gt;=2)+('Yellow Bosses'!$L$5:$L$53&gt;=2)+('Yellow Bosses'!$O$5:$O$53&gt;=2)+('Yellow Bosses'!$V$5:$V$53&gt;=2))&gt;0))</f>
        <v>22</v>
      </c>
      <c r="G1255" s="26" t="n">
        <f aca="false">F1255/49</f>
        <v>0.448979591836735</v>
      </c>
      <c r="H1255" s="25" t="n">
        <f aca="false">49-SUMPRODUCT(--((('Yellow Bosses'!$K$5:$K$53&gt;=1)+('Yellow Bosses'!$L$5:$L$53&gt;=1)+('Yellow Bosses'!$O$5:$O$53&gt;=1)+('Yellow Bosses'!$V$5:$V$53&gt;=1))&gt;0))</f>
        <v>0</v>
      </c>
      <c r="I1255" s="25" t="n">
        <f aca="false">SUMPRODUCT(--((('Yellow Bosses'!$K$5:$K$53&gt;0)+('Yellow Bosses'!$L$5:$L$53&gt;0)+('Yellow Bosses'!$O$5:$O$53&gt;0)+('Yellow Bosses'!$V$5:$V$53&gt;0))=0))</f>
        <v>0</v>
      </c>
      <c r="J1255" s="25" t="n">
        <f aca="false">SUMPRODUCT(--(((Effectiveness!$H$5:$H$155&gt;=2)+(Effectiveness!$I$5:$I$155&gt;=2)+(Effectiveness!$L$5:$L$155&gt;=2)+(Effectiveness!$S$5:$S$155&gt;=2))&gt;0))</f>
        <v>71</v>
      </c>
      <c r="K1255" s="26" t="n">
        <f aca="false">J1255/151</f>
        <v>0.470198675496689</v>
      </c>
      <c r="L1255" s="25" t="n">
        <f aca="false">MIN(INDEX('Move Reality'!$F$5:$F$19,MATCH(B1255,'Move Reality'!$A$5:$A$19,0)),INDEX('Move Reality'!$F$5:$F$19,MATCH(C1255,'Move Reality'!$A$5:$A$19,0)),INDEX('Move Reality'!$F$5:$F$19,MATCH(D1255,'Move Reality'!$A$5:$A$19,0)),INDEX('Move Reality'!$F$5:$F$19,MATCH(E1255,'Move Reality'!$A$5:$A$19,0)))</f>
        <v>1</v>
      </c>
      <c r="M1255" s="28" t="str">
        <f aca="false">IF(L1255&gt;=5,"YES","no - dead move")</f>
        <v>no - dead move</v>
      </c>
    </row>
    <row r="1256" customFormat="false" ht="15" hidden="false" customHeight="false" outlineLevel="0" collapsed="false">
      <c r="A1256" s="17" t="n">
        <v>1252</v>
      </c>
      <c r="B1256" s="17" t="s">
        <v>40</v>
      </c>
      <c r="C1256" s="17" t="s">
        <v>45</v>
      </c>
      <c r="D1256" s="17" t="s">
        <v>46</v>
      </c>
      <c r="E1256" s="17" t="s">
        <v>54</v>
      </c>
      <c r="F1256" s="25" t="n">
        <f aca="false">SUMPRODUCT(--((('Yellow Bosses'!$H$5:$H$53&gt;=2)+('Yellow Bosses'!$M$5:$M$53&gt;=2)+('Yellow Bosses'!$N$5:$N$53&gt;=2)+('Yellow Bosses'!$V$5:$V$53&gt;=2))&gt;0))</f>
        <v>22</v>
      </c>
      <c r="G1256" s="26" t="n">
        <f aca="false">F1256/49</f>
        <v>0.448979591836735</v>
      </c>
      <c r="H1256" s="25" t="n">
        <f aca="false">49-SUMPRODUCT(--((('Yellow Bosses'!$H$5:$H$53&gt;=1)+('Yellow Bosses'!$M$5:$M$53&gt;=1)+('Yellow Bosses'!$N$5:$N$53&gt;=1)+('Yellow Bosses'!$V$5:$V$53&gt;=1))&gt;0))</f>
        <v>0</v>
      </c>
      <c r="I1256" s="25" t="n">
        <f aca="false">SUMPRODUCT(--((('Yellow Bosses'!$H$5:$H$53&gt;0)+('Yellow Bosses'!$M$5:$M$53&gt;0)+('Yellow Bosses'!$N$5:$N$53&gt;0)+('Yellow Bosses'!$V$5:$V$53&gt;0))=0))</f>
        <v>0</v>
      </c>
      <c r="J1256" s="25" t="n">
        <f aca="false">SUMPRODUCT(--(((Effectiveness!$E$5:$E$155&gt;=2)+(Effectiveness!$J$5:$J$155&gt;=2)+(Effectiveness!$K$5:$K$155&gt;=2)+(Effectiveness!$S$5:$S$155&gt;=2))&gt;0))</f>
        <v>70</v>
      </c>
      <c r="K1256" s="26" t="n">
        <f aca="false">J1256/151</f>
        <v>0.463576158940397</v>
      </c>
      <c r="L1256" s="25" t="n">
        <f aca="false">MIN(INDEX('Move Reality'!$F$5:$F$19,MATCH(B1256,'Move Reality'!$A$5:$A$19,0)),INDEX('Move Reality'!$F$5:$F$19,MATCH(C1256,'Move Reality'!$A$5:$A$19,0)),INDEX('Move Reality'!$F$5:$F$19,MATCH(D1256,'Move Reality'!$A$5:$A$19,0)),INDEX('Move Reality'!$F$5:$F$19,MATCH(E1256,'Move Reality'!$A$5:$A$19,0)))</f>
        <v>1</v>
      </c>
      <c r="M1256" s="28" t="str">
        <f aca="false">IF(L1256&gt;=5,"YES","no - dead move")</f>
        <v>no - dead move</v>
      </c>
    </row>
    <row r="1257" customFormat="false" ht="15" hidden="false" customHeight="false" outlineLevel="0" collapsed="false">
      <c r="A1257" s="17" t="n">
        <v>1253</v>
      </c>
      <c r="B1257" s="17" t="s">
        <v>40</v>
      </c>
      <c r="C1257" s="17" t="s">
        <v>42</v>
      </c>
      <c r="D1257" s="17" t="s">
        <v>47</v>
      </c>
      <c r="E1257" s="17" t="s">
        <v>48</v>
      </c>
      <c r="F1257" s="25" t="n">
        <f aca="false">SUMPRODUCT(--((('Yellow Bosses'!$H$5:$H$53&gt;=2)+('Yellow Bosses'!$J$5:$J$53&gt;=2)+('Yellow Bosses'!$O$5:$O$53&gt;=2)+('Yellow Bosses'!$P$5:$P$53&gt;=2))&gt;0))</f>
        <v>22</v>
      </c>
      <c r="G1257" s="26" t="n">
        <f aca="false">F1257/49</f>
        <v>0.448979591836735</v>
      </c>
      <c r="H1257" s="25" t="n">
        <f aca="false">49-SUMPRODUCT(--((('Yellow Bosses'!$H$5:$H$53&gt;=1)+('Yellow Bosses'!$J$5:$J$53&gt;=1)+('Yellow Bosses'!$O$5:$O$53&gt;=1)+('Yellow Bosses'!$P$5:$P$53&gt;=1))&gt;0))</f>
        <v>0</v>
      </c>
      <c r="I1257" s="25" t="n">
        <f aca="false">SUMPRODUCT(--((('Yellow Bosses'!$H$5:$H$53&gt;0)+('Yellow Bosses'!$J$5:$J$53&gt;0)+('Yellow Bosses'!$O$5:$O$53&gt;0)+('Yellow Bosses'!$P$5:$P$53&gt;0))=0))</f>
        <v>0</v>
      </c>
      <c r="J1257" s="25" t="n">
        <f aca="false">SUMPRODUCT(--(((Effectiveness!$E$5:$E$155&gt;=2)+(Effectiveness!$G$5:$G$155&gt;=2)+(Effectiveness!$L$5:$L$155&gt;=2)+(Effectiveness!$M$5:$M$155&gt;=2))&gt;0))</f>
        <v>64</v>
      </c>
      <c r="K1257" s="26" t="n">
        <f aca="false">J1257/151</f>
        <v>0.423841059602649</v>
      </c>
      <c r="L1257" s="25" t="n">
        <f aca="false">MIN(INDEX('Move Reality'!$F$5:$F$19,MATCH(B1257,'Move Reality'!$A$5:$A$19,0)),INDEX('Move Reality'!$F$5:$F$19,MATCH(C1257,'Move Reality'!$A$5:$A$19,0)),INDEX('Move Reality'!$F$5:$F$19,MATCH(D1257,'Move Reality'!$A$5:$A$19,0)),INDEX('Move Reality'!$F$5:$F$19,MATCH(E1257,'Move Reality'!$A$5:$A$19,0)))</f>
        <v>2</v>
      </c>
      <c r="M1257" s="28" t="str">
        <f aca="false">IF(L1257&gt;=5,"YES","no - dead move")</f>
        <v>no - dead move</v>
      </c>
    </row>
    <row r="1258" customFormat="false" ht="15" hidden="false" customHeight="false" outlineLevel="0" collapsed="false">
      <c r="A1258" s="17" t="n">
        <v>1254</v>
      </c>
      <c r="B1258" s="17" t="s">
        <v>42</v>
      </c>
      <c r="C1258" s="17" t="s">
        <v>47</v>
      </c>
      <c r="D1258" s="17" t="s">
        <v>48</v>
      </c>
      <c r="E1258" s="17" t="s">
        <v>53</v>
      </c>
      <c r="F1258" s="25" t="n">
        <f aca="false">SUMPRODUCT(--((('Yellow Bosses'!$J$5:$J$53&gt;=2)+('Yellow Bosses'!$O$5:$O$53&gt;=2)+('Yellow Bosses'!$P$5:$P$53&gt;=2)+('Yellow Bosses'!$U$5:$U$53&gt;=2))&gt;0))</f>
        <v>22</v>
      </c>
      <c r="G1258" s="26" t="n">
        <f aca="false">F1258/49</f>
        <v>0.448979591836735</v>
      </c>
      <c r="H1258" s="25" t="n">
        <f aca="false">49-SUMPRODUCT(--((('Yellow Bosses'!$J$5:$J$53&gt;=1)+('Yellow Bosses'!$O$5:$O$53&gt;=1)+('Yellow Bosses'!$P$5:$P$53&gt;=1)+('Yellow Bosses'!$U$5:$U$53&gt;=1))&gt;0))</f>
        <v>0</v>
      </c>
      <c r="I1258" s="25" t="n">
        <f aca="false">SUMPRODUCT(--((('Yellow Bosses'!$J$5:$J$53&gt;0)+('Yellow Bosses'!$O$5:$O$53&gt;0)+('Yellow Bosses'!$P$5:$P$53&gt;0)+('Yellow Bosses'!$U$5:$U$53&gt;0))=0))</f>
        <v>0</v>
      </c>
      <c r="J1258" s="25" t="n">
        <f aca="false">SUMPRODUCT(--(((Effectiveness!$G$5:$G$155&gt;=2)+(Effectiveness!$L$5:$L$155&gt;=2)+(Effectiveness!$M$5:$M$155&gt;=2)+(Effectiveness!$R$5:$R$155&gt;=2))&gt;0))</f>
        <v>64</v>
      </c>
      <c r="K1258" s="26" t="n">
        <f aca="false">J1258/151</f>
        <v>0.423841059602649</v>
      </c>
      <c r="L1258" s="25" t="n">
        <f aca="false">MIN(INDEX('Move Reality'!$F$5:$F$19,MATCH(B1258,'Move Reality'!$A$5:$A$19,0)),INDEX('Move Reality'!$F$5:$F$19,MATCH(C1258,'Move Reality'!$A$5:$A$19,0)),INDEX('Move Reality'!$F$5:$F$19,MATCH(D1258,'Move Reality'!$A$5:$A$19,0)),INDEX('Move Reality'!$F$5:$F$19,MATCH(E1258,'Move Reality'!$A$5:$A$19,0)))</f>
        <v>1</v>
      </c>
      <c r="M1258" s="28" t="str">
        <f aca="false">IF(L1258&gt;=5,"YES","no - dead move")</f>
        <v>no - dead move</v>
      </c>
    </row>
    <row r="1259" customFormat="false" ht="15" hidden="false" customHeight="false" outlineLevel="0" collapsed="false">
      <c r="A1259" s="17" t="n">
        <v>1255</v>
      </c>
      <c r="B1259" s="17" t="s">
        <v>40</v>
      </c>
      <c r="C1259" s="17" t="s">
        <v>42</v>
      </c>
      <c r="D1259" s="17" t="s">
        <v>45</v>
      </c>
      <c r="E1259" s="17" t="s">
        <v>47</v>
      </c>
      <c r="F1259" s="25" t="n">
        <f aca="false">SUMPRODUCT(--((('Yellow Bosses'!$H$5:$H$53&gt;=2)+('Yellow Bosses'!$J$5:$J$53&gt;=2)+('Yellow Bosses'!$M$5:$M$53&gt;=2)+('Yellow Bosses'!$O$5:$O$53&gt;=2))&gt;0))</f>
        <v>22</v>
      </c>
      <c r="G1259" s="26" t="n">
        <f aca="false">F1259/49</f>
        <v>0.448979591836735</v>
      </c>
      <c r="H1259" s="25" t="n">
        <f aca="false">49-SUMPRODUCT(--((('Yellow Bosses'!$H$5:$H$53&gt;=1)+('Yellow Bosses'!$J$5:$J$53&gt;=1)+('Yellow Bosses'!$M$5:$M$53&gt;=1)+('Yellow Bosses'!$O$5:$O$53&gt;=1))&gt;0))</f>
        <v>0</v>
      </c>
      <c r="I1259" s="25" t="n">
        <f aca="false">SUMPRODUCT(--((('Yellow Bosses'!$H$5:$H$53&gt;0)+('Yellow Bosses'!$J$5:$J$53&gt;0)+('Yellow Bosses'!$M$5:$M$53&gt;0)+('Yellow Bosses'!$O$5:$O$53&gt;0))=0))</f>
        <v>0</v>
      </c>
      <c r="J1259" s="25" t="n">
        <f aca="false">SUMPRODUCT(--(((Effectiveness!$E$5:$E$155&gt;=2)+(Effectiveness!$G$5:$G$155&gt;=2)+(Effectiveness!$J$5:$J$155&gt;=2)+(Effectiveness!$L$5:$L$155&gt;=2))&gt;0))</f>
        <v>60</v>
      </c>
      <c r="K1259" s="26" t="n">
        <f aca="false">J1259/151</f>
        <v>0.397350993377483</v>
      </c>
      <c r="L1259" s="25" t="n">
        <f aca="false">MIN(INDEX('Move Reality'!$F$5:$F$19,MATCH(B1259,'Move Reality'!$A$5:$A$19,0)),INDEX('Move Reality'!$F$5:$F$19,MATCH(C1259,'Move Reality'!$A$5:$A$19,0)),INDEX('Move Reality'!$F$5:$F$19,MATCH(D1259,'Move Reality'!$A$5:$A$19,0)),INDEX('Move Reality'!$F$5:$F$19,MATCH(E1259,'Move Reality'!$A$5:$A$19,0)))</f>
        <v>2</v>
      </c>
      <c r="M1259" s="28" t="str">
        <f aca="false">IF(L1259&gt;=5,"YES","no - dead move")</f>
        <v>no - dead move</v>
      </c>
    </row>
    <row r="1260" customFormat="false" ht="15" hidden="false" customHeight="false" outlineLevel="0" collapsed="false">
      <c r="A1260" s="17" t="n">
        <v>1256</v>
      </c>
      <c r="B1260" s="17" t="s">
        <v>42</v>
      </c>
      <c r="C1260" s="17" t="s">
        <v>45</v>
      </c>
      <c r="D1260" s="17" t="s">
        <v>47</v>
      </c>
      <c r="E1260" s="17" t="s">
        <v>54</v>
      </c>
      <c r="F1260" s="25" t="n">
        <f aca="false">SUMPRODUCT(--((('Yellow Bosses'!$J$5:$J$53&gt;=2)+('Yellow Bosses'!$M$5:$M$53&gt;=2)+('Yellow Bosses'!$O$5:$O$53&gt;=2)+('Yellow Bosses'!$V$5:$V$53&gt;=2))&gt;0))</f>
        <v>22</v>
      </c>
      <c r="G1260" s="26" t="n">
        <f aca="false">F1260/49</f>
        <v>0.448979591836735</v>
      </c>
      <c r="H1260" s="25" t="n">
        <f aca="false">49-SUMPRODUCT(--((('Yellow Bosses'!$J$5:$J$53&gt;=1)+('Yellow Bosses'!$M$5:$M$53&gt;=1)+('Yellow Bosses'!$O$5:$O$53&gt;=1)+('Yellow Bosses'!$V$5:$V$53&gt;=1))&gt;0))</f>
        <v>0</v>
      </c>
      <c r="I1260" s="25" t="n">
        <f aca="false">SUMPRODUCT(--((('Yellow Bosses'!$J$5:$J$53&gt;0)+('Yellow Bosses'!$M$5:$M$53&gt;0)+('Yellow Bosses'!$O$5:$O$53&gt;0)+('Yellow Bosses'!$V$5:$V$53&gt;0))=0))</f>
        <v>0</v>
      </c>
      <c r="J1260" s="25" t="n">
        <f aca="false">SUMPRODUCT(--(((Effectiveness!$G$5:$G$155&gt;=2)+(Effectiveness!$J$5:$J$155&gt;=2)+(Effectiveness!$L$5:$L$155&gt;=2)+(Effectiveness!$S$5:$S$155&gt;=2))&gt;0))</f>
        <v>60</v>
      </c>
      <c r="K1260" s="26" t="n">
        <f aca="false">J1260/151</f>
        <v>0.397350993377483</v>
      </c>
      <c r="L1260" s="25" t="n">
        <f aca="false">MIN(INDEX('Move Reality'!$F$5:$F$19,MATCH(B1260,'Move Reality'!$A$5:$A$19,0)),INDEX('Move Reality'!$F$5:$F$19,MATCH(C1260,'Move Reality'!$A$5:$A$19,0)),INDEX('Move Reality'!$F$5:$F$19,MATCH(D1260,'Move Reality'!$A$5:$A$19,0)),INDEX('Move Reality'!$F$5:$F$19,MATCH(E1260,'Move Reality'!$A$5:$A$19,0)))</f>
        <v>1</v>
      </c>
      <c r="M1260" s="28" t="str">
        <f aca="false">IF(L1260&gt;=5,"YES","no - dead move")</f>
        <v>no - dead move</v>
      </c>
    </row>
    <row r="1261" customFormat="false" ht="15" hidden="false" customHeight="false" outlineLevel="0" collapsed="false">
      <c r="A1261" s="17" t="n">
        <v>1257</v>
      </c>
      <c r="B1261" s="17" t="s">
        <v>40</v>
      </c>
      <c r="C1261" s="17" t="s">
        <v>47</v>
      </c>
      <c r="D1261" s="17" t="s">
        <v>48</v>
      </c>
      <c r="E1261" s="17" t="s">
        <v>54</v>
      </c>
      <c r="F1261" s="25" t="n">
        <f aca="false">SUMPRODUCT(--((('Yellow Bosses'!$H$5:$H$53&gt;=2)+('Yellow Bosses'!$O$5:$O$53&gt;=2)+('Yellow Bosses'!$P$5:$P$53&gt;=2)+('Yellow Bosses'!$V$5:$V$53&gt;=2))&gt;0))</f>
        <v>22</v>
      </c>
      <c r="G1261" s="26" t="n">
        <f aca="false">F1261/49</f>
        <v>0.448979591836735</v>
      </c>
      <c r="H1261" s="25" t="n">
        <f aca="false">49-SUMPRODUCT(--((('Yellow Bosses'!$H$5:$H$53&gt;=1)+('Yellow Bosses'!$O$5:$O$53&gt;=1)+('Yellow Bosses'!$P$5:$P$53&gt;=1)+('Yellow Bosses'!$V$5:$V$53&gt;=1))&gt;0))</f>
        <v>0</v>
      </c>
      <c r="I1261" s="25" t="n">
        <f aca="false">SUMPRODUCT(--((('Yellow Bosses'!$H$5:$H$53&gt;0)+('Yellow Bosses'!$O$5:$O$53&gt;0)+('Yellow Bosses'!$P$5:$P$53&gt;0)+('Yellow Bosses'!$V$5:$V$53&gt;0))=0))</f>
        <v>0</v>
      </c>
      <c r="J1261" s="25" t="n">
        <f aca="false">SUMPRODUCT(--(((Effectiveness!$E$5:$E$155&gt;=2)+(Effectiveness!$L$5:$L$155&gt;=2)+(Effectiveness!$M$5:$M$155&gt;=2)+(Effectiveness!$S$5:$S$155&gt;=2))&gt;0))</f>
        <v>58</v>
      </c>
      <c r="K1261" s="26" t="n">
        <f aca="false">J1261/151</f>
        <v>0.384105960264901</v>
      </c>
      <c r="L1261" s="25" t="n">
        <f aca="false">MIN(INDEX('Move Reality'!$F$5:$F$19,MATCH(B1261,'Move Reality'!$A$5:$A$19,0)),INDEX('Move Reality'!$F$5:$F$19,MATCH(C1261,'Move Reality'!$A$5:$A$19,0)),INDEX('Move Reality'!$F$5:$F$19,MATCH(D1261,'Move Reality'!$A$5:$A$19,0)),INDEX('Move Reality'!$F$5:$F$19,MATCH(E1261,'Move Reality'!$A$5:$A$19,0)))</f>
        <v>1</v>
      </c>
      <c r="M1261" s="28" t="str">
        <f aca="false">IF(L1261&gt;=5,"YES","no - dead move")</f>
        <v>no - dead move</v>
      </c>
    </row>
    <row r="1262" customFormat="false" ht="15" hidden="false" customHeight="false" outlineLevel="0" collapsed="false">
      <c r="A1262" s="17" t="n">
        <v>1258</v>
      </c>
      <c r="B1262" s="17" t="s">
        <v>47</v>
      </c>
      <c r="C1262" s="17" t="s">
        <v>48</v>
      </c>
      <c r="D1262" s="17" t="s">
        <v>53</v>
      </c>
      <c r="E1262" s="17" t="s">
        <v>54</v>
      </c>
      <c r="F1262" s="25" t="n">
        <f aca="false">SUMPRODUCT(--((('Yellow Bosses'!$O$5:$O$53&gt;=2)+('Yellow Bosses'!$P$5:$P$53&gt;=2)+('Yellow Bosses'!$U$5:$U$53&gt;=2)+('Yellow Bosses'!$V$5:$V$53&gt;=2))&gt;0))</f>
        <v>22</v>
      </c>
      <c r="G1262" s="26" t="n">
        <f aca="false">F1262/49</f>
        <v>0.448979591836735</v>
      </c>
      <c r="H1262" s="25" t="n">
        <f aca="false">49-SUMPRODUCT(--((('Yellow Bosses'!$O$5:$O$53&gt;=1)+('Yellow Bosses'!$P$5:$P$53&gt;=1)+('Yellow Bosses'!$U$5:$U$53&gt;=1)+('Yellow Bosses'!$V$5:$V$53&gt;=1))&gt;0))</f>
        <v>0</v>
      </c>
      <c r="I1262" s="25" t="n">
        <f aca="false">SUMPRODUCT(--((('Yellow Bosses'!$O$5:$O$53&gt;0)+('Yellow Bosses'!$P$5:$P$53&gt;0)+('Yellow Bosses'!$U$5:$U$53&gt;0)+('Yellow Bosses'!$V$5:$V$53&gt;0))=0))</f>
        <v>0</v>
      </c>
      <c r="J1262" s="25" t="n">
        <f aca="false">SUMPRODUCT(--(((Effectiveness!$L$5:$L$155&gt;=2)+(Effectiveness!$M$5:$M$155&gt;=2)+(Effectiveness!$R$5:$R$155&gt;=2)+(Effectiveness!$S$5:$S$155&gt;=2))&gt;0))</f>
        <v>58</v>
      </c>
      <c r="K1262" s="26" t="n">
        <f aca="false">J1262/151</f>
        <v>0.384105960264901</v>
      </c>
      <c r="L1262" s="25" t="n">
        <f aca="false">MIN(INDEX('Move Reality'!$F$5:$F$19,MATCH(B1262,'Move Reality'!$A$5:$A$19,0)),INDEX('Move Reality'!$F$5:$F$19,MATCH(C1262,'Move Reality'!$A$5:$A$19,0)),INDEX('Move Reality'!$F$5:$F$19,MATCH(D1262,'Move Reality'!$A$5:$A$19,0)),INDEX('Move Reality'!$F$5:$F$19,MATCH(E1262,'Move Reality'!$A$5:$A$19,0)))</f>
        <v>1</v>
      </c>
      <c r="M1262" s="28" t="str">
        <f aca="false">IF(L1262&gt;=5,"YES","no - dead move")</f>
        <v>no - dead move</v>
      </c>
    </row>
    <row r="1263" customFormat="false" ht="15" hidden="false" customHeight="false" outlineLevel="0" collapsed="false">
      <c r="A1263" s="17" t="n">
        <v>1259</v>
      </c>
      <c r="B1263" s="17" t="s">
        <v>40</v>
      </c>
      <c r="C1263" s="17" t="s">
        <v>41</v>
      </c>
      <c r="D1263" s="17" t="s">
        <v>52</v>
      </c>
      <c r="E1263" s="17" t="s">
        <v>54</v>
      </c>
      <c r="F1263" s="25" t="n">
        <f aca="false">SUMPRODUCT(--((('Yellow Bosses'!$H$5:$H$53&gt;=2)+('Yellow Bosses'!$I$5:$I$53&gt;=2)+('Yellow Bosses'!$T$5:$T$53&gt;=2)+('Yellow Bosses'!$V$5:$V$53&gt;=2))&gt;0))</f>
        <v>22</v>
      </c>
      <c r="G1263" s="26" t="n">
        <f aca="false">F1263/49</f>
        <v>0.448979591836735</v>
      </c>
      <c r="H1263" s="25" t="n">
        <f aca="false">49-SUMPRODUCT(--((('Yellow Bosses'!$H$5:$H$53&gt;=1)+('Yellow Bosses'!$I$5:$I$53&gt;=1)+('Yellow Bosses'!$T$5:$T$53&gt;=1)+('Yellow Bosses'!$V$5:$V$53&gt;=1))&gt;0))</f>
        <v>0</v>
      </c>
      <c r="I1263" s="25" t="n">
        <f aca="false">SUMPRODUCT(--((('Yellow Bosses'!$H$5:$H$53&gt;0)+('Yellow Bosses'!$I$5:$I$53&gt;0)+('Yellow Bosses'!$T$5:$T$53&gt;0)+('Yellow Bosses'!$V$5:$V$53&gt;0))=0))</f>
        <v>0</v>
      </c>
      <c r="J1263" s="25" t="n">
        <f aca="false">SUMPRODUCT(--(((Effectiveness!$E$5:$E$155&gt;=2)+(Effectiveness!$F$5:$F$155&gt;=2)+(Effectiveness!$Q$5:$Q$155&gt;=2)+(Effectiveness!$S$5:$S$155&gt;=2))&gt;0))</f>
        <v>57</v>
      </c>
      <c r="K1263" s="26" t="n">
        <f aca="false">J1263/151</f>
        <v>0.377483443708609</v>
      </c>
      <c r="L1263" s="25" t="n">
        <f aca="false">MIN(INDEX('Move Reality'!$F$5:$F$19,MATCH(B1263,'Move Reality'!$A$5:$A$19,0)),INDEX('Move Reality'!$F$5:$F$19,MATCH(C1263,'Move Reality'!$A$5:$A$19,0)),INDEX('Move Reality'!$F$5:$F$19,MATCH(D1263,'Move Reality'!$A$5:$A$19,0)),INDEX('Move Reality'!$F$5:$F$19,MATCH(E1263,'Move Reality'!$A$5:$A$19,0)))</f>
        <v>1</v>
      </c>
      <c r="M1263" s="28" t="str">
        <f aca="false">IF(L1263&gt;=5,"YES","no - dead move")</f>
        <v>no - dead move</v>
      </c>
    </row>
    <row r="1264" customFormat="false" ht="15" hidden="false" customHeight="false" outlineLevel="0" collapsed="false">
      <c r="A1264" s="17" t="n">
        <v>1260</v>
      </c>
      <c r="B1264" s="17" t="s">
        <v>40</v>
      </c>
      <c r="C1264" s="17" t="s">
        <v>42</v>
      </c>
      <c r="D1264" s="17" t="s">
        <v>45</v>
      </c>
      <c r="E1264" s="17" t="s">
        <v>54</v>
      </c>
      <c r="F1264" s="25" t="n">
        <f aca="false">SUMPRODUCT(--((('Yellow Bosses'!$H$5:$H$53&gt;=2)+('Yellow Bosses'!$J$5:$J$53&gt;=2)+('Yellow Bosses'!$M$5:$M$53&gt;=2)+('Yellow Bosses'!$V$5:$V$53&gt;=2))&gt;0))</f>
        <v>22</v>
      </c>
      <c r="G1264" s="26" t="n">
        <f aca="false">F1264/49</f>
        <v>0.448979591836735</v>
      </c>
      <c r="H1264" s="25" t="n">
        <f aca="false">49-SUMPRODUCT(--((('Yellow Bosses'!$H$5:$H$53&gt;=1)+('Yellow Bosses'!$J$5:$J$53&gt;=1)+('Yellow Bosses'!$M$5:$M$53&gt;=1)+('Yellow Bosses'!$V$5:$V$53&gt;=1))&gt;0))</f>
        <v>0</v>
      </c>
      <c r="I1264" s="25" t="n">
        <f aca="false">SUMPRODUCT(--((('Yellow Bosses'!$H$5:$H$53&gt;0)+('Yellow Bosses'!$J$5:$J$53&gt;0)+('Yellow Bosses'!$M$5:$M$53&gt;0)+('Yellow Bosses'!$V$5:$V$53&gt;0))=0))</f>
        <v>0</v>
      </c>
      <c r="J1264" s="25" t="n">
        <f aca="false">SUMPRODUCT(--(((Effectiveness!$E$5:$E$155&gt;=2)+(Effectiveness!$G$5:$G$155&gt;=2)+(Effectiveness!$J$5:$J$155&gt;=2)+(Effectiveness!$S$5:$S$155&gt;=2))&gt;0))</f>
        <v>57</v>
      </c>
      <c r="K1264" s="26" t="n">
        <f aca="false">J1264/151</f>
        <v>0.377483443708609</v>
      </c>
      <c r="L1264" s="25" t="n">
        <f aca="false">MIN(INDEX('Move Reality'!$F$5:$F$19,MATCH(B1264,'Move Reality'!$A$5:$A$19,0)),INDEX('Move Reality'!$F$5:$F$19,MATCH(C1264,'Move Reality'!$A$5:$A$19,0)),INDEX('Move Reality'!$F$5:$F$19,MATCH(D1264,'Move Reality'!$A$5:$A$19,0)),INDEX('Move Reality'!$F$5:$F$19,MATCH(E1264,'Move Reality'!$A$5:$A$19,0)))</f>
        <v>1</v>
      </c>
      <c r="M1264" s="28" t="str">
        <f aca="false">IF(L1264&gt;=5,"YES","no - dead move")</f>
        <v>no - dead move</v>
      </c>
    </row>
    <row r="1265" customFormat="false" ht="15" hidden="false" customHeight="false" outlineLevel="0" collapsed="false">
      <c r="A1265" s="17" t="n">
        <v>1261</v>
      </c>
      <c r="B1265" s="17" t="s">
        <v>41</v>
      </c>
      <c r="C1265" s="17" t="s">
        <v>47</v>
      </c>
      <c r="D1265" s="17" t="s">
        <v>52</v>
      </c>
      <c r="E1265" s="17" t="s">
        <v>54</v>
      </c>
      <c r="F1265" s="25" t="n">
        <f aca="false">SUMPRODUCT(--((('Yellow Bosses'!$I$5:$I$53&gt;=2)+('Yellow Bosses'!$O$5:$O$53&gt;=2)+('Yellow Bosses'!$T$5:$T$53&gt;=2)+('Yellow Bosses'!$V$5:$V$53&gt;=2))&gt;0))</f>
        <v>22</v>
      </c>
      <c r="G1265" s="26" t="n">
        <f aca="false">F1265/49</f>
        <v>0.448979591836735</v>
      </c>
      <c r="H1265" s="25" t="n">
        <f aca="false">49-SUMPRODUCT(--((('Yellow Bosses'!$I$5:$I$53&gt;=1)+('Yellow Bosses'!$O$5:$O$53&gt;=1)+('Yellow Bosses'!$T$5:$T$53&gt;=1)+('Yellow Bosses'!$V$5:$V$53&gt;=1))&gt;0))</f>
        <v>0</v>
      </c>
      <c r="I1265" s="25" t="n">
        <f aca="false">SUMPRODUCT(--((('Yellow Bosses'!$I$5:$I$53&gt;0)+('Yellow Bosses'!$O$5:$O$53&gt;0)+('Yellow Bosses'!$T$5:$T$53&gt;0)+('Yellow Bosses'!$V$5:$V$53&gt;0))=0))</f>
        <v>0</v>
      </c>
      <c r="J1265" s="25" t="n">
        <f aca="false">SUMPRODUCT(--(((Effectiveness!$F$5:$F$155&gt;=2)+(Effectiveness!$L$5:$L$155&gt;=2)+(Effectiveness!$Q$5:$Q$155&gt;=2)+(Effectiveness!$S$5:$S$155&gt;=2))&gt;0))</f>
        <v>57</v>
      </c>
      <c r="K1265" s="26" t="n">
        <f aca="false">J1265/151</f>
        <v>0.377483443708609</v>
      </c>
      <c r="L1265" s="25" t="n">
        <f aca="false">MIN(INDEX('Move Reality'!$F$5:$F$19,MATCH(B1265,'Move Reality'!$A$5:$A$19,0)),INDEX('Move Reality'!$F$5:$F$19,MATCH(C1265,'Move Reality'!$A$5:$A$19,0)),INDEX('Move Reality'!$F$5:$F$19,MATCH(D1265,'Move Reality'!$A$5:$A$19,0)),INDEX('Move Reality'!$F$5:$F$19,MATCH(E1265,'Move Reality'!$A$5:$A$19,0)))</f>
        <v>1</v>
      </c>
      <c r="M1265" s="28" t="str">
        <f aca="false">IF(L1265&gt;=5,"YES","no - dead move")</f>
        <v>no - dead move</v>
      </c>
    </row>
    <row r="1266" customFormat="false" ht="15" hidden="false" customHeight="false" outlineLevel="0" collapsed="false">
      <c r="A1266" s="17" t="n">
        <v>1262</v>
      </c>
      <c r="B1266" s="17" t="s">
        <v>44</v>
      </c>
      <c r="C1266" s="17" t="s">
        <v>47</v>
      </c>
      <c r="D1266" s="17" t="s">
        <v>53</v>
      </c>
      <c r="E1266" s="17" t="s">
        <v>54</v>
      </c>
      <c r="F1266" s="25" t="n">
        <f aca="false">SUMPRODUCT(--((('Yellow Bosses'!$L$5:$L$53&gt;=2)+('Yellow Bosses'!$O$5:$O$53&gt;=2)+('Yellow Bosses'!$U$5:$U$53&gt;=2)+('Yellow Bosses'!$V$5:$V$53&gt;=2))&gt;0))</f>
        <v>22</v>
      </c>
      <c r="G1266" s="26" t="n">
        <f aca="false">F1266/49</f>
        <v>0.448979591836735</v>
      </c>
      <c r="H1266" s="25" t="n">
        <f aca="false">49-SUMPRODUCT(--((('Yellow Bosses'!$L$5:$L$53&gt;=1)+('Yellow Bosses'!$O$5:$O$53&gt;=1)+('Yellow Bosses'!$U$5:$U$53&gt;=1)+('Yellow Bosses'!$V$5:$V$53&gt;=1))&gt;0))</f>
        <v>0</v>
      </c>
      <c r="I1266" s="25" t="n">
        <f aca="false">SUMPRODUCT(--((('Yellow Bosses'!$L$5:$L$53&gt;0)+('Yellow Bosses'!$O$5:$O$53&gt;0)+('Yellow Bosses'!$U$5:$U$53&gt;0)+('Yellow Bosses'!$V$5:$V$53&gt;0))=0))</f>
        <v>0</v>
      </c>
      <c r="J1266" s="25" t="n">
        <f aca="false">SUMPRODUCT(--(((Effectiveness!$I$5:$I$155&gt;=2)+(Effectiveness!$L$5:$L$155&gt;=2)+(Effectiveness!$R$5:$R$155&gt;=2)+(Effectiveness!$S$5:$S$155&gt;=2))&gt;0))</f>
        <v>57</v>
      </c>
      <c r="K1266" s="26" t="n">
        <f aca="false">J1266/151</f>
        <v>0.377483443708609</v>
      </c>
      <c r="L1266" s="25" t="n">
        <f aca="false">MIN(INDEX('Move Reality'!$F$5:$F$19,MATCH(B1266,'Move Reality'!$A$5:$A$19,0)),INDEX('Move Reality'!$F$5:$F$19,MATCH(C1266,'Move Reality'!$A$5:$A$19,0)),INDEX('Move Reality'!$F$5:$F$19,MATCH(D1266,'Move Reality'!$A$5:$A$19,0)),INDEX('Move Reality'!$F$5:$F$19,MATCH(E1266,'Move Reality'!$A$5:$A$19,0)))</f>
        <v>1</v>
      </c>
      <c r="M1266" s="28" t="str">
        <f aca="false">IF(L1266&gt;=5,"YES","no - dead move")</f>
        <v>no - dead move</v>
      </c>
    </row>
    <row r="1267" customFormat="false" ht="15" hidden="false" customHeight="false" outlineLevel="0" collapsed="false">
      <c r="A1267" s="17" t="n">
        <v>1263</v>
      </c>
      <c r="B1267" s="17" t="s">
        <v>40</v>
      </c>
      <c r="C1267" s="17" t="s">
        <v>41</v>
      </c>
      <c r="D1267" s="17" t="s">
        <v>50</v>
      </c>
      <c r="E1267" s="17" t="s">
        <v>54</v>
      </c>
      <c r="F1267" s="25" t="n">
        <f aca="false">SUMPRODUCT(--((('Yellow Bosses'!$H$5:$H$53&gt;=2)+('Yellow Bosses'!$I$5:$I$53&gt;=2)+('Yellow Bosses'!$R$5:$R$53&gt;=2)+('Yellow Bosses'!$V$5:$V$53&gt;=2))&gt;0))</f>
        <v>22</v>
      </c>
      <c r="G1267" s="26" t="n">
        <f aca="false">F1267/49</f>
        <v>0.448979591836735</v>
      </c>
      <c r="H1267" s="25" t="n">
        <f aca="false">49-SUMPRODUCT(--((('Yellow Bosses'!$H$5:$H$53&gt;=1)+('Yellow Bosses'!$I$5:$I$53&gt;=1)+('Yellow Bosses'!$R$5:$R$53&gt;=1)+('Yellow Bosses'!$V$5:$V$53&gt;=1))&gt;0))</f>
        <v>0</v>
      </c>
      <c r="I1267" s="25" t="n">
        <f aca="false">SUMPRODUCT(--((('Yellow Bosses'!$H$5:$H$53&gt;0)+('Yellow Bosses'!$I$5:$I$53&gt;0)+('Yellow Bosses'!$R$5:$R$53&gt;0)+('Yellow Bosses'!$V$5:$V$53&gt;0))=0))</f>
        <v>0</v>
      </c>
      <c r="J1267" s="25" t="n">
        <f aca="false">SUMPRODUCT(--(((Effectiveness!$E$5:$E$155&gt;=2)+(Effectiveness!$F$5:$F$155&gt;=2)+(Effectiveness!$O$5:$O$155&gt;=2)+(Effectiveness!$S$5:$S$155&gt;=2))&gt;0))</f>
        <v>56</v>
      </c>
      <c r="K1267" s="26" t="n">
        <f aca="false">J1267/151</f>
        <v>0.370860927152318</v>
      </c>
      <c r="L1267" s="25" t="n">
        <f aca="false">MIN(INDEX('Move Reality'!$F$5:$F$19,MATCH(B1267,'Move Reality'!$A$5:$A$19,0)),INDEX('Move Reality'!$F$5:$F$19,MATCH(C1267,'Move Reality'!$A$5:$A$19,0)),INDEX('Move Reality'!$F$5:$F$19,MATCH(D1267,'Move Reality'!$A$5:$A$19,0)),INDEX('Move Reality'!$F$5:$F$19,MATCH(E1267,'Move Reality'!$A$5:$A$19,0)))</f>
        <v>1</v>
      </c>
      <c r="M1267" s="28" t="str">
        <f aca="false">IF(L1267&gt;=5,"YES","no - dead move")</f>
        <v>no - dead move</v>
      </c>
    </row>
    <row r="1268" customFormat="false" ht="15" hidden="false" customHeight="false" outlineLevel="0" collapsed="false">
      <c r="A1268" s="17" t="n">
        <v>1264</v>
      </c>
      <c r="B1268" s="17" t="s">
        <v>41</v>
      </c>
      <c r="C1268" s="17" t="s">
        <v>47</v>
      </c>
      <c r="D1268" s="17" t="s">
        <v>50</v>
      </c>
      <c r="E1268" s="17" t="s">
        <v>54</v>
      </c>
      <c r="F1268" s="25" t="n">
        <f aca="false">SUMPRODUCT(--((('Yellow Bosses'!$I$5:$I$53&gt;=2)+('Yellow Bosses'!$O$5:$O$53&gt;=2)+('Yellow Bosses'!$R$5:$R$53&gt;=2)+('Yellow Bosses'!$V$5:$V$53&gt;=2))&gt;0))</f>
        <v>22</v>
      </c>
      <c r="G1268" s="26" t="n">
        <f aca="false">F1268/49</f>
        <v>0.448979591836735</v>
      </c>
      <c r="H1268" s="25" t="n">
        <f aca="false">49-SUMPRODUCT(--((('Yellow Bosses'!$I$5:$I$53&gt;=1)+('Yellow Bosses'!$O$5:$O$53&gt;=1)+('Yellow Bosses'!$R$5:$R$53&gt;=1)+('Yellow Bosses'!$V$5:$V$53&gt;=1))&gt;0))</f>
        <v>0</v>
      </c>
      <c r="I1268" s="25" t="n">
        <f aca="false">SUMPRODUCT(--((('Yellow Bosses'!$I$5:$I$53&gt;0)+('Yellow Bosses'!$O$5:$O$53&gt;0)+('Yellow Bosses'!$R$5:$R$53&gt;0)+('Yellow Bosses'!$V$5:$V$53&gt;0))=0))</f>
        <v>0</v>
      </c>
      <c r="J1268" s="25" t="n">
        <f aca="false">SUMPRODUCT(--(((Effectiveness!$F$5:$F$155&gt;=2)+(Effectiveness!$L$5:$L$155&gt;=2)+(Effectiveness!$O$5:$O$155&gt;=2)+(Effectiveness!$S$5:$S$155&gt;=2))&gt;0))</f>
        <v>56</v>
      </c>
      <c r="K1268" s="26" t="n">
        <f aca="false">J1268/151</f>
        <v>0.370860927152318</v>
      </c>
      <c r="L1268" s="25" t="n">
        <f aca="false">MIN(INDEX('Move Reality'!$F$5:$F$19,MATCH(B1268,'Move Reality'!$A$5:$A$19,0)),INDEX('Move Reality'!$F$5:$F$19,MATCH(C1268,'Move Reality'!$A$5:$A$19,0)),INDEX('Move Reality'!$F$5:$F$19,MATCH(D1268,'Move Reality'!$A$5:$A$19,0)),INDEX('Move Reality'!$F$5:$F$19,MATCH(E1268,'Move Reality'!$A$5:$A$19,0)))</f>
        <v>1</v>
      </c>
      <c r="M1268" s="28" t="str">
        <f aca="false">IF(L1268&gt;=5,"YES","no - dead move")</f>
        <v>no - dead move</v>
      </c>
    </row>
    <row r="1269" customFormat="false" ht="15" hidden="false" customHeight="false" outlineLevel="0" collapsed="false">
      <c r="A1269" s="17" t="n">
        <v>1265</v>
      </c>
      <c r="B1269" s="17" t="s">
        <v>41</v>
      </c>
      <c r="C1269" s="17" t="s">
        <v>49</v>
      </c>
      <c r="D1269" s="17" t="s">
        <v>50</v>
      </c>
      <c r="E1269" s="17" t="s">
        <v>54</v>
      </c>
      <c r="F1269" s="25" t="n">
        <f aca="false">SUMPRODUCT(--((('Yellow Bosses'!$I$5:$I$53&gt;=2)+('Yellow Bosses'!$Q$5:$Q$53&gt;=2)+('Yellow Bosses'!$R$5:$R$53&gt;=2)+('Yellow Bosses'!$V$5:$V$53&gt;=2))&gt;0))</f>
        <v>22</v>
      </c>
      <c r="G1269" s="26" t="n">
        <f aca="false">F1269/49</f>
        <v>0.448979591836735</v>
      </c>
      <c r="H1269" s="25" t="n">
        <f aca="false">49-SUMPRODUCT(--((('Yellow Bosses'!$I$5:$I$53&gt;=1)+('Yellow Bosses'!$Q$5:$Q$53&gt;=1)+('Yellow Bosses'!$R$5:$R$53&gt;=1)+('Yellow Bosses'!$V$5:$V$53&gt;=1))&gt;0))</f>
        <v>0</v>
      </c>
      <c r="I1269" s="25" t="n">
        <f aca="false">SUMPRODUCT(--((('Yellow Bosses'!$I$5:$I$53&gt;0)+('Yellow Bosses'!$Q$5:$Q$53&gt;0)+('Yellow Bosses'!$R$5:$R$53&gt;0)+('Yellow Bosses'!$V$5:$V$53&gt;0))=0))</f>
        <v>0</v>
      </c>
      <c r="J1269" s="25" t="n">
        <f aca="false">SUMPRODUCT(--(((Effectiveness!$F$5:$F$155&gt;=2)+(Effectiveness!$N$5:$N$155&gt;=2)+(Effectiveness!$O$5:$O$155&gt;=2)+(Effectiveness!$S$5:$S$155&gt;=2))&gt;0))</f>
        <v>56</v>
      </c>
      <c r="K1269" s="26" t="n">
        <f aca="false">J1269/151</f>
        <v>0.370860927152318</v>
      </c>
      <c r="L1269" s="25" t="n">
        <f aca="false">MIN(INDEX('Move Reality'!$F$5:$F$19,MATCH(B1269,'Move Reality'!$A$5:$A$19,0)),INDEX('Move Reality'!$F$5:$F$19,MATCH(C1269,'Move Reality'!$A$5:$A$19,0)),INDEX('Move Reality'!$F$5:$F$19,MATCH(D1269,'Move Reality'!$A$5:$A$19,0)),INDEX('Move Reality'!$F$5:$F$19,MATCH(E1269,'Move Reality'!$A$5:$A$19,0)))</f>
        <v>1</v>
      </c>
      <c r="M1269" s="28" t="str">
        <f aca="false">IF(L1269&gt;=5,"YES","no - dead move")</f>
        <v>no - dead move</v>
      </c>
    </row>
    <row r="1270" customFormat="false" ht="15" hidden="false" customHeight="false" outlineLevel="0" collapsed="false">
      <c r="A1270" s="17" t="n">
        <v>1266</v>
      </c>
      <c r="B1270" s="17" t="s">
        <v>41</v>
      </c>
      <c r="C1270" s="17" t="s">
        <v>50</v>
      </c>
      <c r="D1270" s="17" t="s">
        <v>53</v>
      </c>
      <c r="E1270" s="17" t="s">
        <v>54</v>
      </c>
      <c r="F1270" s="25" t="n">
        <f aca="false">SUMPRODUCT(--((('Yellow Bosses'!$I$5:$I$53&gt;=2)+('Yellow Bosses'!$R$5:$R$53&gt;=2)+('Yellow Bosses'!$U$5:$U$53&gt;=2)+('Yellow Bosses'!$V$5:$V$53&gt;=2))&gt;0))</f>
        <v>22</v>
      </c>
      <c r="G1270" s="26" t="n">
        <f aca="false">F1270/49</f>
        <v>0.448979591836735</v>
      </c>
      <c r="H1270" s="25" t="n">
        <f aca="false">49-SUMPRODUCT(--((('Yellow Bosses'!$I$5:$I$53&gt;=1)+('Yellow Bosses'!$R$5:$R$53&gt;=1)+('Yellow Bosses'!$U$5:$U$53&gt;=1)+('Yellow Bosses'!$V$5:$V$53&gt;=1))&gt;0))</f>
        <v>0</v>
      </c>
      <c r="I1270" s="25" t="n">
        <f aca="false">SUMPRODUCT(--((('Yellow Bosses'!$I$5:$I$53&gt;0)+('Yellow Bosses'!$R$5:$R$53&gt;0)+('Yellow Bosses'!$U$5:$U$53&gt;0)+('Yellow Bosses'!$V$5:$V$53&gt;0))=0))</f>
        <v>0</v>
      </c>
      <c r="J1270" s="25" t="n">
        <f aca="false">SUMPRODUCT(--(((Effectiveness!$F$5:$F$155&gt;=2)+(Effectiveness!$O$5:$O$155&gt;=2)+(Effectiveness!$R$5:$R$155&gt;=2)+(Effectiveness!$S$5:$S$155&gt;=2))&gt;0))</f>
        <v>56</v>
      </c>
      <c r="K1270" s="26" t="n">
        <f aca="false">J1270/151</f>
        <v>0.370860927152318</v>
      </c>
      <c r="L1270" s="25" t="n">
        <f aca="false">MIN(INDEX('Move Reality'!$F$5:$F$19,MATCH(B1270,'Move Reality'!$A$5:$A$19,0)),INDEX('Move Reality'!$F$5:$F$19,MATCH(C1270,'Move Reality'!$A$5:$A$19,0)),INDEX('Move Reality'!$F$5:$F$19,MATCH(D1270,'Move Reality'!$A$5:$A$19,0)),INDEX('Move Reality'!$F$5:$F$19,MATCH(E1270,'Move Reality'!$A$5:$A$19,0)))</f>
        <v>1</v>
      </c>
      <c r="M1270" s="28" t="str">
        <f aca="false">IF(L1270&gt;=5,"YES","no - dead move")</f>
        <v>no - dead move</v>
      </c>
    </row>
    <row r="1271" customFormat="false" ht="15" hidden="false" customHeight="false" outlineLevel="0" collapsed="false">
      <c r="A1271" s="17" t="n">
        <v>1267</v>
      </c>
      <c r="B1271" s="17" t="s">
        <v>42</v>
      </c>
      <c r="C1271" s="17" t="s">
        <v>47</v>
      </c>
      <c r="D1271" s="17" t="s">
        <v>53</v>
      </c>
      <c r="E1271" s="17" t="s">
        <v>54</v>
      </c>
      <c r="F1271" s="25" t="n">
        <f aca="false">SUMPRODUCT(--((('Yellow Bosses'!$J$5:$J$53&gt;=2)+('Yellow Bosses'!$O$5:$O$53&gt;=2)+('Yellow Bosses'!$U$5:$U$53&gt;=2)+('Yellow Bosses'!$V$5:$V$53&gt;=2))&gt;0))</f>
        <v>22</v>
      </c>
      <c r="G1271" s="26" t="n">
        <f aca="false">F1271/49</f>
        <v>0.448979591836735</v>
      </c>
      <c r="H1271" s="25" t="n">
        <f aca="false">49-SUMPRODUCT(--((('Yellow Bosses'!$J$5:$J$53&gt;=1)+('Yellow Bosses'!$O$5:$O$53&gt;=1)+('Yellow Bosses'!$U$5:$U$53&gt;=1)+('Yellow Bosses'!$V$5:$V$53&gt;=1))&gt;0))</f>
        <v>0</v>
      </c>
      <c r="I1271" s="25" t="n">
        <f aca="false">SUMPRODUCT(--((('Yellow Bosses'!$J$5:$J$53&gt;0)+('Yellow Bosses'!$O$5:$O$53&gt;0)+('Yellow Bosses'!$U$5:$U$53&gt;0)+('Yellow Bosses'!$V$5:$V$53&gt;0))=0))</f>
        <v>0</v>
      </c>
      <c r="J1271" s="25" t="n">
        <f aca="false">SUMPRODUCT(--(((Effectiveness!$G$5:$G$155&gt;=2)+(Effectiveness!$L$5:$L$155&gt;=2)+(Effectiveness!$R$5:$R$155&gt;=2)+(Effectiveness!$S$5:$S$155&gt;=2))&gt;0))</f>
        <v>43</v>
      </c>
      <c r="K1271" s="26" t="n">
        <f aca="false">J1271/151</f>
        <v>0.28476821192053</v>
      </c>
      <c r="L1271" s="25" t="n">
        <f aca="false">MIN(INDEX('Move Reality'!$F$5:$F$19,MATCH(B1271,'Move Reality'!$A$5:$A$19,0)),INDEX('Move Reality'!$F$5:$F$19,MATCH(C1271,'Move Reality'!$A$5:$A$19,0)),INDEX('Move Reality'!$F$5:$F$19,MATCH(D1271,'Move Reality'!$A$5:$A$19,0)),INDEX('Move Reality'!$F$5:$F$19,MATCH(E1271,'Move Reality'!$A$5:$A$19,0)))</f>
        <v>1</v>
      </c>
      <c r="M1271" s="28" t="str">
        <f aca="false">IF(L1271&gt;=5,"YES","no - dead move")</f>
        <v>no - dead move</v>
      </c>
    </row>
    <row r="1272" customFormat="false" ht="15" hidden="false" customHeight="false" outlineLevel="0" collapsed="false">
      <c r="A1272" s="17" t="n">
        <v>1268</v>
      </c>
      <c r="B1272" s="17" t="s">
        <v>43</v>
      </c>
      <c r="C1272" s="17" t="s">
        <v>46</v>
      </c>
      <c r="D1272" s="17" t="s">
        <v>47</v>
      </c>
      <c r="E1272" s="17" t="s">
        <v>53</v>
      </c>
      <c r="F1272" s="25" t="n">
        <f aca="false">SUMPRODUCT(--((('Yellow Bosses'!$K$5:$K$53&gt;=2)+('Yellow Bosses'!$N$5:$N$53&gt;=2)+('Yellow Bosses'!$O$5:$O$53&gt;=2)+('Yellow Bosses'!$U$5:$U$53&gt;=2))&gt;0))</f>
        <v>21</v>
      </c>
      <c r="G1272" s="26" t="n">
        <f aca="false">F1272/49</f>
        <v>0.428571428571429</v>
      </c>
      <c r="H1272" s="25" t="n">
        <f aca="false">49-SUMPRODUCT(--((('Yellow Bosses'!$K$5:$K$53&gt;=1)+('Yellow Bosses'!$N$5:$N$53&gt;=1)+('Yellow Bosses'!$O$5:$O$53&gt;=1)+('Yellow Bosses'!$U$5:$U$53&gt;=1))&gt;0))</f>
        <v>0</v>
      </c>
      <c r="I1272" s="25" t="n">
        <f aca="false">SUMPRODUCT(--((('Yellow Bosses'!$K$5:$K$53&gt;0)+('Yellow Bosses'!$N$5:$N$53&gt;0)+('Yellow Bosses'!$O$5:$O$53&gt;0)+('Yellow Bosses'!$U$5:$U$53&gt;0))=0))</f>
        <v>0</v>
      </c>
      <c r="J1272" s="25" t="n">
        <f aca="false">SUMPRODUCT(--(((Effectiveness!$H$5:$H$155&gt;=2)+(Effectiveness!$K$5:$K$155&gt;=2)+(Effectiveness!$L$5:$L$155&gt;=2)+(Effectiveness!$R$5:$R$155&gt;=2))&gt;0))</f>
        <v>81</v>
      </c>
      <c r="K1272" s="26" t="n">
        <f aca="false">J1272/151</f>
        <v>0.536423841059603</v>
      </c>
      <c r="L1272" s="25" t="n">
        <f aca="false">MIN(INDEX('Move Reality'!$F$5:$F$19,MATCH(B1272,'Move Reality'!$A$5:$A$19,0)),INDEX('Move Reality'!$F$5:$F$19,MATCH(C1272,'Move Reality'!$A$5:$A$19,0)),INDEX('Move Reality'!$F$5:$F$19,MATCH(D1272,'Move Reality'!$A$5:$A$19,0)),INDEX('Move Reality'!$F$5:$F$19,MATCH(E1272,'Move Reality'!$A$5:$A$19,0)))</f>
        <v>1</v>
      </c>
      <c r="M1272" s="28" t="str">
        <f aca="false">IF(L1272&gt;=5,"YES","no - dead move")</f>
        <v>no - dead move</v>
      </c>
    </row>
    <row r="1273" customFormat="false" ht="15" hidden="false" customHeight="false" outlineLevel="0" collapsed="false">
      <c r="A1273" s="17" t="n">
        <v>1269</v>
      </c>
      <c r="B1273" s="17" t="s">
        <v>43</v>
      </c>
      <c r="C1273" s="17" t="s">
        <v>46</v>
      </c>
      <c r="D1273" s="17" t="s">
        <v>47</v>
      </c>
      <c r="E1273" s="17" t="s">
        <v>54</v>
      </c>
      <c r="F1273" s="25" t="n">
        <f aca="false">SUMPRODUCT(--((('Yellow Bosses'!$K$5:$K$53&gt;=2)+('Yellow Bosses'!$N$5:$N$53&gt;=2)+('Yellow Bosses'!$O$5:$O$53&gt;=2)+('Yellow Bosses'!$V$5:$V$53&gt;=2))&gt;0))</f>
        <v>21</v>
      </c>
      <c r="G1273" s="26" t="n">
        <f aca="false">F1273/49</f>
        <v>0.428571428571429</v>
      </c>
      <c r="H1273" s="25" t="n">
        <f aca="false">49-SUMPRODUCT(--((('Yellow Bosses'!$K$5:$K$53&gt;=1)+('Yellow Bosses'!$N$5:$N$53&gt;=1)+('Yellow Bosses'!$O$5:$O$53&gt;=1)+('Yellow Bosses'!$V$5:$V$53&gt;=1))&gt;0))</f>
        <v>0</v>
      </c>
      <c r="I1273" s="25" t="n">
        <f aca="false">SUMPRODUCT(--((('Yellow Bosses'!$K$5:$K$53&gt;0)+('Yellow Bosses'!$N$5:$N$53&gt;0)+('Yellow Bosses'!$O$5:$O$53&gt;0)+('Yellow Bosses'!$V$5:$V$53&gt;0))=0))</f>
        <v>0</v>
      </c>
      <c r="J1273" s="25" t="n">
        <f aca="false">SUMPRODUCT(--(((Effectiveness!$H$5:$H$155&gt;=2)+(Effectiveness!$K$5:$K$155&gt;=2)+(Effectiveness!$L$5:$L$155&gt;=2)+(Effectiveness!$S$5:$S$155&gt;=2))&gt;0))</f>
        <v>81</v>
      </c>
      <c r="K1273" s="26" t="n">
        <f aca="false">J1273/151</f>
        <v>0.536423841059603</v>
      </c>
      <c r="L1273" s="25" t="n">
        <f aca="false">MIN(INDEX('Move Reality'!$F$5:$F$19,MATCH(B1273,'Move Reality'!$A$5:$A$19,0)),INDEX('Move Reality'!$F$5:$F$19,MATCH(C1273,'Move Reality'!$A$5:$A$19,0)),INDEX('Move Reality'!$F$5:$F$19,MATCH(D1273,'Move Reality'!$A$5:$A$19,0)),INDEX('Move Reality'!$F$5:$F$19,MATCH(E1273,'Move Reality'!$A$5:$A$19,0)))</f>
        <v>1</v>
      </c>
      <c r="M1273" s="28" t="str">
        <f aca="false">IF(L1273&gt;=5,"YES","no - dead move")</f>
        <v>no - dead move</v>
      </c>
    </row>
    <row r="1274" customFormat="false" ht="15" hidden="false" customHeight="false" outlineLevel="0" collapsed="false">
      <c r="A1274" s="17" t="n">
        <v>1270</v>
      </c>
      <c r="B1274" s="17" t="s">
        <v>43</v>
      </c>
      <c r="C1274" s="17" t="s">
        <v>44</v>
      </c>
      <c r="D1274" s="17" t="s">
        <v>46</v>
      </c>
      <c r="E1274" s="17" t="s">
        <v>53</v>
      </c>
      <c r="F1274" s="25" t="n">
        <f aca="false">SUMPRODUCT(--((('Yellow Bosses'!$K$5:$K$53&gt;=2)+('Yellow Bosses'!$L$5:$L$53&gt;=2)+('Yellow Bosses'!$N$5:$N$53&gt;=2)+('Yellow Bosses'!$U$5:$U$53&gt;=2))&gt;0))</f>
        <v>21</v>
      </c>
      <c r="G1274" s="26" t="n">
        <f aca="false">F1274/49</f>
        <v>0.428571428571429</v>
      </c>
      <c r="H1274" s="25" t="n">
        <f aca="false">49-SUMPRODUCT(--((('Yellow Bosses'!$K$5:$K$53&gt;=1)+('Yellow Bosses'!$L$5:$L$53&gt;=1)+('Yellow Bosses'!$N$5:$N$53&gt;=1)+('Yellow Bosses'!$U$5:$U$53&gt;=1))&gt;0))</f>
        <v>1</v>
      </c>
      <c r="I1274" s="25" t="n">
        <f aca="false">SUMPRODUCT(--((('Yellow Bosses'!$K$5:$K$53&gt;0)+('Yellow Bosses'!$L$5:$L$53&gt;0)+('Yellow Bosses'!$N$5:$N$53&gt;0)+('Yellow Bosses'!$U$5:$U$53&gt;0))=0))</f>
        <v>0</v>
      </c>
      <c r="J1274" s="25" t="n">
        <f aca="false">SUMPRODUCT(--(((Effectiveness!$H$5:$H$155&gt;=2)+(Effectiveness!$I$5:$I$155&gt;=2)+(Effectiveness!$K$5:$K$155&gt;=2)+(Effectiveness!$R$5:$R$155&gt;=2))&gt;0))</f>
        <v>79</v>
      </c>
      <c r="K1274" s="26" t="n">
        <f aca="false">J1274/151</f>
        <v>0.52317880794702</v>
      </c>
      <c r="L1274" s="25" t="n">
        <f aca="false">MIN(INDEX('Move Reality'!$F$5:$F$19,MATCH(B1274,'Move Reality'!$A$5:$A$19,0)),INDEX('Move Reality'!$F$5:$F$19,MATCH(C1274,'Move Reality'!$A$5:$A$19,0)),INDEX('Move Reality'!$F$5:$F$19,MATCH(D1274,'Move Reality'!$A$5:$A$19,0)),INDEX('Move Reality'!$F$5:$F$19,MATCH(E1274,'Move Reality'!$A$5:$A$19,0)))</f>
        <v>1</v>
      </c>
      <c r="M1274" s="28" t="str">
        <f aca="false">IF(L1274&gt;=5,"YES","no - dead move")</f>
        <v>no - dead move</v>
      </c>
    </row>
    <row r="1275" customFormat="false" ht="15" hidden="false" customHeight="false" outlineLevel="0" collapsed="false">
      <c r="A1275" s="17" t="n">
        <v>1271</v>
      </c>
      <c r="B1275" s="17" t="s">
        <v>43</v>
      </c>
      <c r="C1275" s="17" t="s">
        <v>44</v>
      </c>
      <c r="D1275" s="17" t="s">
        <v>46</v>
      </c>
      <c r="E1275" s="17" t="s">
        <v>54</v>
      </c>
      <c r="F1275" s="25" t="n">
        <f aca="false">SUMPRODUCT(--((('Yellow Bosses'!$K$5:$K$53&gt;=2)+('Yellow Bosses'!$L$5:$L$53&gt;=2)+('Yellow Bosses'!$N$5:$N$53&gt;=2)+('Yellow Bosses'!$V$5:$V$53&gt;=2))&gt;0))</f>
        <v>21</v>
      </c>
      <c r="G1275" s="26" t="n">
        <f aca="false">F1275/49</f>
        <v>0.428571428571429</v>
      </c>
      <c r="H1275" s="25" t="n">
        <f aca="false">49-SUMPRODUCT(--((('Yellow Bosses'!$K$5:$K$53&gt;=1)+('Yellow Bosses'!$L$5:$L$53&gt;=1)+('Yellow Bosses'!$N$5:$N$53&gt;=1)+('Yellow Bosses'!$V$5:$V$53&gt;=1))&gt;0))</f>
        <v>0</v>
      </c>
      <c r="I1275" s="25" t="n">
        <f aca="false">SUMPRODUCT(--((('Yellow Bosses'!$K$5:$K$53&gt;0)+('Yellow Bosses'!$L$5:$L$53&gt;0)+('Yellow Bosses'!$N$5:$N$53&gt;0)+('Yellow Bosses'!$V$5:$V$53&gt;0))=0))</f>
        <v>0</v>
      </c>
      <c r="J1275" s="25" t="n">
        <f aca="false">SUMPRODUCT(--(((Effectiveness!$H$5:$H$155&gt;=2)+(Effectiveness!$I$5:$I$155&gt;=2)+(Effectiveness!$K$5:$K$155&gt;=2)+(Effectiveness!$S$5:$S$155&gt;=2))&gt;0))</f>
        <v>79</v>
      </c>
      <c r="K1275" s="26" t="n">
        <f aca="false">J1275/151</f>
        <v>0.52317880794702</v>
      </c>
      <c r="L1275" s="25" t="n">
        <f aca="false">MIN(INDEX('Move Reality'!$F$5:$F$19,MATCH(B1275,'Move Reality'!$A$5:$A$19,0)),INDEX('Move Reality'!$F$5:$F$19,MATCH(C1275,'Move Reality'!$A$5:$A$19,0)),INDEX('Move Reality'!$F$5:$F$19,MATCH(D1275,'Move Reality'!$A$5:$A$19,0)),INDEX('Move Reality'!$F$5:$F$19,MATCH(E1275,'Move Reality'!$A$5:$A$19,0)))</f>
        <v>1</v>
      </c>
      <c r="M1275" s="28" t="str">
        <f aca="false">IF(L1275&gt;=5,"YES","no - dead move")</f>
        <v>no - dead move</v>
      </c>
    </row>
    <row r="1276" customFormat="false" ht="15" hidden="false" customHeight="false" outlineLevel="0" collapsed="false">
      <c r="A1276" s="17" t="n">
        <v>1272</v>
      </c>
      <c r="B1276" s="17" t="s">
        <v>40</v>
      </c>
      <c r="C1276" s="17" t="s">
        <v>43</v>
      </c>
      <c r="D1276" s="17" t="s">
        <v>47</v>
      </c>
      <c r="E1276" s="17" t="s">
        <v>49</v>
      </c>
      <c r="F1276" s="25" t="n">
        <f aca="false">SUMPRODUCT(--((('Yellow Bosses'!$H$5:$H$53&gt;=2)+('Yellow Bosses'!$K$5:$K$53&gt;=2)+('Yellow Bosses'!$O$5:$O$53&gt;=2)+('Yellow Bosses'!$Q$5:$Q$53&gt;=2))&gt;0))</f>
        <v>21</v>
      </c>
      <c r="G1276" s="26" t="n">
        <f aca="false">F1276/49</f>
        <v>0.428571428571429</v>
      </c>
      <c r="H1276" s="25" t="n">
        <f aca="false">49-SUMPRODUCT(--((('Yellow Bosses'!$H$5:$H$53&gt;=1)+('Yellow Bosses'!$K$5:$K$53&gt;=1)+('Yellow Bosses'!$O$5:$O$53&gt;=1)+('Yellow Bosses'!$Q$5:$Q$53&gt;=1))&gt;0))</f>
        <v>5</v>
      </c>
      <c r="I1276" s="25" t="n">
        <f aca="false">SUMPRODUCT(--((('Yellow Bosses'!$H$5:$H$53&gt;0)+('Yellow Bosses'!$K$5:$K$53&gt;0)+('Yellow Bosses'!$O$5:$O$53&gt;0)+('Yellow Bosses'!$Q$5:$Q$53&gt;0))=0))</f>
        <v>0</v>
      </c>
      <c r="J1276" s="25" t="n">
        <f aca="false">SUMPRODUCT(--(((Effectiveness!$E$5:$E$155&gt;=2)+(Effectiveness!$H$5:$H$155&gt;=2)+(Effectiveness!$L$5:$L$155&gt;=2)+(Effectiveness!$N$5:$N$155&gt;=2))&gt;0))</f>
        <v>77</v>
      </c>
      <c r="K1276" s="26" t="n">
        <f aca="false">J1276/151</f>
        <v>0.509933774834437</v>
      </c>
      <c r="L1276" s="25" t="n">
        <f aca="false">MIN(INDEX('Move Reality'!$F$5:$F$19,MATCH(B1276,'Move Reality'!$A$5:$A$19,0)),INDEX('Move Reality'!$F$5:$F$19,MATCH(C1276,'Move Reality'!$A$5:$A$19,0)),INDEX('Move Reality'!$F$5:$F$19,MATCH(D1276,'Move Reality'!$A$5:$A$19,0)),INDEX('Move Reality'!$F$5:$F$19,MATCH(E1276,'Move Reality'!$A$5:$A$19,0)))</f>
        <v>2</v>
      </c>
      <c r="M1276" s="28" t="str">
        <f aca="false">IF(L1276&gt;=5,"YES","no - dead move")</f>
        <v>no - dead move</v>
      </c>
    </row>
    <row r="1277" customFormat="false" ht="15" hidden="false" customHeight="false" outlineLevel="0" collapsed="false">
      <c r="A1277" s="17" t="n">
        <v>1273</v>
      </c>
      <c r="B1277" s="17" t="s">
        <v>40</v>
      </c>
      <c r="C1277" s="17" t="s">
        <v>46</v>
      </c>
      <c r="D1277" s="17" t="s">
        <v>48</v>
      </c>
      <c r="E1277" s="17" t="s">
        <v>53</v>
      </c>
      <c r="F1277" s="25" t="n">
        <f aca="false">SUMPRODUCT(--((('Yellow Bosses'!$H$5:$H$53&gt;=2)+('Yellow Bosses'!$N$5:$N$53&gt;=2)+('Yellow Bosses'!$P$5:$P$53&gt;=2)+('Yellow Bosses'!$U$5:$U$53&gt;=2))&gt;0))</f>
        <v>21</v>
      </c>
      <c r="G1277" s="26" t="n">
        <f aca="false">F1277/49</f>
        <v>0.428571428571429</v>
      </c>
      <c r="H1277" s="25" t="n">
        <f aca="false">49-SUMPRODUCT(--((('Yellow Bosses'!$H$5:$H$53&gt;=1)+('Yellow Bosses'!$N$5:$N$53&gt;=1)+('Yellow Bosses'!$P$5:$P$53&gt;=1)+('Yellow Bosses'!$U$5:$U$53&gt;=1))&gt;0))</f>
        <v>0</v>
      </c>
      <c r="I1277" s="25" t="n">
        <f aca="false">SUMPRODUCT(--((('Yellow Bosses'!$H$5:$H$53&gt;0)+('Yellow Bosses'!$N$5:$N$53&gt;0)+('Yellow Bosses'!$P$5:$P$53&gt;0)+('Yellow Bosses'!$U$5:$U$53&gt;0))=0))</f>
        <v>0</v>
      </c>
      <c r="J1277" s="25" t="n">
        <f aca="false">SUMPRODUCT(--(((Effectiveness!$E$5:$E$155&gt;=2)+(Effectiveness!$K$5:$K$155&gt;=2)+(Effectiveness!$M$5:$M$155&gt;=2)+(Effectiveness!$R$5:$R$155&gt;=2))&gt;0))</f>
        <v>64</v>
      </c>
      <c r="K1277" s="26" t="n">
        <f aca="false">J1277/151</f>
        <v>0.423841059602649</v>
      </c>
      <c r="L1277" s="25" t="n">
        <f aca="false">MIN(INDEX('Move Reality'!$F$5:$F$19,MATCH(B1277,'Move Reality'!$A$5:$A$19,0)),INDEX('Move Reality'!$F$5:$F$19,MATCH(C1277,'Move Reality'!$A$5:$A$19,0)),INDEX('Move Reality'!$F$5:$F$19,MATCH(D1277,'Move Reality'!$A$5:$A$19,0)),INDEX('Move Reality'!$F$5:$F$19,MATCH(E1277,'Move Reality'!$A$5:$A$19,0)))</f>
        <v>1</v>
      </c>
      <c r="M1277" s="28" t="str">
        <f aca="false">IF(L1277&gt;=5,"YES","no - dead move")</f>
        <v>no - dead move</v>
      </c>
    </row>
    <row r="1278" customFormat="false" ht="15" hidden="false" customHeight="false" outlineLevel="0" collapsed="false">
      <c r="A1278" s="17" t="n">
        <v>1274</v>
      </c>
      <c r="B1278" s="17" t="s">
        <v>40</v>
      </c>
      <c r="C1278" s="17" t="s">
        <v>41</v>
      </c>
      <c r="D1278" s="17" t="s">
        <v>46</v>
      </c>
      <c r="E1278" s="17" t="s">
        <v>49</v>
      </c>
      <c r="F1278" s="25" t="n">
        <f aca="false">SUMPRODUCT(--((('Yellow Bosses'!$H$5:$H$53&gt;=2)+('Yellow Bosses'!$I$5:$I$53&gt;=2)+('Yellow Bosses'!$N$5:$N$53&gt;=2)+('Yellow Bosses'!$Q$5:$Q$53&gt;=2))&gt;0))</f>
        <v>21</v>
      </c>
      <c r="G1278" s="26" t="n">
        <f aca="false">F1278/49</f>
        <v>0.428571428571429</v>
      </c>
      <c r="H1278" s="25" t="n">
        <f aca="false">49-SUMPRODUCT(--((('Yellow Bosses'!$H$5:$H$53&gt;=1)+('Yellow Bosses'!$I$5:$I$53&gt;=1)+('Yellow Bosses'!$N$5:$N$53&gt;=1)+('Yellow Bosses'!$Q$5:$Q$53&gt;=1))&gt;0))</f>
        <v>0</v>
      </c>
      <c r="I1278" s="25" t="n">
        <f aca="false">SUMPRODUCT(--((('Yellow Bosses'!$H$5:$H$53&gt;0)+('Yellow Bosses'!$I$5:$I$53&gt;0)+('Yellow Bosses'!$N$5:$N$53&gt;0)+('Yellow Bosses'!$Q$5:$Q$53&gt;0))=0))</f>
        <v>0</v>
      </c>
      <c r="J1278" s="25" t="n">
        <f aca="false">SUMPRODUCT(--(((Effectiveness!$E$5:$E$155&gt;=2)+(Effectiveness!$F$5:$F$155&gt;=2)+(Effectiveness!$K$5:$K$155&gt;=2)+(Effectiveness!$N$5:$N$155&gt;=2))&gt;0))</f>
        <v>63</v>
      </c>
      <c r="K1278" s="26" t="n">
        <f aca="false">J1278/151</f>
        <v>0.417218543046358</v>
      </c>
      <c r="L1278" s="25" t="n">
        <f aca="false">MIN(INDEX('Move Reality'!$F$5:$F$19,MATCH(B1278,'Move Reality'!$A$5:$A$19,0)),INDEX('Move Reality'!$F$5:$F$19,MATCH(C1278,'Move Reality'!$A$5:$A$19,0)),INDEX('Move Reality'!$F$5:$F$19,MATCH(D1278,'Move Reality'!$A$5:$A$19,0)),INDEX('Move Reality'!$F$5:$F$19,MATCH(E1278,'Move Reality'!$A$5:$A$19,0)))</f>
        <v>5</v>
      </c>
      <c r="M1278" s="28" t="str">
        <f aca="false">IF(L1278&gt;=5,"YES","no - dead move")</f>
        <v>YES</v>
      </c>
    </row>
    <row r="1279" customFormat="false" ht="15" hidden="false" customHeight="false" outlineLevel="0" collapsed="false">
      <c r="A1279" s="17" t="n">
        <v>1275</v>
      </c>
      <c r="B1279" s="17" t="s">
        <v>41</v>
      </c>
      <c r="C1279" s="17" t="s">
        <v>46</v>
      </c>
      <c r="D1279" s="17" t="s">
        <v>47</v>
      </c>
      <c r="E1279" s="17" t="s">
        <v>49</v>
      </c>
      <c r="F1279" s="25" t="n">
        <f aca="false">SUMPRODUCT(--((('Yellow Bosses'!$I$5:$I$53&gt;=2)+('Yellow Bosses'!$N$5:$N$53&gt;=2)+('Yellow Bosses'!$O$5:$O$53&gt;=2)+('Yellow Bosses'!$Q$5:$Q$53&gt;=2))&gt;0))</f>
        <v>21</v>
      </c>
      <c r="G1279" s="26" t="n">
        <f aca="false">F1279/49</f>
        <v>0.428571428571429</v>
      </c>
      <c r="H1279" s="25" t="n">
        <f aca="false">49-SUMPRODUCT(--((('Yellow Bosses'!$I$5:$I$53&gt;=1)+('Yellow Bosses'!$N$5:$N$53&gt;=1)+('Yellow Bosses'!$O$5:$O$53&gt;=1)+('Yellow Bosses'!$Q$5:$Q$53&gt;=1))&gt;0))</f>
        <v>0</v>
      </c>
      <c r="I1279" s="25" t="n">
        <f aca="false">SUMPRODUCT(--((('Yellow Bosses'!$I$5:$I$53&gt;0)+('Yellow Bosses'!$N$5:$N$53&gt;0)+('Yellow Bosses'!$O$5:$O$53&gt;0)+('Yellow Bosses'!$Q$5:$Q$53&gt;0))=0))</f>
        <v>0</v>
      </c>
      <c r="J1279" s="25" t="n">
        <f aca="false">SUMPRODUCT(--(((Effectiveness!$F$5:$F$155&gt;=2)+(Effectiveness!$K$5:$K$155&gt;=2)+(Effectiveness!$L$5:$L$155&gt;=2)+(Effectiveness!$N$5:$N$155&gt;=2))&gt;0))</f>
        <v>63</v>
      </c>
      <c r="K1279" s="26" t="n">
        <f aca="false">J1279/151</f>
        <v>0.417218543046358</v>
      </c>
      <c r="L1279" s="25" t="n">
        <f aca="false">MIN(INDEX('Move Reality'!$F$5:$F$19,MATCH(B1279,'Move Reality'!$A$5:$A$19,0)),INDEX('Move Reality'!$F$5:$F$19,MATCH(C1279,'Move Reality'!$A$5:$A$19,0)),INDEX('Move Reality'!$F$5:$F$19,MATCH(D1279,'Move Reality'!$A$5:$A$19,0)),INDEX('Move Reality'!$F$5:$F$19,MATCH(E1279,'Move Reality'!$A$5:$A$19,0)))</f>
        <v>2</v>
      </c>
      <c r="M1279" s="28" t="str">
        <f aca="false">IF(L1279&gt;=5,"YES","no - dead move")</f>
        <v>no - dead move</v>
      </c>
    </row>
    <row r="1280" customFormat="false" ht="15" hidden="false" customHeight="false" outlineLevel="0" collapsed="false">
      <c r="A1280" s="17" t="n">
        <v>1276</v>
      </c>
      <c r="B1280" s="17" t="s">
        <v>44</v>
      </c>
      <c r="C1280" s="17" t="s">
        <v>46</v>
      </c>
      <c r="D1280" s="17" t="s">
        <v>53</v>
      </c>
      <c r="E1280" s="17" t="s">
        <v>54</v>
      </c>
      <c r="F1280" s="25" t="n">
        <f aca="false">SUMPRODUCT(--((('Yellow Bosses'!$L$5:$L$53&gt;=2)+('Yellow Bosses'!$N$5:$N$53&gt;=2)+('Yellow Bosses'!$U$5:$U$53&gt;=2)+('Yellow Bosses'!$V$5:$V$53&gt;=2))&gt;0))</f>
        <v>21</v>
      </c>
      <c r="G1280" s="26" t="n">
        <f aca="false">F1280/49</f>
        <v>0.428571428571429</v>
      </c>
      <c r="H1280" s="25" t="n">
        <f aca="false">49-SUMPRODUCT(--((('Yellow Bosses'!$L$5:$L$53&gt;=1)+('Yellow Bosses'!$N$5:$N$53&gt;=1)+('Yellow Bosses'!$U$5:$U$53&gt;=1)+('Yellow Bosses'!$V$5:$V$53&gt;=1))&gt;0))</f>
        <v>0</v>
      </c>
      <c r="I1280" s="25" t="n">
        <f aca="false">SUMPRODUCT(--((('Yellow Bosses'!$L$5:$L$53&gt;0)+('Yellow Bosses'!$N$5:$N$53&gt;0)+('Yellow Bosses'!$U$5:$U$53&gt;0)+('Yellow Bosses'!$V$5:$V$53&gt;0))=0))</f>
        <v>0</v>
      </c>
      <c r="J1280" s="25" t="n">
        <f aca="false">SUMPRODUCT(--(((Effectiveness!$I$5:$I$155&gt;=2)+(Effectiveness!$K$5:$K$155&gt;=2)+(Effectiveness!$R$5:$R$155&gt;=2)+(Effectiveness!$S$5:$S$155&gt;=2))&gt;0))</f>
        <v>63</v>
      </c>
      <c r="K1280" s="26" t="n">
        <f aca="false">J1280/151</f>
        <v>0.417218543046358</v>
      </c>
      <c r="L1280" s="25" t="n">
        <f aca="false">MIN(INDEX('Move Reality'!$F$5:$F$19,MATCH(B1280,'Move Reality'!$A$5:$A$19,0)),INDEX('Move Reality'!$F$5:$F$19,MATCH(C1280,'Move Reality'!$A$5:$A$19,0)),INDEX('Move Reality'!$F$5:$F$19,MATCH(D1280,'Move Reality'!$A$5:$A$19,0)),INDEX('Move Reality'!$F$5:$F$19,MATCH(E1280,'Move Reality'!$A$5:$A$19,0)))</f>
        <v>1</v>
      </c>
      <c r="M1280" s="28" t="str">
        <f aca="false">IF(L1280&gt;=5,"YES","no - dead move")</f>
        <v>no - dead move</v>
      </c>
    </row>
    <row r="1281" customFormat="false" ht="15" hidden="false" customHeight="false" outlineLevel="0" collapsed="false">
      <c r="A1281" s="17" t="n">
        <v>1277</v>
      </c>
      <c r="B1281" s="17" t="s">
        <v>40</v>
      </c>
      <c r="C1281" s="17" t="s">
        <v>41</v>
      </c>
      <c r="D1281" s="17" t="s">
        <v>49</v>
      </c>
      <c r="E1281" s="17" t="s">
        <v>51</v>
      </c>
      <c r="F1281" s="25" t="n">
        <f aca="false">SUMPRODUCT(--((('Yellow Bosses'!$H$5:$H$53&gt;=2)+('Yellow Bosses'!$I$5:$I$53&gt;=2)+('Yellow Bosses'!$Q$5:$Q$53&gt;=2)+('Yellow Bosses'!$S$5:$S$53&gt;=2))&gt;0))</f>
        <v>21</v>
      </c>
      <c r="G1281" s="26" t="n">
        <f aca="false">F1281/49</f>
        <v>0.428571428571429</v>
      </c>
      <c r="H1281" s="25" t="n">
        <f aca="false">49-SUMPRODUCT(--((('Yellow Bosses'!$H$5:$H$53&gt;=1)+('Yellow Bosses'!$I$5:$I$53&gt;=1)+('Yellow Bosses'!$Q$5:$Q$53&gt;=1)+('Yellow Bosses'!$S$5:$S$53&gt;=1))&gt;0))</f>
        <v>1</v>
      </c>
      <c r="I1281" s="25" t="n">
        <f aca="false">SUMPRODUCT(--((('Yellow Bosses'!$H$5:$H$53&gt;0)+('Yellow Bosses'!$I$5:$I$53&gt;0)+('Yellow Bosses'!$Q$5:$Q$53&gt;0)+('Yellow Bosses'!$S$5:$S$53&gt;0))=0))</f>
        <v>0</v>
      </c>
      <c r="J1281" s="25" t="n">
        <f aca="false">SUMPRODUCT(--(((Effectiveness!$E$5:$E$155&gt;=2)+(Effectiveness!$F$5:$F$155&gt;=2)+(Effectiveness!$N$5:$N$155&gt;=2)+(Effectiveness!$P$5:$P$155&gt;=2))&gt;0))</f>
        <v>59</v>
      </c>
      <c r="K1281" s="26" t="n">
        <f aca="false">J1281/151</f>
        <v>0.390728476821192</v>
      </c>
      <c r="L1281" s="25" t="n">
        <f aca="false">MIN(INDEX('Move Reality'!$F$5:$F$19,MATCH(B1281,'Move Reality'!$A$5:$A$19,0)),INDEX('Move Reality'!$F$5:$F$19,MATCH(C1281,'Move Reality'!$A$5:$A$19,0)),INDEX('Move Reality'!$F$5:$F$19,MATCH(D1281,'Move Reality'!$A$5:$A$19,0)),INDEX('Move Reality'!$F$5:$F$19,MATCH(E1281,'Move Reality'!$A$5:$A$19,0)))</f>
        <v>1</v>
      </c>
      <c r="M1281" s="28" t="str">
        <f aca="false">IF(L1281&gt;=5,"YES","no - dead move")</f>
        <v>no - dead move</v>
      </c>
    </row>
    <row r="1282" customFormat="false" ht="15" hidden="false" customHeight="false" outlineLevel="0" collapsed="false">
      <c r="A1282" s="17" t="n">
        <v>1278</v>
      </c>
      <c r="B1282" s="17" t="s">
        <v>41</v>
      </c>
      <c r="C1282" s="17" t="s">
        <v>47</v>
      </c>
      <c r="D1282" s="17" t="s">
        <v>49</v>
      </c>
      <c r="E1282" s="17" t="s">
        <v>51</v>
      </c>
      <c r="F1282" s="25" t="n">
        <f aca="false">SUMPRODUCT(--((('Yellow Bosses'!$I$5:$I$53&gt;=2)+('Yellow Bosses'!$O$5:$O$53&gt;=2)+('Yellow Bosses'!$Q$5:$Q$53&gt;=2)+('Yellow Bosses'!$S$5:$S$53&gt;=2))&gt;0))</f>
        <v>21</v>
      </c>
      <c r="G1282" s="26" t="n">
        <f aca="false">F1282/49</f>
        <v>0.428571428571429</v>
      </c>
      <c r="H1282" s="25" t="n">
        <f aca="false">49-SUMPRODUCT(--((('Yellow Bosses'!$I$5:$I$53&gt;=1)+('Yellow Bosses'!$O$5:$O$53&gt;=1)+('Yellow Bosses'!$Q$5:$Q$53&gt;=1)+('Yellow Bosses'!$S$5:$S$53&gt;=1))&gt;0))</f>
        <v>1</v>
      </c>
      <c r="I1282" s="25" t="n">
        <f aca="false">SUMPRODUCT(--((('Yellow Bosses'!$I$5:$I$53&gt;0)+('Yellow Bosses'!$O$5:$O$53&gt;0)+('Yellow Bosses'!$Q$5:$Q$53&gt;0)+('Yellow Bosses'!$S$5:$S$53&gt;0))=0))</f>
        <v>0</v>
      </c>
      <c r="J1282" s="25" t="n">
        <f aca="false">SUMPRODUCT(--(((Effectiveness!$F$5:$F$155&gt;=2)+(Effectiveness!$L$5:$L$155&gt;=2)+(Effectiveness!$N$5:$N$155&gt;=2)+(Effectiveness!$P$5:$P$155&gt;=2))&gt;0))</f>
        <v>59</v>
      </c>
      <c r="K1282" s="26" t="n">
        <f aca="false">J1282/151</f>
        <v>0.390728476821192</v>
      </c>
      <c r="L1282" s="25" t="n">
        <f aca="false">MIN(INDEX('Move Reality'!$F$5:$F$19,MATCH(B1282,'Move Reality'!$A$5:$A$19,0)),INDEX('Move Reality'!$F$5:$F$19,MATCH(C1282,'Move Reality'!$A$5:$A$19,0)),INDEX('Move Reality'!$F$5:$F$19,MATCH(D1282,'Move Reality'!$A$5:$A$19,0)),INDEX('Move Reality'!$F$5:$F$19,MATCH(E1282,'Move Reality'!$A$5:$A$19,0)))</f>
        <v>1</v>
      </c>
      <c r="M1282" s="28" t="str">
        <f aca="false">IF(L1282&gt;=5,"YES","no - dead move")</f>
        <v>no - dead move</v>
      </c>
    </row>
    <row r="1283" customFormat="false" ht="15" hidden="false" customHeight="false" outlineLevel="0" collapsed="false">
      <c r="A1283" s="17" t="n">
        <v>1279</v>
      </c>
      <c r="B1283" s="17" t="s">
        <v>40</v>
      </c>
      <c r="C1283" s="17" t="s">
        <v>41</v>
      </c>
      <c r="D1283" s="17" t="s">
        <v>46</v>
      </c>
      <c r="E1283" s="17" t="s">
        <v>53</v>
      </c>
      <c r="F1283" s="25" t="n">
        <f aca="false">SUMPRODUCT(--((('Yellow Bosses'!$H$5:$H$53&gt;=2)+('Yellow Bosses'!$I$5:$I$53&gt;=2)+('Yellow Bosses'!$N$5:$N$53&gt;=2)+('Yellow Bosses'!$U$5:$U$53&gt;=2))&gt;0))</f>
        <v>21</v>
      </c>
      <c r="G1283" s="26" t="n">
        <f aca="false">F1283/49</f>
        <v>0.428571428571429</v>
      </c>
      <c r="H1283" s="25" t="n">
        <f aca="false">49-SUMPRODUCT(--((('Yellow Bosses'!$H$5:$H$53&gt;=1)+('Yellow Bosses'!$I$5:$I$53&gt;=1)+('Yellow Bosses'!$N$5:$N$53&gt;=1)+('Yellow Bosses'!$U$5:$U$53&gt;=1))&gt;0))</f>
        <v>0</v>
      </c>
      <c r="I1283" s="25" t="n">
        <f aca="false">SUMPRODUCT(--((('Yellow Bosses'!$H$5:$H$53&gt;0)+('Yellow Bosses'!$I$5:$I$53&gt;0)+('Yellow Bosses'!$N$5:$N$53&gt;0)+('Yellow Bosses'!$U$5:$U$53&gt;0))=0))</f>
        <v>0</v>
      </c>
      <c r="J1283" s="25" t="n">
        <f aca="false">SUMPRODUCT(--(((Effectiveness!$E$5:$E$155&gt;=2)+(Effectiveness!$F$5:$F$155&gt;=2)+(Effectiveness!$K$5:$K$155&gt;=2)+(Effectiveness!$R$5:$R$155&gt;=2))&gt;0))</f>
        <v>58</v>
      </c>
      <c r="K1283" s="26" t="n">
        <f aca="false">J1283/151</f>
        <v>0.384105960264901</v>
      </c>
      <c r="L1283" s="25" t="n">
        <f aca="false">MIN(INDEX('Move Reality'!$F$5:$F$19,MATCH(B1283,'Move Reality'!$A$5:$A$19,0)),INDEX('Move Reality'!$F$5:$F$19,MATCH(C1283,'Move Reality'!$A$5:$A$19,0)),INDEX('Move Reality'!$F$5:$F$19,MATCH(D1283,'Move Reality'!$A$5:$A$19,0)),INDEX('Move Reality'!$F$5:$F$19,MATCH(E1283,'Move Reality'!$A$5:$A$19,0)))</f>
        <v>1</v>
      </c>
      <c r="M1283" s="28" t="str">
        <f aca="false">IF(L1283&gt;=5,"YES","no - dead move")</f>
        <v>no - dead move</v>
      </c>
    </row>
    <row r="1284" customFormat="false" ht="15" hidden="false" customHeight="false" outlineLevel="0" collapsed="false">
      <c r="A1284" s="17" t="n">
        <v>1280</v>
      </c>
      <c r="B1284" s="17" t="s">
        <v>40</v>
      </c>
      <c r="C1284" s="17" t="s">
        <v>41</v>
      </c>
      <c r="D1284" s="17" t="s">
        <v>46</v>
      </c>
      <c r="E1284" s="17" t="s">
        <v>54</v>
      </c>
      <c r="F1284" s="25" t="n">
        <f aca="false">SUMPRODUCT(--((('Yellow Bosses'!$H$5:$H$53&gt;=2)+('Yellow Bosses'!$I$5:$I$53&gt;=2)+('Yellow Bosses'!$N$5:$N$53&gt;=2)+('Yellow Bosses'!$V$5:$V$53&gt;=2))&gt;0))</f>
        <v>21</v>
      </c>
      <c r="G1284" s="26" t="n">
        <f aca="false">F1284/49</f>
        <v>0.428571428571429</v>
      </c>
      <c r="H1284" s="25" t="n">
        <f aca="false">49-SUMPRODUCT(--((('Yellow Bosses'!$H$5:$H$53&gt;=1)+('Yellow Bosses'!$I$5:$I$53&gt;=1)+('Yellow Bosses'!$N$5:$N$53&gt;=1)+('Yellow Bosses'!$V$5:$V$53&gt;=1))&gt;0))</f>
        <v>0</v>
      </c>
      <c r="I1284" s="25" t="n">
        <f aca="false">SUMPRODUCT(--((('Yellow Bosses'!$H$5:$H$53&gt;0)+('Yellow Bosses'!$I$5:$I$53&gt;0)+('Yellow Bosses'!$N$5:$N$53&gt;0)+('Yellow Bosses'!$V$5:$V$53&gt;0))=0))</f>
        <v>0</v>
      </c>
      <c r="J1284" s="25" t="n">
        <f aca="false">SUMPRODUCT(--(((Effectiveness!$E$5:$E$155&gt;=2)+(Effectiveness!$F$5:$F$155&gt;=2)+(Effectiveness!$K$5:$K$155&gt;=2)+(Effectiveness!$S$5:$S$155&gt;=2))&gt;0))</f>
        <v>58</v>
      </c>
      <c r="K1284" s="26" t="n">
        <f aca="false">J1284/151</f>
        <v>0.384105960264901</v>
      </c>
      <c r="L1284" s="25" t="n">
        <f aca="false">MIN(INDEX('Move Reality'!$F$5:$F$19,MATCH(B1284,'Move Reality'!$A$5:$A$19,0)),INDEX('Move Reality'!$F$5:$F$19,MATCH(C1284,'Move Reality'!$A$5:$A$19,0)),INDEX('Move Reality'!$F$5:$F$19,MATCH(D1284,'Move Reality'!$A$5:$A$19,0)),INDEX('Move Reality'!$F$5:$F$19,MATCH(E1284,'Move Reality'!$A$5:$A$19,0)))</f>
        <v>1</v>
      </c>
      <c r="M1284" s="28" t="str">
        <f aca="false">IF(L1284&gt;=5,"YES","no - dead move")</f>
        <v>no - dead move</v>
      </c>
    </row>
    <row r="1285" customFormat="false" ht="15" hidden="false" customHeight="false" outlineLevel="0" collapsed="false">
      <c r="A1285" s="17" t="n">
        <v>1281</v>
      </c>
      <c r="B1285" s="17" t="s">
        <v>40</v>
      </c>
      <c r="C1285" s="17" t="s">
        <v>47</v>
      </c>
      <c r="D1285" s="17" t="s">
        <v>49</v>
      </c>
      <c r="E1285" s="17" t="s">
        <v>51</v>
      </c>
      <c r="F1285" s="25" t="n">
        <f aca="false">SUMPRODUCT(--((('Yellow Bosses'!$H$5:$H$53&gt;=2)+('Yellow Bosses'!$O$5:$O$53&gt;=2)+('Yellow Bosses'!$Q$5:$Q$53&gt;=2)+('Yellow Bosses'!$S$5:$S$53&gt;=2))&gt;0))</f>
        <v>21</v>
      </c>
      <c r="G1285" s="26" t="n">
        <f aca="false">F1285/49</f>
        <v>0.428571428571429</v>
      </c>
      <c r="H1285" s="25" t="n">
        <f aca="false">49-SUMPRODUCT(--((('Yellow Bosses'!$H$5:$H$53&gt;=1)+('Yellow Bosses'!$O$5:$O$53&gt;=1)+('Yellow Bosses'!$Q$5:$Q$53&gt;=1)+('Yellow Bosses'!$S$5:$S$53&gt;=1))&gt;0))</f>
        <v>1</v>
      </c>
      <c r="I1285" s="25" t="n">
        <f aca="false">SUMPRODUCT(--((('Yellow Bosses'!$H$5:$H$53&gt;0)+('Yellow Bosses'!$O$5:$O$53&gt;0)+('Yellow Bosses'!$Q$5:$Q$53&gt;0)+('Yellow Bosses'!$S$5:$S$53&gt;0))=0))</f>
        <v>0</v>
      </c>
      <c r="J1285" s="25" t="n">
        <f aca="false">SUMPRODUCT(--(((Effectiveness!$E$5:$E$155&gt;=2)+(Effectiveness!$L$5:$L$155&gt;=2)+(Effectiveness!$N$5:$N$155&gt;=2)+(Effectiveness!$P$5:$P$155&gt;=2))&gt;0))</f>
        <v>58</v>
      </c>
      <c r="K1285" s="26" t="n">
        <f aca="false">J1285/151</f>
        <v>0.384105960264901</v>
      </c>
      <c r="L1285" s="25" t="n">
        <f aca="false">MIN(INDEX('Move Reality'!$F$5:$F$19,MATCH(B1285,'Move Reality'!$A$5:$A$19,0)),INDEX('Move Reality'!$F$5:$F$19,MATCH(C1285,'Move Reality'!$A$5:$A$19,0)),INDEX('Move Reality'!$F$5:$F$19,MATCH(D1285,'Move Reality'!$A$5:$A$19,0)),INDEX('Move Reality'!$F$5:$F$19,MATCH(E1285,'Move Reality'!$A$5:$A$19,0)))</f>
        <v>1</v>
      </c>
      <c r="M1285" s="28" t="str">
        <f aca="false">IF(L1285&gt;=5,"YES","no - dead move")</f>
        <v>no - dead move</v>
      </c>
    </row>
    <row r="1286" customFormat="false" ht="15" hidden="false" customHeight="false" outlineLevel="0" collapsed="false">
      <c r="A1286" s="17" t="n">
        <v>1282</v>
      </c>
      <c r="B1286" s="17" t="s">
        <v>41</v>
      </c>
      <c r="C1286" s="17" t="s">
        <v>46</v>
      </c>
      <c r="D1286" s="17" t="s">
        <v>47</v>
      </c>
      <c r="E1286" s="17" t="s">
        <v>53</v>
      </c>
      <c r="F1286" s="25" t="n">
        <f aca="false">SUMPRODUCT(--((('Yellow Bosses'!$I$5:$I$53&gt;=2)+('Yellow Bosses'!$N$5:$N$53&gt;=2)+('Yellow Bosses'!$O$5:$O$53&gt;=2)+('Yellow Bosses'!$U$5:$U$53&gt;=2))&gt;0))</f>
        <v>21</v>
      </c>
      <c r="G1286" s="26" t="n">
        <f aca="false">F1286/49</f>
        <v>0.428571428571429</v>
      </c>
      <c r="H1286" s="25" t="n">
        <f aca="false">49-SUMPRODUCT(--((('Yellow Bosses'!$I$5:$I$53&gt;=1)+('Yellow Bosses'!$N$5:$N$53&gt;=1)+('Yellow Bosses'!$O$5:$O$53&gt;=1)+('Yellow Bosses'!$U$5:$U$53&gt;=1))&gt;0))</f>
        <v>0</v>
      </c>
      <c r="I1286" s="25" t="n">
        <f aca="false">SUMPRODUCT(--((('Yellow Bosses'!$I$5:$I$53&gt;0)+('Yellow Bosses'!$N$5:$N$53&gt;0)+('Yellow Bosses'!$O$5:$O$53&gt;0)+('Yellow Bosses'!$U$5:$U$53&gt;0))=0))</f>
        <v>0</v>
      </c>
      <c r="J1286" s="25" t="n">
        <f aca="false">SUMPRODUCT(--(((Effectiveness!$F$5:$F$155&gt;=2)+(Effectiveness!$K$5:$K$155&gt;=2)+(Effectiveness!$L$5:$L$155&gt;=2)+(Effectiveness!$R$5:$R$155&gt;=2))&gt;0))</f>
        <v>58</v>
      </c>
      <c r="K1286" s="26" t="n">
        <f aca="false">J1286/151</f>
        <v>0.384105960264901</v>
      </c>
      <c r="L1286" s="25" t="n">
        <f aca="false">MIN(INDEX('Move Reality'!$F$5:$F$19,MATCH(B1286,'Move Reality'!$A$5:$A$19,0)),INDEX('Move Reality'!$F$5:$F$19,MATCH(C1286,'Move Reality'!$A$5:$A$19,0)),INDEX('Move Reality'!$F$5:$F$19,MATCH(D1286,'Move Reality'!$A$5:$A$19,0)),INDEX('Move Reality'!$F$5:$F$19,MATCH(E1286,'Move Reality'!$A$5:$A$19,0)))</f>
        <v>1</v>
      </c>
      <c r="M1286" s="28" t="str">
        <f aca="false">IF(L1286&gt;=5,"YES","no - dead move")</f>
        <v>no - dead move</v>
      </c>
    </row>
    <row r="1287" customFormat="false" ht="15" hidden="false" customHeight="false" outlineLevel="0" collapsed="false">
      <c r="A1287" s="17" t="n">
        <v>1283</v>
      </c>
      <c r="B1287" s="17" t="s">
        <v>41</v>
      </c>
      <c r="C1287" s="17" t="s">
        <v>46</v>
      </c>
      <c r="D1287" s="17" t="s">
        <v>47</v>
      </c>
      <c r="E1287" s="17" t="s">
        <v>54</v>
      </c>
      <c r="F1287" s="25" t="n">
        <f aca="false">SUMPRODUCT(--((('Yellow Bosses'!$I$5:$I$53&gt;=2)+('Yellow Bosses'!$N$5:$N$53&gt;=2)+('Yellow Bosses'!$O$5:$O$53&gt;=2)+('Yellow Bosses'!$V$5:$V$53&gt;=2))&gt;0))</f>
        <v>21</v>
      </c>
      <c r="G1287" s="26" t="n">
        <f aca="false">F1287/49</f>
        <v>0.428571428571429</v>
      </c>
      <c r="H1287" s="25" t="n">
        <f aca="false">49-SUMPRODUCT(--((('Yellow Bosses'!$I$5:$I$53&gt;=1)+('Yellow Bosses'!$N$5:$N$53&gt;=1)+('Yellow Bosses'!$O$5:$O$53&gt;=1)+('Yellow Bosses'!$V$5:$V$53&gt;=1))&gt;0))</f>
        <v>0</v>
      </c>
      <c r="I1287" s="25" t="n">
        <f aca="false">SUMPRODUCT(--((('Yellow Bosses'!$I$5:$I$53&gt;0)+('Yellow Bosses'!$N$5:$N$53&gt;0)+('Yellow Bosses'!$O$5:$O$53&gt;0)+('Yellow Bosses'!$V$5:$V$53&gt;0))=0))</f>
        <v>0</v>
      </c>
      <c r="J1287" s="25" t="n">
        <f aca="false">SUMPRODUCT(--(((Effectiveness!$F$5:$F$155&gt;=2)+(Effectiveness!$K$5:$K$155&gt;=2)+(Effectiveness!$L$5:$L$155&gt;=2)+(Effectiveness!$S$5:$S$155&gt;=2))&gt;0))</f>
        <v>58</v>
      </c>
      <c r="K1287" s="26" t="n">
        <f aca="false">J1287/151</f>
        <v>0.384105960264901</v>
      </c>
      <c r="L1287" s="25" t="n">
        <f aca="false">MIN(INDEX('Move Reality'!$F$5:$F$19,MATCH(B1287,'Move Reality'!$A$5:$A$19,0)),INDEX('Move Reality'!$F$5:$F$19,MATCH(C1287,'Move Reality'!$A$5:$A$19,0)),INDEX('Move Reality'!$F$5:$F$19,MATCH(D1287,'Move Reality'!$A$5:$A$19,0)),INDEX('Move Reality'!$F$5:$F$19,MATCH(E1287,'Move Reality'!$A$5:$A$19,0)))</f>
        <v>1</v>
      </c>
      <c r="M1287" s="28" t="str">
        <f aca="false">IF(L1287&gt;=5,"YES","no - dead move")</f>
        <v>no - dead move</v>
      </c>
    </row>
    <row r="1288" customFormat="false" ht="15" hidden="false" customHeight="false" outlineLevel="0" collapsed="false">
      <c r="A1288" s="17" t="n">
        <v>1284</v>
      </c>
      <c r="B1288" s="17" t="s">
        <v>40</v>
      </c>
      <c r="C1288" s="17" t="s">
        <v>41</v>
      </c>
      <c r="D1288" s="17" t="s">
        <v>51</v>
      </c>
      <c r="E1288" s="17" t="s">
        <v>53</v>
      </c>
      <c r="F1288" s="25" t="n">
        <f aca="false">SUMPRODUCT(--((('Yellow Bosses'!$H$5:$H$53&gt;=2)+('Yellow Bosses'!$I$5:$I$53&gt;=2)+('Yellow Bosses'!$S$5:$S$53&gt;=2)+('Yellow Bosses'!$U$5:$U$53&gt;=2))&gt;0))</f>
        <v>21</v>
      </c>
      <c r="G1288" s="26" t="n">
        <f aca="false">F1288/49</f>
        <v>0.428571428571429</v>
      </c>
      <c r="H1288" s="25" t="n">
        <f aca="false">49-SUMPRODUCT(--((('Yellow Bosses'!$H$5:$H$53&gt;=1)+('Yellow Bosses'!$I$5:$I$53&gt;=1)+('Yellow Bosses'!$S$5:$S$53&gt;=1)+('Yellow Bosses'!$U$5:$U$53&gt;=1))&gt;0))</f>
        <v>0</v>
      </c>
      <c r="I1288" s="25" t="n">
        <f aca="false">SUMPRODUCT(--((('Yellow Bosses'!$H$5:$H$53&gt;0)+('Yellow Bosses'!$I$5:$I$53&gt;0)+('Yellow Bosses'!$S$5:$S$53&gt;0)+('Yellow Bosses'!$U$5:$U$53&gt;0))=0))</f>
        <v>0</v>
      </c>
      <c r="J1288" s="25" t="n">
        <f aca="false">SUMPRODUCT(--(((Effectiveness!$E$5:$E$155&gt;=2)+(Effectiveness!$F$5:$F$155&gt;=2)+(Effectiveness!$P$5:$P$155&gt;=2)+(Effectiveness!$R$5:$R$155&gt;=2))&gt;0))</f>
        <v>54</v>
      </c>
      <c r="K1288" s="26" t="n">
        <f aca="false">J1288/151</f>
        <v>0.357615894039735</v>
      </c>
      <c r="L1288" s="25" t="n">
        <f aca="false">MIN(INDEX('Move Reality'!$F$5:$F$19,MATCH(B1288,'Move Reality'!$A$5:$A$19,0)),INDEX('Move Reality'!$F$5:$F$19,MATCH(C1288,'Move Reality'!$A$5:$A$19,0)),INDEX('Move Reality'!$F$5:$F$19,MATCH(D1288,'Move Reality'!$A$5:$A$19,0)),INDEX('Move Reality'!$F$5:$F$19,MATCH(E1288,'Move Reality'!$A$5:$A$19,0)))</f>
        <v>1</v>
      </c>
      <c r="M1288" s="28" t="str">
        <f aca="false">IF(L1288&gt;=5,"YES","no - dead move")</f>
        <v>no - dead move</v>
      </c>
    </row>
    <row r="1289" customFormat="false" ht="15" hidden="false" customHeight="false" outlineLevel="0" collapsed="false">
      <c r="A1289" s="17" t="n">
        <v>1285</v>
      </c>
      <c r="B1289" s="17" t="s">
        <v>40</v>
      </c>
      <c r="C1289" s="17" t="s">
        <v>41</v>
      </c>
      <c r="D1289" s="17" t="s">
        <v>51</v>
      </c>
      <c r="E1289" s="17" t="s">
        <v>54</v>
      </c>
      <c r="F1289" s="25" t="n">
        <f aca="false">SUMPRODUCT(--((('Yellow Bosses'!$H$5:$H$53&gt;=2)+('Yellow Bosses'!$I$5:$I$53&gt;=2)+('Yellow Bosses'!$S$5:$S$53&gt;=2)+('Yellow Bosses'!$V$5:$V$53&gt;=2))&gt;0))</f>
        <v>21</v>
      </c>
      <c r="G1289" s="26" t="n">
        <f aca="false">F1289/49</f>
        <v>0.428571428571429</v>
      </c>
      <c r="H1289" s="25" t="n">
        <f aca="false">49-SUMPRODUCT(--((('Yellow Bosses'!$H$5:$H$53&gt;=1)+('Yellow Bosses'!$I$5:$I$53&gt;=1)+('Yellow Bosses'!$S$5:$S$53&gt;=1)+('Yellow Bosses'!$V$5:$V$53&gt;=1))&gt;0))</f>
        <v>0</v>
      </c>
      <c r="I1289" s="25" t="n">
        <f aca="false">SUMPRODUCT(--((('Yellow Bosses'!$H$5:$H$53&gt;0)+('Yellow Bosses'!$I$5:$I$53&gt;0)+('Yellow Bosses'!$S$5:$S$53&gt;0)+('Yellow Bosses'!$V$5:$V$53&gt;0))=0))</f>
        <v>0</v>
      </c>
      <c r="J1289" s="25" t="n">
        <f aca="false">SUMPRODUCT(--(((Effectiveness!$E$5:$E$155&gt;=2)+(Effectiveness!$F$5:$F$155&gt;=2)+(Effectiveness!$P$5:$P$155&gt;=2)+(Effectiveness!$S$5:$S$155&gt;=2))&gt;0))</f>
        <v>54</v>
      </c>
      <c r="K1289" s="26" t="n">
        <f aca="false">J1289/151</f>
        <v>0.357615894039735</v>
      </c>
      <c r="L1289" s="25" t="n">
        <f aca="false">MIN(INDEX('Move Reality'!$F$5:$F$19,MATCH(B1289,'Move Reality'!$A$5:$A$19,0)),INDEX('Move Reality'!$F$5:$F$19,MATCH(C1289,'Move Reality'!$A$5:$A$19,0)),INDEX('Move Reality'!$F$5:$F$19,MATCH(D1289,'Move Reality'!$A$5:$A$19,0)),INDEX('Move Reality'!$F$5:$F$19,MATCH(E1289,'Move Reality'!$A$5:$A$19,0)))</f>
        <v>1</v>
      </c>
      <c r="M1289" s="28" t="str">
        <f aca="false">IF(L1289&gt;=5,"YES","no - dead move")</f>
        <v>no - dead move</v>
      </c>
    </row>
    <row r="1290" customFormat="false" ht="15" hidden="false" customHeight="false" outlineLevel="0" collapsed="false">
      <c r="A1290" s="17" t="n">
        <v>1286</v>
      </c>
      <c r="B1290" s="17" t="s">
        <v>40</v>
      </c>
      <c r="C1290" s="17" t="s">
        <v>47</v>
      </c>
      <c r="D1290" s="17" t="s">
        <v>50</v>
      </c>
      <c r="E1290" s="17" t="s">
        <v>54</v>
      </c>
      <c r="F1290" s="25" t="n">
        <f aca="false">SUMPRODUCT(--((('Yellow Bosses'!$H$5:$H$53&gt;=2)+('Yellow Bosses'!$O$5:$O$53&gt;=2)+('Yellow Bosses'!$R$5:$R$53&gt;=2)+('Yellow Bosses'!$V$5:$V$53&gt;=2))&gt;0))</f>
        <v>21</v>
      </c>
      <c r="G1290" s="26" t="n">
        <f aca="false">F1290/49</f>
        <v>0.428571428571429</v>
      </c>
      <c r="H1290" s="25" t="n">
        <f aca="false">49-SUMPRODUCT(--((('Yellow Bosses'!$H$5:$H$53&gt;=1)+('Yellow Bosses'!$O$5:$O$53&gt;=1)+('Yellow Bosses'!$R$5:$R$53&gt;=1)+('Yellow Bosses'!$V$5:$V$53&gt;=1))&gt;0))</f>
        <v>0</v>
      </c>
      <c r="I1290" s="25" t="n">
        <f aca="false">SUMPRODUCT(--((('Yellow Bosses'!$H$5:$H$53&gt;0)+('Yellow Bosses'!$O$5:$O$53&gt;0)+('Yellow Bosses'!$R$5:$R$53&gt;0)+('Yellow Bosses'!$V$5:$V$53&gt;0))=0))</f>
        <v>0</v>
      </c>
      <c r="J1290" s="25" t="n">
        <f aca="false">SUMPRODUCT(--(((Effectiveness!$E$5:$E$155&gt;=2)+(Effectiveness!$L$5:$L$155&gt;=2)+(Effectiveness!$O$5:$O$155&gt;=2)+(Effectiveness!$S$5:$S$155&gt;=2))&gt;0))</f>
        <v>54</v>
      </c>
      <c r="K1290" s="26" t="n">
        <f aca="false">J1290/151</f>
        <v>0.357615894039735</v>
      </c>
      <c r="L1290" s="25" t="n">
        <f aca="false">MIN(INDEX('Move Reality'!$F$5:$F$19,MATCH(B1290,'Move Reality'!$A$5:$A$19,0)),INDEX('Move Reality'!$F$5:$F$19,MATCH(C1290,'Move Reality'!$A$5:$A$19,0)),INDEX('Move Reality'!$F$5:$F$19,MATCH(D1290,'Move Reality'!$A$5:$A$19,0)),INDEX('Move Reality'!$F$5:$F$19,MATCH(E1290,'Move Reality'!$A$5:$A$19,0)))</f>
        <v>1</v>
      </c>
      <c r="M1290" s="28" t="str">
        <f aca="false">IF(L1290&gt;=5,"YES","no - dead move")</f>
        <v>no - dead move</v>
      </c>
    </row>
    <row r="1291" customFormat="false" ht="15" hidden="false" customHeight="false" outlineLevel="0" collapsed="false">
      <c r="A1291" s="17" t="n">
        <v>1287</v>
      </c>
      <c r="B1291" s="17" t="s">
        <v>40</v>
      </c>
      <c r="C1291" s="17" t="s">
        <v>49</v>
      </c>
      <c r="D1291" s="17" t="s">
        <v>50</v>
      </c>
      <c r="E1291" s="17" t="s">
        <v>54</v>
      </c>
      <c r="F1291" s="25" t="n">
        <f aca="false">SUMPRODUCT(--((('Yellow Bosses'!$H$5:$H$53&gt;=2)+('Yellow Bosses'!$Q$5:$Q$53&gt;=2)+('Yellow Bosses'!$R$5:$R$53&gt;=2)+('Yellow Bosses'!$V$5:$V$53&gt;=2))&gt;0))</f>
        <v>21</v>
      </c>
      <c r="G1291" s="26" t="n">
        <f aca="false">F1291/49</f>
        <v>0.428571428571429</v>
      </c>
      <c r="H1291" s="25" t="n">
        <f aca="false">49-SUMPRODUCT(--((('Yellow Bosses'!$H$5:$H$53&gt;=1)+('Yellow Bosses'!$Q$5:$Q$53&gt;=1)+('Yellow Bosses'!$R$5:$R$53&gt;=1)+('Yellow Bosses'!$V$5:$V$53&gt;=1))&gt;0))</f>
        <v>0</v>
      </c>
      <c r="I1291" s="25" t="n">
        <f aca="false">SUMPRODUCT(--((('Yellow Bosses'!$H$5:$H$53&gt;0)+('Yellow Bosses'!$Q$5:$Q$53&gt;0)+('Yellow Bosses'!$R$5:$R$53&gt;0)+('Yellow Bosses'!$V$5:$V$53&gt;0))=0))</f>
        <v>0</v>
      </c>
      <c r="J1291" s="25" t="n">
        <f aca="false">SUMPRODUCT(--(((Effectiveness!$E$5:$E$155&gt;=2)+(Effectiveness!$N$5:$N$155&gt;=2)+(Effectiveness!$O$5:$O$155&gt;=2)+(Effectiveness!$S$5:$S$155&gt;=2))&gt;0))</f>
        <v>54</v>
      </c>
      <c r="K1291" s="26" t="n">
        <f aca="false">J1291/151</f>
        <v>0.357615894039735</v>
      </c>
      <c r="L1291" s="25" t="n">
        <f aca="false">MIN(INDEX('Move Reality'!$F$5:$F$19,MATCH(B1291,'Move Reality'!$A$5:$A$19,0)),INDEX('Move Reality'!$F$5:$F$19,MATCH(C1291,'Move Reality'!$A$5:$A$19,0)),INDEX('Move Reality'!$F$5:$F$19,MATCH(D1291,'Move Reality'!$A$5:$A$19,0)),INDEX('Move Reality'!$F$5:$F$19,MATCH(E1291,'Move Reality'!$A$5:$A$19,0)))</f>
        <v>1</v>
      </c>
      <c r="M1291" s="28" t="str">
        <f aca="false">IF(L1291&gt;=5,"YES","no - dead move")</f>
        <v>no - dead move</v>
      </c>
    </row>
    <row r="1292" customFormat="false" ht="15" hidden="false" customHeight="false" outlineLevel="0" collapsed="false">
      <c r="A1292" s="17" t="n">
        <v>1288</v>
      </c>
      <c r="B1292" s="17" t="s">
        <v>41</v>
      </c>
      <c r="C1292" s="17" t="s">
        <v>47</v>
      </c>
      <c r="D1292" s="17" t="s">
        <v>51</v>
      </c>
      <c r="E1292" s="17" t="s">
        <v>53</v>
      </c>
      <c r="F1292" s="25" t="n">
        <f aca="false">SUMPRODUCT(--((('Yellow Bosses'!$I$5:$I$53&gt;=2)+('Yellow Bosses'!$O$5:$O$53&gt;=2)+('Yellow Bosses'!$S$5:$S$53&gt;=2)+('Yellow Bosses'!$U$5:$U$53&gt;=2))&gt;0))</f>
        <v>21</v>
      </c>
      <c r="G1292" s="26" t="n">
        <f aca="false">F1292/49</f>
        <v>0.428571428571429</v>
      </c>
      <c r="H1292" s="25" t="n">
        <f aca="false">49-SUMPRODUCT(--((('Yellow Bosses'!$I$5:$I$53&gt;=1)+('Yellow Bosses'!$O$5:$O$53&gt;=1)+('Yellow Bosses'!$S$5:$S$53&gt;=1)+('Yellow Bosses'!$U$5:$U$53&gt;=1))&gt;0))</f>
        <v>0</v>
      </c>
      <c r="I1292" s="25" t="n">
        <f aca="false">SUMPRODUCT(--((('Yellow Bosses'!$I$5:$I$53&gt;0)+('Yellow Bosses'!$O$5:$O$53&gt;0)+('Yellow Bosses'!$S$5:$S$53&gt;0)+('Yellow Bosses'!$U$5:$U$53&gt;0))=0))</f>
        <v>0</v>
      </c>
      <c r="J1292" s="25" t="n">
        <f aca="false">SUMPRODUCT(--(((Effectiveness!$F$5:$F$155&gt;=2)+(Effectiveness!$L$5:$L$155&gt;=2)+(Effectiveness!$P$5:$P$155&gt;=2)+(Effectiveness!$R$5:$R$155&gt;=2))&gt;0))</f>
        <v>54</v>
      </c>
      <c r="K1292" s="26" t="n">
        <f aca="false">J1292/151</f>
        <v>0.357615894039735</v>
      </c>
      <c r="L1292" s="25" t="n">
        <f aca="false">MIN(INDEX('Move Reality'!$F$5:$F$19,MATCH(B1292,'Move Reality'!$A$5:$A$19,0)),INDEX('Move Reality'!$F$5:$F$19,MATCH(C1292,'Move Reality'!$A$5:$A$19,0)),INDEX('Move Reality'!$F$5:$F$19,MATCH(D1292,'Move Reality'!$A$5:$A$19,0)),INDEX('Move Reality'!$F$5:$F$19,MATCH(E1292,'Move Reality'!$A$5:$A$19,0)))</f>
        <v>1</v>
      </c>
      <c r="M1292" s="28" t="str">
        <f aca="false">IF(L1292&gt;=5,"YES","no - dead move")</f>
        <v>no - dead move</v>
      </c>
    </row>
    <row r="1293" customFormat="false" ht="15" hidden="false" customHeight="false" outlineLevel="0" collapsed="false">
      <c r="A1293" s="17" t="n">
        <v>1289</v>
      </c>
      <c r="B1293" s="17" t="s">
        <v>41</v>
      </c>
      <c r="C1293" s="17" t="s">
        <v>47</v>
      </c>
      <c r="D1293" s="17" t="s">
        <v>51</v>
      </c>
      <c r="E1293" s="17" t="s">
        <v>54</v>
      </c>
      <c r="F1293" s="25" t="n">
        <f aca="false">SUMPRODUCT(--((('Yellow Bosses'!$I$5:$I$53&gt;=2)+('Yellow Bosses'!$O$5:$O$53&gt;=2)+('Yellow Bosses'!$S$5:$S$53&gt;=2)+('Yellow Bosses'!$V$5:$V$53&gt;=2))&gt;0))</f>
        <v>21</v>
      </c>
      <c r="G1293" s="26" t="n">
        <f aca="false">F1293/49</f>
        <v>0.428571428571429</v>
      </c>
      <c r="H1293" s="25" t="n">
        <f aca="false">49-SUMPRODUCT(--((('Yellow Bosses'!$I$5:$I$53&gt;=1)+('Yellow Bosses'!$O$5:$O$53&gt;=1)+('Yellow Bosses'!$S$5:$S$53&gt;=1)+('Yellow Bosses'!$V$5:$V$53&gt;=1))&gt;0))</f>
        <v>0</v>
      </c>
      <c r="I1293" s="25" t="n">
        <f aca="false">SUMPRODUCT(--((('Yellow Bosses'!$I$5:$I$53&gt;0)+('Yellow Bosses'!$O$5:$O$53&gt;0)+('Yellow Bosses'!$S$5:$S$53&gt;0)+('Yellow Bosses'!$V$5:$V$53&gt;0))=0))</f>
        <v>0</v>
      </c>
      <c r="J1293" s="25" t="n">
        <f aca="false">SUMPRODUCT(--(((Effectiveness!$F$5:$F$155&gt;=2)+(Effectiveness!$L$5:$L$155&gt;=2)+(Effectiveness!$P$5:$P$155&gt;=2)+(Effectiveness!$S$5:$S$155&gt;=2))&gt;0))</f>
        <v>54</v>
      </c>
      <c r="K1293" s="26" t="n">
        <f aca="false">J1293/151</f>
        <v>0.357615894039735</v>
      </c>
      <c r="L1293" s="25" t="n">
        <f aca="false">MIN(INDEX('Move Reality'!$F$5:$F$19,MATCH(B1293,'Move Reality'!$A$5:$A$19,0)),INDEX('Move Reality'!$F$5:$F$19,MATCH(C1293,'Move Reality'!$A$5:$A$19,0)),INDEX('Move Reality'!$F$5:$F$19,MATCH(D1293,'Move Reality'!$A$5:$A$19,0)),INDEX('Move Reality'!$F$5:$F$19,MATCH(E1293,'Move Reality'!$A$5:$A$19,0)))</f>
        <v>1</v>
      </c>
      <c r="M1293" s="28" t="str">
        <f aca="false">IF(L1293&gt;=5,"YES","no - dead move")</f>
        <v>no - dead move</v>
      </c>
    </row>
    <row r="1294" customFormat="false" ht="15" hidden="false" customHeight="false" outlineLevel="0" collapsed="false">
      <c r="A1294" s="17" t="n">
        <v>1290</v>
      </c>
      <c r="B1294" s="17" t="s">
        <v>47</v>
      </c>
      <c r="C1294" s="17" t="s">
        <v>49</v>
      </c>
      <c r="D1294" s="17" t="s">
        <v>50</v>
      </c>
      <c r="E1294" s="17" t="s">
        <v>54</v>
      </c>
      <c r="F1294" s="25" t="n">
        <f aca="false">SUMPRODUCT(--((('Yellow Bosses'!$O$5:$O$53&gt;=2)+('Yellow Bosses'!$Q$5:$Q$53&gt;=2)+('Yellow Bosses'!$R$5:$R$53&gt;=2)+('Yellow Bosses'!$V$5:$V$53&gt;=2))&gt;0))</f>
        <v>21</v>
      </c>
      <c r="G1294" s="26" t="n">
        <f aca="false">F1294/49</f>
        <v>0.428571428571429</v>
      </c>
      <c r="H1294" s="25" t="n">
        <f aca="false">49-SUMPRODUCT(--((('Yellow Bosses'!$O$5:$O$53&gt;=1)+('Yellow Bosses'!$Q$5:$Q$53&gt;=1)+('Yellow Bosses'!$R$5:$R$53&gt;=1)+('Yellow Bosses'!$V$5:$V$53&gt;=1))&gt;0))</f>
        <v>0</v>
      </c>
      <c r="I1294" s="25" t="n">
        <f aca="false">SUMPRODUCT(--((('Yellow Bosses'!$O$5:$O$53&gt;0)+('Yellow Bosses'!$Q$5:$Q$53&gt;0)+('Yellow Bosses'!$R$5:$R$53&gt;0)+('Yellow Bosses'!$V$5:$V$53&gt;0))=0))</f>
        <v>0</v>
      </c>
      <c r="J1294" s="25" t="n">
        <f aca="false">SUMPRODUCT(--(((Effectiveness!$L$5:$L$155&gt;=2)+(Effectiveness!$N$5:$N$155&gt;=2)+(Effectiveness!$O$5:$O$155&gt;=2)+(Effectiveness!$S$5:$S$155&gt;=2))&gt;0))</f>
        <v>54</v>
      </c>
      <c r="K1294" s="26" t="n">
        <f aca="false">J1294/151</f>
        <v>0.357615894039735</v>
      </c>
      <c r="L1294" s="25" t="n">
        <f aca="false">MIN(INDEX('Move Reality'!$F$5:$F$19,MATCH(B1294,'Move Reality'!$A$5:$A$19,0)),INDEX('Move Reality'!$F$5:$F$19,MATCH(C1294,'Move Reality'!$A$5:$A$19,0)),INDEX('Move Reality'!$F$5:$F$19,MATCH(D1294,'Move Reality'!$A$5:$A$19,0)),INDEX('Move Reality'!$F$5:$F$19,MATCH(E1294,'Move Reality'!$A$5:$A$19,0)))</f>
        <v>1</v>
      </c>
      <c r="M1294" s="28" t="str">
        <f aca="false">IF(L1294&gt;=5,"YES","no - dead move")</f>
        <v>no - dead move</v>
      </c>
    </row>
    <row r="1295" customFormat="false" ht="15" hidden="false" customHeight="false" outlineLevel="0" collapsed="false">
      <c r="A1295" s="17" t="n">
        <v>1291</v>
      </c>
      <c r="B1295" s="17" t="s">
        <v>47</v>
      </c>
      <c r="C1295" s="17" t="s">
        <v>50</v>
      </c>
      <c r="D1295" s="17" t="s">
        <v>53</v>
      </c>
      <c r="E1295" s="17" t="s">
        <v>54</v>
      </c>
      <c r="F1295" s="25" t="n">
        <f aca="false">SUMPRODUCT(--((('Yellow Bosses'!$O$5:$O$53&gt;=2)+('Yellow Bosses'!$R$5:$R$53&gt;=2)+('Yellow Bosses'!$U$5:$U$53&gt;=2)+('Yellow Bosses'!$V$5:$V$53&gt;=2))&gt;0))</f>
        <v>21</v>
      </c>
      <c r="G1295" s="26" t="n">
        <f aca="false">F1295/49</f>
        <v>0.428571428571429</v>
      </c>
      <c r="H1295" s="25" t="n">
        <f aca="false">49-SUMPRODUCT(--((('Yellow Bosses'!$O$5:$O$53&gt;=1)+('Yellow Bosses'!$R$5:$R$53&gt;=1)+('Yellow Bosses'!$U$5:$U$53&gt;=1)+('Yellow Bosses'!$V$5:$V$53&gt;=1))&gt;0))</f>
        <v>0</v>
      </c>
      <c r="I1295" s="25" t="n">
        <f aca="false">SUMPRODUCT(--((('Yellow Bosses'!$O$5:$O$53&gt;0)+('Yellow Bosses'!$R$5:$R$53&gt;0)+('Yellow Bosses'!$U$5:$U$53&gt;0)+('Yellow Bosses'!$V$5:$V$53&gt;0))=0))</f>
        <v>0</v>
      </c>
      <c r="J1295" s="25" t="n">
        <f aca="false">SUMPRODUCT(--(((Effectiveness!$L$5:$L$155&gt;=2)+(Effectiveness!$O$5:$O$155&gt;=2)+(Effectiveness!$R$5:$R$155&gt;=2)+(Effectiveness!$S$5:$S$155&gt;=2))&gt;0))</f>
        <v>54</v>
      </c>
      <c r="K1295" s="26" t="n">
        <f aca="false">J1295/151</f>
        <v>0.357615894039735</v>
      </c>
      <c r="L1295" s="25" t="n">
        <f aca="false">MIN(INDEX('Move Reality'!$F$5:$F$19,MATCH(B1295,'Move Reality'!$A$5:$A$19,0)),INDEX('Move Reality'!$F$5:$F$19,MATCH(C1295,'Move Reality'!$A$5:$A$19,0)),INDEX('Move Reality'!$F$5:$F$19,MATCH(D1295,'Move Reality'!$A$5:$A$19,0)),INDEX('Move Reality'!$F$5:$F$19,MATCH(E1295,'Move Reality'!$A$5:$A$19,0)))</f>
        <v>1</v>
      </c>
      <c r="M1295" s="28" t="str">
        <f aca="false">IF(L1295&gt;=5,"YES","no - dead move")</f>
        <v>no - dead move</v>
      </c>
    </row>
    <row r="1296" customFormat="false" ht="15" hidden="false" customHeight="false" outlineLevel="0" collapsed="false">
      <c r="A1296" s="17" t="n">
        <v>1292</v>
      </c>
      <c r="B1296" s="17" t="s">
        <v>49</v>
      </c>
      <c r="C1296" s="17" t="s">
        <v>50</v>
      </c>
      <c r="D1296" s="17" t="s">
        <v>53</v>
      </c>
      <c r="E1296" s="17" t="s">
        <v>54</v>
      </c>
      <c r="F1296" s="25" t="n">
        <f aca="false">SUMPRODUCT(--((('Yellow Bosses'!$Q$5:$Q$53&gt;=2)+('Yellow Bosses'!$R$5:$R$53&gt;=2)+('Yellow Bosses'!$U$5:$U$53&gt;=2)+('Yellow Bosses'!$V$5:$V$53&gt;=2))&gt;0))</f>
        <v>21</v>
      </c>
      <c r="G1296" s="26" t="n">
        <f aca="false">F1296/49</f>
        <v>0.428571428571429</v>
      </c>
      <c r="H1296" s="25" t="n">
        <f aca="false">49-SUMPRODUCT(--((('Yellow Bosses'!$Q$5:$Q$53&gt;=1)+('Yellow Bosses'!$R$5:$R$53&gt;=1)+('Yellow Bosses'!$U$5:$U$53&gt;=1)+('Yellow Bosses'!$V$5:$V$53&gt;=1))&gt;0))</f>
        <v>0</v>
      </c>
      <c r="I1296" s="25" t="n">
        <f aca="false">SUMPRODUCT(--((('Yellow Bosses'!$Q$5:$Q$53&gt;0)+('Yellow Bosses'!$R$5:$R$53&gt;0)+('Yellow Bosses'!$U$5:$U$53&gt;0)+('Yellow Bosses'!$V$5:$V$53&gt;0))=0))</f>
        <v>0</v>
      </c>
      <c r="J1296" s="25" t="n">
        <f aca="false">SUMPRODUCT(--(((Effectiveness!$N$5:$N$155&gt;=2)+(Effectiveness!$O$5:$O$155&gt;=2)+(Effectiveness!$R$5:$R$155&gt;=2)+(Effectiveness!$S$5:$S$155&gt;=2))&gt;0))</f>
        <v>54</v>
      </c>
      <c r="K1296" s="26" t="n">
        <f aca="false">J1296/151</f>
        <v>0.357615894039735</v>
      </c>
      <c r="L1296" s="25" t="n">
        <f aca="false">MIN(INDEX('Move Reality'!$F$5:$F$19,MATCH(B1296,'Move Reality'!$A$5:$A$19,0)),INDEX('Move Reality'!$F$5:$F$19,MATCH(C1296,'Move Reality'!$A$5:$A$19,0)),INDEX('Move Reality'!$F$5:$F$19,MATCH(D1296,'Move Reality'!$A$5:$A$19,0)),INDEX('Move Reality'!$F$5:$F$19,MATCH(E1296,'Move Reality'!$A$5:$A$19,0)))</f>
        <v>1</v>
      </c>
      <c r="M1296" s="28" t="str">
        <f aca="false">IF(L1296&gt;=5,"YES","no - dead move")</f>
        <v>no - dead move</v>
      </c>
    </row>
    <row r="1297" customFormat="false" ht="15" hidden="false" customHeight="false" outlineLevel="0" collapsed="false">
      <c r="A1297" s="17" t="n">
        <v>1293</v>
      </c>
      <c r="B1297" s="17" t="s">
        <v>40</v>
      </c>
      <c r="C1297" s="17" t="s">
        <v>42</v>
      </c>
      <c r="D1297" s="17" t="s">
        <v>46</v>
      </c>
      <c r="E1297" s="17" t="s">
        <v>53</v>
      </c>
      <c r="F1297" s="25" t="n">
        <f aca="false">SUMPRODUCT(--((('Yellow Bosses'!$H$5:$H$53&gt;=2)+('Yellow Bosses'!$J$5:$J$53&gt;=2)+('Yellow Bosses'!$N$5:$N$53&gt;=2)+('Yellow Bosses'!$U$5:$U$53&gt;=2))&gt;0))</f>
        <v>21</v>
      </c>
      <c r="G1297" s="26" t="n">
        <f aca="false">F1297/49</f>
        <v>0.428571428571429</v>
      </c>
      <c r="H1297" s="25" t="n">
        <f aca="false">49-SUMPRODUCT(--((('Yellow Bosses'!$H$5:$H$53&gt;=1)+('Yellow Bosses'!$J$5:$J$53&gt;=1)+('Yellow Bosses'!$N$5:$N$53&gt;=1)+('Yellow Bosses'!$U$5:$U$53&gt;=1))&gt;0))</f>
        <v>0</v>
      </c>
      <c r="I1297" s="25" t="n">
        <f aca="false">SUMPRODUCT(--((('Yellow Bosses'!$H$5:$H$53&gt;0)+('Yellow Bosses'!$J$5:$J$53&gt;0)+('Yellow Bosses'!$N$5:$N$53&gt;0)+('Yellow Bosses'!$U$5:$U$53&gt;0))=0))</f>
        <v>0</v>
      </c>
      <c r="J1297" s="25" t="n">
        <f aca="false">SUMPRODUCT(--(((Effectiveness!$E$5:$E$155&gt;=2)+(Effectiveness!$G$5:$G$155&gt;=2)+(Effectiveness!$K$5:$K$155&gt;=2)+(Effectiveness!$R$5:$R$155&gt;=2))&gt;0))</f>
        <v>53</v>
      </c>
      <c r="K1297" s="26" t="n">
        <f aca="false">J1297/151</f>
        <v>0.350993377483444</v>
      </c>
      <c r="L1297" s="25" t="n">
        <f aca="false">MIN(INDEX('Move Reality'!$F$5:$F$19,MATCH(B1297,'Move Reality'!$A$5:$A$19,0)),INDEX('Move Reality'!$F$5:$F$19,MATCH(C1297,'Move Reality'!$A$5:$A$19,0)),INDEX('Move Reality'!$F$5:$F$19,MATCH(D1297,'Move Reality'!$A$5:$A$19,0)),INDEX('Move Reality'!$F$5:$F$19,MATCH(E1297,'Move Reality'!$A$5:$A$19,0)))</f>
        <v>1</v>
      </c>
      <c r="M1297" s="28" t="str">
        <f aca="false">IF(L1297&gt;=5,"YES","no - dead move")</f>
        <v>no - dead move</v>
      </c>
    </row>
    <row r="1298" customFormat="false" ht="15" hidden="false" customHeight="false" outlineLevel="0" collapsed="false">
      <c r="A1298" s="17" t="n">
        <v>1294</v>
      </c>
      <c r="B1298" s="17" t="s">
        <v>40</v>
      </c>
      <c r="C1298" s="17" t="s">
        <v>42</v>
      </c>
      <c r="D1298" s="17" t="s">
        <v>46</v>
      </c>
      <c r="E1298" s="17" t="s">
        <v>54</v>
      </c>
      <c r="F1298" s="25" t="n">
        <f aca="false">SUMPRODUCT(--((('Yellow Bosses'!$H$5:$H$53&gt;=2)+('Yellow Bosses'!$J$5:$J$53&gt;=2)+('Yellow Bosses'!$N$5:$N$53&gt;=2)+('Yellow Bosses'!$V$5:$V$53&gt;=2))&gt;0))</f>
        <v>21</v>
      </c>
      <c r="G1298" s="26" t="n">
        <f aca="false">F1298/49</f>
        <v>0.428571428571429</v>
      </c>
      <c r="H1298" s="25" t="n">
        <f aca="false">49-SUMPRODUCT(--((('Yellow Bosses'!$H$5:$H$53&gt;=1)+('Yellow Bosses'!$J$5:$J$53&gt;=1)+('Yellow Bosses'!$N$5:$N$53&gt;=1)+('Yellow Bosses'!$V$5:$V$53&gt;=1))&gt;0))</f>
        <v>0</v>
      </c>
      <c r="I1298" s="25" t="n">
        <f aca="false">SUMPRODUCT(--((('Yellow Bosses'!$H$5:$H$53&gt;0)+('Yellow Bosses'!$J$5:$J$53&gt;0)+('Yellow Bosses'!$N$5:$N$53&gt;0)+('Yellow Bosses'!$V$5:$V$53&gt;0))=0))</f>
        <v>0</v>
      </c>
      <c r="J1298" s="25" t="n">
        <f aca="false">SUMPRODUCT(--(((Effectiveness!$E$5:$E$155&gt;=2)+(Effectiveness!$G$5:$G$155&gt;=2)+(Effectiveness!$K$5:$K$155&gt;=2)+(Effectiveness!$S$5:$S$155&gt;=2))&gt;0))</f>
        <v>53</v>
      </c>
      <c r="K1298" s="26" t="n">
        <f aca="false">J1298/151</f>
        <v>0.350993377483444</v>
      </c>
      <c r="L1298" s="25" t="n">
        <f aca="false">MIN(INDEX('Move Reality'!$F$5:$F$19,MATCH(B1298,'Move Reality'!$A$5:$A$19,0)),INDEX('Move Reality'!$F$5:$F$19,MATCH(C1298,'Move Reality'!$A$5:$A$19,0)),INDEX('Move Reality'!$F$5:$F$19,MATCH(D1298,'Move Reality'!$A$5:$A$19,0)),INDEX('Move Reality'!$F$5:$F$19,MATCH(E1298,'Move Reality'!$A$5:$A$19,0)))</f>
        <v>1</v>
      </c>
      <c r="M1298" s="28" t="str">
        <f aca="false">IF(L1298&gt;=5,"YES","no - dead move")</f>
        <v>no - dead move</v>
      </c>
    </row>
    <row r="1299" customFormat="false" ht="15" hidden="false" customHeight="false" outlineLevel="0" collapsed="false">
      <c r="A1299" s="17" t="n">
        <v>1295</v>
      </c>
      <c r="B1299" s="17" t="s">
        <v>40</v>
      </c>
      <c r="C1299" s="17" t="s">
        <v>45</v>
      </c>
      <c r="D1299" s="17" t="s">
        <v>47</v>
      </c>
      <c r="E1299" s="17" t="s">
        <v>53</v>
      </c>
      <c r="F1299" s="25" t="n">
        <f aca="false">SUMPRODUCT(--((('Yellow Bosses'!$H$5:$H$53&gt;=2)+('Yellow Bosses'!$M$5:$M$53&gt;=2)+('Yellow Bosses'!$O$5:$O$53&gt;=2)+('Yellow Bosses'!$U$5:$U$53&gt;=2))&gt;0))</f>
        <v>21</v>
      </c>
      <c r="G1299" s="26" t="n">
        <f aca="false">F1299/49</f>
        <v>0.428571428571429</v>
      </c>
      <c r="H1299" s="25" t="n">
        <f aca="false">49-SUMPRODUCT(--((('Yellow Bosses'!$H$5:$H$53&gt;=1)+('Yellow Bosses'!$M$5:$M$53&gt;=1)+('Yellow Bosses'!$O$5:$O$53&gt;=1)+('Yellow Bosses'!$U$5:$U$53&gt;=1))&gt;0))</f>
        <v>0</v>
      </c>
      <c r="I1299" s="25" t="n">
        <f aca="false">SUMPRODUCT(--((('Yellow Bosses'!$H$5:$H$53&gt;0)+('Yellow Bosses'!$M$5:$M$53&gt;0)+('Yellow Bosses'!$O$5:$O$53&gt;0)+('Yellow Bosses'!$U$5:$U$53&gt;0))=0))</f>
        <v>0</v>
      </c>
      <c r="J1299" s="25" t="n">
        <f aca="false">SUMPRODUCT(--(((Effectiveness!$E$5:$E$155&gt;=2)+(Effectiveness!$J$5:$J$155&gt;=2)+(Effectiveness!$L$5:$L$155&gt;=2)+(Effectiveness!$R$5:$R$155&gt;=2))&gt;0))</f>
        <v>53</v>
      </c>
      <c r="K1299" s="26" t="n">
        <f aca="false">J1299/151</f>
        <v>0.350993377483444</v>
      </c>
      <c r="L1299" s="25" t="n">
        <f aca="false">MIN(INDEX('Move Reality'!$F$5:$F$19,MATCH(B1299,'Move Reality'!$A$5:$A$19,0)),INDEX('Move Reality'!$F$5:$F$19,MATCH(C1299,'Move Reality'!$A$5:$A$19,0)),INDEX('Move Reality'!$F$5:$F$19,MATCH(D1299,'Move Reality'!$A$5:$A$19,0)),INDEX('Move Reality'!$F$5:$F$19,MATCH(E1299,'Move Reality'!$A$5:$A$19,0)))</f>
        <v>1</v>
      </c>
      <c r="M1299" s="28" t="str">
        <f aca="false">IF(L1299&gt;=5,"YES","no - dead move")</f>
        <v>no - dead move</v>
      </c>
    </row>
    <row r="1300" customFormat="false" ht="15" hidden="false" customHeight="false" outlineLevel="0" collapsed="false">
      <c r="A1300" s="17" t="n">
        <v>1296</v>
      </c>
      <c r="B1300" s="17" t="s">
        <v>40</v>
      </c>
      <c r="C1300" s="17" t="s">
        <v>47</v>
      </c>
      <c r="D1300" s="17" t="s">
        <v>51</v>
      </c>
      <c r="E1300" s="17" t="s">
        <v>53</v>
      </c>
      <c r="F1300" s="25" t="n">
        <f aca="false">SUMPRODUCT(--((('Yellow Bosses'!$H$5:$H$53&gt;=2)+('Yellow Bosses'!$O$5:$O$53&gt;=2)+('Yellow Bosses'!$S$5:$S$53&gt;=2)+('Yellow Bosses'!$U$5:$U$53&gt;=2))&gt;0))</f>
        <v>21</v>
      </c>
      <c r="G1300" s="26" t="n">
        <f aca="false">F1300/49</f>
        <v>0.428571428571429</v>
      </c>
      <c r="H1300" s="25" t="n">
        <f aca="false">49-SUMPRODUCT(--((('Yellow Bosses'!$H$5:$H$53&gt;=1)+('Yellow Bosses'!$O$5:$O$53&gt;=1)+('Yellow Bosses'!$S$5:$S$53&gt;=1)+('Yellow Bosses'!$U$5:$U$53&gt;=1))&gt;0))</f>
        <v>0</v>
      </c>
      <c r="I1300" s="25" t="n">
        <f aca="false">SUMPRODUCT(--((('Yellow Bosses'!$H$5:$H$53&gt;0)+('Yellow Bosses'!$O$5:$O$53&gt;0)+('Yellow Bosses'!$S$5:$S$53&gt;0)+('Yellow Bosses'!$U$5:$U$53&gt;0))=0))</f>
        <v>0</v>
      </c>
      <c r="J1300" s="25" t="n">
        <f aca="false">SUMPRODUCT(--(((Effectiveness!$E$5:$E$155&gt;=2)+(Effectiveness!$L$5:$L$155&gt;=2)+(Effectiveness!$P$5:$P$155&gt;=2)+(Effectiveness!$R$5:$R$155&gt;=2))&gt;0))</f>
        <v>53</v>
      </c>
      <c r="K1300" s="26" t="n">
        <f aca="false">J1300/151</f>
        <v>0.350993377483444</v>
      </c>
      <c r="L1300" s="25" t="n">
        <f aca="false">MIN(INDEX('Move Reality'!$F$5:$F$19,MATCH(B1300,'Move Reality'!$A$5:$A$19,0)),INDEX('Move Reality'!$F$5:$F$19,MATCH(C1300,'Move Reality'!$A$5:$A$19,0)),INDEX('Move Reality'!$F$5:$F$19,MATCH(D1300,'Move Reality'!$A$5:$A$19,0)),INDEX('Move Reality'!$F$5:$F$19,MATCH(E1300,'Move Reality'!$A$5:$A$19,0)))</f>
        <v>1</v>
      </c>
      <c r="M1300" s="28" t="str">
        <f aca="false">IF(L1300&gt;=5,"YES","no - dead move")</f>
        <v>no - dead move</v>
      </c>
    </row>
    <row r="1301" customFormat="false" ht="15" hidden="false" customHeight="false" outlineLevel="0" collapsed="false">
      <c r="A1301" s="17" t="n">
        <v>1297</v>
      </c>
      <c r="B1301" s="17" t="s">
        <v>40</v>
      </c>
      <c r="C1301" s="17" t="s">
        <v>47</v>
      </c>
      <c r="D1301" s="17" t="s">
        <v>51</v>
      </c>
      <c r="E1301" s="17" t="s">
        <v>54</v>
      </c>
      <c r="F1301" s="25" t="n">
        <f aca="false">SUMPRODUCT(--((('Yellow Bosses'!$H$5:$H$53&gt;=2)+('Yellow Bosses'!$O$5:$O$53&gt;=2)+('Yellow Bosses'!$S$5:$S$53&gt;=2)+('Yellow Bosses'!$V$5:$V$53&gt;=2))&gt;0))</f>
        <v>21</v>
      </c>
      <c r="G1301" s="26" t="n">
        <f aca="false">F1301/49</f>
        <v>0.428571428571429</v>
      </c>
      <c r="H1301" s="25" t="n">
        <f aca="false">49-SUMPRODUCT(--((('Yellow Bosses'!$H$5:$H$53&gt;=1)+('Yellow Bosses'!$O$5:$O$53&gt;=1)+('Yellow Bosses'!$S$5:$S$53&gt;=1)+('Yellow Bosses'!$V$5:$V$53&gt;=1))&gt;0))</f>
        <v>0</v>
      </c>
      <c r="I1301" s="25" t="n">
        <f aca="false">SUMPRODUCT(--((('Yellow Bosses'!$H$5:$H$53&gt;0)+('Yellow Bosses'!$O$5:$O$53&gt;0)+('Yellow Bosses'!$S$5:$S$53&gt;0)+('Yellow Bosses'!$V$5:$V$53&gt;0))=0))</f>
        <v>0</v>
      </c>
      <c r="J1301" s="25" t="n">
        <f aca="false">SUMPRODUCT(--(((Effectiveness!$E$5:$E$155&gt;=2)+(Effectiveness!$L$5:$L$155&gt;=2)+(Effectiveness!$P$5:$P$155&gt;=2)+(Effectiveness!$S$5:$S$155&gt;=2))&gt;0))</f>
        <v>53</v>
      </c>
      <c r="K1301" s="26" t="n">
        <f aca="false">J1301/151</f>
        <v>0.350993377483444</v>
      </c>
      <c r="L1301" s="25" t="n">
        <f aca="false">MIN(INDEX('Move Reality'!$F$5:$F$19,MATCH(B1301,'Move Reality'!$A$5:$A$19,0)),INDEX('Move Reality'!$F$5:$F$19,MATCH(C1301,'Move Reality'!$A$5:$A$19,0)),INDEX('Move Reality'!$F$5:$F$19,MATCH(D1301,'Move Reality'!$A$5:$A$19,0)),INDEX('Move Reality'!$F$5:$F$19,MATCH(E1301,'Move Reality'!$A$5:$A$19,0)))</f>
        <v>1</v>
      </c>
      <c r="M1301" s="28" t="str">
        <f aca="false">IF(L1301&gt;=5,"YES","no - dead move")</f>
        <v>no - dead move</v>
      </c>
    </row>
    <row r="1302" customFormat="false" ht="15" hidden="false" customHeight="false" outlineLevel="0" collapsed="false">
      <c r="A1302" s="17" t="n">
        <v>1298</v>
      </c>
      <c r="B1302" s="17" t="s">
        <v>45</v>
      </c>
      <c r="C1302" s="17" t="s">
        <v>47</v>
      </c>
      <c r="D1302" s="17" t="s">
        <v>53</v>
      </c>
      <c r="E1302" s="17" t="s">
        <v>54</v>
      </c>
      <c r="F1302" s="25" t="n">
        <f aca="false">SUMPRODUCT(--((('Yellow Bosses'!$M$5:$M$53&gt;=2)+('Yellow Bosses'!$O$5:$O$53&gt;=2)+('Yellow Bosses'!$U$5:$U$53&gt;=2)+('Yellow Bosses'!$V$5:$V$53&gt;=2))&gt;0))</f>
        <v>21</v>
      </c>
      <c r="G1302" s="26" t="n">
        <f aca="false">F1302/49</f>
        <v>0.428571428571429</v>
      </c>
      <c r="H1302" s="25" t="n">
        <f aca="false">49-SUMPRODUCT(--((('Yellow Bosses'!$M$5:$M$53&gt;=1)+('Yellow Bosses'!$O$5:$O$53&gt;=1)+('Yellow Bosses'!$U$5:$U$53&gt;=1)+('Yellow Bosses'!$V$5:$V$53&gt;=1))&gt;0))</f>
        <v>0</v>
      </c>
      <c r="I1302" s="25" t="n">
        <f aca="false">SUMPRODUCT(--((('Yellow Bosses'!$M$5:$M$53&gt;0)+('Yellow Bosses'!$O$5:$O$53&gt;0)+('Yellow Bosses'!$U$5:$U$53&gt;0)+('Yellow Bosses'!$V$5:$V$53&gt;0))=0))</f>
        <v>0</v>
      </c>
      <c r="J1302" s="25" t="n">
        <f aca="false">SUMPRODUCT(--(((Effectiveness!$J$5:$J$155&gt;=2)+(Effectiveness!$L$5:$L$155&gt;=2)+(Effectiveness!$R$5:$R$155&gt;=2)+(Effectiveness!$S$5:$S$155&gt;=2))&gt;0))</f>
        <v>53</v>
      </c>
      <c r="K1302" s="26" t="n">
        <f aca="false">J1302/151</f>
        <v>0.350993377483444</v>
      </c>
      <c r="L1302" s="25" t="n">
        <f aca="false">MIN(INDEX('Move Reality'!$F$5:$F$19,MATCH(B1302,'Move Reality'!$A$5:$A$19,0)),INDEX('Move Reality'!$F$5:$F$19,MATCH(C1302,'Move Reality'!$A$5:$A$19,0)),INDEX('Move Reality'!$F$5:$F$19,MATCH(D1302,'Move Reality'!$A$5:$A$19,0)),INDEX('Move Reality'!$F$5:$F$19,MATCH(E1302,'Move Reality'!$A$5:$A$19,0)))</f>
        <v>1</v>
      </c>
      <c r="M1302" s="28" t="str">
        <f aca="false">IF(L1302&gt;=5,"YES","no - dead move")</f>
        <v>no - dead move</v>
      </c>
    </row>
    <row r="1303" customFormat="false" ht="15" hidden="false" customHeight="false" outlineLevel="0" collapsed="false">
      <c r="A1303" s="17" t="n">
        <v>1299</v>
      </c>
      <c r="B1303" s="17" t="s">
        <v>40</v>
      </c>
      <c r="C1303" s="17" t="s">
        <v>45</v>
      </c>
      <c r="D1303" s="17" t="s">
        <v>53</v>
      </c>
      <c r="E1303" s="17" t="s">
        <v>54</v>
      </c>
      <c r="F1303" s="25" t="n">
        <f aca="false">SUMPRODUCT(--((('Yellow Bosses'!$H$5:$H$53&gt;=2)+('Yellow Bosses'!$M$5:$M$53&gt;=2)+('Yellow Bosses'!$U$5:$U$53&gt;=2)+('Yellow Bosses'!$V$5:$V$53&gt;=2))&gt;0))</f>
        <v>21</v>
      </c>
      <c r="G1303" s="26" t="n">
        <f aca="false">F1303/49</f>
        <v>0.428571428571429</v>
      </c>
      <c r="H1303" s="25" t="n">
        <f aca="false">49-SUMPRODUCT(--((('Yellow Bosses'!$H$5:$H$53&gt;=1)+('Yellow Bosses'!$M$5:$M$53&gt;=1)+('Yellow Bosses'!$U$5:$U$53&gt;=1)+('Yellow Bosses'!$V$5:$V$53&gt;=1))&gt;0))</f>
        <v>0</v>
      </c>
      <c r="I1303" s="25" t="n">
        <f aca="false">SUMPRODUCT(--((('Yellow Bosses'!$H$5:$H$53&gt;0)+('Yellow Bosses'!$M$5:$M$53&gt;0)+('Yellow Bosses'!$U$5:$U$53&gt;0)+('Yellow Bosses'!$V$5:$V$53&gt;0))=0))</f>
        <v>0</v>
      </c>
      <c r="J1303" s="25" t="n">
        <f aca="false">SUMPRODUCT(--(((Effectiveness!$E$5:$E$155&gt;=2)+(Effectiveness!$J$5:$J$155&gt;=2)+(Effectiveness!$R$5:$R$155&gt;=2)+(Effectiveness!$S$5:$S$155&gt;=2))&gt;0))</f>
        <v>50</v>
      </c>
      <c r="K1303" s="26" t="n">
        <f aca="false">J1303/151</f>
        <v>0.33112582781457</v>
      </c>
      <c r="L1303" s="25" t="n">
        <f aca="false">MIN(INDEX('Move Reality'!$F$5:$F$19,MATCH(B1303,'Move Reality'!$A$5:$A$19,0)),INDEX('Move Reality'!$F$5:$F$19,MATCH(C1303,'Move Reality'!$A$5:$A$19,0)),INDEX('Move Reality'!$F$5:$F$19,MATCH(D1303,'Move Reality'!$A$5:$A$19,0)),INDEX('Move Reality'!$F$5:$F$19,MATCH(E1303,'Move Reality'!$A$5:$A$19,0)))</f>
        <v>1</v>
      </c>
      <c r="M1303" s="28" t="str">
        <f aca="false">IF(L1303&gt;=5,"YES","no - dead move")</f>
        <v>no - dead move</v>
      </c>
    </row>
    <row r="1304" customFormat="false" ht="15" hidden="false" customHeight="false" outlineLevel="0" collapsed="false">
      <c r="A1304" s="17" t="n">
        <v>1300</v>
      </c>
      <c r="B1304" s="17" t="s">
        <v>40</v>
      </c>
      <c r="C1304" s="17" t="s">
        <v>47</v>
      </c>
      <c r="D1304" s="17" t="s">
        <v>52</v>
      </c>
      <c r="E1304" s="17" t="s">
        <v>53</v>
      </c>
      <c r="F1304" s="25" t="n">
        <f aca="false">SUMPRODUCT(--((('Yellow Bosses'!$H$5:$H$53&gt;=2)+('Yellow Bosses'!$O$5:$O$53&gt;=2)+('Yellow Bosses'!$T$5:$T$53&gt;=2)+('Yellow Bosses'!$U$5:$U$53&gt;=2))&gt;0))</f>
        <v>21</v>
      </c>
      <c r="G1304" s="26" t="n">
        <f aca="false">F1304/49</f>
        <v>0.428571428571429</v>
      </c>
      <c r="H1304" s="25" t="n">
        <f aca="false">49-SUMPRODUCT(--((('Yellow Bosses'!$H$5:$H$53&gt;=1)+('Yellow Bosses'!$O$5:$O$53&gt;=1)+('Yellow Bosses'!$T$5:$T$53&gt;=1)+('Yellow Bosses'!$U$5:$U$53&gt;=1))&gt;0))</f>
        <v>0</v>
      </c>
      <c r="I1304" s="25" t="n">
        <f aca="false">SUMPRODUCT(--((('Yellow Bosses'!$H$5:$H$53&gt;0)+('Yellow Bosses'!$O$5:$O$53&gt;0)+('Yellow Bosses'!$T$5:$T$53&gt;0)+('Yellow Bosses'!$U$5:$U$53&gt;0))=0))</f>
        <v>0</v>
      </c>
      <c r="J1304" s="25" t="n">
        <f aca="false">SUMPRODUCT(--(((Effectiveness!$E$5:$E$155&gt;=2)+(Effectiveness!$L$5:$L$155&gt;=2)+(Effectiveness!$Q$5:$Q$155&gt;=2)+(Effectiveness!$R$5:$R$155&gt;=2))&gt;0))</f>
        <v>49</v>
      </c>
      <c r="K1304" s="26" t="n">
        <f aca="false">J1304/151</f>
        <v>0.324503311258278</v>
      </c>
      <c r="L1304" s="25" t="n">
        <f aca="false">MIN(INDEX('Move Reality'!$F$5:$F$19,MATCH(B1304,'Move Reality'!$A$5:$A$19,0)),INDEX('Move Reality'!$F$5:$F$19,MATCH(C1304,'Move Reality'!$A$5:$A$19,0)),INDEX('Move Reality'!$F$5:$F$19,MATCH(D1304,'Move Reality'!$A$5:$A$19,0)),INDEX('Move Reality'!$F$5:$F$19,MATCH(E1304,'Move Reality'!$A$5:$A$19,0)))</f>
        <v>1</v>
      </c>
      <c r="M1304" s="28" t="str">
        <f aca="false">IF(L1304&gt;=5,"YES","no - dead move")</f>
        <v>no - dead move</v>
      </c>
    </row>
    <row r="1305" customFormat="false" ht="15" hidden="false" customHeight="false" outlineLevel="0" collapsed="false">
      <c r="A1305" s="17" t="n">
        <v>1301</v>
      </c>
      <c r="B1305" s="17" t="s">
        <v>40</v>
      </c>
      <c r="C1305" s="17" t="s">
        <v>52</v>
      </c>
      <c r="D1305" s="17" t="s">
        <v>53</v>
      </c>
      <c r="E1305" s="17" t="s">
        <v>54</v>
      </c>
      <c r="F1305" s="25" t="n">
        <f aca="false">SUMPRODUCT(--((('Yellow Bosses'!$H$5:$H$53&gt;=2)+('Yellow Bosses'!$T$5:$T$53&gt;=2)+('Yellow Bosses'!$U$5:$U$53&gt;=2)+('Yellow Bosses'!$V$5:$V$53&gt;=2))&gt;0))</f>
        <v>21</v>
      </c>
      <c r="G1305" s="26" t="n">
        <f aca="false">F1305/49</f>
        <v>0.428571428571429</v>
      </c>
      <c r="H1305" s="25" t="n">
        <f aca="false">49-SUMPRODUCT(--((('Yellow Bosses'!$H$5:$H$53&gt;=1)+('Yellow Bosses'!$T$5:$T$53&gt;=1)+('Yellow Bosses'!$U$5:$U$53&gt;=1)+('Yellow Bosses'!$V$5:$V$53&gt;=1))&gt;0))</f>
        <v>0</v>
      </c>
      <c r="I1305" s="25" t="n">
        <f aca="false">SUMPRODUCT(--((('Yellow Bosses'!$H$5:$H$53&gt;0)+('Yellow Bosses'!$T$5:$T$53&gt;0)+('Yellow Bosses'!$U$5:$U$53&gt;0)+('Yellow Bosses'!$V$5:$V$53&gt;0))=0))</f>
        <v>0</v>
      </c>
      <c r="J1305" s="25" t="n">
        <f aca="false">SUMPRODUCT(--(((Effectiveness!$E$5:$E$155&gt;=2)+(Effectiveness!$Q$5:$Q$155&gt;=2)+(Effectiveness!$R$5:$R$155&gt;=2)+(Effectiveness!$S$5:$S$155&gt;=2))&gt;0))</f>
        <v>48</v>
      </c>
      <c r="K1305" s="26" t="n">
        <f aca="false">J1305/151</f>
        <v>0.317880794701987</v>
      </c>
      <c r="L1305" s="25" t="n">
        <f aca="false">MIN(INDEX('Move Reality'!$F$5:$F$19,MATCH(B1305,'Move Reality'!$A$5:$A$19,0)),INDEX('Move Reality'!$F$5:$F$19,MATCH(C1305,'Move Reality'!$A$5:$A$19,0)),INDEX('Move Reality'!$F$5:$F$19,MATCH(D1305,'Move Reality'!$A$5:$A$19,0)),INDEX('Move Reality'!$F$5:$F$19,MATCH(E1305,'Move Reality'!$A$5:$A$19,0)))</f>
        <v>1</v>
      </c>
      <c r="M1305" s="28" t="str">
        <f aca="false">IF(L1305&gt;=5,"YES","no - dead move")</f>
        <v>no - dead move</v>
      </c>
    </row>
    <row r="1306" customFormat="false" ht="15" hidden="false" customHeight="false" outlineLevel="0" collapsed="false">
      <c r="A1306" s="17" t="n">
        <v>1302</v>
      </c>
      <c r="B1306" s="17" t="s">
        <v>43</v>
      </c>
      <c r="C1306" s="17" t="s">
        <v>44</v>
      </c>
      <c r="D1306" s="17" t="s">
        <v>46</v>
      </c>
      <c r="E1306" s="17" t="s">
        <v>47</v>
      </c>
      <c r="F1306" s="25" t="n">
        <f aca="false">SUMPRODUCT(--((('Yellow Bosses'!$K$5:$K$53&gt;=2)+('Yellow Bosses'!$L$5:$L$53&gt;=2)+('Yellow Bosses'!$N$5:$N$53&gt;=2)+('Yellow Bosses'!$O$5:$O$53&gt;=2))&gt;0))</f>
        <v>20</v>
      </c>
      <c r="G1306" s="26" t="n">
        <f aca="false">F1306/49</f>
        <v>0.408163265306122</v>
      </c>
      <c r="H1306" s="25" t="n">
        <f aca="false">49-SUMPRODUCT(--((('Yellow Bosses'!$K$5:$K$53&gt;=1)+('Yellow Bosses'!$L$5:$L$53&gt;=1)+('Yellow Bosses'!$N$5:$N$53&gt;=1)+('Yellow Bosses'!$O$5:$O$53&gt;=1))&gt;0))</f>
        <v>0</v>
      </c>
      <c r="I1306" s="25" t="n">
        <f aca="false">SUMPRODUCT(--((('Yellow Bosses'!$K$5:$K$53&gt;0)+('Yellow Bosses'!$L$5:$L$53&gt;0)+('Yellow Bosses'!$N$5:$N$53&gt;0)+('Yellow Bosses'!$O$5:$O$53&gt;0))=0))</f>
        <v>0</v>
      </c>
      <c r="J1306" s="25" t="n">
        <f aca="false">SUMPRODUCT(--(((Effectiveness!$H$5:$H$155&gt;=2)+(Effectiveness!$I$5:$I$155&gt;=2)+(Effectiveness!$K$5:$K$155&gt;=2)+(Effectiveness!$L$5:$L$155&gt;=2))&gt;0))</f>
        <v>84</v>
      </c>
      <c r="K1306" s="26" t="n">
        <f aca="false">J1306/151</f>
        <v>0.556291390728477</v>
      </c>
      <c r="L1306" s="25" t="n">
        <f aca="false">MIN(INDEX('Move Reality'!$F$5:$F$19,MATCH(B1306,'Move Reality'!$A$5:$A$19,0)),INDEX('Move Reality'!$F$5:$F$19,MATCH(C1306,'Move Reality'!$A$5:$A$19,0)),INDEX('Move Reality'!$F$5:$F$19,MATCH(D1306,'Move Reality'!$A$5:$A$19,0)),INDEX('Move Reality'!$F$5:$F$19,MATCH(E1306,'Move Reality'!$A$5:$A$19,0)))</f>
        <v>2</v>
      </c>
      <c r="M1306" s="28" t="str">
        <f aca="false">IF(L1306&gt;=5,"YES","no - dead move")</f>
        <v>no - dead move</v>
      </c>
    </row>
    <row r="1307" customFormat="false" ht="15" hidden="false" customHeight="false" outlineLevel="0" collapsed="false">
      <c r="A1307" s="17" t="n">
        <v>1303</v>
      </c>
      <c r="B1307" s="17" t="s">
        <v>44</v>
      </c>
      <c r="C1307" s="17" t="s">
        <v>46</v>
      </c>
      <c r="D1307" s="17" t="s">
        <v>47</v>
      </c>
      <c r="E1307" s="17" t="s">
        <v>53</v>
      </c>
      <c r="F1307" s="25" t="n">
        <f aca="false">SUMPRODUCT(--((('Yellow Bosses'!$L$5:$L$53&gt;=2)+('Yellow Bosses'!$N$5:$N$53&gt;=2)+('Yellow Bosses'!$O$5:$O$53&gt;=2)+('Yellow Bosses'!$U$5:$U$53&gt;=2))&gt;0))</f>
        <v>20</v>
      </c>
      <c r="G1307" s="26" t="n">
        <f aca="false">F1307/49</f>
        <v>0.408163265306122</v>
      </c>
      <c r="H1307" s="25" t="n">
        <f aca="false">49-SUMPRODUCT(--((('Yellow Bosses'!$L$5:$L$53&gt;=1)+('Yellow Bosses'!$N$5:$N$53&gt;=1)+('Yellow Bosses'!$O$5:$O$53&gt;=1)+('Yellow Bosses'!$U$5:$U$53&gt;=1))&gt;0))</f>
        <v>0</v>
      </c>
      <c r="I1307" s="25" t="n">
        <f aca="false">SUMPRODUCT(--((('Yellow Bosses'!$L$5:$L$53&gt;0)+('Yellow Bosses'!$N$5:$N$53&gt;0)+('Yellow Bosses'!$O$5:$O$53&gt;0)+('Yellow Bosses'!$U$5:$U$53&gt;0))=0))</f>
        <v>0</v>
      </c>
      <c r="J1307" s="25" t="n">
        <f aca="false">SUMPRODUCT(--(((Effectiveness!$I$5:$I$155&gt;=2)+(Effectiveness!$K$5:$K$155&gt;=2)+(Effectiveness!$L$5:$L$155&gt;=2)+(Effectiveness!$R$5:$R$155&gt;=2))&gt;0))</f>
        <v>70</v>
      </c>
      <c r="K1307" s="26" t="n">
        <f aca="false">J1307/151</f>
        <v>0.463576158940397</v>
      </c>
      <c r="L1307" s="25" t="n">
        <f aca="false">MIN(INDEX('Move Reality'!$F$5:$F$19,MATCH(B1307,'Move Reality'!$A$5:$A$19,0)),INDEX('Move Reality'!$F$5:$F$19,MATCH(C1307,'Move Reality'!$A$5:$A$19,0)),INDEX('Move Reality'!$F$5:$F$19,MATCH(D1307,'Move Reality'!$A$5:$A$19,0)),INDEX('Move Reality'!$F$5:$F$19,MATCH(E1307,'Move Reality'!$A$5:$A$19,0)))</f>
        <v>1</v>
      </c>
      <c r="M1307" s="28" t="str">
        <f aca="false">IF(L1307&gt;=5,"YES","no - dead move")</f>
        <v>no - dead move</v>
      </c>
    </row>
    <row r="1308" customFormat="false" ht="15" hidden="false" customHeight="false" outlineLevel="0" collapsed="false">
      <c r="A1308" s="17" t="n">
        <v>1304</v>
      </c>
      <c r="B1308" s="17" t="s">
        <v>44</v>
      </c>
      <c r="C1308" s="17" t="s">
        <v>46</v>
      </c>
      <c r="D1308" s="17" t="s">
        <v>47</v>
      </c>
      <c r="E1308" s="17" t="s">
        <v>54</v>
      </c>
      <c r="F1308" s="25" t="n">
        <f aca="false">SUMPRODUCT(--((('Yellow Bosses'!$L$5:$L$53&gt;=2)+('Yellow Bosses'!$N$5:$N$53&gt;=2)+('Yellow Bosses'!$O$5:$O$53&gt;=2)+('Yellow Bosses'!$V$5:$V$53&gt;=2))&gt;0))</f>
        <v>20</v>
      </c>
      <c r="G1308" s="26" t="n">
        <f aca="false">F1308/49</f>
        <v>0.408163265306122</v>
      </c>
      <c r="H1308" s="25" t="n">
        <f aca="false">49-SUMPRODUCT(--((('Yellow Bosses'!$L$5:$L$53&gt;=1)+('Yellow Bosses'!$N$5:$N$53&gt;=1)+('Yellow Bosses'!$O$5:$O$53&gt;=1)+('Yellow Bosses'!$V$5:$V$53&gt;=1))&gt;0))</f>
        <v>0</v>
      </c>
      <c r="I1308" s="25" t="n">
        <f aca="false">SUMPRODUCT(--((('Yellow Bosses'!$L$5:$L$53&gt;0)+('Yellow Bosses'!$N$5:$N$53&gt;0)+('Yellow Bosses'!$O$5:$O$53&gt;0)+('Yellow Bosses'!$V$5:$V$53&gt;0))=0))</f>
        <v>0</v>
      </c>
      <c r="J1308" s="25" t="n">
        <f aca="false">SUMPRODUCT(--(((Effectiveness!$I$5:$I$155&gt;=2)+(Effectiveness!$K$5:$K$155&gt;=2)+(Effectiveness!$L$5:$L$155&gt;=2)+(Effectiveness!$S$5:$S$155&gt;=2))&gt;0))</f>
        <v>70</v>
      </c>
      <c r="K1308" s="26" t="n">
        <f aca="false">J1308/151</f>
        <v>0.463576158940397</v>
      </c>
      <c r="L1308" s="25" t="n">
        <f aca="false">MIN(INDEX('Move Reality'!$F$5:$F$19,MATCH(B1308,'Move Reality'!$A$5:$A$19,0)),INDEX('Move Reality'!$F$5:$F$19,MATCH(C1308,'Move Reality'!$A$5:$A$19,0)),INDEX('Move Reality'!$F$5:$F$19,MATCH(D1308,'Move Reality'!$A$5:$A$19,0)),INDEX('Move Reality'!$F$5:$F$19,MATCH(E1308,'Move Reality'!$A$5:$A$19,0)))</f>
        <v>1</v>
      </c>
      <c r="M1308" s="28" t="str">
        <f aca="false">IF(L1308&gt;=5,"YES","no - dead move")</f>
        <v>no - dead move</v>
      </c>
    </row>
    <row r="1309" customFormat="false" ht="15" hidden="false" customHeight="false" outlineLevel="0" collapsed="false">
      <c r="A1309" s="17" t="n">
        <v>1305</v>
      </c>
      <c r="B1309" s="17" t="s">
        <v>40</v>
      </c>
      <c r="C1309" s="17" t="s">
        <v>43</v>
      </c>
      <c r="D1309" s="17" t="s">
        <v>44</v>
      </c>
      <c r="E1309" s="17" t="s">
        <v>53</v>
      </c>
      <c r="F1309" s="25" t="n">
        <f aca="false">SUMPRODUCT(--((('Yellow Bosses'!$H$5:$H$53&gt;=2)+('Yellow Bosses'!$K$5:$K$53&gt;=2)+('Yellow Bosses'!$L$5:$L$53&gt;=2)+('Yellow Bosses'!$U$5:$U$53&gt;=2))&gt;0))</f>
        <v>20</v>
      </c>
      <c r="G1309" s="26" t="n">
        <f aca="false">F1309/49</f>
        <v>0.408163265306122</v>
      </c>
      <c r="H1309" s="25" t="n">
        <f aca="false">49-SUMPRODUCT(--((('Yellow Bosses'!$H$5:$H$53&gt;=1)+('Yellow Bosses'!$K$5:$K$53&gt;=1)+('Yellow Bosses'!$L$5:$L$53&gt;=1)+('Yellow Bosses'!$U$5:$U$53&gt;=1))&gt;0))</f>
        <v>0</v>
      </c>
      <c r="I1309" s="25" t="n">
        <f aca="false">SUMPRODUCT(--((('Yellow Bosses'!$H$5:$H$53&gt;0)+('Yellow Bosses'!$K$5:$K$53&gt;0)+('Yellow Bosses'!$L$5:$L$53&gt;0)+('Yellow Bosses'!$U$5:$U$53&gt;0))=0))</f>
        <v>0</v>
      </c>
      <c r="J1309" s="25" t="n">
        <f aca="false">SUMPRODUCT(--(((Effectiveness!$E$5:$E$155&gt;=2)+(Effectiveness!$H$5:$H$155&gt;=2)+(Effectiveness!$I$5:$I$155&gt;=2)+(Effectiveness!$R$5:$R$155&gt;=2))&gt;0))</f>
        <v>63</v>
      </c>
      <c r="K1309" s="26" t="n">
        <f aca="false">J1309/151</f>
        <v>0.417218543046358</v>
      </c>
      <c r="L1309" s="25" t="n">
        <f aca="false">MIN(INDEX('Move Reality'!$F$5:$F$19,MATCH(B1309,'Move Reality'!$A$5:$A$19,0)),INDEX('Move Reality'!$F$5:$F$19,MATCH(C1309,'Move Reality'!$A$5:$A$19,0)),INDEX('Move Reality'!$F$5:$F$19,MATCH(D1309,'Move Reality'!$A$5:$A$19,0)),INDEX('Move Reality'!$F$5:$F$19,MATCH(E1309,'Move Reality'!$A$5:$A$19,0)))</f>
        <v>1</v>
      </c>
      <c r="M1309" s="28" t="str">
        <f aca="false">IF(L1309&gt;=5,"YES","no - dead move")</f>
        <v>no - dead move</v>
      </c>
    </row>
    <row r="1310" customFormat="false" ht="15" hidden="false" customHeight="false" outlineLevel="0" collapsed="false">
      <c r="A1310" s="17" t="n">
        <v>1306</v>
      </c>
      <c r="B1310" s="17" t="s">
        <v>40</v>
      </c>
      <c r="C1310" s="17" t="s">
        <v>43</v>
      </c>
      <c r="D1310" s="17" t="s">
        <v>44</v>
      </c>
      <c r="E1310" s="17" t="s">
        <v>54</v>
      </c>
      <c r="F1310" s="25" t="n">
        <f aca="false">SUMPRODUCT(--((('Yellow Bosses'!$H$5:$H$53&gt;=2)+('Yellow Bosses'!$K$5:$K$53&gt;=2)+('Yellow Bosses'!$L$5:$L$53&gt;=2)+('Yellow Bosses'!$V$5:$V$53&gt;=2))&gt;0))</f>
        <v>20</v>
      </c>
      <c r="G1310" s="26" t="n">
        <f aca="false">F1310/49</f>
        <v>0.408163265306122</v>
      </c>
      <c r="H1310" s="25" t="n">
        <f aca="false">49-SUMPRODUCT(--((('Yellow Bosses'!$H$5:$H$53&gt;=1)+('Yellow Bosses'!$K$5:$K$53&gt;=1)+('Yellow Bosses'!$L$5:$L$53&gt;=1)+('Yellow Bosses'!$V$5:$V$53&gt;=1))&gt;0))</f>
        <v>0</v>
      </c>
      <c r="I1310" s="25" t="n">
        <f aca="false">SUMPRODUCT(--((('Yellow Bosses'!$H$5:$H$53&gt;0)+('Yellow Bosses'!$K$5:$K$53&gt;0)+('Yellow Bosses'!$L$5:$L$53&gt;0)+('Yellow Bosses'!$V$5:$V$53&gt;0))=0))</f>
        <v>0</v>
      </c>
      <c r="J1310" s="25" t="n">
        <f aca="false">SUMPRODUCT(--(((Effectiveness!$E$5:$E$155&gt;=2)+(Effectiveness!$H$5:$H$155&gt;=2)+(Effectiveness!$I$5:$I$155&gt;=2)+(Effectiveness!$S$5:$S$155&gt;=2))&gt;0))</f>
        <v>63</v>
      </c>
      <c r="K1310" s="26" t="n">
        <f aca="false">J1310/151</f>
        <v>0.417218543046358</v>
      </c>
      <c r="L1310" s="25" t="n">
        <f aca="false">MIN(INDEX('Move Reality'!$F$5:$F$19,MATCH(B1310,'Move Reality'!$A$5:$A$19,0)),INDEX('Move Reality'!$F$5:$F$19,MATCH(C1310,'Move Reality'!$A$5:$A$19,0)),INDEX('Move Reality'!$F$5:$F$19,MATCH(D1310,'Move Reality'!$A$5:$A$19,0)),INDEX('Move Reality'!$F$5:$F$19,MATCH(E1310,'Move Reality'!$A$5:$A$19,0)))</f>
        <v>1</v>
      </c>
      <c r="M1310" s="28" t="str">
        <f aca="false">IF(L1310&gt;=5,"YES","no - dead move")</f>
        <v>no - dead move</v>
      </c>
    </row>
    <row r="1311" customFormat="false" ht="15" hidden="false" customHeight="false" outlineLevel="0" collapsed="false">
      <c r="A1311" s="17" t="n">
        <v>1307</v>
      </c>
      <c r="B1311" s="17" t="s">
        <v>40</v>
      </c>
      <c r="C1311" s="17" t="s">
        <v>46</v>
      </c>
      <c r="D1311" s="17" t="s">
        <v>47</v>
      </c>
      <c r="E1311" s="17" t="s">
        <v>49</v>
      </c>
      <c r="F1311" s="25" t="n">
        <f aca="false">SUMPRODUCT(--((('Yellow Bosses'!$H$5:$H$53&gt;=2)+('Yellow Bosses'!$N$5:$N$53&gt;=2)+('Yellow Bosses'!$O$5:$O$53&gt;=2)+('Yellow Bosses'!$Q$5:$Q$53&gt;=2))&gt;0))</f>
        <v>20</v>
      </c>
      <c r="G1311" s="26" t="n">
        <f aca="false">F1311/49</f>
        <v>0.408163265306122</v>
      </c>
      <c r="H1311" s="25" t="n">
        <f aca="false">49-SUMPRODUCT(--((('Yellow Bosses'!$H$5:$H$53&gt;=1)+('Yellow Bosses'!$N$5:$N$53&gt;=1)+('Yellow Bosses'!$O$5:$O$53&gt;=1)+('Yellow Bosses'!$Q$5:$Q$53&gt;=1))&gt;0))</f>
        <v>0</v>
      </c>
      <c r="I1311" s="25" t="n">
        <f aca="false">SUMPRODUCT(--((('Yellow Bosses'!$H$5:$H$53&gt;0)+('Yellow Bosses'!$N$5:$N$53&gt;0)+('Yellow Bosses'!$O$5:$O$53&gt;0)+('Yellow Bosses'!$Q$5:$Q$53&gt;0))=0))</f>
        <v>0</v>
      </c>
      <c r="J1311" s="25" t="n">
        <f aca="false">SUMPRODUCT(--(((Effectiveness!$E$5:$E$155&gt;=2)+(Effectiveness!$K$5:$K$155&gt;=2)+(Effectiveness!$L$5:$L$155&gt;=2)+(Effectiveness!$N$5:$N$155&gt;=2))&gt;0))</f>
        <v>61</v>
      </c>
      <c r="K1311" s="26" t="n">
        <f aca="false">J1311/151</f>
        <v>0.403973509933775</v>
      </c>
      <c r="L1311" s="25" t="n">
        <f aca="false">MIN(INDEX('Move Reality'!$F$5:$F$19,MATCH(B1311,'Move Reality'!$A$5:$A$19,0)),INDEX('Move Reality'!$F$5:$F$19,MATCH(C1311,'Move Reality'!$A$5:$A$19,0)),INDEX('Move Reality'!$F$5:$F$19,MATCH(D1311,'Move Reality'!$A$5:$A$19,0)),INDEX('Move Reality'!$F$5:$F$19,MATCH(E1311,'Move Reality'!$A$5:$A$19,0)))</f>
        <v>2</v>
      </c>
      <c r="M1311" s="28" t="str">
        <f aca="false">IF(L1311&gt;=5,"YES","no - dead move")</f>
        <v>no - dead move</v>
      </c>
    </row>
    <row r="1312" customFormat="false" ht="15" hidden="false" customHeight="false" outlineLevel="0" collapsed="false">
      <c r="A1312" s="17" t="n">
        <v>1308</v>
      </c>
      <c r="B1312" s="17" t="s">
        <v>40</v>
      </c>
      <c r="C1312" s="17" t="s">
        <v>42</v>
      </c>
      <c r="D1312" s="17" t="s">
        <v>46</v>
      </c>
      <c r="E1312" s="17" t="s">
        <v>47</v>
      </c>
      <c r="F1312" s="25" t="n">
        <f aca="false">SUMPRODUCT(--((('Yellow Bosses'!$H$5:$H$53&gt;=2)+('Yellow Bosses'!$J$5:$J$53&gt;=2)+('Yellow Bosses'!$N$5:$N$53&gt;=2)+('Yellow Bosses'!$O$5:$O$53&gt;=2))&gt;0))</f>
        <v>20</v>
      </c>
      <c r="G1312" s="26" t="n">
        <f aca="false">F1312/49</f>
        <v>0.408163265306122</v>
      </c>
      <c r="H1312" s="25" t="n">
        <f aca="false">49-SUMPRODUCT(--((('Yellow Bosses'!$H$5:$H$53&gt;=1)+('Yellow Bosses'!$J$5:$J$53&gt;=1)+('Yellow Bosses'!$N$5:$N$53&gt;=1)+('Yellow Bosses'!$O$5:$O$53&gt;=1))&gt;0))</f>
        <v>0</v>
      </c>
      <c r="I1312" s="25" t="n">
        <f aca="false">SUMPRODUCT(--((('Yellow Bosses'!$H$5:$H$53&gt;0)+('Yellow Bosses'!$J$5:$J$53&gt;0)+('Yellow Bosses'!$N$5:$N$53&gt;0)+('Yellow Bosses'!$O$5:$O$53&gt;0))=0))</f>
        <v>0</v>
      </c>
      <c r="J1312" s="25" t="n">
        <f aca="false">SUMPRODUCT(--(((Effectiveness!$E$5:$E$155&gt;=2)+(Effectiveness!$G$5:$G$155&gt;=2)+(Effectiveness!$K$5:$K$155&gt;=2)+(Effectiveness!$L$5:$L$155&gt;=2))&gt;0))</f>
        <v>60</v>
      </c>
      <c r="K1312" s="26" t="n">
        <f aca="false">J1312/151</f>
        <v>0.397350993377483</v>
      </c>
      <c r="L1312" s="25" t="n">
        <f aca="false">MIN(INDEX('Move Reality'!$F$5:$F$19,MATCH(B1312,'Move Reality'!$A$5:$A$19,0)),INDEX('Move Reality'!$F$5:$F$19,MATCH(C1312,'Move Reality'!$A$5:$A$19,0)),INDEX('Move Reality'!$F$5:$F$19,MATCH(D1312,'Move Reality'!$A$5:$A$19,0)),INDEX('Move Reality'!$F$5:$F$19,MATCH(E1312,'Move Reality'!$A$5:$A$19,0)))</f>
        <v>2</v>
      </c>
      <c r="M1312" s="28" t="str">
        <f aca="false">IF(L1312&gt;=5,"YES","no - dead move")</f>
        <v>no - dead move</v>
      </c>
    </row>
    <row r="1313" customFormat="false" ht="15" hidden="false" customHeight="false" outlineLevel="0" collapsed="false">
      <c r="A1313" s="17" t="n">
        <v>1309</v>
      </c>
      <c r="B1313" s="17" t="s">
        <v>40</v>
      </c>
      <c r="C1313" s="17" t="s">
        <v>41</v>
      </c>
      <c r="D1313" s="17" t="s">
        <v>47</v>
      </c>
      <c r="E1313" s="17" t="s">
        <v>52</v>
      </c>
      <c r="F1313" s="25" t="n">
        <f aca="false">SUMPRODUCT(--((('Yellow Bosses'!$H$5:$H$53&gt;=2)+('Yellow Bosses'!$I$5:$I$53&gt;=2)+('Yellow Bosses'!$O$5:$O$53&gt;=2)+('Yellow Bosses'!$T$5:$T$53&gt;=2))&gt;0))</f>
        <v>20</v>
      </c>
      <c r="G1313" s="26" t="n">
        <f aca="false">F1313/49</f>
        <v>0.408163265306122</v>
      </c>
      <c r="H1313" s="25" t="n">
        <f aca="false">49-SUMPRODUCT(--((('Yellow Bosses'!$H$5:$H$53&gt;=1)+('Yellow Bosses'!$I$5:$I$53&gt;=1)+('Yellow Bosses'!$O$5:$O$53&gt;=1)+('Yellow Bosses'!$T$5:$T$53&gt;=1))&gt;0))</f>
        <v>5</v>
      </c>
      <c r="I1313" s="25" t="n">
        <f aca="false">SUMPRODUCT(--((('Yellow Bosses'!$H$5:$H$53&gt;0)+('Yellow Bosses'!$I$5:$I$53&gt;0)+('Yellow Bosses'!$O$5:$O$53&gt;0)+('Yellow Bosses'!$T$5:$T$53&gt;0))=0))</f>
        <v>0</v>
      </c>
      <c r="J1313" s="25" t="n">
        <f aca="false">SUMPRODUCT(--(((Effectiveness!$E$5:$E$155&gt;=2)+(Effectiveness!$F$5:$F$155&gt;=2)+(Effectiveness!$L$5:$L$155&gt;=2)+(Effectiveness!$Q$5:$Q$155&gt;=2))&gt;0))</f>
        <v>55</v>
      </c>
      <c r="K1313" s="26" t="n">
        <f aca="false">J1313/151</f>
        <v>0.364238410596026</v>
      </c>
      <c r="L1313" s="25" t="n">
        <f aca="false">MIN(INDEX('Move Reality'!$F$5:$F$19,MATCH(B1313,'Move Reality'!$A$5:$A$19,0)),INDEX('Move Reality'!$F$5:$F$19,MATCH(C1313,'Move Reality'!$A$5:$A$19,0)),INDEX('Move Reality'!$F$5:$F$19,MATCH(D1313,'Move Reality'!$A$5:$A$19,0)),INDEX('Move Reality'!$F$5:$F$19,MATCH(E1313,'Move Reality'!$A$5:$A$19,0)))</f>
        <v>2</v>
      </c>
      <c r="M1313" s="28" t="str">
        <f aca="false">IF(L1313&gt;=5,"YES","no - dead move")</f>
        <v>no - dead move</v>
      </c>
    </row>
    <row r="1314" customFormat="false" ht="15" hidden="false" customHeight="false" outlineLevel="0" collapsed="false">
      <c r="A1314" s="17" t="n">
        <v>1310</v>
      </c>
      <c r="B1314" s="17" t="s">
        <v>40</v>
      </c>
      <c r="C1314" s="17" t="s">
        <v>42</v>
      </c>
      <c r="D1314" s="17" t="s">
        <v>48</v>
      </c>
      <c r="E1314" s="17" t="s">
        <v>53</v>
      </c>
      <c r="F1314" s="25" t="n">
        <f aca="false">SUMPRODUCT(--((('Yellow Bosses'!$H$5:$H$53&gt;=2)+('Yellow Bosses'!$J$5:$J$53&gt;=2)+('Yellow Bosses'!$P$5:$P$53&gt;=2)+('Yellow Bosses'!$U$5:$U$53&gt;=2))&gt;0))</f>
        <v>20</v>
      </c>
      <c r="G1314" s="26" t="n">
        <f aca="false">F1314/49</f>
        <v>0.408163265306122</v>
      </c>
      <c r="H1314" s="25" t="n">
        <f aca="false">49-SUMPRODUCT(--((('Yellow Bosses'!$H$5:$H$53&gt;=1)+('Yellow Bosses'!$J$5:$J$53&gt;=1)+('Yellow Bosses'!$P$5:$P$53&gt;=1)+('Yellow Bosses'!$U$5:$U$53&gt;=1))&gt;0))</f>
        <v>0</v>
      </c>
      <c r="I1314" s="25" t="n">
        <f aca="false">SUMPRODUCT(--((('Yellow Bosses'!$H$5:$H$53&gt;0)+('Yellow Bosses'!$J$5:$J$53&gt;0)+('Yellow Bosses'!$P$5:$P$53&gt;0)+('Yellow Bosses'!$U$5:$U$53&gt;0))=0))</f>
        <v>0</v>
      </c>
      <c r="J1314" s="25" t="n">
        <f aca="false">SUMPRODUCT(--(((Effectiveness!$E$5:$E$155&gt;=2)+(Effectiveness!$G$5:$G$155&gt;=2)+(Effectiveness!$M$5:$M$155&gt;=2)+(Effectiveness!$R$5:$R$155&gt;=2))&gt;0))</f>
        <v>54</v>
      </c>
      <c r="K1314" s="26" t="n">
        <f aca="false">J1314/151</f>
        <v>0.357615894039735</v>
      </c>
      <c r="L1314" s="25" t="n">
        <f aca="false">MIN(INDEX('Move Reality'!$F$5:$F$19,MATCH(B1314,'Move Reality'!$A$5:$A$19,0)),INDEX('Move Reality'!$F$5:$F$19,MATCH(C1314,'Move Reality'!$A$5:$A$19,0)),INDEX('Move Reality'!$F$5:$F$19,MATCH(D1314,'Move Reality'!$A$5:$A$19,0)),INDEX('Move Reality'!$F$5:$F$19,MATCH(E1314,'Move Reality'!$A$5:$A$19,0)))</f>
        <v>1</v>
      </c>
      <c r="M1314" s="28" t="str">
        <f aca="false">IF(L1314&gt;=5,"YES","no - dead move")</f>
        <v>no - dead move</v>
      </c>
    </row>
    <row r="1315" customFormat="false" ht="15" hidden="false" customHeight="false" outlineLevel="0" collapsed="false">
      <c r="A1315" s="17" t="n">
        <v>1311</v>
      </c>
      <c r="B1315" s="17" t="s">
        <v>40</v>
      </c>
      <c r="C1315" s="17" t="s">
        <v>47</v>
      </c>
      <c r="D1315" s="17" t="s">
        <v>52</v>
      </c>
      <c r="E1315" s="17" t="s">
        <v>54</v>
      </c>
      <c r="F1315" s="25" t="n">
        <f aca="false">SUMPRODUCT(--((('Yellow Bosses'!$H$5:$H$53&gt;=2)+('Yellow Bosses'!$O$5:$O$53&gt;=2)+('Yellow Bosses'!$T$5:$T$53&gt;=2)+('Yellow Bosses'!$V$5:$V$53&gt;=2))&gt;0))</f>
        <v>20</v>
      </c>
      <c r="G1315" s="26" t="n">
        <f aca="false">F1315/49</f>
        <v>0.408163265306122</v>
      </c>
      <c r="H1315" s="25" t="n">
        <f aca="false">49-SUMPRODUCT(--((('Yellow Bosses'!$H$5:$H$53&gt;=1)+('Yellow Bosses'!$O$5:$O$53&gt;=1)+('Yellow Bosses'!$T$5:$T$53&gt;=1)+('Yellow Bosses'!$V$5:$V$53&gt;=1))&gt;0))</f>
        <v>0</v>
      </c>
      <c r="I1315" s="25" t="n">
        <f aca="false">SUMPRODUCT(--((('Yellow Bosses'!$H$5:$H$53&gt;0)+('Yellow Bosses'!$O$5:$O$53&gt;0)+('Yellow Bosses'!$T$5:$T$53&gt;0)+('Yellow Bosses'!$V$5:$V$53&gt;0))=0))</f>
        <v>0</v>
      </c>
      <c r="J1315" s="25" t="n">
        <f aca="false">SUMPRODUCT(--(((Effectiveness!$E$5:$E$155&gt;=2)+(Effectiveness!$L$5:$L$155&gt;=2)+(Effectiveness!$Q$5:$Q$155&gt;=2)+(Effectiveness!$S$5:$S$155&gt;=2))&gt;0))</f>
        <v>48</v>
      </c>
      <c r="K1315" s="26" t="n">
        <f aca="false">J1315/151</f>
        <v>0.317880794701987</v>
      </c>
      <c r="L1315" s="25" t="n">
        <f aca="false">MIN(INDEX('Move Reality'!$F$5:$F$19,MATCH(B1315,'Move Reality'!$A$5:$A$19,0)),INDEX('Move Reality'!$F$5:$F$19,MATCH(C1315,'Move Reality'!$A$5:$A$19,0)),INDEX('Move Reality'!$F$5:$F$19,MATCH(D1315,'Move Reality'!$A$5:$A$19,0)),INDEX('Move Reality'!$F$5:$F$19,MATCH(E1315,'Move Reality'!$A$5:$A$19,0)))</f>
        <v>1</v>
      </c>
      <c r="M1315" s="28" t="str">
        <f aca="false">IF(L1315&gt;=5,"YES","no - dead move")</f>
        <v>no - dead move</v>
      </c>
    </row>
    <row r="1316" customFormat="false" ht="15" hidden="false" customHeight="false" outlineLevel="0" collapsed="false">
      <c r="A1316" s="17" t="n">
        <v>1312</v>
      </c>
      <c r="B1316" s="17" t="s">
        <v>40</v>
      </c>
      <c r="C1316" s="17" t="s">
        <v>48</v>
      </c>
      <c r="D1316" s="17" t="s">
        <v>53</v>
      </c>
      <c r="E1316" s="17" t="s">
        <v>54</v>
      </c>
      <c r="F1316" s="25" t="n">
        <f aca="false">SUMPRODUCT(--((('Yellow Bosses'!$H$5:$H$53&gt;=2)+('Yellow Bosses'!$P$5:$P$53&gt;=2)+('Yellow Bosses'!$U$5:$U$53&gt;=2)+('Yellow Bosses'!$V$5:$V$53&gt;=2))&gt;0))</f>
        <v>20</v>
      </c>
      <c r="G1316" s="26" t="n">
        <f aca="false">F1316/49</f>
        <v>0.408163265306122</v>
      </c>
      <c r="H1316" s="25" t="n">
        <f aca="false">49-SUMPRODUCT(--((('Yellow Bosses'!$H$5:$H$53&gt;=1)+('Yellow Bosses'!$P$5:$P$53&gt;=1)+('Yellow Bosses'!$U$5:$U$53&gt;=1)+('Yellow Bosses'!$V$5:$V$53&gt;=1))&gt;0))</f>
        <v>0</v>
      </c>
      <c r="I1316" s="25" t="n">
        <f aca="false">SUMPRODUCT(--((('Yellow Bosses'!$H$5:$H$53&gt;0)+('Yellow Bosses'!$P$5:$P$53&gt;0)+('Yellow Bosses'!$U$5:$U$53&gt;0)+('Yellow Bosses'!$V$5:$V$53&gt;0))=0))</f>
        <v>0</v>
      </c>
      <c r="J1316" s="25" t="n">
        <f aca="false">SUMPRODUCT(--(((Effectiveness!$E$5:$E$155&gt;=2)+(Effectiveness!$M$5:$M$155&gt;=2)+(Effectiveness!$R$5:$R$155&gt;=2)+(Effectiveness!$S$5:$S$155&gt;=2))&gt;0))</f>
        <v>48</v>
      </c>
      <c r="K1316" s="26" t="n">
        <f aca="false">J1316/151</f>
        <v>0.317880794701987</v>
      </c>
      <c r="L1316" s="25" t="n">
        <f aca="false">MIN(INDEX('Move Reality'!$F$5:$F$19,MATCH(B1316,'Move Reality'!$A$5:$A$19,0)),INDEX('Move Reality'!$F$5:$F$19,MATCH(C1316,'Move Reality'!$A$5:$A$19,0)),INDEX('Move Reality'!$F$5:$F$19,MATCH(D1316,'Move Reality'!$A$5:$A$19,0)),INDEX('Move Reality'!$F$5:$F$19,MATCH(E1316,'Move Reality'!$A$5:$A$19,0)))</f>
        <v>1</v>
      </c>
      <c r="M1316" s="28" t="str">
        <f aca="false">IF(L1316&gt;=5,"YES","no - dead move")</f>
        <v>no - dead move</v>
      </c>
    </row>
    <row r="1317" customFormat="false" ht="15" hidden="false" customHeight="false" outlineLevel="0" collapsed="false">
      <c r="A1317" s="17" t="n">
        <v>1313</v>
      </c>
      <c r="B1317" s="17" t="s">
        <v>40</v>
      </c>
      <c r="C1317" s="17" t="s">
        <v>44</v>
      </c>
      <c r="D1317" s="17" t="s">
        <v>53</v>
      </c>
      <c r="E1317" s="17" t="s">
        <v>54</v>
      </c>
      <c r="F1317" s="25" t="n">
        <f aca="false">SUMPRODUCT(--((('Yellow Bosses'!$H$5:$H$53&gt;=2)+('Yellow Bosses'!$L$5:$L$53&gt;=2)+('Yellow Bosses'!$U$5:$U$53&gt;=2)+('Yellow Bosses'!$V$5:$V$53&gt;=2))&gt;0))</f>
        <v>20</v>
      </c>
      <c r="G1317" s="26" t="n">
        <f aca="false">F1317/49</f>
        <v>0.408163265306122</v>
      </c>
      <c r="H1317" s="25" t="n">
        <f aca="false">49-SUMPRODUCT(--((('Yellow Bosses'!$H$5:$H$53&gt;=1)+('Yellow Bosses'!$L$5:$L$53&gt;=1)+('Yellow Bosses'!$U$5:$U$53&gt;=1)+('Yellow Bosses'!$V$5:$V$53&gt;=1))&gt;0))</f>
        <v>0</v>
      </c>
      <c r="I1317" s="25" t="n">
        <f aca="false">SUMPRODUCT(--((('Yellow Bosses'!$H$5:$H$53&gt;0)+('Yellow Bosses'!$L$5:$L$53&gt;0)+('Yellow Bosses'!$U$5:$U$53&gt;0)+('Yellow Bosses'!$V$5:$V$53&gt;0))=0))</f>
        <v>0</v>
      </c>
      <c r="J1317" s="25" t="n">
        <f aca="false">SUMPRODUCT(--(((Effectiveness!$E$5:$E$155&gt;=2)+(Effectiveness!$I$5:$I$155&gt;=2)+(Effectiveness!$R$5:$R$155&gt;=2)+(Effectiveness!$S$5:$S$155&gt;=2))&gt;0))</f>
        <v>47</v>
      </c>
      <c r="K1317" s="26" t="n">
        <f aca="false">J1317/151</f>
        <v>0.311258278145695</v>
      </c>
      <c r="L1317" s="25" t="n">
        <f aca="false">MIN(INDEX('Move Reality'!$F$5:$F$19,MATCH(B1317,'Move Reality'!$A$5:$A$19,0)),INDEX('Move Reality'!$F$5:$F$19,MATCH(C1317,'Move Reality'!$A$5:$A$19,0)),INDEX('Move Reality'!$F$5:$F$19,MATCH(D1317,'Move Reality'!$A$5:$A$19,0)),INDEX('Move Reality'!$F$5:$F$19,MATCH(E1317,'Move Reality'!$A$5:$A$19,0)))</f>
        <v>1</v>
      </c>
      <c r="M1317" s="28" t="str">
        <f aca="false">IF(L1317&gt;=5,"YES","no - dead move")</f>
        <v>no - dead move</v>
      </c>
    </row>
    <row r="1318" customFormat="false" ht="15" hidden="false" customHeight="false" outlineLevel="0" collapsed="false">
      <c r="A1318" s="17" t="n">
        <v>1314</v>
      </c>
      <c r="B1318" s="17" t="s">
        <v>40</v>
      </c>
      <c r="C1318" s="17" t="s">
        <v>42</v>
      </c>
      <c r="D1318" s="17" t="s">
        <v>53</v>
      </c>
      <c r="E1318" s="17" t="s">
        <v>54</v>
      </c>
      <c r="F1318" s="25" t="n">
        <f aca="false">SUMPRODUCT(--((('Yellow Bosses'!$H$5:$H$53&gt;=2)+('Yellow Bosses'!$J$5:$J$53&gt;=2)+('Yellow Bosses'!$U$5:$U$53&gt;=2)+('Yellow Bosses'!$V$5:$V$53&gt;=2))&gt;0))</f>
        <v>20</v>
      </c>
      <c r="G1318" s="26" t="n">
        <f aca="false">F1318/49</f>
        <v>0.408163265306122</v>
      </c>
      <c r="H1318" s="25" t="n">
        <f aca="false">49-SUMPRODUCT(--((('Yellow Bosses'!$H$5:$H$53&gt;=1)+('Yellow Bosses'!$J$5:$J$53&gt;=1)+('Yellow Bosses'!$U$5:$U$53&gt;=1)+('Yellow Bosses'!$V$5:$V$53&gt;=1))&gt;0))</f>
        <v>0</v>
      </c>
      <c r="I1318" s="25" t="n">
        <f aca="false">SUMPRODUCT(--((('Yellow Bosses'!$H$5:$H$53&gt;0)+('Yellow Bosses'!$J$5:$J$53&gt;0)+('Yellow Bosses'!$U$5:$U$53&gt;0)+('Yellow Bosses'!$V$5:$V$53&gt;0))=0))</f>
        <v>0</v>
      </c>
      <c r="J1318" s="25" t="n">
        <f aca="false">SUMPRODUCT(--(((Effectiveness!$E$5:$E$155&gt;=2)+(Effectiveness!$G$5:$G$155&gt;=2)+(Effectiveness!$R$5:$R$155&gt;=2)+(Effectiveness!$S$5:$S$155&gt;=2))&gt;0))</f>
        <v>33</v>
      </c>
      <c r="K1318" s="26" t="n">
        <f aca="false">J1318/151</f>
        <v>0.218543046357616</v>
      </c>
      <c r="L1318" s="25" t="n">
        <f aca="false">MIN(INDEX('Move Reality'!$F$5:$F$19,MATCH(B1318,'Move Reality'!$A$5:$A$19,0)),INDEX('Move Reality'!$F$5:$F$19,MATCH(C1318,'Move Reality'!$A$5:$A$19,0)),INDEX('Move Reality'!$F$5:$F$19,MATCH(D1318,'Move Reality'!$A$5:$A$19,0)),INDEX('Move Reality'!$F$5:$F$19,MATCH(E1318,'Move Reality'!$A$5:$A$19,0)))</f>
        <v>1</v>
      </c>
      <c r="M1318" s="28" t="str">
        <f aca="false">IF(L1318&gt;=5,"YES","no - dead move")</f>
        <v>no - dead move</v>
      </c>
    </row>
    <row r="1319" customFormat="false" ht="15" hidden="false" customHeight="false" outlineLevel="0" collapsed="false">
      <c r="A1319" s="17" t="n">
        <v>1315</v>
      </c>
      <c r="B1319" s="17" t="s">
        <v>40</v>
      </c>
      <c r="C1319" s="17" t="s">
        <v>43</v>
      </c>
      <c r="D1319" s="17" t="s">
        <v>46</v>
      </c>
      <c r="E1319" s="17" t="s">
        <v>53</v>
      </c>
      <c r="F1319" s="25" t="n">
        <f aca="false">SUMPRODUCT(--((('Yellow Bosses'!$H$5:$H$53&gt;=2)+('Yellow Bosses'!$K$5:$K$53&gt;=2)+('Yellow Bosses'!$N$5:$N$53&gt;=2)+('Yellow Bosses'!$U$5:$U$53&gt;=2))&gt;0))</f>
        <v>19</v>
      </c>
      <c r="G1319" s="26" t="n">
        <f aca="false">F1319/49</f>
        <v>0.387755102040816</v>
      </c>
      <c r="H1319" s="25" t="n">
        <f aca="false">49-SUMPRODUCT(--((('Yellow Bosses'!$H$5:$H$53&gt;=1)+('Yellow Bosses'!$K$5:$K$53&gt;=1)+('Yellow Bosses'!$N$5:$N$53&gt;=1)+('Yellow Bosses'!$U$5:$U$53&gt;=1))&gt;0))</f>
        <v>0</v>
      </c>
      <c r="I1319" s="25" t="n">
        <f aca="false">SUMPRODUCT(--((('Yellow Bosses'!$H$5:$H$53&gt;0)+('Yellow Bosses'!$K$5:$K$53&gt;0)+('Yellow Bosses'!$N$5:$N$53&gt;0)+('Yellow Bosses'!$U$5:$U$53&gt;0))=0))</f>
        <v>0</v>
      </c>
      <c r="J1319" s="25" t="n">
        <f aca="false">SUMPRODUCT(--(((Effectiveness!$E$5:$E$155&gt;=2)+(Effectiveness!$H$5:$H$155&gt;=2)+(Effectiveness!$K$5:$K$155&gt;=2)+(Effectiveness!$R$5:$R$155&gt;=2))&gt;0))</f>
        <v>73</v>
      </c>
      <c r="K1319" s="26" t="n">
        <f aca="false">J1319/151</f>
        <v>0.483443708609272</v>
      </c>
      <c r="L1319" s="25" t="n">
        <f aca="false">MIN(INDEX('Move Reality'!$F$5:$F$19,MATCH(B1319,'Move Reality'!$A$5:$A$19,0)),INDEX('Move Reality'!$F$5:$F$19,MATCH(C1319,'Move Reality'!$A$5:$A$19,0)),INDEX('Move Reality'!$F$5:$F$19,MATCH(D1319,'Move Reality'!$A$5:$A$19,0)),INDEX('Move Reality'!$F$5:$F$19,MATCH(E1319,'Move Reality'!$A$5:$A$19,0)))</f>
        <v>1</v>
      </c>
      <c r="M1319" s="28" t="str">
        <f aca="false">IF(L1319&gt;=5,"YES","no - dead move")</f>
        <v>no - dead move</v>
      </c>
    </row>
    <row r="1320" customFormat="false" ht="15" hidden="false" customHeight="false" outlineLevel="0" collapsed="false">
      <c r="A1320" s="17" t="n">
        <v>1316</v>
      </c>
      <c r="B1320" s="17" t="s">
        <v>40</v>
      </c>
      <c r="C1320" s="17" t="s">
        <v>43</v>
      </c>
      <c r="D1320" s="17" t="s">
        <v>46</v>
      </c>
      <c r="E1320" s="17" t="s">
        <v>54</v>
      </c>
      <c r="F1320" s="25" t="n">
        <f aca="false">SUMPRODUCT(--((('Yellow Bosses'!$H$5:$H$53&gt;=2)+('Yellow Bosses'!$K$5:$K$53&gt;=2)+('Yellow Bosses'!$N$5:$N$53&gt;=2)+('Yellow Bosses'!$V$5:$V$53&gt;=2))&gt;0))</f>
        <v>19</v>
      </c>
      <c r="G1320" s="26" t="n">
        <f aca="false">F1320/49</f>
        <v>0.387755102040816</v>
      </c>
      <c r="H1320" s="25" t="n">
        <f aca="false">49-SUMPRODUCT(--((('Yellow Bosses'!$H$5:$H$53&gt;=1)+('Yellow Bosses'!$K$5:$K$53&gt;=1)+('Yellow Bosses'!$N$5:$N$53&gt;=1)+('Yellow Bosses'!$V$5:$V$53&gt;=1))&gt;0))</f>
        <v>0</v>
      </c>
      <c r="I1320" s="25" t="n">
        <f aca="false">SUMPRODUCT(--((('Yellow Bosses'!$H$5:$H$53&gt;0)+('Yellow Bosses'!$K$5:$K$53&gt;0)+('Yellow Bosses'!$N$5:$N$53&gt;0)+('Yellow Bosses'!$V$5:$V$53&gt;0))=0))</f>
        <v>0</v>
      </c>
      <c r="J1320" s="25" t="n">
        <f aca="false">SUMPRODUCT(--(((Effectiveness!$E$5:$E$155&gt;=2)+(Effectiveness!$H$5:$H$155&gt;=2)+(Effectiveness!$K$5:$K$155&gt;=2)+(Effectiveness!$S$5:$S$155&gt;=2))&gt;0))</f>
        <v>73</v>
      </c>
      <c r="K1320" s="26" t="n">
        <f aca="false">J1320/151</f>
        <v>0.483443708609272</v>
      </c>
      <c r="L1320" s="25" t="n">
        <f aca="false">MIN(INDEX('Move Reality'!$F$5:$F$19,MATCH(B1320,'Move Reality'!$A$5:$A$19,0)),INDEX('Move Reality'!$F$5:$F$19,MATCH(C1320,'Move Reality'!$A$5:$A$19,0)),INDEX('Move Reality'!$F$5:$F$19,MATCH(D1320,'Move Reality'!$A$5:$A$19,0)),INDEX('Move Reality'!$F$5:$F$19,MATCH(E1320,'Move Reality'!$A$5:$A$19,0)))</f>
        <v>1</v>
      </c>
      <c r="M1320" s="28" t="str">
        <f aca="false">IF(L1320&gt;=5,"YES","no - dead move")</f>
        <v>no - dead move</v>
      </c>
    </row>
    <row r="1321" customFormat="false" ht="15" hidden="false" customHeight="false" outlineLevel="0" collapsed="false">
      <c r="A1321" s="17" t="n">
        <v>1317</v>
      </c>
      <c r="B1321" s="17" t="s">
        <v>40</v>
      </c>
      <c r="C1321" s="17" t="s">
        <v>41</v>
      </c>
      <c r="D1321" s="17" t="s">
        <v>43</v>
      </c>
      <c r="E1321" s="17" t="s">
        <v>47</v>
      </c>
      <c r="F1321" s="25" t="n">
        <f aca="false">SUMPRODUCT(--((('Yellow Bosses'!$H$5:$H$53&gt;=2)+('Yellow Bosses'!$I$5:$I$53&gt;=2)+('Yellow Bosses'!$K$5:$K$53&gt;=2)+('Yellow Bosses'!$O$5:$O$53&gt;=2))&gt;0))</f>
        <v>19</v>
      </c>
      <c r="G1321" s="26" t="n">
        <f aca="false">F1321/49</f>
        <v>0.387755102040816</v>
      </c>
      <c r="H1321" s="25" t="n">
        <f aca="false">49-SUMPRODUCT(--((('Yellow Bosses'!$H$5:$H$53&gt;=1)+('Yellow Bosses'!$I$5:$I$53&gt;=1)+('Yellow Bosses'!$K$5:$K$53&gt;=1)+('Yellow Bosses'!$O$5:$O$53&gt;=1))&gt;0))</f>
        <v>5</v>
      </c>
      <c r="I1321" s="25" t="n">
        <f aca="false">SUMPRODUCT(--((('Yellow Bosses'!$H$5:$H$53&gt;0)+('Yellow Bosses'!$I$5:$I$53&gt;0)+('Yellow Bosses'!$K$5:$K$53&gt;0)+('Yellow Bosses'!$O$5:$O$53&gt;0))=0))</f>
        <v>0</v>
      </c>
      <c r="J1321" s="25" t="n">
        <f aca="false">SUMPRODUCT(--(((Effectiveness!$E$5:$E$155&gt;=2)+(Effectiveness!$F$5:$F$155&gt;=2)+(Effectiveness!$H$5:$H$155&gt;=2)+(Effectiveness!$L$5:$L$155&gt;=2))&gt;0))</f>
        <v>71</v>
      </c>
      <c r="K1321" s="26" t="n">
        <f aca="false">J1321/151</f>
        <v>0.470198675496689</v>
      </c>
      <c r="L1321" s="25" t="n">
        <f aca="false">MIN(INDEX('Move Reality'!$F$5:$F$19,MATCH(B1321,'Move Reality'!$A$5:$A$19,0)),INDEX('Move Reality'!$F$5:$F$19,MATCH(C1321,'Move Reality'!$A$5:$A$19,0)),INDEX('Move Reality'!$F$5:$F$19,MATCH(D1321,'Move Reality'!$A$5:$A$19,0)),INDEX('Move Reality'!$F$5:$F$19,MATCH(E1321,'Move Reality'!$A$5:$A$19,0)))</f>
        <v>2</v>
      </c>
      <c r="M1321" s="28" t="str">
        <f aca="false">IF(L1321&gt;=5,"YES","no - dead move")</f>
        <v>no - dead move</v>
      </c>
    </row>
    <row r="1322" customFormat="false" ht="15" hidden="false" customHeight="false" outlineLevel="0" collapsed="false">
      <c r="A1322" s="17" t="n">
        <v>1318</v>
      </c>
      <c r="B1322" s="17" t="s">
        <v>40</v>
      </c>
      <c r="C1322" s="17" t="s">
        <v>43</v>
      </c>
      <c r="D1322" s="17" t="s">
        <v>44</v>
      </c>
      <c r="E1322" s="17" t="s">
        <v>47</v>
      </c>
      <c r="F1322" s="25" t="n">
        <f aca="false">SUMPRODUCT(--((('Yellow Bosses'!$H$5:$H$53&gt;=2)+('Yellow Bosses'!$K$5:$K$53&gt;=2)+('Yellow Bosses'!$L$5:$L$53&gt;=2)+('Yellow Bosses'!$O$5:$O$53&gt;=2))&gt;0))</f>
        <v>19</v>
      </c>
      <c r="G1322" s="26" t="n">
        <f aca="false">F1322/49</f>
        <v>0.387755102040816</v>
      </c>
      <c r="H1322" s="25" t="n">
        <f aca="false">49-SUMPRODUCT(--((('Yellow Bosses'!$H$5:$H$53&gt;=1)+('Yellow Bosses'!$K$5:$K$53&gt;=1)+('Yellow Bosses'!$L$5:$L$53&gt;=1)+('Yellow Bosses'!$O$5:$O$53&gt;=1))&gt;0))</f>
        <v>0</v>
      </c>
      <c r="I1322" s="25" t="n">
        <f aca="false">SUMPRODUCT(--((('Yellow Bosses'!$H$5:$H$53&gt;0)+('Yellow Bosses'!$K$5:$K$53&gt;0)+('Yellow Bosses'!$L$5:$L$53&gt;0)+('Yellow Bosses'!$O$5:$O$53&gt;0))=0))</f>
        <v>0</v>
      </c>
      <c r="J1322" s="25" t="n">
        <f aca="false">SUMPRODUCT(--(((Effectiveness!$E$5:$E$155&gt;=2)+(Effectiveness!$H$5:$H$155&gt;=2)+(Effectiveness!$I$5:$I$155&gt;=2)+(Effectiveness!$L$5:$L$155&gt;=2))&gt;0))</f>
        <v>68</v>
      </c>
      <c r="K1322" s="26" t="n">
        <f aca="false">J1322/151</f>
        <v>0.450331125827815</v>
      </c>
      <c r="L1322" s="25" t="n">
        <f aca="false">MIN(INDEX('Move Reality'!$F$5:$F$19,MATCH(B1322,'Move Reality'!$A$5:$A$19,0)),INDEX('Move Reality'!$F$5:$F$19,MATCH(C1322,'Move Reality'!$A$5:$A$19,0)),INDEX('Move Reality'!$F$5:$F$19,MATCH(D1322,'Move Reality'!$A$5:$A$19,0)),INDEX('Move Reality'!$F$5:$F$19,MATCH(E1322,'Move Reality'!$A$5:$A$19,0)))</f>
        <v>2</v>
      </c>
      <c r="M1322" s="28" t="str">
        <f aca="false">IF(L1322&gt;=5,"YES","no - dead move")</f>
        <v>no - dead move</v>
      </c>
    </row>
    <row r="1323" customFormat="false" ht="15" hidden="false" customHeight="false" outlineLevel="0" collapsed="false">
      <c r="A1323" s="17" t="n">
        <v>1319</v>
      </c>
      <c r="B1323" s="17" t="s">
        <v>40</v>
      </c>
      <c r="C1323" s="17" t="s">
        <v>47</v>
      </c>
      <c r="D1323" s="17" t="s">
        <v>48</v>
      </c>
      <c r="E1323" s="17" t="s">
        <v>53</v>
      </c>
      <c r="F1323" s="25" t="n">
        <f aca="false">SUMPRODUCT(--((('Yellow Bosses'!$H$5:$H$53&gt;=2)+('Yellow Bosses'!$O$5:$O$53&gt;=2)+('Yellow Bosses'!$P$5:$P$53&gt;=2)+('Yellow Bosses'!$U$5:$U$53&gt;=2))&gt;0))</f>
        <v>19</v>
      </c>
      <c r="G1323" s="26" t="n">
        <f aca="false">F1323/49</f>
        <v>0.387755102040816</v>
      </c>
      <c r="H1323" s="25" t="n">
        <f aca="false">49-SUMPRODUCT(--((('Yellow Bosses'!$H$5:$H$53&gt;=1)+('Yellow Bosses'!$O$5:$O$53&gt;=1)+('Yellow Bosses'!$P$5:$P$53&gt;=1)+('Yellow Bosses'!$U$5:$U$53&gt;=1))&gt;0))</f>
        <v>0</v>
      </c>
      <c r="I1323" s="25" t="n">
        <f aca="false">SUMPRODUCT(--((('Yellow Bosses'!$H$5:$H$53&gt;0)+('Yellow Bosses'!$O$5:$O$53&gt;0)+('Yellow Bosses'!$P$5:$P$53&gt;0)+('Yellow Bosses'!$U$5:$U$53&gt;0))=0))</f>
        <v>0</v>
      </c>
      <c r="J1323" s="25" t="n">
        <f aca="false">SUMPRODUCT(--(((Effectiveness!$E$5:$E$155&gt;=2)+(Effectiveness!$L$5:$L$155&gt;=2)+(Effectiveness!$M$5:$M$155&gt;=2)+(Effectiveness!$R$5:$R$155&gt;=2))&gt;0))</f>
        <v>55</v>
      </c>
      <c r="K1323" s="26" t="n">
        <f aca="false">J1323/151</f>
        <v>0.364238410596026</v>
      </c>
      <c r="L1323" s="25" t="n">
        <f aca="false">MIN(INDEX('Move Reality'!$F$5:$F$19,MATCH(B1323,'Move Reality'!$A$5:$A$19,0)),INDEX('Move Reality'!$F$5:$F$19,MATCH(C1323,'Move Reality'!$A$5:$A$19,0)),INDEX('Move Reality'!$F$5:$F$19,MATCH(D1323,'Move Reality'!$A$5:$A$19,0)),INDEX('Move Reality'!$F$5:$F$19,MATCH(E1323,'Move Reality'!$A$5:$A$19,0)))</f>
        <v>1</v>
      </c>
      <c r="M1323" s="28" t="str">
        <f aca="false">IF(L1323&gt;=5,"YES","no - dead move")</f>
        <v>no - dead move</v>
      </c>
    </row>
    <row r="1324" customFormat="false" ht="15" hidden="false" customHeight="false" outlineLevel="0" collapsed="false">
      <c r="A1324" s="17" t="n">
        <v>1320</v>
      </c>
      <c r="B1324" s="17" t="s">
        <v>40</v>
      </c>
      <c r="C1324" s="17" t="s">
        <v>44</v>
      </c>
      <c r="D1324" s="17" t="s">
        <v>47</v>
      </c>
      <c r="E1324" s="17" t="s">
        <v>53</v>
      </c>
      <c r="F1324" s="25" t="n">
        <f aca="false">SUMPRODUCT(--((('Yellow Bosses'!$H$5:$H$53&gt;=2)+('Yellow Bosses'!$L$5:$L$53&gt;=2)+('Yellow Bosses'!$O$5:$O$53&gt;=2)+('Yellow Bosses'!$U$5:$U$53&gt;=2))&gt;0))</f>
        <v>19</v>
      </c>
      <c r="G1324" s="26" t="n">
        <f aca="false">F1324/49</f>
        <v>0.387755102040816</v>
      </c>
      <c r="H1324" s="25" t="n">
        <f aca="false">49-SUMPRODUCT(--((('Yellow Bosses'!$H$5:$H$53&gt;=1)+('Yellow Bosses'!$L$5:$L$53&gt;=1)+('Yellow Bosses'!$O$5:$O$53&gt;=1)+('Yellow Bosses'!$U$5:$U$53&gt;=1))&gt;0))</f>
        <v>0</v>
      </c>
      <c r="I1324" s="25" t="n">
        <f aca="false">SUMPRODUCT(--((('Yellow Bosses'!$H$5:$H$53&gt;0)+('Yellow Bosses'!$L$5:$L$53&gt;0)+('Yellow Bosses'!$O$5:$O$53&gt;0)+('Yellow Bosses'!$U$5:$U$53&gt;0))=0))</f>
        <v>0</v>
      </c>
      <c r="J1324" s="25" t="n">
        <f aca="false">SUMPRODUCT(--(((Effectiveness!$E$5:$E$155&gt;=2)+(Effectiveness!$I$5:$I$155&gt;=2)+(Effectiveness!$L$5:$L$155&gt;=2)+(Effectiveness!$R$5:$R$155&gt;=2))&gt;0))</f>
        <v>54</v>
      </c>
      <c r="K1324" s="26" t="n">
        <f aca="false">J1324/151</f>
        <v>0.357615894039735</v>
      </c>
      <c r="L1324" s="25" t="n">
        <f aca="false">MIN(INDEX('Move Reality'!$F$5:$F$19,MATCH(B1324,'Move Reality'!$A$5:$A$19,0)),INDEX('Move Reality'!$F$5:$F$19,MATCH(C1324,'Move Reality'!$A$5:$A$19,0)),INDEX('Move Reality'!$F$5:$F$19,MATCH(D1324,'Move Reality'!$A$5:$A$19,0)),INDEX('Move Reality'!$F$5:$F$19,MATCH(E1324,'Move Reality'!$A$5:$A$19,0)))</f>
        <v>1</v>
      </c>
      <c r="M1324" s="28" t="str">
        <f aca="false">IF(L1324&gt;=5,"YES","no - dead move")</f>
        <v>no - dead move</v>
      </c>
    </row>
    <row r="1325" customFormat="false" ht="15" hidden="false" customHeight="false" outlineLevel="0" collapsed="false">
      <c r="A1325" s="17" t="n">
        <v>1321</v>
      </c>
      <c r="B1325" s="17" t="s">
        <v>40</v>
      </c>
      <c r="C1325" s="17" t="s">
        <v>44</v>
      </c>
      <c r="D1325" s="17" t="s">
        <v>47</v>
      </c>
      <c r="E1325" s="17" t="s">
        <v>54</v>
      </c>
      <c r="F1325" s="25" t="n">
        <f aca="false">SUMPRODUCT(--((('Yellow Bosses'!$H$5:$H$53&gt;=2)+('Yellow Bosses'!$L$5:$L$53&gt;=2)+('Yellow Bosses'!$O$5:$O$53&gt;=2)+('Yellow Bosses'!$V$5:$V$53&gt;=2))&gt;0))</f>
        <v>19</v>
      </c>
      <c r="G1325" s="26" t="n">
        <f aca="false">F1325/49</f>
        <v>0.387755102040816</v>
      </c>
      <c r="H1325" s="25" t="n">
        <f aca="false">49-SUMPRODUCT(--((('Yellow Bosses'!$H$5:$H$53&gt;=1)+('Yellow Bosses'!$L$5:$L$53&gt;=1)+('Yellow Bosses'!$O$5:$O$53&gt;=1)+('Yellow Bosses'!$V$5:$V$53&gt;=1))&gt;0))</f>
        <v>0</v>
      </c>
      <c r="I1325" s="25" t="n">
        <f aca="false">SUMPRODUCT(--((('Yellow Bosses'!$H$5:$H$53&gt;0)+('Yellow Bosses'!$L$5:$L$53&gt;0)+('Yellow Bosses'!$O$5:$O$53&gt;0)+('Yellow Bosses'!$V$5:$V$53&gt;0))=0))</f>
        <v>0</v>
      </c>
      <c r="J1325" s="25" t="n">
        <f aca="false">SUMPRODUCT(--(((Effectiveness!$E$5:$E$155&gt;=2)+(Effectiveness!$I$5:$I$155&gt;=2)+(Effectiveness!$L$5:$L$155&gt;=2)+(Effectiveness!$S$5:$S$155&gt;=2))&gt;0))</f>
        <v>54</v>
      </c>
      <c r="K1325" s="26" t="n">
        <f aca="false">J1325/151</f>
        <v>0.357615894039735</v>
      </c>
      <c r="L1325" s="25" t="n">
        <f aca="false">MIN(INDEX('Move Reality'!$F$5:$F$19,MATCH(B1325,'Move Reality'!$A$5:$A$19,0)),INDEX('Move Reality'!$F$5:$F$19,MATCH(C1325,'Move Reality'!$A$5:$A$19,0)),INDEX('Move Reality'!$F$5:$F$19,MATCH(D1325,'Move Reality'!$A$5:$A$19,0)),INDEX('Move Reality'!$F$5:$F$19,MATCH(E1325,'Move Reality'!$A$5:$A$19,0)))</f>
        <v>1</v>
      </c>
      <c r="M1325" s="28" t="str">
        <f aca="false">IF(L1325&gt;=5,"YES","no - dead move")</f>
        <v>no - dead move</v>
      </c>
    </row>
    <row r="1326" customFormat="false" ht="15" hidden="false" customHeight="false" outlineLevel="0" collapsed="false">
      <c r="A1326" s="17" t="n">
        <v>1322</v>
      </c>
      <c r="B1326" s="17" t="s">
        <v>40</v>
      </c>
      <c r="C1326" s="17" t="s">
        <v>41</v>
      </c>
      <c r="D1326" s="17" t="s">
        <v>47</v>
      </c>
      <c r="E1326" s="17" t="s">
        <v>50</v>
      </c>
      <c r="F1326" s="25" t="n">
        <f aca="false">SUMPRODUCT(--((('Yellow Bosses'!$H$5:$H$53&gt;=2)+('Yellow Bosses'!$I$5:$I$53&gt;=2)+('Yellow Bosses'!$O$5:$O$53&gt;=2)+('Yellow Bosses'!$R$5:$R$53&gt;=2))&gt;0))</f>
        <v>19</v>
      </c>
      <c r="G1326" s="26" t="n">
        <f aca="false">F1326/49</f>
        <v>0.387755102040816</v>
      </c>
      <c r="H1326" s="25" t="n">
        <f aca="false">49-SUMPRODUCT(--((('Yellow Bosses'!$H$5:$H$53&gt;=1)+('Yellow Bosses'!$I$5:$I$53&gt;=1)+('Yellow Bosses'!$O$5:$O$53&gt;=1)+('Yellow Bosses'!$R$5:$R$53&gt;=1))&gt;0))</f>
        <v>0</v>
      </c>
      <c r="I1326" s="25" t="n">
        <f aca="false">SUMPRODUCT(--((('Yellow Bosses'!$H$5:$H$53&gt;0)+('Yellow Bosses'!$I$5:$I$53&gt;0)+('Yellow Bosses'!$O$5:$O$53&gt;0)+('Yellow Bosses'!$R$5:$R$53&gt;0))=0))</f>
        <v>0</v>
      </c>
      <c r="J1326" s="25" t="n">
        <f aca="false">SUMPRODUCT(--(((Effectiveness!$E$5:$E$155&gt;=2)+(Effectiveness!$F$5:$F$155&gt;=2)+(Effectiveness!$L$5:$L$155&gt;=2)+(Effectiveness!$O$5:$O$155&gt;=2))&gt;0))</f>
        <v>53</v>
      </c>
      <c r="K1326" s="26" t="n">
        <f aca="false">J1326/151</f>
        <v>0.350993377483444</v>
      </c>
      <c r="L1326" s="25" t="n">
        <f aca="false">MIN(INDEX('Move Reality'!$F$5:$F$19,MATCH(B1326,'Move Reality'!$A$5:$A$19,0)),INDEX('Move Reality'!$F$5:$F$19,MATCH(C1326,'Move Reality'!$A$5:$A$19,0)),INDEX('Move Reality'!$F$5:$F$19,MATCH(D1326,'Move Reality'!$A$5:$A$19,0)),INDEX('Move Reality'!$F$5:$F$19,MATCH(E1326,'Move Reality'!$A$5:$A$19,0)))</f>
        <v>2</v>
      </c>
      <c r="M1326" s="28" t="str">
        <f aca="false">IF(L1326&gt;=5,"YES","no - dead move")</f>
        <v>no - dead move</v>
      </c>
    </row>
    <row r="1327" customFormat="false" ht="15" hidden="false" customHeight="false" outlineLevel="0" collapsed="false">
      <c r="A1327" s="17" t="n">
        <v>1323</v>
      </c>
      <c r="B1327" s="17" t="s">
        <v>40</v>
      </c>
      <c r="C1327" s="17" t="s">
        <v>41</v>
      </c>
      <c r="D1327" s="17" t="s">
        <v>49</v>
      </c>
      <c r="E1327" s="17" t="s">
        <v>50</v>
      </c>
      <c r="F1327" s="25" t="n">
        <f aca="false">SUMPRODUCT(--((('Yellow Bosses'!$H$5:$H$53&gt;=2)+('Yellow Bosses'!$I$5:$I$53&gt;=2)+('Yellow Bosses'!$Q$5:$Q$53&gt;=2)+('Yellow Bosses'!$R$5:$R$53&gt;=2))&gt;0))</f>
        <v>19</v>
      </c>
      <c r="G1327" s="26" t="n">
        <f aca="false">F1327/49</f>
        <v>0.387755102040816</v>
      </c>
      <c r="H1327" s="25" t="n">
        <f aca="false">49-SUMPRODUCT(--((('Yellow Bosses'!$H$5:$H$53&gt;=1)+('Yellow Bosses'!$I$5:$I$53&gt;=1)+('Yellow Bosses'!$Q$5:$Q$53&gt;=1)+('Yellow Bosses'!$R$5:$R$53&gt;=1))&gt;0))</f>
        <v>0</v>
      </c>
      <c r="I1327" s="25" t="n">
        <f aca="false">SUMPRODUCT(--((('Yellow Bosses'!$H$5:$H$53&gt;0)+('Yellow Bosses'!$I$5:$I$53&gt;0)+('Yellow Bosses'!$Q$5:$Q$53&gt;0)+('Yellow Bosses'!$R$5:$R$53&gt;0))=0))</f>
        <v>0</v>
      </c>
      <c r="J1327" s="25" t="n">
        <f aca="false">SUMPRODUCT(--(((Effectiveness!$E$5:$E$155&gt;=2)+(Effectiveness!$F$5:$F$155&gt;=2)+(Effectiveness!$N$5:$N$155&gt;=2)+(Effectiveness!$O$5:$O$155&gt;=2))&gt;0))</f>
        <v>53</v>
      </c>
      <c r="K1327" s="26" t="n">
        <f aca="false">J1327/151</f>
        <v>0.350993377483444</v>
      </c>
      <c r="L1327" s="25" t="n">
        <f aca="false">MIN(INDEX('Move Reality'!$F$5:$F$19,MATCH(B1327,'Move Reality'!$A$5:$A$19,0)),INDEX('Move Reality'!$F$5:$F$19,MATCH(C1327,'Move Reality'!$A$5:$A$19,0)),INDEX('Move Reality'!$F$5:$F$19,MATCH(D1327,'Move Reality'!$A$5:$A$19,0)),INDEX('Move Reality'!$F$5:$F$19,MATCH(E1327,'Move Reality'!$A$5:$A$19,0)))</f>
        <v>5</v>
      </c>
      <c r="M1327" s="28" t="str">
        <f aca="false">IF(L1327&gt;=5,"YES","no - dead move")</f>
        <v>YES</v>
      </c>
    </row>
    <row r="1328" customFormat="false" ht="15" hidden="false" customHeight="false" outlineLevel="0" collapsed="false">
      <c r="A1328" s="17" t="n">
        <v>1324</v>
      </c>
      <c r="B1328" s="17" t="s">
        <v>40</v>
      </c>
      <c r="C1328" s="17" t="s">
        <v>41</v>
      </c>
      <c r="D1328" s="17" t="s">
        <v>50</v>
      </c>
      <c r="E1328" s="17" t="s">
        <v>53</v>
      </c>
      <c r="F1328" s="25" t="n">
        <f aca="false">SUMPRODUCT(--((('Yellow Bosses'!$H$5:$H$53&gt;=2)+('Yellow Bosses'!$I$5:$I$53&gt;=2)+('Yellow Bosses'!$R$5:$R$53&gt;=2)+('Yellow Bosses'!$U$5:$U$53&gt;=2))&gt;0))</f>
        <v>19</v>
      </c>
      <c r="G1328" s="26" t="n">
        <f aca="false">F1328/49</f>
        <v>0.387755102040816</v>
      </c>
      <c r="H1328" s="25" t="n">
        <f aca="false">49-SUMPRODUCT(--((('Yellow Bosses'!$H$5:$H$53&gt;=1)+('Yellow Bosses'!$I$5:$I$53&gt;=1)+('Yellow Bosses'!$R$5:$R$53&gt;=1)+('Yellow Bosses'!$U$5:$U$53&gt;=1))&gt;0))</f>
        <v>0</v>
      </c>
      <c r="I1328" s="25" t="n">
        <f aca="false">SUMPRODUCT(--((('Yellow Bosses'!$H$5:$H$53&gt;0)+('Yellow Bosses'!$I$5:$I$53&gt;0)+('Yellow Bosses'!$R$5:$R$53&gt;0)+('Yellow Bosses'!$U$5:$U$53&gt;0))=0))</f>
        <v>0</v>
      </c>
      <c r="J1328" s="25" t="n">
        <f aca="false">SUMPRODUCT(--(((Effectiveness!$E$5:$E$155&gt;=2)+(Effectiveness!$F$5:$F$155&gt;=2)+(Effectiveness!$O$5:$O$155&gt;=2)+(Effectiveness!$R$5:$R$155&gt;=2))&gt;0))</f>
        <v>53</v>
      </c>
      <c r="K1328" s="26" t="n">
        <f aca="false">J1328/151</f>
        <v>0.350993377483444</v>
      </c>
      <c r="L1328" s="25" t="n">
        <f aca="false">MIN(INDEX('Move Reality'!$F$5:$F$19,MATCH(B1328,'Move Reality'!$A$5:$A$19,0)),INDEX('Move Reality'!$F$5:$F$19,MATCH(C1328,'Move Reality'!$A$5:$A$19,0)),INDEX('Move Reality'!$F$5:$F$19,MATCH(D1328,'Move Reality'!$A$5:$A$19,0)),INDEX('Move Reality'!$F$5:$F$19,MATCH(E1328,'Move Reality'!$A$5:$A$19,0)))</f>
        <v>1</v>
      </c>
      <c r="M1328" s="28" t="str">
        <f aca="false">IF(L1328&gt;=5,"YES","no - dead move")</f>
        <v>no - dead move</v>
      </c>
    </row>
    <row r="1329" customFormat="false" ht="15" hidden="false" customHeight="false" outlineLevel="0" collapsed="false">
      <c r="A1329" s="17" t="n">
        <v>1325</v>
      </c>
      <c r="B1329" s="17" t="s">
        <v>41</v>
      </c>
      <c r="C1329" s="17" t="s">
        <v>47</v>
      </c>
      <c r="D1329" s="17" t="s">
        <v>49</v>
      </c>
      <c r="E1329" s="17" t="s">
        <v>50</v>
      </c>
      <c r="F1329" s="25" t="n">
        <f aca="false">SUMPRODUCT(--((('Yellow Bosses'!$I$5:$I$53&gt;=2)+('Yellow Bosses'!$O$5:$O$53&gt;=2)+('Yellow Bosses'!$Q$5:$Q$53&gt;=2)+('Yellow Bosses'!$R$5:$R$53&gt;=2))&gt;0))</f>
        <v>19</v>
      </c>
      <c r="G1329" s="26" t="n">
        <f aca="false">F1329/49</f>
        <v>0.387755102040816</v>
      </c>
      <c r="H1329" s="25" t="n">
        <f aca="false">49-SUMPRODUCT(--((('Yellow Bosses'!$I$5:$I$53&gt;=1)+('Yellow Bosses'!$O$5:$O$53&gt;=1)+('Yellow Bosses'!$Q$5:$Q$53&gt;=1)+('Yellow Bosses'!$R$5:$R$53&gt;=1))&gt;0))</f>
        <v>0</v>
      </c>
      <c r="I1329" s="25" t="n">
        <f aca="false">SUMPRODUCT(--((('Yellow Bosses'!$I$5:$I$53&gt;0)+('Yellow Bosses'!$O$5:$O$53&gt;0)+('Yellow Bosses'!$Q$5:$Q$53&gt;0)+('Yellow Bosses'!$R$5:$R$53&gt;0))=0))</f>
        <v>0</v>
      </c>
      <c r="J1329" s="25" t="n">
        <f aca="false">SUMPRODUCT(--(((Effectiveness!$F$5:$F$155&gt;=2)+(Effectiveness!$L$5:$L$155&gt;=2)+(Effectiveness!$N$5:$N$155&gt;=2)+(Effectiveness!$O$5:$O$155&gt;=2))&gt;0))</f>
        <v>53</v>
      </c>
      <c r="K1329" s="26" t="n">
        <f aca="false">J1329/151</f>
        <v>0.350993377483444</v>
      </c>
      <c r="L1329" s="25" t="n">
        <f aca="false">MIN(INDEX('Move Reality'!$F$5:$F$19,MATCH(B1329,'Move Reality'!$A$5:$A$19,0)),INDEX('Move Reality'!$F$5:$F$19,MATCH(C1329,'Move Reality'!$A$5:$A$19,0)),INDEX('Move Reality'!$F$5:$F$19,MATCH(D1329,'Move Reality'!$A$5:$A$19,0)),INDEX('Move Reality'!$F$5:$F$19,MATCH(E1329,'Move Reality'!$A$5:$A$19,0)))</f>
        <v>2</v>
      </c>
      <c r="M1329" s="28" t="str">
        <f aca="false">IF(L1329&gt;=5,"YES","no - dead move")</f>
        <v>no - dead move</v>
      </c>
    </row>
    <row r="1330" customFormat="false" ht="15" hidden="false" customHeight="false" outlineLevel="0" collapsed="false">
      <c r="A1330" s="17" t="n">
        <v>1326</v>
      </c>
      <c r="B1330" s="17" t="s">
        <v>41</v>
      </c>
      <c r="C1330" s="17" t="s">
        <v>47</v>
      </c>
      <c r="D1330" s="17" t="s">
        <v>50</v>
      </c>
      <c r="E1330" s="17" t="s">
        <v>53</v>
      </c>
      <c r="F1330" s="25" t="n">
        <f aca="false">SUMPRODUCT(--((('Yellow Bosses'!$I$5:$I$53&gt;=2)+('Yellow Bosses'!$O$5:$O$53&gt;=2)+('Yellow Bosses'!$R$5:$R$53&gt;=2)+('Yellow Bosses'!$U$5:$U$53&gt;=2))&gt;0))</f>
        <v>19</v>
      </c>
      <c r="G1330" s="26" t="n">
        <f aca="false">F1330/49</f>
        <v>0.387755102040816</v>
      </c>
      <c r="H1330" s="25" t="n">
        <f aca="false">49-SUMPRODUCT(--((('Yellow Bosses'!$I$5:$I$53&gt;=1)+('Yellow Bosses'!$O$5:$O$53&gt;=1)+('Yellow Bosses'!$R$5:$R$53&gt;=1)+('Yellow Bosses'!$U$5:$U$53&gt;=1))&gt;0))</f>
        <v>0</v>
      </c>
      <c r="I1330" s="25" t="n">
        <f aca="false">SUMPRODUCT(--((('Yellow Bosses'!$I$5:$I$53&gt;0)+('Yellow Bosses'!$O$5:$O$53&gt;0)+('Yellow Bosses'!$R$5:$R$53&gt;0)+('Yellow Bosses'!$U$5:$U$53&gt;0))=0))</f>
        <v>0</v>
      </c>
      <c r="J1330" s="25" t="n">
        <f aca="false">SUMPRODUCT(--(((Effectiveness!$F$5:$F$155&gt;=2)+(Effectiveness!$L$5:$L$155&gt;=2)+(Effectiveness!$O$5:$O$155&gt;=2)+(Effectiveness!$R$5:$R$155&gt;=2))&gt;0))</f>
        <v>53</v>
      </c>
      <c r="K1330" s="26" t="n">
        <f aca="false">J1330/151</f>
        <v>0.350993377483444</v>
      </c>
      <c r="L1330" s="25" t="n">
        <f aca="false">MIN(INDEX('Move Reality'!$F$5:$F$19,MATCH(B1330,'Move Reality'!$A$5:$A$19,0)),INDEX('Move Reality'!$F$5:$F$19,MATCH(C1330,'Move Reality'!$A$5:$A$19,0)),INDEX('Move Reality'!$F$5:$F$19,MATCH(D1330,'Move Reality'!$A$5:$A$19,0)),INDEX('Move Reality'!$F$5:$F$19,MATCH(E1330,'Move Reality'!$A$5:$A$19,0)))</f>
        <v>1</v>
      </c>
      <c r="M1330" s="28" t="str">
        <f aca="false">IF(L1330&gt;=5,"YES","no - dead move")</f>
        <v>no - dead move</v>
      </c>
    </row>
    <row r="1331" customFormat="false" ht="15" hidden="false" customHeight="false" outlineLevel="0" collapsed="false">
      <c r="A1331" s="17" t="n">
        <v>1327</v>
      </c>
      <c r="B1331" s="17" t="s">
        <v>41</v>
      </c>
      <c r="C1331" s="17" t="s">
        <v>49</v>
      </c>
      <c r="D1331" s="17" t="s">
        <v>50</v>
      </c>
      <c r="E1331" s="17" t="s">
        <v>53</v>
      </c>
      <c r="F1331" s="25" t="n">
        <f aca="false">SUMPRODUCT(--((('Yellow Bosses'!$I$5:$I$53&gt;=2)+('Yellow Bosses'!$Q$5:$Q$53&gt;=2)+('Yellow Bosses'!$R$5:$R$53&gt;=2)+('Yellow Bosses'!$U$5:$U$53&gt;=2))&gt;0))</f>
        <v>19</v>
      </c>
      <c r="G1331" s="26" t="n">
        <f aca="false">F1331/49</f>
        <v>0.387755102040816</v>
      </c>
      <c r="H1331" s="25" t="n">
        <f aca="false">49-SUMPRODUCT(--((('Yellow Bosses'!$I$5:$I$53&gt;=1)+('Yellow Bosses'!$Q$5:$Q$53&gt;=1)+('Yellow Bosses'!$R$5:$R$53&gt;=1)+('Yellow Bosses'!$U$5:$U$53&gt;=1))&gt;0))</f>
        <v>0</v>
      </c>
      <c r="I1331" s="25" t="n">
        <f aca="false">SUMPRODUCT(--((('Yellow Bosses'!$I$5:$I$53&gt;0)+('Yellow Bosses'!$Q$5:$Q$53&gt;0)+('Yellow Bosses'!$R$5:$R$53&gt;0)+('Yellow Bosses'!$U$5:$U$53&gt;0))=0))</f>
        <v>0</v>
      </c>
      <c r="J1331" s="25" t="n">
        <f aca="false">SUMPRODUCT(--(((Effectiveness!$F$5:$F$155&gt;=2)+(Effectiveness!$N$5:$N$155&gt;=2)+(Effectiveness!$O$5:$O$155&gt;=2)+(Effectiveness!$R$5:$R$155&gt;=2))&gt;0))</f>
        <v>53</v>
      </c>
      <c r="K1331" s="26" t="n">
        <f aca="false">J1331/151</f>
        <v>0.350993377483444</v>
      </c>
      <c r="L1331" s="25" t="n">
        <f aca="false">MIN(INDEX('Move Reality'!$F$5:$F$19,MATCH(B1331,'Move Reality'!$A$5:$A$19,0)),INDEX('Move Reality'!$F$5:$F$19,MATCH(C1331,'Move Reality'!$A$5:$A$19,0)),INDEX('Move Reality'!$F$5:$F$19,MATCH(D1331,'Move Reality'!$A$5:$A$19,0)),INDEX('Move Reality'!$F$5:$F$19,MATCH(E1331,'Move Reality'!$A$5:$A$19,0)))</f>
        <v>1</v>
      </c>
      <c r="M1331" s="28" t="str">
        <f aca="false">IF(L1331&gt;=5,"YES","no - dead move")</f>
        <v>no - dead move</v>
      </c>
    </row>
    <row r="1332" customFormat="false" ht="15" hidden="false" customHeight="false" outlineLevel="0" collapsed="false">
      <c r="A1332" s="17" t="n">
        <v>1328</v>
      </c>
      <c r="B1332" s="17" t="s">
        <v>40</v>
      </c>
      <c r="C1332" s="17" t="s">
        <v>50</v>
      </c>
      <c r="D1332" s="17" t="s">
        <v>53</v>
      </c>
      <c r="E1332" s="17" t="s">
        <v>54</v>
      </c>
      <c r="F1332" s="25" t="n">
        <f aca="false">SUMPRODUCT(--((('Yellow Bosses'!$H$5:$H$53&gt;=2)+('Yellow Bosses'!$R$5:$R$53&gt;=2)+('Yellow Bosses'!$U$5:$U$53&gt;=2)+('Yellow Bosses'!$V$5:$V$53&gt;=2))&gt;0))</f>
        <v>19</v>
      </c>
      <c r="G1332" s="26" t="n">
        <f aca="false">F1332/49</f>
        <v>0.387755102040816</v>
      </c>
      <c r="H1332" s="25" t="n">
        <f aca="false">49-SUMPRODUCT(--((('Yellow Bosses'!$H$5:$H$53&gt;=1)+('Yellow Bosses'!$R$5:$R$53&gt;=1)+('Yellow Bosses'!$U$5:$U$53&gt;=1)+('Yellow Bosses'!$V$5:$V$53&gt;=1))&gt;0))</f>
        <v>0</v>
      </c>
      <c r="I1332" s="25" t="n">
        <f aca="false">SUMPRODUCT(--((('Yellow Bosses'!$H$5:$H$53&gt;0)+('Yellow Bosses'!$R$5:$R$53&gt;0)+('Yellow Bosses'!$U$5:$U$53&gt;0)+('Yellow Bosses'!$V$5:$V$53&gt;0))=0))</f>
        <v>0</v>
      </c>
      <c r="J1332" s="25" t="n">
        <f aca="false">SUMPRODUCT(--(((Effectiveness!$E$5:$E$155&gt;=2)+(Effectiveness!$O$5:$O$155&gt;=2)+(Effectiveness!$R$5:$R$155&gt;=2)+(Effectiveness!$S$5:$S$155&gt;=2))&gt;0))</f>
        <v>44</v>
      </c>
      <c r="K1332" s="26" t="n">
        <f aca="false">J1332/151</f>
        <v>0.291390728476821</v>
      </c>
      <c r="L1332" s="25" t="n">
        <f aca="false">MIN(INDEX('Move Reality'!$F$5:$F$19,MATCH(B1332,'Move Reality'!$A$5:$A$19,0)),INDEX('Move Reality'!$F$5:$F$19,MATCH(C1332,'Move Reality'!$A$5:$A$19,0)),INDEX('Move Reality'!$F$5:$F$19,MATCH(D1332,'Move Reality'!$A$5:$A$19,0)),INDEX('Move Reality'!$F$5:$F$19,MATCH(E1332,'Move Reality'!$A$5:$A$19,0)))</f>
        <v>1</v>
      </c>
      <c r="M1332" s="28" t="str">
        <f aca="false">IF(L1332&gt;=5,"YES","no - dead move")</f>
        <v>no - dead move</v>
      </c>
    </row>
    <row r="1333" customFormat="false" ht="15" hidden="false" customHeight="false" outlineLevel="0" collapsed="false">
      <c r="A1333" s="17" t="n">
        <v>1329</v>
      </c>
      <c r="B1333" s="17" t="s">
        <v>40</v>
      </c>
      <c r="C1333" s="17" t="s">
        <v>42</v>
      </c>
      <c r="D1333" s="17" t="s">
        <v>47</v>
      </c>
      <c r="E1333" s="17" t="s">
        <v>53</v>
      </c>
      <c r="F1333" s="25" t="n">
        <f aca="false">SUMPRODUCT(--((('Yellow Bosses'!$H$5:$H$53&gt;=2)+('Yellow Bosses'!$J$5:$J$53&gt;=2)+('Yellow Bosses'!$O$5:$O$53&gt;=2)+('Yellow Bosses'!$U$5:$U$53&gt;=2))&gt;0))</f>
        <v>19</v>
      </c>
      <c r="G1333" s="26" t="n">
        <f aca="false">F1333/49</f>
        <v>0.387755102040816</v>
      </c>
      <c r="H1333" s="25" t="n">
        <f aca="false">49-SUMPRODUCT(--((('Yellow Bosses'!$H$5:$H$53&gt;=1)+('Yellow Bosses'!$J$5:$J$53&gt;=1)+('Yellow Bosses'!$O$5:$O$53&gt;=1)+('Yellow Bosses'!$U$5:$U$53&gt;=1))&gt;0))</f>
        <v>0</v>
      </c>
      <c r="I1333" s="25" t="n">
        <f aca="false">SUMPRODUCT(--((('Yellow Bosses'!$H$5:$H$53&gt;0)+('Yellow Bosses'!$J$5:$J$53&gt;0)+('Yellow Bosses'!$O$5:$O$53&gt;0)+('Yellow Bosses'!$U$5:$U$53&gt;0))=0))</f>
        <v>0</v>
      </c>
      <c r="J1333" s="25" t="n">
        <f aca="false">SUMPRODUCT(--(((Effectiveness!$E$5:$E$155&gt;=2)+(Effectiveness!$G$5:$G$155&gt;=2)+(Effectiveness!$L$5:$L$155&gt;=2)+(Effectiveness!$R$5:$R$155&gt;=2))&gt;0))</f>
        <v>40</v>
      </c>
      <c r="K1333" s="26" t="n">
        <f aca="false">J1333/151</f>
        <v>0.264900662251656</v>
      </c>
      <c r="L1333" s="25" t="n">
        <f aca="false">MIN(INDEX('Move Reality'!$F$5:$F$19,MATCH(B1333,'Move Reality'!$A$5:$A$19,0)),INDEX('Move Reality'!$F$5:$F$19,MATCH(C1333,'Move Reality'!$A$5:$A$19,0)),INDEX('Move Reality'!$F$5:$F$19,MATCH(D1333,'Move Reality'!$A$5:$A$19,0)),INDEX('Move Reality'!$F$5:$F$19,MATCH(E1333,'Move Reality'!$A$5:$A$19,0)))</f>
        <v>1</v>
      </c>
      <c r="M1333" s="28" t="str">
        <f aca="false">IF(L1333&gt;=5,"YES","no - dead move")</f>
        <v>no - dead move</v>
      </c>
    </row>
    <row r="1334" customFormat="false" ht="15" hidden="false" customHeight="false" outlineLevel="0" collapsed="false">
      <c r="A1334" s="17" t="n">
        <v>1330</v>
      </c>
      <c r="B1334" s="17" t="s">
        <v>40</v>
      </c>
      <c r="C1334" s="17" t="s">
        <v>42</v>
      </c>
      <c r="D1334" s="17" t="s">
        <v>47</v>
      </c>
      <c r="E1334" s="17" t="s">
        <v>54</v>
      </c>
      <c r="F1334" s="25" t="n">
        <f aca="false">SUMPRODUCT(--((('Yellow Bosses'!$H$5:$H$53&gt;=2)+('Yellow Bosses'!$J$5:$J$53&gt;=2)+('Yellow Bosses'!$O$5:$O$53&gt;=2)+('Yellow Bosses'!$V$5:$V$53&gt;=2))&gt;0))</f>
        <v>19</v>
      </c>
      <c r="G1334" s="26" t="n">
        <f aca="false">F1334/49</f>
        <v>0.387755102040816</v>
      </c>
      <c r="H1334" s="25" t="n">
        <f aca="false">49-SUMPRODUCT(--((('Yellow Bosses'!$H$5:$H$53&gt;=1)+('Yellow Bosses'!$J$5:$J$53&gt;=1)+('Yellow Bosses'!$O$5:$O$53&gt;=1)+('Yellow Bosses'!$V$5:$V$53&gt;=1))&gt;0))</f>
        <v>0</v>
      </c>
      <c r="I1334" s="25" t="n">
        <f aca="false">SUMPRODUCT(--((('Yellow Bosses'!$H$5:$H$53&gt;0)+('Yellow Bosses'!$J$5:$J$53&gt;0)+('Yellow Bosses'!$O$5:$O$53&gt;0)+('Yellow Bosses'!$V$5:$V$53&gt;0))=0))</f>
        <v>0</v>
      </c>
      <c r="J1334" s="25" t="n">
        <f aca="false">SUMPRODUCT(--(((Effectiveness!$E$5:$E$155&gt;=2)+(Effectiveness!$G$5:$G$155&gt;=2)+(Effectiveness!$L$5:$L$155&gt;=2)+(Effectiveness!$S$5:$S$155&gt;=2))&gt;0))</f>
        <v>40</v>
      </c>
      <c r="K1334" s="26" t="n">
        <f aca="false">J1334/151</f>
        <v>0.264900662251656</v>
      </c>
      <c r="L1334" s="25" t="n">
        <f aca="false">MIN(INDEX('Move Reality'!$F$5:$F$19,MATCH(B1334,'Move Reality'!$A$5:$A$19,0)),INDEX('Move Reality'!$F$5:$F$19,MATCH(C1334,'Move Reality'!$A$5:$A$19,0)),INDEX('Move Reality'!$F$5:$F$19,MATCH(D1334,'Move Reality'!$A$5:$A$19,0)),INDEX('Move Reality'!$F$5:$F$19,MATCH(E1334,'Move Reality'!$A$5:$A$19,0)))</f>
        <v>1</v>
      </c>
      <c r="M1334" s="28" t="str">
        <f aca="false">IF(L1334&gt;=5,"YES","no - dead move")</f>
        <v>no - dead move</v>
      </c>
    </row>
    <row r="1335" customFormat="false" ht="15" hidden="false" customHeight="false" outlineLevel="0" collapsed="false">
      <c r="A1335" s="17" t="n">
        <v>1331</v>
      </c>
      <c r="B1335" s="17" t="s">
        <v>40</v>
      </c>
      <c r="C1335" s="17" t="s">
        <v>43</v>
      </c>
      <c r="D1335" s="17" t="s">
        <v>46</v>
      </c>
      <c r="E1335" s="17" t="s">
        <v>47</v>
      </c>
      <c r="F1335" s="25" t="n">
        <f aca="false">SUMPRODUCT(--((('Yellow Bosses'!$H$5:$H$53&gt;=2)+('Yellow Bosses'!$K$5:$K$53&gt;=2)+('Yellow Bosses'!$N$5:$N$53&gt;=2)+('Yellow Bosses'!$O$5:$O$53&gt;=2))&gt;0))</f>
        <v>18</v>
      </c>
      <c r="G1335" s="26" t="n">
        <f aca="false">F1335/49</f>
        <v>0.36734693877551</v>
      </c>
      <c r="H1335" s="25" t="n">
        <f aca="false">49-SUMPRODUCT(--((('Yellow Bosses'!$H$5:$H$53&gt;=1)+('Yellow Bosses'!$K$5:$K$53&gt;=1)+('Yellow Bosses'!$N$5:$N$53&gt;=1)+('Yellow Bosses'!$O$5:$O$53&gt;=1))&gt;0))</f>
        <v>0</v>
      </c>
      <c r="I1335" s="25" t="n">
        <f aca="false">SUMPRODUCT(--((('Yellow Bosses'!$H$5:$H$53&gt;0)+('Yellow Bosses'!$K$5:$K$53&gt;0)+('Yellow Bosses'!$N$5:$N$53&gt;0)+('Yellow Bosses'!$O$5:$O$53&gt;0))=0))</f>
        <v>0</v>
      </c>
      <c r="J1335" s="25" t="n">
        <f aca="false">SUMPRODUCT(--(((Effectiveness!$E$5:$E$155&gt;=2)+(Effectiveness!$H$5:$H$155&gt;=2)+(Effectiveness!$K$5:$K$155&gt;=2)+(Effectiveness!$L$5:$L$155&gt;=2))&gt;0))</f>
        <v>78</v>
      </c>
      <c r="K1335" s="26" t="n">
        <f aca="false">J1335/151</f>
        <v>0.516556291390729</v>
      </c>
      <c r="L1335" s="25" t="n">
        <f aca="false">MIN(INDEX('Move Reality'!$F$5:$F$19,MATCH(B1335,'Move Reality'!$A$5:$A$19,0)),INDEX('Move Reality'!$F$5:$F$19,MATCH(C1335,'Move Reality'!$A$5:$A$19,0)),INDEX('Move Reality'!$F$5:$F$19,MATCH(D1335,'Move Reality'!$A$5:$A$19,0)),INDEX('Move Reality'!$F$5:$F$19,MATCH(E1335,'Move Reality'!$A$5:$A$19,0)))</f>
        <v>2</v>
      </c>
      <c r="M1335" s="28" t="str">
        <f aca="false">IF(L1335&gt;=5,"YES","no - dead move")</f>
        <v>no - dead move</v>
      </c>
    </row>
    <row r="1336" customFormat="false" ht="15" hidden="false" customHeight="false" outlineLevel="0" collapsed="false">
      <c r="A1336" s="17" t="n">
        <v>1332</v>
      </c>
      <c r="B1336" s="17" t="s">
        <v>40</v>
      </c>
      <c r="C1336" s="17" t="s">
        <v>43</v>
      </c>
      <c r="D1336" s="17" t="s">
        <v>44</v>
      </c>
      <c r="E1336" s="17" t="s">
        <v>46</v>
      </c>
      <c r="F1336" s="25" t="n">
        <f aca="false">SUMPRODUCT(--((('Yellow Bosses'!$H$5:$H$53&gt;=2)+('Yellow Bosses'!$K$5:$K$53&gt;=2)+('Yellow Bosses'!$L$5:$L$53&gt;=2)+('Yellow Bosses'!$N$5:$N$53&gt;=2))&gt;0))</f>
        <v>18</v>
      </c>
      <c r="G1336" s="26" t="n">
        <f aca="false">F1336/49</f>
        <v>0.36734693877551</v>
      </c>
      <c r="H1336" s="25" t="n">
        <f aca="false">49-SUMPRODUCT(--((('Yellow Bosses'!$H$5:$H$53&gt;=1)+('Yellow Bosses'!$K$5:$K$53&gt;=1)+('Yellow Bosses'!$L$5:$L$53&gt;=1)+('Yellow Bosses'!$N$5:$N$53&gt;=1))&gt;0))</f>
        <v>0</v>
      </c>
      <c r="I1336" s="25" t="n">
        <f aca="false">SUMPRODUCT(--((('Yellow Bosses'!$H$5:$H$53&gt;0)+('Yellow Bosses'!$K$5:$K$53&gt;0)+('Yellow Bosses'!$L$5:$L$53&gt;0)+('Yellow Bosses'!$N$5:$N$53&gt;0))=0))</f>
        <v>0</v>
      </c>
      <c r="J1336" s="25" t="n">
        <f aca="false">SUMPRODUCT(--(((Effectiveness!$E$5:$E$155&gt;=2)+(Effectiveness!$H$5:$H$155&gt;=2)+(Effectiveness!$I$5:$I$155&gt;=2)+(Effectiveness!$K$5:$K$155&gt;=2))&gt;0))</f>
        <v>76</v>
      </c>
      <c r="K1336" s="26" t="n">
        <f aca="false">J1336/151</f>
        <v>0.503311258278146</v>
      </c>
      <c r="L1336" s="25" t="n">
        <f aca="false">MIN(INDEX('Move Reality'!$F$5:$F$19,MATCH(B1336,'Move Reality'!$A$5:$A$19,0)),INDEX('Move Reality'!$F$5:$F$19,MATCH(C1336,'Move Reality'!$A$5:$A$19,0)),INDEX('Move Reality'!$F$5:$F$19,MATCH(D1336,'Move Reality'!$A$5:$A$19,0)),INDEX('Move Reality'!$F$5:$F$19,MATCH(E1336,'Move Reality'!$A$5:$A$19,0)))</f>
        <v>4</v>
      </c>
      <c r="M1336" s="28" t="str">
        <f aca="false">IF(L1336&gt;=5,"YES","no - dead move")</f>
        <v>no - dead move</v>
      </c>
    </row>
    <row r="1337" customFormat="false" ht="15" hidden="false" customHeight="false" outlineLevel="0" collapsed="false">
      <c r="A1337" s="17" t="n">
        <v>1333</v>
      </c>
      <c r="B1337" s="17" t="s">
        <v>43</v>
      </c>
      <c r="C1337" s="17" t="s">
        <v>47</v>
      </c>
      <c r="D1337" s="17" t="s">
        <v>53</v>
      </c>
      <c r="E1337" s="17" t="s">
        <v>54</v>
      </c>
      <c r="F1337" s="25" t="n">
        <f aca="false">SUMPRODUCT(--((('Yellow Bosses'!$K$5:$K$53&gt;=2)+('Yellow Bosses'!$O$5:$O$53&gt;=2)+('Yellow Bosses'!$U$5:$U$53&gt;=2)+('Yellow Bosses'!$V$5:$V$53&gt;=2))&gt;0))</f>
        <v>18</v>
      </c>
      <c r="G1337" s="26" t="n">
        <f aca="false">F1337/49</f>
        <v>0.36734693877551</v>
      </c>
      <c r="H1337" s="25" t="n">
        <f aca="false">49-SUMPRODUCT(--((('Yellow Bosses'!$K$5:$K$53&gt;=1)+('Yellow Bosses'!$O$5:$O$53&gt;=1)+('Yellow Bosses'!$U$5:$U$53&gt;=1)+('Yellow Bosses'!$V$5:$V$53&gt;=1))&gt;0))</f>
        <v>0</v>
      </c>
      <c r="I1337" s="25" t="n">
        <f aca="false">SUMPRODUCT(--((('Yellow Bosses'!$K$5:$K$53&gt;0)+('Yellow Bosses'!$O$5:$O$53&gt;0)+('Yellow Bosses'!$U$5:$U$53&gt;0)+('Yellow Bosses'!$V$5:$V$53&gt;0))=0))</f>
        <v>0</v>
      </c>
      <c r="J1337" s="25" t="n">
        <f aca="false">SUMPRODUCT(--(((Effectiveness!$H$5:$H$155&gt;=2)+(Effectiveness!$L$5:$L$155&gt;=2)+(Effectiveness!$R$5:$R$155&gt;=2)+(Effectiveness!$S$5:$S$155&gt;=2))&gt;0))</f>
        <v>62</v>
      </c>
      <c r="K1337" s="26" t="n">
        <f aca="false">J1337/151</f>
        <v>0.410596026490066</v>
      </c>
      <c r="L1337" s="25" t="n">
        <f aca="false">MIN(INDEX('Move Reality'!$F$5:$F$19,MATCH(B1337,'Move Reality'!$A$5:$A$19,0)),INDEX('Move Reality'!$F$5:$F$19,MATCH(C1337,'Move Reality'!$A$5:$A$19,0)),INDEX('Move Reality'!$F$5:$F$19,MATCH(D1337,'Move Reality'!$A$5:$A$19,0)),INDEX('Move Reality'!$F$5:$F$19,MATCH(E1337,'Move Reality'!$A$5:$A$19,0)))</f>
        <v>1</v>
      </c>
      <c r="M1337" s="28" t="str">
        <f aca="false">IF(L1337&gt;=5,"YES","no - dead move")</f>
        <v>no - dead move</v>
      </c>
    </row>
    <row r="1338" customFormat="false" ht="15" hidden="false" customHeight="false" outlineLevel="0" collapsed="false">
      <c r="A1338" s="17" t="n">
        <v>1334</v>
      </c>
      <c r="B1338" s="17" t="s">
        <v>40</v>
      </c>
      <c r="C1338" s="17" t="s">
        <v>44</v>
      </c>
      <c r="D1338" s="17" t="s">
        <v>46</v>
      </c>
      <c r="E1338" s="17" t="s">
        <v>53</v>
      </c>
      <c r="F1338" s="25" t="n">
        <f aca="false">SUMPRODUCT(--((('Yellow Bosses'!$H$5:$H$53&gt;=2)+('Yellow Bosses'!$L$5:$L$53&gt;=2)+('Yellow Bosses'!$N$5:$N$53&gt;=2)+('Yellow Bosses'!$U$5:$U$53&gt;=2))&gt;0))</f>
        <v>18</v>
      </c>
      <c r="G1338" s="26" t="n">
        <f aca="false">F1338/49</f>
        <v>0.36734693877551</v>
      </c>
      <c r="H1338" s="25" t="n">
        <f aca="false">49-SUMPRODUCT(--((('Yellow Bosses'!$H$5:$H$53&gt;=1)+('Yellow Bosses'!$L$5:$L$53&gt;=1)+('Yellow Bosses'!$N$5:$N$53&gt;=1)+('Yellow Bosses'!$U$5:$U$53&gt;=1))&gt;0))</f>
        <v>0</v>
      </c>
      <c r="I1338" s="25" t="n">
        <f aca="false">SUMPRODUCT(--((('Yellow Bosses'!$H$5:$H$53&gt;0)+('Yellow Bosses'!$L$5:$L$53&gt;0)+('Yellow Bosses'!$N$5:$N$53&gt;0)+('Yellow Bosses'!$U$5:$U$53&gt;0))=0))</f>
        <v>0</v>
      </c>
      <c r="J1338" s="25" t="n">
        <f aca="false">SUMPRODUCT(--(((Effectiveness!$E$5:$E$155&gt;=2)+(Effectiveness!$I$5:$I$155&gt;=2)+(Effectiveness!$K$5:$K$155&gt;=2)+(Effectiveness!$R$5:$R$155&gt;=2))&gt;0))</f>
        <v>60</v>
      </c>
      <c r="K1338" s="26" t="n">
        <f aca="false">J1338/151</f>
        <v>0.397350993377483</v>
      </c>
      <c r="L1338" s="25" t="n">
        <f aca="false">MIN(INDEX('Move Reality'!$F$5:$F$19,MATCH(B1338,'Move Reality'!$A$5:$A$19,0)),INDEX('Move Reality'!$F$5:$F$19,MATCH(C1338,'Move Reality'!$A$5:$A$19,0)),INDEX('Move Reality'!$F$5:$F$19,MATCH(D1338,'Move Reality'!$A$5:$A$19,0)),INDEX('Move Reality'!$F$5:$F$19,MATCH(E1338,'Move Reality'!$A$5:$A$19,0)))</f>
        <v>1</v>
      </c>
      <c r="M1338" s="28" t="str">
        <f aca="false">IF(L1338&gt;=5,"YES","no - dead move")</f>
        <v>no - dead move</v>
      </c>
    </row>
    <row r="1339" customFormat="false" ht="15" hidden="false" customHeight="false" outlineLevel="0" collapsed="false">
      <c r="A1339" s="17" t="n">
        <v>1335</v>
      </c>
      <c r="B1339" s="17" t="s">
        <v>40</v>
      </c>
      <c r="C1339" s="17" t="s">
        <v>44</v>
      </c>
      <c r="D1339" s="17" t="s">
        <v>46</v>
      </c>
      <c r="E1339" s="17" t="s">
        <v>54</v>
      </c>
      <c r="F1339" s="25" t="n">
        <f aca="false">SUMPRODUCT(--((('Yellow Bosses'!$H$5:$H$53&gt;=2)+('Yellow Bosses'!$L$5:$L$53&gt;=2)+('Yellow Bosses'!$N$5:$N$53&gt;=2)+('Yellow Bosses'!$V$5:$V$53&gt;=2))&gt;0))</f>
        <v>18</v>
      </c>
      <c r="G1339" s="26" t="n">
        <f aca="false">F1339/49</f>
        <v>0.36734693877551</v>
      </c>
      <c r="H1339" s="25" t="n">
        <f aca="false">49-SUMPRODUCT(--((('Yellow Bosses'!$H$5:$H$53&gt;=1)+('Yellow Bosses'!$L$5:$L$53&gt;=1)+('Yellow Bosses'!$N$5:$N$53&gt;=1)+('Yellow Bosses'!$V$5:$V$53&gt;=1))&gt;0))</f>
        <v>0</v>
      </c>
      <c r="I1339" s="25" t="n">
        <f aca="false">SUMPRODUCT(--((('Yellow Bosses'!$H$5:$H$53&gt;0)+('Yellow Bosses'!$L$5:$L$53&gt;0)+('Yellow Bosses'!$N$5:$N$53&gt;0)+('Yellow Bosses'!$V$5:$V$53&gt;0))=0))</f>
        <v>0</v>
      </c>
      <c r="J1339" s="25" t="n">
        <f aca="false">SUMPRODUCT(--(((Effectiveness!$E$5:$E$155&gt;=2)+(Effectiveness!$I$5:$I$155&gt;=2)+(Effectiveness!$K$5:$K$155&gt;=2)+(Effectiveness!$S$5:$S$155&gt;=2))&gt;0))</f>
        <v>60</v>
      </c>
      <c r="K1339" s="26" t="n">
        <f aca="false">J1339/151</f>
        <v>0.397350993377483</v>
      </c>
      <c r="L1339" s="25" t="n">
        <f aca="false">MIN(INDEX('Move Reality'!$F$5:$F$19,MATCH(B1339,'Move Reality'!$A$5:$A$19,0)),INDEX('Move Reality'!$F$5:$F$19,MATCH(C1339,'Move Reality'!$A$5:$A$19,0)),INDEX('Move Reality'!$F$5:$F$19,MATCH(D1339,'Move Reality'!$A$5:$A$19,0)),INDEX('Move Reality'!$F$5:$F$19,MATCH(E1339,'Move Reality'!$A$5:$A$19,0)))</f>
        <v>1</v>
      </c>
      <c r="M1339" s="28" t="str">
        <f aca="false">IF(L1339&gt;=5,"YES","no - dead move")</f>
        <v>no - dead move</v>
      </c>
    </row>
    <row r="1340" customFormat="false" ht="15" hidden="false" customHeight="false" outlineLevel="0" collapsed="false">
      <c r="A1340" s="17" t="n">
        <v>1336</v>
      </c>
      <c r="B1340" s="17" t="s">
        <v>40</v>
      </c>
      <c r="C1340" s="17" t="s">
        <v>41</v>
      </c>
      <c r="D1340" s="17" t="s">
        <v>46</v>
      </c>
      <c r="E1340" s="17" t="s">
        <v>47</v>
      </c>
      <c r="F1340" s="25" t="n">
        <f aca="false">SUMPRODUCT(--((('Yellow Bosses'!$H$5:$H$53&gt;=2)+('Yellow Bosses'!$I$5:$I$53&gt;=2)+('Yellow Bosses'!$N$5:$N$53&gt;=2)+('Yellow Bosses'!$O$5:$O$53&gt;=2))&gt;0))</f>
        <v>18</v>
      </c>
      <c r="G1340" s="26" t="n">
        <f aca="false">F1340/49</f>
        <v>0.36734693877551</v>
      </c>
      <c r="H1340" s="25" t="n">
        <f aca="false">49-SUMPRODUCT(--((('Yellow Bosses'!$H$5:$H$53&gt;=1)+('Yellow Bosses'!$I$5:$I$53&gt;=1)+('Yellow Bosses'!$N$5:$N$53&gt;=1)+('Yellow Bosses'!$O$5:$O$53&gt;=1))&gt;0))</f>
        <v>0</v>
      </c>
      <c r="I1340" s="25" t="n">
        <f aca="false">SUMPRODUCT(--((('Yellow Bosses'!$H$5:$H$53&gt;0)+('Yellow Bosses'!$I$5:$I$53&gt;0)+('Yellow Bosses'!$N$5:$N$53&gt;0)+('Yellow Bosses'!$O$5:$O$53&gt;0))=0))</f>
        <v>0</v>
      </c>
      <c r="J1340" s="25" t="n">
        <f aca="false">SUMPRODUCT(--(((Effectiveness!$E$5:$E$155&gt;=2)+(Effectiveness!$F$5:$F$155&gt;=2)+(Effectiveness!$K$5:$K$155&gt;=2)+(Effectiveness!$L$5:$L$155&gt;=2))&gt;0))</f>
        <v>55</v>
      </c>
      <c r="K1340" s="26" t="n">
        <f aca="false">J1340/151</f>
        <v>0.364238410596026</v>
      </c>
      <c r="L1340" s="25" t="n">
        <f aca="false">MIN(INDEX('Move Reality'!$F$5:$F$19,MATCH(B1340,'Move Reality'!$A$5:$A$19,0)),INDEX('Move Reality'!$F$5:$F$19,MATCH(C1340,'Move Reality'!$A$5:$A$19,0)),INDEX('Move Reality'!$F$5:$F$19,MATCH(D1340,'Move Reality'!$A$5:$A$19,0)),INDEX('Move Reality'!$F$5:$F$19,MATCH(E1340,'Move Reality'!$A$5:$A$19,0)))</f>
        <v>2</v>
      </c>
      <c r="M1340" s="28" t="str">
        <f aca="false">IF(L1340&gt;=5,"YES","no - dead move")</f>
        <v>no - dead move</v>
      </c>
    </row>
    <row r="1341" customFormat="false" ht="15" hidden="false" customHeight="false" outlineLevel="0" collapsed="false">
      <c r="A1341" s="17" t="n">
        <v>1337</v>
      </c>
      <c r="B1341" s="17" t="s">
        <v>40</v>
      </c>
      <c r="C1341" s="17" t="s">
        <v>41</v>
      </c>
      <c r="D1341" s="17" t="s">
        <v>47</v>
      </c>
      <c r="E1341" s="17" t="s">
        <v>51</v>
      </c>
      <c r="F1341" s="25" t="n">
        <f aca="false">SUMPRODUCT(--((('Yellow Bosses'!$H$5:$H$53&gt;=2)+('Yellow Bosses'!$I$5:$I$53&gt;=2)+('Yellow Bosses'!$O$5:$O$53&gt;=2)+('Yellow Bosses'!$S$5:$S$53&gt;=2))&gt;0))</f>
        <v>18</v>
      </c>
      <c r="G1341" s="26" t="n">
        <f aca="false">F1341/49</f>
        <v>0.36734693877551</v>
      </c>
      <c r="H1341" s="25" t="n">
        <f aca="false">49-SUMPRODUCT(--((('Yellow Bosses'!$H$5:$H$53&gt;=1)+('Yellow Bosses'!$I$5:$I$53&gt;=1)+('Yellow Bosses'!$O$5:$O$53&gt;=1)+('Yellow Bosses'!$S$5:$S$53&gt;=1))&gt;0))</f>
        <v>1</v>
      </c>
      <c r="I1341" s="25" t="n">
        <f aca="false">SUMPRODUCT(--((('Yellow Bosses'!$H$5:$H$53&gt;0)+('Yellow Bosses'!$I$5:$I$53&gt;0)+('Yellow Bosses'!$O$5:$O$53&gt;0)+('Yellow Bosses'!$S$5:$S$53&gt;0))=0))</f>
        <v>0</v>
      </c>
      <c r="J1341" s="25" t="n">
        <f aca="false">SUMPRODUCT(--(((Effectiveness!$E$5:$E$155&gt;=2)+(Effectiveness!$F$5:$F$155&gt;=2)+(Effectiveness!$L$5:$L$155&gt;=2)+(Effectiveness!$P$5:$P$155&gt;=2))&gt;0))</f>
        <v>51</v>
      </c>
      <c r="K1341" s="26" t="n">
        <f aca="false">J1341/151</f>
        <v>0.337748344370861</v>
      </c>
      <c r="L1341" s="25" t="n">
        <f aca="false">MIN(INDEX('Move Reality'!$F$5:$F$19,MATCH(B1341,'Move Reality'!$A$5:$A$19,0)),INDEX('Move Reality'!$F$5:$F$19,MATCH(C1341,'Move Reality'!$A$5:$A$19,0)),INDEX('Move Reality'!$F$5:$F$19,MATCH(D1341,'Move Reality'!$A$5:$A$19,0)),INDEX('Move Reality'!$F$5:$F$19,MATCH(E1341,'Move Reality'!$A$5:$A$19,0)))</f>
        <v>1</v>
      </c>
      <c r="M1341" s="28" t="str">
        <f aca="false">IF(L1341&gt;=5,"YES","no - dead move")</f>
        <v>no - dead move</v>
      </c>
    </row>
    <row r="1342" customFormat="false" ht="15" hidden="false" customHeight="false" outlineLevel="0" collapsed="false">
      <c r="A1342" s="17" t="n">
        <v>1338</v>
      </c>
      <c r="B1342" s="17" t="s">
        <v>40</v>
      </c>
      <c r="C1342" s="17" t="s">
        <v>47</v>
      </c>
      <c r="D1342" s="17" t="s">
        <v>49</v>
      </c>
      <c r="E1342" s="17" t="s">
        <v>50</v>
      </c>
      <c r="F1342" s="25" t="n">
        <f aca="false">SUMPRODUCT(--((('Yellow Bosses'!$H$5:$H$53&gt;=2)+('Yellow Bosses'!$O$5:$O$53&gt;=2)+('Yellow Bosses'!$Q$5:$Q$53&gt;=2)+('Yellow Bosses'!$R$5:$R$53&gt;=2))&gt;0))</f>
        <v>18</v>
      </c>
      <c r="G1342" s="26" t="n">
        <f aca="false">F1342/49</f>
        <v>0.36734693877551</v>
      </c>
      <c r="H1342" s="25" t="n">
        <f aca="false">49-SUMPRODUCT(--((('Yellow Bosses'!$H$5:$H$53&gt;=1)+('Yellow Bosses'!$O$5:$O$53&gt;=1)+('Yellow Bosses'!$Q$5:$Q$53&gt;=1)+('Yellow Bosses'!$R$5:$R$53&gt;=1))&gt;0))</f>
        <v>0</v>
      </c>
      <c r="I1342" s="25" t="n">
        <f aca="false">SUMPRODUCT(--((('Yellow Bosses'!$H$5:$H$53&gt;0)+('Yellow Bosses'!$O$5:$O$53&gt;0)+('Yellow Bosses'!$Q$5:$Q$53&gt;0)+('Yellow Bosses'!$R$5:$R$53&gt;0))=0))</f>
        <v>0</v>
      </c>
      <c r="J1342" s="25" t="n">
        <f aca="false">SUMPRODUCT(--(((Effectiveness!$E$5:$E$155&gt;=2)+(Effectiveness!$L$5:$L$155&gt;=2)+(Effectiveness!$N$5:$N$155&gt;=2)+(Effectiveness!$O$5:$O$155&gt;=2))&gt;0))</f>
        <v>51</v>
      </c>
      <c r="K1342" s="26" t="n">
        <f aca="false">J1342/151</f>
        <v>0.337748344370861</v>
      </c>
      <c r="L1342" s="25" t="n">
        <f aca="false">MIN(INDEX('Move Reality'!$F$5:$F$19,MATCH(B1342,'Move Reality'!$A$5:$A$19,0)),INDEX('Move Reality'!$F$5:$F$19,MATCH(C1342,'Move Reality'!$A$5:$A$19,0)),INDEX('Move Reality'!$F$5:$F$19,MATCH(D1342,'Move Reality'!$A$5:$A$19,0)),INDEX('Move Reality'!$F$5:$F$19,MATCH(E1342,'Move Reality'!$A$5:$A$19,0)))</f>
        <v>2</v>
      </c>
      <c r="M1342" s="28" t="str">
        <f aca="false">IF(L1342&gt;=5,"YES","no - dead move")</f>
        <v>no - dead move</v>
      </c>
    </row>
    <row r="1343" customFormat="false" ht="15" hidden="false" customHeight="false" outlineLevel="0" collapsed="false">
      <c r="A1343" s="17" t="n">
        <v>1339</v>
      </c>
      <c r="B1343" s="17" t="s">
        <v>40</v>
      </c>
      <c r="C1343" s="17" t="s">
        <v>47</v>
      </c>
      <c r="D1343" s="17" t="s">
        <v>50</v>
      </c>
      <c r="E1343" s="17" t="s">
        <v>53</v>
      </c>
      <c r="F1343" s="25" t="n">
        <f aca="false">SUMPRODUCT(--((('Yellow Bosses'!$H$5:$H$53&gt;=2)+('Yellow Bosses'!$O$5:$O$53&gt;=2)+('Yellow Bosses'!$R$5:$R$53&gt;=2)+('Yellow Bosses'!$U$5:$U$53&gt;=2))&gt;0))</f>
        <v>18</v>
      </c>
      <c r="G1343" s="26" t="n">
        <f aca="false">F1343/49</f>
        <v>0.36734693877551</v>
      </c>
      <c r="H1343" s="25" t="n">
        <f aca="false">49-SUMPRODUCT(--((('Yellow Bosses'!$H$5:$H$53&gt;=1)+('Yellow Bosses'!$O$5:$O$53&gt;=1)+('Yellow Bosses'!$R$5:$R$53&gt;=1)+('Yellow Bosses'!$U$5:$U$53&gt;=1))&gt;0))</f>
        <v>0</v>
      </c>
      <c r="I1343" s="25" t="n">
        <f aca="false">SUMPRODUCT(--((('Yellow Bosses'!$H$5:$H$53&gt;0)+('Yellow Bosses'!$O$5:$O$53&gt;0)+('Yellow Bosses'!$R$5:$R$53&gt;0)+('Yellow Bosses'!$U$5:$U$53&gt;0))=0))</f>
        <v>0</v>
      </c>
      <c r="J1343" s="25" t="n">
        <f aca="false">SUMPRODUCT(--(((Effectiveness!$E$5:$E$155&gt;=2)+(Effectiveness!$L$5:$L$155&gt;=2)+(Effectiveness!$O$5:$O$155&gt;=2)+(Effectiveness!$R$5:$R$155&gt;=2))&gt;0))</f>
        <v>51</v>
      </c>
      <c r="K1343" s="26" t="n">
        <f aca="false">J1343/151</f>
        <v>0.337748344370861</v>
      </c>
      <c r="L1343" s="25" t="n">
        <f aca="false">MIN(INDEX('Move Reality'!$F$5:$F$19,MATCH(B1343,'Move Reality'!$A$5:$A$19,0)),INDEX('Move Reality'!$F$5:$F$19,MATCH(C1343,'Move Reality'!$A$5:$A$19,0)),INDEX('Move Reality'!$F$5:$F$19,MATCH(D1343,'Move Reality'!$A$5:$A$19,0)),INDEX('Move Reality'!$F$5:$F$19,MATCH(E1343,'Move Reality'!$A$5:$A$19,0)))</f>
        <v>1</v>
      </c>
      <c r="M1343" s="28" t="str">
        <f aca="false">IF(L1343&gt;=5,"YES","no - dead move")</f>
        <v>no - dead move</v>
      </c>
    </row>
    <row r="1344" customFormat="false" ht="15" hidden="false" customHeight="false" outlineLevel="0" collapsed="false">
      <c r="A1344" s="17" t="n">
        <v>1340</v>
      </c>
      <c r="B1344" s="17" t="s">
        <v>40</v>
      </c>
      <c r="C1344" s="17" t="s">
        <v>49</v>
      </c>
      <c r="D1344" s="17" t="s">
        <v>50</v>
      </c>
      <c r="E1344" s="17" t="s">
        <v>53</v>
      </c>
      <c r="F1344" s="25" t="n">
        <f aca="false">SUMPRODUCT(--((('Yellow Bosses'!$H$5:$H$53&gt;=2)+('Yellow Bosses'!$Q$5:$Q$53&gt;=2)+('Yellow Bosses'!$R$5:$R$53&gt;=2)+('Yellow Bosses'!$U$5:$U$53&gt;=2))&gt;0))</f>
        <v>18</v>
      </c>
      <c r="G1344" s="26" t="n">
        <f aca="false">F1344/49</f>
        <v>0.36734693877551</v>
      </c>
      <c r="H1344" s="25" t="n">
        <f aca="false">49-SUMPRODUCT(--((('Yellow Bosses'!$H$5:$H$53&gt;=1)+('Yellow Bosses'!$Q$5:$Q$53&gt;=1)+('Yellow Bosses'!$R$5:$R$53&gt;=1)+('Yellow Bosses'!$U$5:$U$53&gt;=1))&gt;0))</f>
        <v>0</v>
      </c>
      <c r="I1344" s="25" t="n">
        <f aca="false">SUMPRODUCT(--((('Yellow Bosses'!$H$5:$H$53&gt;0)+('Yellow Bosses'!$Q$5:$Q$53&gt;0)+('Yellow Bosses'!$R$5:$R$53&gt;0)+('Yellow Bosses'!$U$5:$U$53&gt;0))=0))</f>
        <v>0</v>
      </c>
      <c r="J1344" s="25" t="n">
        <f aca="false">SUMPRODUCT(--(((Effectiveness!$E$5:$E$155&gt;=2)+(Effectiveness!$N$5:$N$155&gt;=2)+(Effectiveness!$O$5:$O$155&gt;=2)+(Effectiveness!$R$5:$R$155&gt;=2))&gt;0))</f>
        <v>51</v>
      </c>
      <c r="K1344" s="26" t="n">
        <f aca="false">J1344/151</f>
        <v>0.337748344370861</v>
      </c>
      <c r="L1344" s="25" t="n">
        <f aca="false">MIN(INDEX('Move Reality'!$F$5:$F$19,MATCH(B1344,'Move Reality'!$A$5:$A$19,0)),INDEX('Move Reality'!$F$5:$F$19,MATCH(C1344,'Move Reality'!$A$5:$A$19,0)),INDEX('Move Reality'!$F$5:$F$19,MATCH(D1344,'Move Reality'!$A$5:$A$19,0)),INDEX('Move Reality'!$F$5:$F$19,MATCH(E1344,'Move Reality'!$A$5:$A$19,0)))</f>
        <v>1</v>
      </c>
      <c r="M1344" s="28" t="str">
        <f aca="false">IF(L1344&gt;=5,"YES","no - dead move")</f>
        <v>no - dead move</v>
      </c>
    </row>
    <row r="1345" customFormat="false" ht="15" hidden="false" customHeight="false" outlineLevel="0" collapsed="false">
      <c r="A1345" s="17" t="n">
        <v>1341</v>
      </c>
      <c r="B1345" s="17" t="s">
        <v>47</v>
      </c>
      <c r="C1345" s="17" t="s">
        <v>49</v>
      </c>
      <c r="D1345" s="17" t="s">
        <v>50</v>
      </c>
      <c r="E1345" s="17" t="s">
        <v>53</v>
      </c>
      <c r="F1345" s="25" t="n">
        <f aca="false">SUMPRODUCT(--((('Yellow Bosses'!$O$5:$O$53&gt;=2)+('Yellow Bosses'!$Q$5:$Q$53&gt;=2)+('Yellow Bosses'!$R$5:$R$53&gt;=2)+('Yellow Bosses'!$U$5:$U$53&gt;=2))&gt;0))</f>
        <v>18</v>
      </c>
      <c r="G1345" s="26" t="n">
        <f aca="false">F1345/49</f>
        <v>0.36734693877551</v>
      </c>
      <c r="H1345" s="25" t="n">
        <f aca="false">49-SUMPRODUCT(--((('Yellow Bosses'!$O$5:$O$53&gt;=1)+('Yellow Bosses'!$Q$5:$Q$53&gt;=1)+('Yellow Bosses'!$R$5:$R$53&gt;=1)+('Yellow Bosses'!$U$5:$U$53&gt;=1))&gt;0))</f>
        <v>0</v>
      </c>
      <c r="I1345" s="25" t="n">
        <f aca="false">SUMPRODUCT(--((('Yellow Bosses'!$O$5:$O$53&gt;0)+('Yellow Bosses'!$Q$5:$Q$53&gt;0)+('Yellow Bosses'!$R$5:$R$53&gt;0)+('Yellow Bosses'!$U$5:$U$53&gt;0))=0))</f>
        <v>0</v>
      </c>
      <c r="J1345" s="25" t="n">
        <f aca="false">SUMPRODUCT(--(((Effectiveness!$L$5:$L$155&gt;=2)+(Effectiveness!$N$5:$N$155&gt;=2)+(Effectiveness!$O$5:$O$155&gt;=2)+(Effectiveness!$R$5:$R$155&gt;=2))&gt;0))</f>
        <v>51</v>
      </c>
      <c r="K1345" s="26" t="n">
        <f aca="false">J1345/151</f>
        <v>0.337748344370861</v>
      </c>
      <c r="L1345" s="25" t="n">
        <f aca="false">MIN(INDEX('Move Reality'!$F$5:$F$19,MATCH(B1345,'Move Reality'!$A$5:$A$19,0)),INDEX('Move Reality'!$F$5:$F$19,MATCH(C1345,'Move Reality'!$A$5:$A$19,0)),INDEX('Move Reality'!$F$5:$F$19,MATCH(D1345,'Move Reality'!$A$5:$A$19,0)),INDEX('Move Reality'!$F$5:$F$19,MATCH(E1345,'Move Reality'!$A$5:$A$19,0)))</f>
        <v>1</v>
      </c>
      <c r="M1345" s="28" t="str">
        <f aca="false">IF(L1345&gt;=5,"YES","no - dead move")</f>
        <v>no - dead move</v>
      </c>
    </row>
    <row r="1346" customFormat="false" ht="15" hidden="false" customHeight="false" outlineLevel="0" collapsed="false">
      <c r="A1346" s="17" t="n">
        <v>1342</v>
      </c>
      <c r="B1346" s="17" t="s">
        <v>40</v>
      </c>
      <c r="C1346" s="17" t="s">
        <v>45</v>
      </c>
      <c r="D1346" s="17" t="s">
        <v>47</v>
      </c>
      <c r="E1346" s="17" t="s">
        <v>54</v>
      </c>
      <c r="F1346" s="25" t="n">
        <f aca="false">SUMPRODUCT(--((('Yellow Bosses'!$H$5:$H$53&gt;=2)+('Yellow Bosses'!$M$5:$M$53&gt;=2)+('Yellow Bosses'!$O$5:$O$53&gt;=2)+('Yellow Bosses'!$V$5:$V$53&gt;=2))&gt;0))</f>
        <v>18</v>
      </c>
      <c r="G1346" s="26" t="n">
        <f aca="false">F1346/49</f>
        <v>0.36734693877551</v>
      </c>
      <c r="H1346" s="25" t="n">
        <f aca="false">49-SUMPRODUCT(--((('Yellow Bosses'!$H$5:$H$53&gt;=1)+('Yellow Bosses'!$M$5:$M$53&gt;=1)+('Yellow Bosses'!$O$5:$O$53&gt;=1)+('Yellow Bosses'!$V$5:$V$53&gt;=1))&gt;0))</f>
        <v>0</v>
      </c>
      <c r="I1346" s="25" t="n">
        <f aca="false">SUMPRODUCT(--((('Yellow Bosses'!$H$5:$H$53&gt;0)+('Yellow Bosses'!$M$5:$M$53&gt;0)+('Yellow Bosses'!$O$5:$O$53&gt;0)+('Yellow Bosses'!$V$5:$V$53&gt;0))=0))</f>
        <v>0</v>
      </c>
      <c r="J1346" s="25" t="n">
        <f aca="false">SUMPRODUCT(--(((Effectiveness!$E$5:$E$155&gt;=2)+(Effectiveness!$J$5:$J$155&gt;=2)+(Effectiveness!$L$5:$L$155&gt;=2)+(Effectiveness!$S$5:$S$155&gt;=2))&gt;0))</f>
        <v>50</v>
      </c>
      <c r="K1346" s="26" t="n">
        <f aca="false">J1346/151</f>
        <v>0.33112582781457</v>
      </c>
      <c r="L1346" s="25" t="n">
        <f aca="false">MIN(INDEX('Move Reality'!$F$5:$F$19,MATCH(B1346,'Move Reality'!$A$5:$A$19,0)),INDEX('Move Reality'!$F$5:$F$19,MATCH(C1346,'Move Reality'!$A$5:$A$19,0)),INDEX('Move Reality'!$F$5:$F$19,MATCH(D1346,'Move Reality'!$A$5:$A$19,0)),INDEX('Move Reality'!$F$5:$F$19,MATCH(E1346,'Move Reality'!$A$5:$A$19,0)))</f>
        <v>1</v>
      </c>
      <c r="M1346" s="28" t="str">
        <f aca="false">IF(L1346&gt;=5,"YES","no - dead move")</f>
        <v>no - dead move</v>
      </c>
    </row>
    <row r="1347" customFormat="false" ht="15" hidden="false" customHeight="false" outlineLevel="0" collapsed="false">
      <c r="A1347" s="17" t="n">
        <v>1343</v>
      </c>
      <c r="B1347" s="17" t="s">
        <v>41</v>
      </c>
      <c r="C1347" s="17" t="s">
        <v>49</v>
      </c>
      <c r="D1347" s="17" t="s">
        <v>53</v>
      </c>
      <c r="E1347" s="17" t="s">
        <v>54</v>
      </c>
      <c r="F1347" s="25" t="n">
        <f aca="false">SUMPRODUCT(--((('Yellow Bosses'!$I$5:$I$53&gt;=2)+('Yellow Bosses'!$Q$5:$Q$53&gt;=2)+('Yellow Bosses'!$U$5:$U$53&gt;=2)+('Yellow Bosses'!$V$5:$V$53&gt;=2))&gt;0))</f>
        <v>18</v>
      </c>
      <c r="G1347" s="26" t="n">
        <f aca="false">F1347/49</f>
        <v>0.36734693877551</v>
      </c>
      <c r="H1347" s="25" t="n">
        <f aca="false">49-SUMPRODUCT(--((('Yellow Bosses'!$I$5:$I$53&gt;=1)+('Yellow Bosses'!$Q$5:$Q$53&gt;=1)+('Yellow Bosses'!$U$5:$U$53&gt;=1)+('Yellow Bosses'!$V$5:$V$53&gt;=1))&gt;0))</f>
        <v>0</v>
      </c>
      <c r="I1347" s="25" t="n">
        <f aca="false">SUMPRODUCT(--((('Yellow Bosses'!$I$5:$I$53&gt;0)+('Yellow Bosses'!$Q$5:$Q$53&gt;0)+('Yellow Bosses'!$U$5:$U$53&gt;0)+('Yellow Bosses'!$V$5:$V$53&gt;0))=0))</f>
        <v>0</v>
      </c>
      <c r="J1347" s="25" t="n">
        <f aca="false">SUMPRODUCT(--(((Effectiveness!$F$5:$F$155&gt;=2)+(Effectiveness!$N$5:$N$155&gt;=2)+(Effectiveness!$R$5:$R$155&gt;=2)+(Effectiveness!$S$5:$S$155&gt;=2))&gt;0))</f>
        <v>40</v>
      </c>
      <c r="K1347" s="26" t="n">
        <f aca="false">J1347/151</f>
        <v>0.264900662251656</v>
      </c>
      <c r="L1347" s="25" t="n">
        <f aca="false">MIN(INDEX('Move Reality'!$F$5:$F$19,MATCH(B1347,'Move Reality'!$A$5:$A$19,0)),INDEX('Move Reality'!$F$5:$F$19,MATCH(C1347,'Move Reality'!$A$5:$A$19,0)),INDEX('Move Reality'!$F$5:$F$19,MATCH(D1347,'Move Reality'!$A$5:$A$19,0)),INDEX('Move Reality'!$F$5:$F$19,MATCH(E1347,'Move Reality'!$A$5:$A$19,0)))</f>
        <v>1</v>
      </c>
      <c r="M1347" s="28" t="str">
        <f aca="false">IF(L1347&gt;=5,"YES","no - dead move")</f>
        <v>no - dead move</v>
      </c>
    </row>
    <row r="1348" customFormat="false" ht="15" hidden="false" customHeight="false" outlineLevel="0" collapsed="false">
      <c r="A1348" s="17" t="n">
        <v>1344</v>
      </c>
      <c r="B1348" s="17" t="s">
        <v>40</v>
      </c>
      <c r="C1348" s="17" t="s">
        <v>44</v>
      </c>
      <c r="D1348" s="17" t="s">
        <v>46</v>
      </c>
      <c r="E1348" s="17" t="s">
        <v>47</v>
      </c>
      <c r="F1348" s="25" t="n">
        <f aca="false">SUMPRODUCT(--((('Yellow Bosses'!$H$5:$H$53&gt;=2)+('Yellow Bosses'!$L$5:$L$53&gt;=2)+('Yellow Bosses'!$N$5:$N$53&gt;=2)+('Yellow Bosses'!$O$5:$O$53&gt;=2))&gt;0))</f>
        <v>17</v>
      </c>
      <c r="G1348" s="26" t="n">
        <f aca="false">F1348/49</f>
        <v>0.346938775510204</v>
      </c>
      <c r="H1348" s="25" t="n">
        <f aca="false">49-SUMPRODUCT(--((('Yellow Bosses'!$H$5:$H$53&gt;=1)+('Yellow Bosses'!$L$5:$L$53&gt;=1)+('Yellow Bosses'!$N$5:$N$53&gt;=1)+('Yellow Bosses'!$O$5:$O$53&gt;=1))&gt;0))</f>
        <v>3</v>
      </c>
      <c r="I1348" s="25" t="n">
        <f aca="false">SUMPRODUCT(--((('Yellow Bosses'!$H$5:$H$53&gt;0)+('Yellow Bosses'!$L$5:$L$53&gt;0)+('Yellow Bosses'!$N$5:$N$53&gt;0)+('Yellow Bosses'!$O$5:$O$53&gt;0))=0))</f>
        <v>0</v>
      </c>
      <c r="J1348" s="25" t="n">
        <f aca="false">SUMPRODUCT(--(((Effectiveness!$E$5:$E$155&gt;=2)+(Effectiveness!$I$5:$I$155&gt;=2)+(Effectiveness!$K$5:$K$155&gt;=2)+(Effectiveness!$L$5:$L$155&gt;=2))&gt;0))</f>
        <v>67</v>
      </c>
      <c r="K1348" s="26" t="n">
        <f aca="false">J1348/151</f>
        <v>0.443708609271523</v>
      </c>
      <c r="L1348" s="25" t="n">
        <f aca="false">MIN(INDEX('Move Reality'!$F$5:$F$19,MATCH(B1348,'Move Reality'!$A$5:$A$19,0)),INDEX('Move Reality'!$F$5:$F$19,MATCH(C1348,'Move Reality'!$A$5:$A$19,0)),INDEX('Move Reality'!$F$5:$F$19,MATCH(D1348,'Move Reality'!$A$5:$A$19,0)),INDEX('Move Reality'!$F$5:$F$19,MATCH(E1348,'Move Reality'!$A$5:$A$19,0)))</f>
        <v>2</v>
      </c>
      <c r="M1348" s="28" t="str">
        <f aca="false">IF(L1348&gt;=5,"YES","no - dead move")</f>
        <v>no - dead move</v>
      </c>
    </row>
    <row r="1349" customFormat="false" ht="15" hidden="false" customHeight="false" outlineLevel="0" collapsed="false">
      <c r="A1349" s="17" t="n">
        <v>1345</v>
      </c>
      <c r="B1349" s="17" t="s">
        <v>46</v>
      </c>
      <c r="C1349" s="17" t="s">
        <v>47</v>
      </c>
      <c r="D1349" s="17" t="s">
        <v>53</v>
      </c>
      <c r="E1349" s="17" t="s">
        <v>54</v>
      </c>
      <c r="F1349" s="25" t="n">
        <f aca="false">SUMPRODUCT(--((('Yellow Bosses'!$N$5:$N$53&gt;=2)+('Yellow Bosses'!$O$5:$O$53&gt;=2)+('Yellow Bosses'!$U$5:$U$53&gt;=2)+('Yellow Bosses'!$V$5:$V$53&gt;=2))&gt;0))</f>
        <v>17</v>
      </c>
      <c r="G1349" s="26" t="n">
        <f aca="false">F1349/49</f>
        <v>0.346938775510204</v>
      </c>
      <c r="H1349" s="25" t="n">
        <f aca="false">49-SUMPRODUCT(--((('Yellow Bosses'!$N$5:$N$53&gt;=1)+('Yellow Bosses'!$O$5:$O$53&gt;=1)+('Yellow Bosses'!$U$5:$U$53&gt;=1)+('Yellow Bosses'!$V$5:$V$53&gt;=1))&gt;0))</f>
        <v>0</v>
      </c>
      <c r="I1349" s="25" t="n">
        <f aca="false">SUMPRODUCT(--((('Yellow Bosses'!$N$5:$N$53&gt;0)+('Yellow Bosses'!$O$5:$O$53&gt;0)+('Yellow Bosses'!$U$5:$U$53&gt;0)+('Yellow Bosses'!$V$5:$V$53&gt;0))=0))</f>
        <v>0</v>
      </c>
      <c r="J1349" s="25" t="n">
        <f aca="false">SUMPRODUCT(--(((Effectiveness!$K$5:$K$155&gt;=2)+(Effectiveness!$L$5:$L$155&gt;=2)+(Effectiveness!$R$5:$R$155&gt;=2)+(Effectiveness!$S$5:$S$155&gt;=2))&gt;0))</f>
        <v>45</v>
      </c>
      <c r="K1349" s="26" t="n">
        <f aca="false">J1349/151</f>
        <v>0.298013245033113</v>
      </c>
      <c r="L1349" s="25" t="n">
        <f aca="false">MIN(INDEX('Move Reality'!$F$5:$F$19,MATCH(B1349,'Move Reality'!$A$5:$A$19,0)),INDEX('Move Reality'!$F$5:$F$19,MATCH(C1349,'Move Reality'!$A$5:$A$19,0)),INDEX('Move Reality'!$F$5:$F$19,MATCH(D1349,'Move Reality'!$A$5:$A$19,0)),INDEX('Move Reality'!$F$5:$F$19,MATCH(E1349,'Move Reality'!$A$5:$A$19,0)))</f>
        <v>1</v>
      </c>
      <c r="M1349" s="28" t="str">
        <f aca="false">IF(L1349&gt;=5,"YES","no - dead move")</f>
        <v>no - dead move</v>
      </c>
    </row>
    <row r="1350" customFormat="false" ht="15" hidden="false" customHeight="false" outlineLevel="0" collapsed="false">
      <c r="A1350" s="17" t="n">
        <v>1346</v>
      </c>
      <c r="B1350" s="17" t="s">
        <v>40</v>
      </c>
      <c r="C1350" s="17" t="s">
        <v>49</v>
      </c>
      <c r="D1350" s="17" t="s">
        <v>53</v>
      </c>
      <c r="E1350" s="17" t="s">
        <v>54</v>
      </c>
      <c r="F1350" s="25" t="n">
        <f aca="false">SUMPRODUCT(--((('Yellow Bosses'!$H$5:$H$53&gt;=2)+('Yellow Bosses'!$Q$5:$Q$53&gt;=2)+('Yellow Bosses'!$U$5:$U$53&gt;=2)+('Yellow Bosses'!$V$5:$V$53&gt;=2))&gt;0))</f>
        <v>17</v>
      </c>
      <c r="G1350" s="26" t="n">
        <f aca="false">F1350/49</f>
        <v>0.346938775510204</v>
      </c>
      <c r="H1350" s="25" t="n">
        <f aca="false">49-SUMPRODUCT(--((('Yellow Bosses'!$H$5:$H$53&gt;=1)+('Yellow Bosses'!$Q$5:$Q$53&gt;=1)+('Yellow Bosses'!$U$5:$U$53&gt;=1)+('Yellow Bosses'!$V$5:$V$53&gt;=1))&gt;0))</f>
        <v>0</v>
      </c>
      <c r="I1350" s="25" t="n">
        <f aca="false">SUMPRODUCT(--((('Yellow Bosses'!$H$5:$H$53&gt;0)+('Yellow Bosses'!$Q$5:$Q$53&gt;0)+('Yellow Bosses'!$U$5:$U$53&gt;0)+('Yellow Bosses'!$V$5:$V$53&gt;0))=0))</f>
        <v>0</v>
      </c>
      <c r="J1350" s="25" t="n">
        <f aca="false">SUMPRODUCT(--(((Effectiveness!$E$5:$E$155&gt;=2)+(Effectiveness!$N$5:$N$155&gt;=2)+(Effectiveness!$R$5:$R$155&gt;=2)+(Effectiveness!$S$5:$S$155&gt;=2))&gt;0))</f>
        <v>38</v>
      </c>
      <c r="K1350" s="26" t="n">
        <f aca="false">J1350/151</f>
        <v>0.251655629139073</v>
      </c>
      <c r="L1350" s="25" t="n">
        <f aca="false">MIN(INDEX('Move Reality'!$F$5:$F$19,MATCH(B1350,'Move Reality'!$A$5:$A$19,0)),INDEX('Move Reality'!$F$5:$F$19,MATCH(C1350,'Move Reality'!$A$5:$A$19,0)),INDEX('Move Reality'!$F$5:$F$19,MATCH(D1350,'Move Reality'!$A$5:$A$19,0)),INDEX('Move Reality'!$F$5:$F$19,MATCH(E1350,'Move Reality'!$A$5:$A$19,0)))</f>
        <v>1</v>
      </c>
      <c r="M1350" s="28" t="str">
        <f aca="false">IF(L1350&gt;=5,"YES","no - dead move")</f>
        <v>no - dead move</v>
      </c>
    </row>
    <row r="1351" customFormat="false" ht="15" hidden="false" customHeight="false" outlineLevel="0" collapsed="false">
      <c r="A1351" s="17" t="n">
        <v>1347</v>
      </c>
      <c r="B1351" s="17" t="s">
        <v>47</v>
      </c>
      <c r="C1351" s="17" t="s">
        <v>49</v>
      </c>
      <c r="D1351" s="17" t="s">
        <v>53</v>
      </c>
      <c r="E1351" s="17" t="s">
        <v>54</v>
      </c>
      <c r="F1351" s="25" t="n">
        <f aca="false">SUMPRODUCT(--((('Yellow Bosses'!$O$5:$O$53&gt;=2)+('Yellow Bosses'!$Q$5:$Q$53&gt;=2)+('Yellow Bosses'!$U$5:$U$53&gt;=2)+('Yellow Bosses'!$V$5:$V$53&gt;=2))&gt;0))</f>
        <v>17</v>
      </c>
      <c r="G1351" s="26" t="n">
        <f aca="false">F1351/49</f>
        <v>0.346938775510204</v>
      </c>
      <c r="H1351" s="25" t="n">
        <f aca="false">49-SUMPRODUCT(--((('Yellow Bosses'!$O$5:$O$53&gt;=1)+('Yellow Bosses'!$Q$5:$Q$53&gt;=1)+('Yellow Bosses'!$U$5:$U$53&gt;=1)+('Yellow Bosses'!$V$5:$V$53&gt;=1))&gt;0))</f>
        <v>0</v>
      </c>
      <c r="I1351" s="25" t="n">
        <f aca="false">SUMPRODUCT(--((('Yellow Bosses'!$O$5:$O$53&gt;0)+('Yellow Bosses'!$Q$5:$Q$53&gt;0)+('Yellow Bosses'!$U$5:$U$53&gt;0)+('Yellow Bosses'!$V$5:$V$53&gt;0))=0))</f>
        <v>0</v>
      </c>
      <c r="J1351" s="25" t="n">
        <f aca="false">SUMPRODUCT(--(((Effectiveness!$L$5:$L$155&gt;=2)+(Effectiveness!$N$5:$N$155&gt;=2)+(Effectiveness!$R$5:$R$155&gt;=2)+(Effectiveness!$S$5:$S$155&gt;=2))&gt;0))</f>
        <v>38</v>
      </c>
      <c r="K1351" s="26" t="n">
        <f aca="false">J1351/151</f>
        <v>0.251655629139073</v>
      </c>
      <c r="L1351" s="25" t="n">
        <f aca="false">MIN(INDEX('Move Reality'!$F$5:$F$19,MATCH(B1351,'Move Reality'!$A$5:$A$19,0)),INDEX('Move Reality'!$F$5:$F$19,MATCH(C1351,'Move Reality'!$A$5:$A$19,0)),INDEX('Move Reality'!$F$5:$F$19,MATCH(D1351,'Move Reality'!$A$5:$A$19,0)),INDEX('Move Reality'!$F$5:$F$19,MATCH(E1351,'Move Reality'!$A$5:$A$19,0)))</f>
        <v>1</v>
      </c>
      <c r="M1351" s="28" t="str">
        <f aca="false">IF(L1351&gt;=5,"YES","no - dead move")</f>
        <v>no - dead move</v>
      </c>
    </row>
    <row r="1352" customFormat="false" ht="15" hidden="false" customHeight="false" outlineLevel="0" collapsed="false">
      <c r="A1352" s="17" t="n">
        <v>1348</v>
      </c>
      <c r="B1352" s="17" t="s">
        <v>40</v>
      </c>
      <c r="C1352" s="17" t="s">
        <v>43</v>
      </c>
      <c r="D1352" s="17" t="s">
        <v>53</v>
      </c>
      <c r="E1352" s="17" t="s">
        <v>54</v>
      </c>
      <c r="F1352" s="25" t="n">
        <f aca="false">SUMPRODUCT(--((('Yellow Bosses'!$H$5:$H$53&gt;=2)+('Yellow Bosses'!$K$5:$K$53&gt;=2)+('Yellow Bosses'!$U$5:$U$53&gt;=2)+('Yellow Bosses'!$V$5:$V$53&gt;=2))&gt;0))</f>
        <v>16</v>
      </c>
      <c r="G1352" s="26" t="n">
        <f aca="false">F1352/49</f>
        <v>0.326530612244898</v>
      </c>
      <c r="H1352" s="25" t="n">
        <f aca="false">49-SUMPRODUCT(--((('Yellow Bosses'!$H$5:$H$53&gt;=1)+('Yellow Bosses'!$K$5:$K$53&gt;=1)+('Yellow Bosses'!$U$5:$U$53&gt;=1)+('Yellow Bosses'!$V$5:$V$53&gt;=1))&gt;0))</f>
        <v>0</v>
      </c>
      <c r="I1352" s="25" t="n">
        <f aca="false">SUMPRODUCT(--((('Yellow Bosses'!$H$5:$H$53&gt;0)+('Yellow Bosses'!$K$5:$K$53&gt;0)+('Yellow Bosses'!$U$5:$U$53&gt;0)+('Yellow Bosses'!$V$5:$V$53&gt;0))=0))</f>
        <v>0</v>
      </c>
      <c r="J1352" s="25" t="n">
        <f aca="false">SUMPRODUCT(--(((Effectiveness!$E$5:$E$155&gt;=2)+(Effectiveness!$H$5:$H$155&gt;=2)+(Effectiveness!$R$5:$R$155&gt;=2)+(Effectiveness!$S$5:$S$155&gt;=2))&gt;0))</f>
        <v>54</v>
      </c>
      <c r="K1352" s="26" t="n">
        <f aca="false">J1352/151</f>
        <v>0.357615894039735</v>
      </c>
      <c r="L1352" s="25" t="n">
        <f aca="false">MIN(INDEX('Move Reality'!$F$5:$F$19,MATCH(B1352,'Move Reality'!$A$5:$A$19,0)),INDEX('Move Reality'!$F$5:$F$19,MATCH(C1352,'Move Reality'!$A$5:$A$19,0)),INDEX('Move Reality'!$F$5:$F$19,MATCH(D1352,'Move Reality'!$A$5:$A$19,0)),INDEX('Move Reality'!$F$5:$F$19,MATCH(E1352,'Move Reality'!$A$5:$A$19,0)))</f>
        <v>1</v>
      </c>
      <c r="M1352" s="28" t="str">
        <f aca="false">IF(L1352&gt;=5,"YES","no - dead move")</f>
        <v>no - dead move</v>
      </c>
    </row>
    <row r="1353" customFormat="false" ht="15" hidden="false" customHeight="false" outlineLevel="0" collapsed="false">
      <c r="A1353" s="17" t="n">
        <v>1349</v>
      </c>
      <c r="B1353" s="17" t="s">
        <v>40</v>
      </c>
      <c r="C1353" s="17" t="s">
        <v>43</v>
      </c>
      <c r="D1353" s="17" t="s">
        <v>47</v>
      </c>
      <c r="E1353" s="17" t="s">
        <v>53</v>
      </c>
      <c r="F1353" s="25" t="n">
        <f aca="false">SUMPRODUCT(--((('Yellow Bosses'!$H$5:$H$53&gt;=2)+('Yellow Bosses'!$K$5:$K$53&gt;=2)+('Yellow Bosses'!$O$5:$O$53&gt;=2)+('Yellow Bosses'!$U$5:$U$53&gt;=2))&gt;0))</f>
        <v>15</v>
      </c>
      <c r="G1353" s="26" t="n">
        <f aca="false">F1353/49</f>
        <v>0.306122448979592</v>
      </c>
      <c r="H1353" s="25" t="n">
        <f aca="false">49-SUMPRODUCT(--((('Yellow Bosses'!$H$5:$H$53&gt;=1)+('Yellow Bosses'!$K$5:$K$53&gt;=1)+('Yellow Bosses'!$O$5:$O$53&gt;=1)+('Yellow Bosses'!$U$5:$U$53&gt;=1))&gt;0))</f>
        <v>0</v>
      </c>
      <c r="I1353" s="25" t="n">
        <f aca="false">SUMPRODUCT(--((('Yellow Bosses'!$H$5:$H$53&gt;0)+('Yellow Bosses'!$K$5:$K$53&gt;0)+('Yellow Bosses'!$O$5:$O$53&gt;0)+('Yellow Bosses'!$U$5:$U$53&gt;0))=0))</f>
        <v>0</v>
      </c>
      <c r="J1353" s="25" t="n">
        <f aca="false">SUMPRODUCT(--(((Effectiveness!$E$5:$E$155&gt;=2)+(Effectiveness!$H$5:$H$155&gt;=2)+(Effectiveness!$L$5:$L$155&gt;=2)+(Effectiveness!$R$5:$R$155&gt;=2))&gt;0))</f>
        <v>59</v>
      </c>
      <c r="K1353" s="26" t="n">
        <f aca="false">J1353/151</f>
        <v>0.390728476821192</v>
      </c>
      <c r="L1353" s="25" t="n">
        <f aca="false">MIN(INDEX('Move Reality'!$F$5:$F$19,MATCH(B1353,'Move Reality'!$A$5:$A$19,0)),INDEX('Move Reality'!$F$5:$F$19,MATCH(C1353,'Move Reality'!$A$5:$A$19,0)),INDEX('Move Reality'!$F$5:$F$19,MATCH(D1353,'Move Reality'!$A$5:$A$19,0)),INDEX('Move Reality'!$F$5:$F$19,MATCH(E1353,'Move Reality'!$A$5:$A$19,0)))</f>
        <v>1</v>
      </c>
      <c r="M1353" s="28" t="str">
        <f aca="false">IF(L1353&gt;=5,"YES","no - dead move")</f>
        <v>no - dead move</v>
      </c>
    </row>
    <row r="1354" customFormat="false" ht="15" hidden="false" customHeight="false" outlineLevel="0" collapsed="false">
      <c r="A1354" s="17" t="n">
        <v>1350</v>
      </c>
      <c r="B1354" s="17" t="s">
        <v>40</v>
      </c>
      <c r="C1354" s="17" t="s">
        <v>43</v>
      </c>
      <c r="D1354" s="17" t="s">
        <v>47</v>
      </c>
      <c r="E1354" s="17" t="s">
        <v>54</v>
      </c>
      <c r="F1354" s="25" t="n">
        <f aca="false">SUMPRODUCT(--((('Yellow Bosses'!$H$5:$H$53&gt;=2)+('Yellow Bosses'!$K$5:$K$53&gt;=2)+('Yellow Bosses'!$O$5:$O$53&gt;=2)+('Yellow Bosses'!$V$5:$V$53&gt;=2))&gt;0))</f>
        <v>15</v>
      </c>
      <c r="G1354" s="26" t="n">
        <f aca="false">F1354/49</f>
        <v>0.306122448979592</v>
      </c>
      <c r="H1354" s="25" t="n">
        <f aca="false">49-SUMPRODUCT(--((('Yellow Bosses'!$H$5:$H$53&gt;=1)+('Yellow Bosses'!$K$5:$K$53&gt;=1)+('Yellow Bosses'!$O$5:$O$53&gt;=1)+('Yellow Bosses'!$V$5:$V$53&gt;=1))&gt;0))</f>
        <v>0</v>
      </c>
      <c r="I1354" s="25" t="n">
        <f aca="false">SUMPRODUCT(--((('Yellow Bosses'!$H$5:$H$53&gt;0)+('Yellow Bosses'!$K$5:$K$53&gt;0)+('Yellow Bosses'!$O$5:$O$53&gt;0)+('Yellow Bosses'!$V$5:$V$53&gt;0))=0))</f>
        <v>0</v>
      </c>
      <c r="J1354" s="25" t="n">
        <f aca="false">SUMPRODUCT(--(((Effectiveness!$E$5:$E$155&gt;=2)+(Effectiveness!$H$5:$H$155&gt;=2)+(Effectiveness!$L$5:$L$155&gt;=2)+(Effectiveness!$S$5:$S$155&gt;=2))&gt;0))</f>
        <v>59</v>
      </c>
      <c r="K1354" s="26" t="n">
        <f aca="false">J1354/151</f>
        <v>0.390728476821192</v>
      </c>
      <c r="L1354" s="25" t="n">
        <f aca="false">MIN(INDEX('Move Reality'!$F$5:$F$19,MATCH(B1354,'Move Reality'!$A$5:$A$19,0)),INDEX('Move Reality'!$F$5:$F$19,MATCH(C1354,'Move Reality'!$A$5:$A$19,0)),INDEX('Move Reality'!$F$5:$F$19,MATCH(D1354,'Move Reality'!$A$5:$A$19,0)),INDEX('Move Reality'!$F$5:$F$19,MATCH(E1354,'Move Reality'!$A$5:$A$19,0)))</f>
        <v>1</v>
      </c>
      <c r="M1354" s="28" t="str">
        <f aca="false">IF(L1354&gt;=5,"YES","no - dead move")</f>
        <v>no - dead move</v>
      </c>
    </row>
    <row r="1355" customFormat="false" ht="15" hidden="false" customHeight="false" outlineLevel="0" collapsed="false">
      <c r="A1355" s="17" t="n">
        <v>1351</v>
      </c>
      <c r="B1355" s="17" t="s">
        <v>40</v>
      </c>
      <c r="C1355" s="17" t="s">
        <v>41</v>
      </c>
      <c r="D1355" s="17" t="s">
        <v>49</v>
      </c>
      <c r="E1355" s="17" t="s">
        <v>53</v>
      </c>
      <c r="F1355" s="25" t="n">
        <f aca="false">SUMPRODUCT(--((('Yellow Bosses'!$H$5:$H$53&gt;=2)+('Yellow Bosses'!$I$5:$I$53&gt;=2)+('Yellow Bosses'!$Q$5:$Q$53&gt;=2)+('Yellow Bosses'!$U$5:$U$53&gt;=2))&gt;0))</f>
        <v>15</v>
      </c>
      <c r="G1355" s="26" t="n">
        <f aca="false">F1355/49</f>
        <v>0.306122448979592</v>
      </c>
      <c r="H1355" s="25" t="n">
        <f aca="false">49-SUMPRODUCT(--((('Yellow Bosses'!$H$5:$H$53&gt;=1)+('Yellow Bosses'!$I$5:$I$53&gt;=1)+('Yellow Bosses'!$Q$5:$Q$53&gt;=1)+('Yellow Bosses'!$U$5:$U$53&gt;=1))&gt;0))</f>
        <v>0</v>
      </c>
      <c r="I1355" s="25" t="n">
        <f aca="false">SUMPRODUCT(--((('Yellow Bosses'!$H$5:$H$53&gt;0)+('Yellow Bosses'!$I$5:$I$53&gt;0)+('Yellow Bosses'!$Q$5:$Q$53&gt;0)+('Yellow Bosses'!$U$5:$U$53&gt;0))=0))</f>
        <v>0</v>
      </c>
      <c r="J1355" s="25" t="n">
        <f aca="false">SUMPRODUCT(--(((Effectiveness!$E$5:$E$155&gt;=2)+(Effectiveness!$F$5:$F$155&gt;=2)+(Effectiveness!$N$5:$N$155&gt;=2)+(Effectiveness!$R$5:$R$155&gt;=2))&gt;0))</f>
        <v>37</v>
      </c>
      <c r="K1355" s="26" t="n">
        <f aca="false">J1355/151</f>
        <v>0.245033112582781</v>
      </c>
      <c r="L1355" s="25" t="n">
        <f aca="false">MIN(INDEX('Move Reality'!$F$5:$F$19,MATCH(B1355,'Move Reality'!$A$5:$A$19,0)),INDEX('Move Reality'!$F$5:$F$19,MATCH(C1355,'Move Reality'!$A$5:$A$19,0)),INDEX('Move Reality'!$F$5:$F$19,MATCH(D1355,'Move Reality'!$A$5:$A$19,0)),INDEX('Move Reality'!$F$5:$F$19,MATCH(E1355,'Move Reality'!$A$5:$A$19,0)))</f>
        <v>1</v>
      </c>
      <c r="M1355" s="28" t="str">
        <f aca="false">IF(L1355&gt;=5,"YES","no - dead move")</f>
        <v>no - dead move</v>
      </c>
    </row>
    <row r="1356" customFormat="false" ht="15" hidden="false" customHeight="false" outlineLevel="0" collapsed="false">
      <c r="A1356" s="17" t="n">
        <v>1352</v>
      </c>
      <c r="B1356" s="17" t="s">
        <v>40</v>
      </c>
      <c r="C1356" s="17" t="s">
        <v>41</v>
      </c>
      <c r="D1356" s="17" t="s">
        <v>49</v>
      </c>
      <c r="E1356" s="17" t="s">
        <v>54</v>
      </c>
      <c r="F1356" s="25" t="n">
        <f aca="false">SUMPRODUCT(--((('Yellow Bosses'!$H$5:$H$53&gt;=2)+('Yellow Bosses'!$I$5:$I$53&gt;=2)+('Yellow Bosses'!$Q$5:$Q$53&gt;=2)+('Yellow Bosses'!$V$5:$V$53&gt;=2))&gt;0))</f>
        <v>15</v>
      </c>
      <c r="G1356" s="26" t="n">
        <f aca="false">F1356/49</f>
        <v>0.306122448979592</v>
      </c>
      <c r="H1356" s="25" t="n">
        <f aca="false">49-SUMPRODUCT(--((('Yellow Bosses'!$H$5:$H$53&gt;=1)+('Yellow Bosses'!$I$5:$I$53&gt;=1)+('Yellow Bosses'!$Q$5:$Q$53&gt;=1)+('Yellow Bosses'!$V$5:$V$53&gt;=1))&gt;0))</f>
        <v>0</v>
      </c>
      <c r="I1356" s="25" t="n">
        <f aca="false">SUMPRODUCT(--((('Yellow Bosses'!$H$5:$H$53&gt;0)+('Yellow Bosses'!$I$5:$I$53&gt;0)+('Yellow Bosses'!$Q$5:$Q$53&gt;0)+('Yellow Bosses'!$V$5:$V$53&gt;0))=0))</f>
        <v>0</v>
      </c>
      <c r="J1356" s="25" t="n">
        <f aca="false">SUMPRODUCT(--(((Effectiveness!$E$5:$E$155&gt;=2)+(Effectiveness!$F$5:$F$155&gt;=2)+(Effectiveness!$N$5:$N$155&gt;=2)+(Effectiveness!$S$5:$S$155&gt;=2))&gt;0))</f>
        <v>37</v>
      </c>
      <c r="K1356" s="26" t="n">
        <f aca="false">J1356/151</f>
        <v>0.245033112582781</v>
      </c>
      <c r="L1356" s="25" t="n">
        <f aca="false">MIN(INDEX('Move Reality'!$F$5:$F$19,MATCH(B1356,'Move Reality'!$A$5:$A$19,0)),INDEX('Move Reality'!$F$5:$F$19,MATCH(C1356,'Move Reality'!$A$5:$A$19,0)),INDEX('Move Reality'!$F$5:$F$19,MATCH(D1356,'Move Reality'!$A$5:$A$19,0)),INDEX('Move Reality'!$F$5:$F$19,MATCH(E1356,'Move Reality'!$A$5:$A$19,0)))</f>
        <v>1</v>
      </c>
      <c r="M1356" s="28" t="str">
        <f aca="false">IF(L1356&gt;=5,"YES","no - dead move")</f>
        <v>no - dead move</v>
      </c>
    </row>
    <row r="1357" customFormat="false" ht="15" hidden="false" customHeight="false" outlineLevel="0" collapsed="false">
      <c r="A1357" s="17" t="n">
        <v>1353</v>
      </c>
      <c r="B1357" s="17" t="s">
        <v>41</v>
      </c>
      <c r="C1357" s="17" t="s">
        <v>47</v>
      </c>
      <c r="D1357" s="17" t="s">
        <v>49</v>
      </c>
      <c r="E1357" s="17" t="s">
        <v>53</v>
      </c>
      <c r="F1357" s="25" t="n">
        <f aca="false">SUMPRODUCT(--((('Yellow Bosses'!$I$5:$I$53&gt;=2)+('Yellow Bosses'!$O$5:$O$53&gt;=2)+('Yellow Bosses'!$Q$5:$Q$53&gt;=2)+('Yellow Bosses'!$U$5:$U$53&gt;=2))&gt;0))</f>
        <v>15</v>
      </c>
      <c r="G1357" s="26" t="n">
        <f aca="false">F1357/49</f>
        <v>0.306122448979592</v>
      </c>
      <c r="H1357" s="25" t="n">
        <f aca="false">49-SUMPRODUCT(--((('Yellow Bosses'!$I$5:$I$53&gt;=1)+('Yellow Bosses'!$O$5:$O$53&gt;=1)+('Yellow Bosses'!$Q$5:$Q$53&gt;=1)+('Yellow Bosses'!$U$5:$U$53&gt;=1))&gt;0))</f>
        <v>0</v>
      </c>
      <c r="I1357" s="25" t="n">
        <f aca="false">SUMPRODUCT(--((('Yellow Bosses'!$I$5:$I$53&gt;0)+('Yellow Bosses'!$O$5:$O$53&gt;0)+('Yellow Bosses'!$Q$5:$Q$53&gt;0)+('Yellow Bosses'!$U$5:$U$53&gt;0))=0))</f>
        <v>0</v>
      </c>
      <c r="J1357" s="25" t="n">
        <f aca="false">SUMPRODUCT(--(((Effectiveness!$F$5:$F$155&gt;=2)+(Effectiveness!$L$5:$L$155&gt;=2)+(Effectiveness!$N$5:$N$155&gt;=2)+(Effectiveness!$R$5:$R$155&gt;=2))&gt;0))</f>
        <v>37</v>
      </c>
      <c r="K1357" s="26" t="n">
        <f aca="false">J1357/151</f>
        <v>0.245033112582781</v>
      </c>
      <c r="L1357" s="25" t="n">
        <f aca="false">MIN(INDEX('Move Reality'!$F$5:$F$19,MATCH(B1357,'Move Reality'!$A$5:$A$19,0)),INDEX('Move Reality'!$F$5:$F$19,MATCH(C1357,'Move Reality'!$A$5:$A$19,0)),INDEX('Move Reality'!$F$5:$F$19,MATCH(D1357,'Move Reality'!$A$5:$A$19,0)),INDEX('Move Reality'!$F$5:$F$19,MATCH(E1357,'Move Reality'!$A$5:$A$19,0)))</f>
        <v>1</v>
      </c>
      <c r="M1357" s="28" t="str">
        <f aca="false">IF(L1357&gt;=5,"YES","no - dead move")</f>
        <v>no - dead move</v>
      </c>
    </row>
    <row r="1358" customFormat="false" ht="15" hidden="false" customHeight="false" outlineLevel="0" collapsed="false">
      <c r="A1358" s="17" t="n">
        <v>1354</v>
      </c>
      <c r="B1358" s="17" t="s">
        <v>41</v>
      </c>
      <c r="C1358" s="17" t="s">
        <v>47</v>
      </c>
      <c r="D1358" s="17" t="s">
        <v>49</v>
      </c>
      <c r="E1358" s="17" t="s">
        <v>54</v>
      </c>
      <c r="F1358" s="25" t="n">
        <f aca="false">SUMPRODUCT(--((('Yellow Bosses'!$I$5:$I$53&gt;=2)+('Yellow Bosses'!$O$5:$O$53&gt;=2)+('Yellow Bosses'!$Q$5:$Q$53&gt;=2)+('Yellow Bosses'!$V$5:$V$53&gt;=2))&gt;0))</f>
        <v>15</v>
      </c>
      <c r="G1358" s="26" t="n">
        <f aca="false">F1358/49</f>
        <v>0.306122448979592</v>
      </c>
      <c r="H1358" s="25" t="n">
        <f aca="false">49-SUMPRODUCT(--((('Yellow Bosses'!$I$5:$I$53&gt;=1)+('Yellow Bosses'!$O$5:$O$53&gt;=1)+('Yellow Bosses'!$Q$5:$Q$53&gt;=1)+('Yellow Bosses'!$V$5:$V$53&gt;=1))&gt;0))</f>
        <v>0</v>
      </c>
      <c r="I1358" s="25" t="n">
        <f aca="false">SUMPRODUCT(--((('Yellow Bosses'!$I$5:$I$53&gt;0)+('Yellow Bosses'!$O$5:$O$53&gt;0)+('Yellow Bosses'!$Q$5:$Q$53&gt;0)+('Yellow Bosses'!$V$5:$V$53&gt;0))=0))</f>
        <v>0</v>
      </c>
      <c r="J1358" s="25" t="n">
        <f aca="false">SUMPRODUCT(--(((Effectiveness!$F$5:$F$155&gt;=2)+(Effectiveness!$L$5:$L$155&gt;=2)+(Effectiveness!$N$5:$N$155&gt;=2)+(Effectiveness!$S$5:$S$155&gt;=2))&gt;0))</f>
        <v>37</v>
      </c>
      <c r="K1358" s="26" t="n">
        <f aca="false">J1358/151</f>
        <v>0.245033112582781</v>
      </c>
      <c r="L1358" s="25" t="n">
        <f aca="false">MIN(INDEX('Move Reality'!$F$5:$F$19,MATCH(B1358,'Move Reality'!$A$5:$A$19,0)),INDEX('Move Reality'!$F$5:$F$19,MATCH(C1358,'Move Reality'!$A$5:$A$19,0)),INDEX('Move Reality'!$F$5:$F$19,MATCH(D1358,'Move Reality'!$A$5:$A$19,0)),INDEX('Move Reality'!$F$5:$F$19,MATCH(E1358,'Move Reality'!$A$5:$A$19,0)))</f>
        <v>1</v>
      </c>
      <c r="M1358" s="28" t="str">
        <f aca="false">IF(L1358&gt;=5,"YES","no - dead move")</f>
        <v>no - dead move</v>
      </c>
    </row>
    <row r="1359" customFormat="false" ht="15" hidden="false" customHeight="false" outlineLevel="0" collapsed="false">
      <c r="A1359" s="17" t="n">
        <v>1355</v>
      </c>
      <c r="B1359" s="17" t="s">
        <v>40</v>
      </c>
      <c r="C1359" s="17" t="s">
        <v>46</v>
      </c>
      <c r="D1359" s="17" t="s">
        <v>53</v>
      </c>
      <c r="E1359" s="17" t="s">
        <v>54</v>
      </c>
      <c r="F1359" s="25" t="n">
        <f aca="false">SUMPRODUCT(--((('Yellow Bosses'!$H$5:$H$53&gt;=2)+('Yellow Bosses'!$N$5:$N$53&gt;=2)+('Yellow Bosses'!$U$5:$U$53&gt;=2)+('Yellow Bosses'!$V$5:$V$53&gt;=2))&gt;0))</f>
        <v>15</v>
      </c>
      <c r="G1359" s="26" t="n">
        <f aca="false">F1359/49</f>
        <v>0.306122448979592</v>
      </c>
      <c r="H1359" s="25" t="n">
        <f aca="false">49-SUMPRODUCT(--((('Yellow Bosses'!$H$5:$H$53&gt;=1)+('Yellow Bosses'!$N$5:$N$53&gt;=1)+('Yellow Bosses'!$U$5:$U$53&gt;=1)+('Yellow Bosses'!$V$5:$V$53&gt;=1))&gt;0))</f>
        <v>0</v>
      </c>
      <c r="I1359" s="25" t="n">
        <f aca="false">SUMPRODUCT(--((('Yellow Bosses'!$H$5:$H$53&gt;0)+('Yellow Bosses'!$N$5:$N$53&gt;0)+('Yellow Bosses'!$U$5:$U$53&gt;0)+('Yellow Bosses'!$V$5:$V$53&gt;0))=0))</f>
        <v>0</v>
      </c>
      <c r="J1359" s="25" t="n">
        <f aca="false">SUMPRODUCT(--(((Effectiveness!$E$5:$E$155&gt;=2)+(Effectiveness!$K$5:$K$155&gt;=2)+(Effectiveness!$R$5:$R$155&gt;=2)+(Effectiveness!$S$5:$S$155&gt;=2))&gt;0))</f>
        <v>35</v>
      </c>
      <c r="K1359" s="26" t="n">
        <f aca="false">J1359/151</f>
        <v>0.231788079470199</v>
      </c>
      <c r="L1359" s="25" t="n">
        <f aca="false">MIN(INDEX('Move Reality'!$F$5:$F$19,MATCH(B1359,'Move Reality'!$A$5:$A$19,0)),INDEX('Move Reality'!$F$5:$F$19,MATCH(C1359,'Move Reality'!$A$5:$A$19,0)),INDEX('Move Reality'!$F$5:$F$19,MATCH(D1359,'Move Reality'!$A$5:$A$19,0)),INDEX('Move Reality'!$F$5:$F$19,MATCH(E1359,'Move Reality'!$A$5:$A$19,0)))</f>
        <v>1</v>
      </c>
      <c r="M1359" s="28" t="str">
        <f aca="false">IF(L1359&gt;=5,"YES","no - dead move")</f>
        <v>no - dead move</v>
      </c>
    </row>
    <row r="1360" customFormat="false" ht="15" hidden="false" customHeight="false" outlineLevel="0" collapsed="false">
      <c r="A1360" s="17" t="n">
        <v>1356</v>
      </c>
      <c r="B1360" s="17" t="s">
        <v>40</v>
      </c>
      <c r="C1360" s="17" t="s">
        <v>41</v>
      </c>
      <c r="D1360" s="17" t="s">
        <v>53</v>
      </c>
      <c r="E1360" s="17" t="s">
        <v>54</v>
      </c>
      <c r="F1360" s="25" t="n">
        <f aca="false">SUMPRODUCT(--((('Yellow Bosses'!$H$5:$H$53&gt;=2)+('Yellow Bosses'!$I$5:$I$53&gt;=2)+('Yellow Bosses'!$U$5:$U$53&gt;=2)+('Yellow Bosses'!$V$5:$V$53&gt;=2))&gt;0))</f>
        <v>15</v>
      </c>
      <c r="G1360" s="26" t="n">
        <f aca="false">F1360/49</f>
        <v>0.306122448979592</v>
      </c>
      <c r="H1360" s="25" t="n">
        <f aca="false">49-SUMPRODUCT(--((('Yellow Bosses'!$H$5:$H$53&gt;=1)+('Yellow Bosses'!$I$5:$I$53&gt;=1)+('Yellow Bosses'!$U$5:$U$53&gt;=1)+('Yellow Bosses'!$V$5:$V$53&gt;=1))&gt;0))</f>
        <v>0</v>
      </c>
      <c r="I1360" s="25" t="n">
        <f aca="false">SUMPRODUCT(--((('Yellow Bosses'!$H$5:$H$53&gt;0)+('Yellow Bosses'!$I$5:$I$53&gt;0)+('Yellow Bosses'!$U$5:$U$53&gt;0)+('Yellow Bosses'!$V$5:$V$53&gt;0))=0))</f>
        <v>0</v>
      </c>
      <c r="J1360" s="25" t="n">
        <f aca="false">SUMPRODUCT(--(((Effectiveness!$E$5:$E$155&gt;=2)+(Effectiveness!$F$5:$F$155&gt;=2)+(Effectiveness!$R$5:$R$155&gt;=2)+(Effectiveness!$S$5:$S$155&gt;=2))&gt;0))</f>
        <v>32</v>
      </c>
      <c r="K1360" s="26" t="n">
        <f aca="false">J1360/151</f>
        <v>0.211920529801325</v>
      </c>
      <c r="L1360" s="25" t="n">
        <f aca="false">MIN(INDEX('Move Reality'!$F$5:$F$19,MATCH(B1360,'Move Reality'!$A$5:$A$19,0)),INDEX('Move Reality'!$F$5:$F$19,MATCH(C1360,'Move Reality'!$A$5:$A$19,0)),INDEX('Move Reality'!$F$5:$F$19,MATCH(D1360,'Move Reality'!$A$5:$A$19,0)),INDEX('Move Reality'!$F$5:$F$19,MATCH(E1360,'Move Reality'!$A$5:$A$19,0)))</f>
        <v>1</v>
      </c>
      <c r="M1360" s="28" t="str">
        <f aca="false">IF(L1360&gt;=5,"YES","no - dead move")</f>
        <v>no - dead move</v>
      </c>
    </row>
    <row r="1361" customFormat="false" ht="15" hidden="false" customHeight="false" outlineLevel="0" collapsed="false">
      <c r="A1361" s="17" t="n">
        <v>1357</v>
      </c>
      <c r="B1361" s="17" t="s">
        <v>41</v>
      </c>
      <c r="C1361" s="17" t="s">
        <v>47</v>
      </c>
      <c r="D1361" s="17" t="s">
        <v>53</v>
      </c>
      <c r="E1361" s="17" t="s">
        <v>54</v>
      </c>
      <c r="F1361" s="25" t="n">
        <f aca="false">SUMPRODUCT(--((('Yellow Bosses'!$I$5:$I$53&gt;=2)+('Yellow Bosses'!$O$5:$O$53&gt;=2)+('Yellow Bosses'!$U$5:$U$53&gt;=2)+('Yellow Bosses'!$V$5:$V$53&gt;=2))&gt;0))</f>
        <v>15</v>
      </c>
      <c r="G1361" s="26" t="n">
        <f aca="false">F1361/49</f>
        <v>0.306122448979592</v>
      </c>
      <c r="H1361" s="25" t="n">
        <f aca="false">49-SUMPRODUCT(--((('Yellow Bosses'!$I$5:$I$53&gt;=1)+('Yellow Bosses'!$O$5:$O$53&gt;=1)+('Yellow Bosses'!$U$5:$U$53&gt;=1)+('Yellow Bosses'!$V$5:$V$53&gt;=1))&gt;0))</f>
        <v>0</v>
      </c>
      <c r="I1361" s="25" t="n">
        <f aca="false">SUMPRODUCT(--((('Yellow Bosses'!$I$5:$I$53&gt;0)+('Yellow Bosses'!$O$5:$O$53&gt;0)+('Yellow Bosses'!$U$5:$U$53&gt;0)+('Yellow Bosses'!$V$5:$V$53&gt;0))=0))</f>
        <v>0</v>
      </c>
      <c r="J1361" s="25" t="n">
        <f aca="false">SUMPRODUCT(--(((Effectiveness!$F$5:$F$155&gt;=2)+(Effectiveness!$L$5:$L$155&gt;=2)+(Effectiveness!$R$5:$R$155&gt;=2)+(Effectiveness!$S$5:$S$155&gt;=2))&gt;0))</f>
        <v>32</v>
      </c>
      <c r="K1361" s="26" t="n">
        <f aca="false">J1361/151</f>
        <v>0.211920529801325</v>
      </c>
      <c r="L1361" s="25" t="n">
        <f aca="false">MIN(INDEX('Move Reality'!$F$5:$F$19,MATCH(B1361,'Move Reality'!$A$5:$A$19,0)),INDEX('Move Reality'!$F$5:$F$19,MATCH(C1361,'Move Reality'!$A$5:$A$19,0)),INDEX('Move Reality'!$F$5:$F$19,MATCH(D1361,'Move Reality'!$A$5:$A$19,0)),INDEX('Move Reality'!$F$5:$F$19,MATCH(E1361,'Move Reality'!$A$5:$A$19,0)))</f>
        <v>1</v>
      </c>
      <c r="M1361" s="28" t="str">
        <f aca="false">IF(L1361&gt;=5,"YES","no - dead move")</f>
        <v>no - dead move</v>
      </c>
    </row>
    <row r="1362" customFormat="false" ht="15" hidden="false" customHeight="false" outlineLevel="0" collapsed="false">
      <c r="A1362" s="17" t="n">
        <v>1358</v>
      </c>
      <c r="B1362" s="17" t="s">
        <v>40</v>
      </c>
      <c r="C1362" s="17" t="s">
        <v>46</v>
      </c>
      <c r="D1362" s="17" t="s">
        <v>47</v>
      </c>
      <c r="E1362" s="17" t="s">
        <v>53</v>
      </c>
      <c r="F1362" s="25" t="n">
        <f aca="false">SUMPRODUCT(--((('Yellow Bosses'!$H$5:$H$53&gt;=2)+('Yellow Bosses'!$N$5:$N$53&gt;=2)+('Yellow Bosses'!$O$5:$O$53&gt;=2)+('Yellow Bosses'!$U$5:$U$53&gt;=2))&gt;0))</f>
        <v>14</v>
      </c>
      <c r="G1362" s="26" t="n">
        <f aca="false">F1362/49</f>
        <v>0.285714285714286</v>
      </c>
      <c r="H1362" s="25" t="n">
        <f aca="false">49-SUMPRODUCT(--((('Yellow Bosses'!$H$5:$H$53&gt;=1)+('Yellow Bosses'!$N$5:$N$53&gt;=1)+('Yellow Bosses'!$O$5:$O$53&gt;=1)+('Yellow Bosses'!$U$5:$U$53&gt;=1))&gt;0))</f>
        <v>0</v>
      </c>
      <c r="I1362" s="25" t="n">
        <f aca="false">SUMPRODUCT(--((('Yellow Bosses'!$H$5:$H$53&gt;0)+('Yellow Bosses'!$N$5:$N$53&gt;0)+('Yellow Bosses'!$O$5:$O$53&gt;0)+('Yellow Bosses'!$U$5:$U$53&gt;0))=0))</f>
        <v>0</v>
      </c>
      <c r="J1362" s="25" t="n">
        <f aca="false">SUMPRODUCT(--(((Effectiveness!$E$5:$E$155&gt;=2)+(Effectiveness!$K$5:$K$155&gt;=2)+(Effectiveness!$L$5:$L$155&gt;=2)+(Effectiveness!$R$5:$R$155&gt;=2))&gt;0))</f>
        <v>42</v>
      </c>
      <c r="K1362" s="26" t="n">
        <f aca="false">J1362/151</f>
        <v>0.278145695364238</v>
      </c>
      <c r="L1362" s="25" t="n">
        <f aca="false">MIN(INDEX('Move Reality'!$F$5:$F$19,MATCH(B1362,'Move Reality'!$A$5:$A$19,0)),INDEX('Move Reality'!$F$5:$F$19,MATCH(C1362,'Move Reality'!$A$5:$A$19,0)),INDEX('Move Reality'!$F$5:$F$19,MATCH(D1362,'Move Reality'!$A$5:$A$19,0)),INDEX('Move Reality'!$F$5:$F$19,MATCH(E1362,'Move Reality'!$A$5:$A$19,0)))</f>
        <v>1</v>
      </c>
      <c r="M1362" s="28" t="str">
        <f aca="false">IF(L1362&gt;=5,"YES","no - dead move")</f>
        <v>no - dead move</v>
      </c>
    </row>
    <row r="1363" customFormat="false" ht="15" hidden="false" customHeight="false" outlineLevel="0" collapsed="false">
      <c r="A1363" s="17" t="n">
        <v>1359</v>
      </c>
      <c r="B1363" s="17" t="s">
        <v>40</v>
      </c>
      <c r="C1363" s="17" t="s">
        <v>46</v>
      </c>
      <c r="D1363" s="17" t="s">
        <v>47</v>
      </c>
      <c r="E1363" s="17" t="s">
        <v>54</v>
      </c>
      <c r="F1363" s="25" t="n">
        <f aca="false">SUMPRODUCT(--((('Yellow Bosses'!$H$5:$H$53&gt;=2)+('Yellow Bosses'!$N$5:$N$53&gt;=2)+('Yellow Bosses'!$O$5:$O$53&gt;=2)+('Yellow Bosses'!$V$5:$V$53&gt;=2))&gt;0))</f>
        <v>14</v>
      </c>
      <c r="G1363" s="26" t="n">
        <f aca="false">F1363/49</f>
        <v>0.285714285714286</v>
      </c>
      <c r="H1363" s="25" t="n">
        <f aca="false">49-SUMPRODUCT(--((('Yellow Bosses'!$H$5:$H$53&gt;=1)+('Yellow Bosses'!$N$5:$N$53&gt;=1)+('Yellow Bosses'!$O$5:$O$53&gt;=1)+('Yellow Bosses'!$V$5:$V$53&gt;=1))&gt;0))</f>
        <v>0</v>
      </c>
      <c r="I1363" s="25" t="n">
        <f aca="false">SUMPRODUCT(--((('Yellow Bosses'!$H$5:$H$53&gt;0)+('Yellow Bosses'!$N$5:$N$53&gt;0)+('Yellow Bosses'!$O$5:$O$53&gt;0)+('Yellow Bosses'!$V$5:$V$53&gt;0))=0))</f>
        <v>0</v>
      </c>
      <c r="J1363" s="25" t="n">
        <f aca="false">SUMPRODUCT(--(((Effectiveness!$E$5:$E$155&gt;=2)+(Effectiveness!$K$5:$K$155&gt;=2)+(Effectiveness!$L$5:$L$155&gt;=2)+(Effectiveness!$S$5:$S$155&gt;=2))&gt;0))</f>
        <v>42</v>
      </c>
      <c r="K1363" s="26" t="n">
        <f aca="false">J1363/151</f>
        <v>0.278145695364238</v>
      </c>
      <c r="L1363" s="25" t="n">
        <f aca="false">MIN(INDEX('Move Reality'!$F$5:$F$19,MATCH(B1363,'Move Reality'!$A$5:$A$19,0)),INDEX('Move Reality'!$F$5:$F$19,MATCH(C1363,'Move Reality'!$A$5:$A$19,0)),INDEX('Move Reality'!$F$5:$F$19,MATCH(D1363,'Move Reality'!$A$5:$A$19,0)),INDEX('Move Reality'!$F$5:$F$19,MATCH(E1363,'Move Reality'!$A$5:$A$19,0)))</f>
        <v>1</v>
      </c>
      <c r="M1363" s="28" t="str">
        <f aca="false">IF(L1363&gt;=5,"YES","no - dead move")</f>
        <v>no - dead move</v>
      </c>
    </row>
    <row r="1364" customFormat="false" ht="15" hidden="false" customHeight="false" outlineLevel="0" collapsed="false">
      <c r="A1364" s="17" t="n">
        <v>1360</v>
      </c>
      <c r="B1364" s="17" t="s">
        <v>40</v>
      </c>
      <c r="C1364" s="17" t="s">
        <v>47</v>
      </c>
      <c r="D1364" s="17" t="s">
        <v>49</v>
      </c>
      <c r="E1364" s="17" t="s">
        <v>53</v>
      </c>
      <c r="F1364" s="25" t="n">
        <f aca="false">SUMPRODUCT(--((('Yellow Bosses'!$H$5:$H$53&gt;=2)+('Yellow Bosses'!$O$5:$O$53&gt;=2)+('Yellow Bosses'!$Q$5:$Q$53&gt;=2)+('Yellow Bosses'!$U$5:$U$53&gt;=2))&gt;0))</f>
        <v>14</v>
      </c>
      <c r="G1364" s="26" t="n">
        <f aca="false">F1364/49</f>
        <v>0.285714285714286</v>
      </c>
      <c r="H1364" s="25" t="n">
        <f aca="false">49-SUMPRODUCT(--((('Yellow Bosses'!$H$5:$H$53&gt;=1)+('Yellow Bosses'!$O$5:$O$53&gt;=1)+('Yellow Bosses'!$Q$5:$Q$53&gt;=1)+('Yellow Bosses'!$U$5:$U$53&gt;=1))&gt;0))</f>
        <v>0</v>
      </c>
      <c r="I1364" s="25" t="n">
        <f aca="false">SUMPRODUCT(--((('Yellow Bosses'!$H$5:$H$53&gt;0)+('Yellow Bosses'!$O$5:$O$53&gt;0)+('Yellow Bosses'!$Q$5:$Q$53&gt;0)+('Yellow Bosses'!$U$5:$U$53&gt;0))=0))</f>
        <v>0</v>
      </c>
      <c r="J1364" s="25" t="n">
        <f aca="false">SUMPRODUCT(--(((Effectiveness!$E$5:$E$155&gt;=2)+(Effectiveness!$L$5:$L$155&gt;=2)+(Effectiveness!$N$5:$N$155&gt;=2)+(Effectiveness!$R$5:$R$155&gt;=2))&gt;0))</f>
        <v>35</v>
      </c>
      <c r="K1364" s="26" t="n">
        <f aca="false">J1364/151</f>
        <v>0.231788079470199</v>
      </c>
      <c r="L1364" s="25" t="n">
        <f aca="false">MIN(INDEX('Move Reality'!$F$5:$F$19,MATCH(B1364,'Move Reality'!$A$5:$A$19,0)),INDEX('Move Reality'!$F$5:$F$19,MATCH(C1364,'Move Reality'!$A$5:$A$19,0)),INDEX('Move Reality'!$F$5:$F$19,MATCH(D1364,'Move Reality'!$A$5:$A$19,0)),INDEX('Move Reality'!$F$5:$F$19,MATCH(E1364,'Move Reality'!$A$5:$A$19,0)))</f>
        <v>1</v>
      </c>
      <c r="M1364" s="28" t="str">
        <f aca="false">IF(L1364&gt;=5,"YES","no - dead move")</f>
        <v>no - dead move</v>
      </c>
    </row>
    <row r="1365" customFormat="false" ht="15" hidden="false" customHeight="false" outlineLevel="0" collapsed="false">
      <c r="A1365" s="17" t="n">
        <v>1361</v>
      </c>
      <c r="B1365" s="17" t="s">
        <v>40</v>
      </c>
      <c r="C1365" s="17" t="s">
        <v>47</v>
      </c>
      <c r="D1365" s="17" t="s">
        <v>49</v>
      </c>
      <c r="E1365" s="17" t="s">
        <v>54</v>
      </c>
      <c r="F1365" s="25" t="n">
        <f aca="false">SUMPRODUCT(--((('Yellow Bosses'!$H$5:$H$53&gt;=2)+('Yellow Bosses'!$O$5:$O$53&gt;=2)+('Yellow Bosses'!$Q$5:$Q$53&gt;=2)+('Yellow Bosses'!$V$5:$V$53&gt;=2))&gt;0))</f>
        <v>14</v>
      </c>
      <c r="G1365" s="26" t="n">
        <f aca="false">F1365/49</f>
        <v>0.285714285714286</v>
      </c>
      <c r="H1365" s="25" t="n">
        <f aca="false">49-SUMPRODUCT(--((('Yellow Bosses'!$H$5:$H$53&gt;=1)+('Yellow Bosses'!$O$5:$O$53&gt;=1)+('Yellow Bosses'!$Q$5:$Q$53&gt;=1)+('Yellow Bosses'!$V$5:$V$53&gt;=1))&gt;0))</f>
        <v>0</v>
      </c>
      <c r="I1365" s="25" t="n">
        <f aca="false">SUMPRODUCT(--((('Yellow Bosses'!$H$5:$H$53&gt;0)+('Yellow Bosses'!$O$5:$O$53&gt;0)+('Yellow Bosses'!$Q$5:$Q$53&gt;0)+('Yellow Bosses'!$V$5:$V$53&gt;0))=0))</f>
        <v>0</v>
      </c>
      <c r="J1365" s="25" t="n">
        <f aca="false">SUMPRODUCT(--(((Effectiveness!$E$5:$E$155&gt;=2)+(Effectiveness!$L$5:$L$155&gt;=2)+(Effectiveness!$N$5:$N$155&gt;=2)+(Effectiveness!$S$5:$S$155&gt;=2))&gt;0))</f>
        <v>35</v>
      </c>
      <c r="K1365" s="26" t="n">
        <f aca="false">J1365/151</f>
        <v>0.231788079470199</v>
      </c>
      <c r="L1365" s="25" t="n">
        <f aca="false">MIN(INDEX('Move Reality'!$F$5:$F$19,MATCH(B1365,'Move Reality'!$A$5:$A$19,0)),INDEX('Move Reality'!$F$5:$F$19,MATCH(C1365,'Move Reality'!$A$5:$A$19,0)),INDEX('Move Reality'!$F$5:$F$19,MATCH(D1365,'Move Reality'!$A$5:$A$19,0)),INDEX('Move Reality'!$F$5:$F$19,MATCH(E1365,'Move Reality'!$A$5:$A$19,0)))</f>
        <v>1</v>
      </c>
      <c r="M1365" s="28" t="str">
        <f aca="false">IF(L1365&gt;=5,"YES","no - dead move")</f>
        <v>no - dead move</v>
      </c>
    </row>
    <row r="1366" customFormat="false" ht="15" hidden="false" customHeight="false" outlineLevel="0" collapsed="false">
      <c r="A1366" s="17" t="n">
        <v>1362</v>
      </c>
      <c r="B1366" s="17" t="s">
        <v>40</v>
      </c>
      <c r="C1366" s="17" t="s">
        <v>41</v>
      </c>
      <c r="D1366" s="17" t="s">
        <v>47</v>
      </c>
      <c r="E1366" s="17" t="s">
        <v>49</v>
      </c>
      <c r="F1366" s="25" t="n">
        <f aca="false">SUMPRODUCT(--((('Yellow Bosses'!$H$5:$H$53&gt;=2)+('Yellow Bosses'!$I$5:$I$53&gt;=2)+('Yellow Bosses'!$O$5:$O$53&gt;=2)+('Yellow Bosses'!$Q$5:$Q$53&gt;=2))&gt;0))</f>
        <v>12</v>
      </c>
      <c r="G1366" s="26" t="n">
        <f aca="false">F1366/49</f>
        <v>0.244897959183673</v>
      </c>
      <c r="H1366" s="25" t="n">
        <f aca="false">49-SUMPRODUCT(--((('Yellow Bosses'!$H$5:$H$53&gt;=1)+('Yellow Bosses'!$I$5:$I$53&gt;=1)+('Yellow Bosses'!$O$5:$O$53&gt;=1)+('Yellow Bosses'!$Q$5:$Q$53&gt;=1))&gt;0))</f>
        <v>6</v>
      </c>
      <c r="I1366" s="25" t="n">
        <f aca="false">SUMPRODUCT(--((('Yellow Bosses'!$H$5:$H$53&gt;0)+('Yellow Bosses'!$I$5:$I$53&gt;0)+('Yellow Bosses'!$O$5:$O$53&gt;0)+('Yellow Bosses'!$Q$5:$Q$53&gt;0))=0))</f>
        <v>0</v>
      </c>
      <c r="J1366" s="25" t="n">
        <f aca="false">SUMPRODUCT(--(((Effectiveness!$E$5:$E$155&gt;=2)+(Effectiveness!$F$5:$F$155&gt;=2)+(Effectiveness!$L$5:$L$155&gt;=2)+(Effectiveness!$N$5:$N$155&gt;=2))&gt;0))</f>
        <v>34</v>
      </c>
      <c r="K1366" s="26" t="n">
        <f aca="false">J1366/151</f>
        <v>0.225165562913907</v>
      </c>
      <c r="L1366" s="25" t="n">
        <f aca="false">MIN(INDEX('Move Reality'!$F$5:$F$19,MATCH(B1366,'Move Reality'!$A$5:$A$19,0)),INDEX('Move Reality'!$F$5:$F$19,MATCH(C1366,'Move Reality'!$A$5:$A$19,0)),INDEX('Move Reality'!$F$5:$F$19,MATCH(D1366,'Move Reality'!$A$5:$A$19,0)),INDEX('Move Reality'!$F$5:$F$19,MATCH(E1366,'Move Reality'!$A$5:$A$19,0)))</f>
        <v>2</v>
      </c>
      <c r="M1366" s="28" t="str">
        <f aca="false">IF(L1366&gt;=5,"YES","no - dead move")</f>
        <v>no - dead move</v>
      </c>
    </row>
    <row r="1367" customFormat="false" ht="15" hidden="false" customHeight="false" outlineLevel="0" collapsed="false">
      <c r="A1367" s="17" t="n">
        <v>1363</v>
      </c>
      <c r="B1367" s="17" t="s">
        <v>40</v>
      </c>
      <c r="C1367" s="17" t="s">
        <v>41</v>
      </c>
      <c r="D1367" s="17" t="s">
        <v>47</v>
      </c>
      <c r="E1367" s="17" t="s">
        <v>53</v>
      </c>
      <c r="F1367" s="25" t="n">
        <f aca="false">SUMPRODUCT(--((('Yellow Bosses'!$H$5:$H$53&gt;=2)+('Yellow Bosses'!$I$5:$I$53&gt;=2)+('Yellow Bosses'!$O$5:$O$53&gt;=2)+('Yellow Bosses'!$U$5:$U$53&gt;=2))&gt;0))</f>
        <v>12</v>
      </c>
      <c r="G1367" s="26" t="n">
        <f aca="false">F1367/49</f>
        <v>0.244897959183673</v>
      </c>
      <c r="H1367" s="25" t="n">
        <f aca="false">49-SUMPRODUCT(--((('Yellow Bosses'!$H$5:$H$53&gt;=1)+('Yellow Bosses'!$I$5:$I$53&gt;=1)+('Yellow Bosses'!$O$5:$O$53&gt;=1)+('Yellow Bosses'!$U$5:$U$53&gt;=1))&gt;0))</f>
        <v>0</v>
      </c>
      <c r="I1367" s="25" t="n">
        <f aca="false">SUMPRODUCT(--((('Yellow Bosses'!$H$5:$H$53&gt;0)+('Yellow Bosses'!$I$5:$I$53&gt;0)+('Yellow Bosses'!$O$5:$O$53&gt;0)+('Yellow Bosses'!$U$5:$U$53&gt;0))=0))</f>
        <v>0</v>
      </c>
      <c r="J1367" s="25" t="n">
        <f aca="false">SUMPRODUCT(--(((Effectiveness!$E$5:$E$155&gt;=2)+(Effectiveness!$F$5:$F$155&gt;=2)+(Effectiveness!$L$5:$L$155&gt;=2)+(Effectiveness!$R$5:$R$155&gt;=2))&gt;0))</f>
        <v>29</v>
      </c>
      <c r="K1367" s="26" t="n">
        <f aca="false">J1367/151</f>
        <v>0.19205298013245</v>
      </c>
      <c r="L1367" s="25" t="n">
        <f aca="false">MIN(INDEX('Move Reality'!$F$5:$F$19,MATCH(B1367,'Move Reality'!$A$5:$A$19,0)),INDEX('Move Reality'!$F$5:$F$19,MATCH(C1367,'Move Reality'!$A$5:$A$19,0)),INDEX('Move Reality'!$F$5:$F$19,MATCH(D1367,'Move Reality'!$A$5:$A$19,0)),INDEX('Move Reality'!$F$5:$F$19,MATCH(E1367,'Move Reality'!$A$5:$A$19,0)))</f>
        <v>1</v>
      </c>
      <c r="M1367" s="28" t="str">
        <f aca="false">IF(L1367&gt;=5,"YES","no - dead move")</f>
        <v>no - dead move</v>
      </c>
    </row>
    <row r="1368" customFormat="false" ht="15" hidden="false" customHeight="false" outlineLevel="0" collapsed="false">
      <c r="A1368" s="17" t="n">
        <v>1364</v>
      </c>
      <c r="B1368" s="17" t="s">
        <v>40</v>
      </c>
      <c r="C1368" s="17" t="s">
        <v>41</v>
      </c>
      <c r="D1368" s="17" t="s">
        <v>47</v>
      </c>
      <c r="E1368" s="17" t="s">
        <v>54</v>
      </c>
      <c r="F1368" s="25" t="n">
        <f aca="false">SUMPRODUCT(--((('Yellow Bosses'!$H$5:$H$53&gt;=2)+('Yellow Bosses'!$I$5:$I$53&gt;=2)+('Yellow Bosses'!$O$5:$O$53&gt;=2)+('Yellow Bosses'!$V$5:$V$53&gt;=2))&gt;0))</f>
        <v>12</v>
      </c>
      <c r="G1368" s="26" t="n">
        <f aca="false">F1368/49</f>
        <v>0.244897959183673</v>
      </c>
      <c r="H1368" s="25" t="n">
        <f aca="false">49-SUMPRODUCT(--((('Yellow Bosses'!$H$5:$H$53&gt;=1)+('Yellow Bosses'!$I$5:$I$53&gt;=1)+('Yellow Bosses'!$O$5:$O$53&gt;=1)+('Yellow Bosses'!$V$5:$V$53&gt;=1))&gt;0))</f>
        <v>0</v>
      </c>
      <c r="I1368" s="25" t="n">
        <f aca="false">SUMPRODUCT(--((('Yellow Bosses'!$H$5:$H$53&gt;0)+('Yellow Bosses'!$I$5:$I$53&gt;0)+('Yellow Bosses'!$O$5:$O$53&gt;0)+('Yellow Bosses'!$V$5:$V$53&gt;0))=0))</f>
        <v>0</v>
      </c>
      <c r="J1368" s="25" t="n">
        <f aca="false">SUMPRODUCT(--(((Effectiveness!$E$5:$E$155&gt;=2)+(Effectiveness!$F$5:$F$155&gt;=2)+(Effectiveness!$L$5:$L$155&gt;=2)+(Effectiveness!$S$5:$S$155&gt;=2))&gt;0))</f>
        <v>29</v>
      </c>
      <c r="K1368" s="26" t="n">
        <f aca="false">J1368/151</f>
        <v>0.19205298013245</v>
      </c>
      <c r="L1368" s="25" t="n">
        <f aca="false">MIN(INDEX('Move Reality'!$F$5:$F$19,MATCH(B1368,'Move Reality'!$A$5:$A$19,0)),INDEX('Move Reality'!$F$5:$F$19,MATCH(C1368,'Move Reality'!$A$5:$A$19,0)),INDEX('Move Reality'!$F$5:$F$19,MATCH(D1368,'Move Reality'!$A$5:$A$19,0)),INDEX('Move Reality'!$F$5:$F$19,MATCH(E1368,'Move Reality'!$A$5:$A$19,0)))</f>
        <v>1</v>
      </c>
      <c r="M1368" s="28" t="str">
        <f aca="false">IF(L1368&gt;=5,"YES","no - dead move")</f>
        <v>no - dead move</v>
      </c>
    </row>
    <row r="1369" customFormat="false" ht="15" hidden="false" customHeight="false" outlineLevel="0" collapsed="false">
      <c r="A1369" s="17" t="n">
        <v>1365</v>
      </c>
      <c r="B1369" s="17" t="s">
        <v>40</v>
      </c>
      <c r="C1369" s="17" t="s">
        <v>47</v>
      </c>
      <c r="D1369" s="17" t="s">
        <v>53</v>
      </c>
      <c r="E1369" s="17" t="s">
        <v>54</v>
      </c>
      <c r="F1369" s="25" t="n">
        <f aca="false">SUMPRODUCT(--((('Yellow Bosses'!$H$5:$H$53&gt;=2)+('Yellow Bosses'!$O$5:$O$53&gt;=2)+('Yellow Bosses'!$U$5:$U$53&gt;=2)+('Yellow Bosses'!$V$5:$V$53&gt;=2))&gt;0))</f>
        <v>8</v>
      </c>
      <c r="G1369" s="26" t="n">
        <f aca="false">F1369/49</f>
        <v>0.163265306122449</v>
      </c>
      <c r="H1369" s="25" t="n">
        <f aca="false">49-SUMPRODUCT(--((('Yellow Bosses'!$H$5:$H$53&gt;=1)+('Yellow Bosses'!$O$5:$O$53&gt;=1)+('Yellow Bosses'!$U$5:$U$53&gt;=1)+('Yellow Bosses'!$V$5:$V$53&gt;=1))&gt;0))</f>
        <v>0</v>
      </c>
      <c r="I1369" s="25" t="n">
        <f aca="false">SUMPRODUCT(--((('Yellow Bosses'!$H$5:$H$53&gt;0)+('Yellow Bosses'!$O$5:$O$53&gt;0)+('Yellow Bosses'!$U$5:$U$53&gt;0)+('Yellow Bosses'!$V$5:$V$53&gt;0))=0))</f>
        <v>0</v>
      </c>
      <c r="J1369" s="25" t="n">
        <f aca="false">SUMPRODUCT(--(((Effectiveness!$E$5:$E$155&gt;=2)+(Effectiveness!$L$5:$L$155&gt;=2)+(Effectiveness!$R$5:$R$155&gt;=2)+(Effectiveness!$S$5:$S$155&gt;=2))&gt;0))</f>
        <v>16</v>
      </c>
      <c r="K1369" s="26" t="n">
        <f aca="false">J1369/151</f>
        <v>0.105960264900662</v>
      </c>
      <c r="L1369" s="25" t="n">
        <f aca="false">MIN(INDEX('Move Reality'!$F$5:$F$19,MATCH(B1369,'Move Reality'!$A$5:$A$19,0)),INDEX('Move Reality'!$F$5:$F$19,MATCH(C1369,'Move Reality'!$A$5:$A$19,0)),INDEX('Move Reality'!$F$5:$F$19,MATCH(D1369,'Move Reality'!$A$5:$A$19,0)),INDEX('Move Reality'!$F$5:$F$19,MATCH(E1369,'Move Reality'!$A$5:$A$19,0)))</f>
        <v>1</v>
      </c>
      <c r="M1369" s="28" t="str">
        <f aca="false">IF(L1369&gt;=5,"YES","no - dead move")</f>
        <v>no - dead move</v>
      </c>
    </row>
    <row r="1371" customFormat="false" ht="15" hidden="false" customHeight="false" outlineLevel="0" collapsed="false">
      <c r="A1371" s="2" t="s">
        <v>360</v>
      </c>
    </row>
  </sheetData>
  <autoFilter ref="A4:M1369"/>
  <conditionalFormatting sqref="M5:M1369">
    <cfRule type="cellIs" priority="2" operator="equal" aboveAverage="0" equalAverage="0" bottom="0" percent="0" rank="0" text="" dxfId="0">
      <formula>"YES"</formula>
    </cfRule>
  </conditionalFormatting>
  <conditionalFormatting sqref="F5:F1369">
    <cfRule type="cellIs" priority="3" operator="greaterThanOrEqual" aboveAverage="0" equalAverage="0" bottom="0" percent="0" rank="0" text="" dxfId="0">
      <formula>42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36"/>
    <col collapsed="false" customWidth="true" hidden="false" outlineLevel="0" max="5" min="5" style="0" width="32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84"/>
  </cols>
  <sheetData>
    <row r="1" customFormat="false" ht="17.35" hidden="false" customHeight="false" outlineLevel="0" collapsed="false">
      <c r="A1" s="1" t="s">
        <v>361</v>
      </c>
    </row>
    <row r="2" customFormat="false" ht="15" hidden="false" customHeight="false" outlineLevel="0" collapsed="false">
      <c r="A2" s="2" t="s">
        <v>362</v>
      </c>
    </row>
    <row r="4" customFormat="false" ht="23.85" hidden="false" customHeight="false" outlineLevel="0" collapsed="false">
      <c r="A4" s="14" t="s">
        <v>249</v>
      </c>
      <c r="B4" s="14" t="s">
        <v>90</v>
      </c>
      <c r="C4" s="14" t="s">
        <v>91</v>
      </c>
      <c r="D4" s="14" t="s">
        <v>363</v>
      </c>
      <c r="E4" s="14" t="s">
        <v>364</v>
      </c>
      <c r="F4" s="14" t="s">
        <v>365</v>
      </c>
      <c r="G4" s="14" t="s">
        <v>341</v>
      </c>
      <c r="H4" s="14" t="s">
        <v>366</v>
      </c>
    </row>
    <row r="5" customFormat="false" ht="57.75" hidden="false" customHeight="true" outlineLevel="0" collapsed="false">
      <c r="A5" s="15" t="s">
        <v>116</v>
      </c>
      <c r="B5" s="16" t="s">
        <v>43</v>
      </c>
      <c r="C5" s="16"/>
      <c r="D5" s="16" t="s">
        <v>367</v>
      </c>
      <c r="E5" s="16" t="s">
        <v>368</v>
      </c>
      <c r="F5" s="16" t="s">
        <v>43</v>
      </c>
      <c r="G5" s="29" t="n">
        <f aca="false">COUNTIF('Yellow Bosses'!$K$5:$K$53,"&gt;=2")</f>
        <v>10</v>
      </c>
      <c r="H5" s="16" t="s">
        <v>369</v>
      </c>
    </row>
    <row r="6" customFormat="false" ht="57.75" hidden="false" customHeight="true" outlineLevel="0" collapsed="false">
      <c r="A6" s="15" t="s">
        <v>125</v>
      </c>
      <c r="B6" s="16" t="s">
        <v>47</v>
      </c>
      <c r="C6" s="16" t="s">
        <v>48</v>
      </c>
      <c r="D6" s="16" t="s">
        <v>370</v>
      </c>
      <c r="E6" s="16" t="s">
        <v>371</v>
      </c>
      <c r="F6" s="16" t="s">
        <v>48</v>
      </c>
      <c r="G6" s="29" t="n">
        <f aca="false">COUNTIF('Yellow Bosses'!$P$5:$P$53,"&gt;=2")</f>
        <v>17</v>
      </c>
      <c r="H6" s="16" t="s">
        <v>372</v>
      </c>
    </row>
    <row r="7" customFormat="false" ht="57.75" hidden="false" customHeight="true" outlineLevel="0" collapsed="false">
      <c r="A7" s="15" t="s">
        <v>156</v>
      </c>
      <c r="B7" s="16" t="s">
        <v>50</v>
      </c>
      <c r="C7" s="16"/>
      <c r="D7" s="16" t="s">
        <v>373</v>
      </c>
      <c r="E7" s="16" t="s">
        <v>374</v>
      </c>
      <c r="F7" s="16" t="s">
        <v>50</v>
      </c>
      <c r="G7" s="29" t="n">
        <f aca="false">COUNTIF('Yellow Bosses'!$R$5:$R$53,"&gt;=2")</f>
        <v>16</v>
      </c>
      <c r="H7" s="16" t="s">
        <v>375</v>
      </c>
    </row>
    <row r="8" customFormat="false" ht="57.75" hidden="false" customHeight="true" outlineLevel="0" collapsed="false">
      <c r="A8" s="15" t="s">
        <v>222</v>
      </c>
      <c r="B8" s="16" t="s">
        <v>42</v>
      </c>
      <c r="C8" s="16" t="s">
        <v>45</v>
      </c>
      <c r="D8" s="16" t="s">
        <v>376</v>
      </c>
      <c r="E8" s="16" t="s">
        <v>377</v>
      </c>
      <c r="F8" s="16" t="s">
        <v>45</v>
      </c>
      <c r="G8" s="29" t="n">
        <f aca="false">COUNTIF('Yellow Bosses'!$M$5:$M$53,"&gt;=2")</f>
        <v>18</v>
      </c>
      <c r="H8" s="16" t="s">
        <v>378</v>
      </c>
    </row>
    <row r="9" customFormat="false" ht="57.75" hidden="false" customHeight="true" outlineLevel="0" collapsed="false">
      <c r="A9" s="15" t="s">
        <v>142</v>
      </c>
      <c r="B9" s="16" t="s">
        <v>48</v>
      </c>
      <c r="C9" s="16"/>
      <c r="D9" s="16" t="s">
        <v>379</v>
      </c>
      <c r="E9" s="16" t="s">
        <v>380</v>
      </c>
      <c r="F9" s="16" t="s">
        <v>48</v>
      </c>
      <c r="G9" s="29" t="n">
        <f aca="false">COUNTIF('Yellow Bosses'!$P$5:$P$53,"&gt;=2")</f>
        <v>17</v>
      </c>
      <c r="H9" s="16" t="s">
        <v>381</v>
      </c>
    </row>
    <row r="10" customFormat="false" ht="57.75" hidden="false" customHeight="true" outlineLevel="0" collapsed="false">
      <c r="A10" s="15" t="s">
        <v>234</v>
      </c>
      <c r="B10" s="16" t="s">
        <v>40</v>
      </c>
      <c r="C10" s="16"/>
      <c r="D10" s="16" t="s">
        <v>382</v>
      </c>
      <c r="E10" s="16" t="s">
        <v>383</v>
      </c>
      <c r="F10" s="16" t="s">
        <v>40</v>
      </c>
      <c r="G10" s="29" t="n">
        <f aca="false">COUNTIF('Yellow Bosses'!$H$5:$H$53,"&gt;=2")</f>
        <v>0</v>
      </c>
      <c r="H10" s="16" t="s">
        <v>384</v>
      </c>
    </row>
    <row r="12" customFormat="false" ht="15" hidden="false" customHeight="false" outlineLevel="0" collapsed="false">
      <c r="A12" s="4" t="s">
        <v>385</v>
      </c>
    </row>
    <row r="13" customFormat="false" ht="15" hidden="false" customHeight="false" outlineLevel="0" collapsed="false">
      <c r="A13" s="19" t="s">
        <v>386</v>
      </c>
    </row>
    <row r="14" customFormat="false" ht="15" hidden="false" customHeight="false" outlineLevel="0" collapsed="false">
      <c r="A14" s="19"/>
    </row>
    <row r="15" customFormat="false" ht="15" hidden="false" customHeight="false" outlineLevel="0" collapsed="false">
      <c r="A15" s="19" t="s">
        <v>387</v>
      </c>
    </row>
    <row r="16" customFormat="false" ht="15" hidden="false" customHeight="false" outlineLevel="0" collapsed="false">
      <c r="A16" s="19" t="s">
        <v>388</v>
      </c>
    </row>
    <row r="17" customFormat="false" ht="15" hidden="false" customHeight="false" outlineLevel="0" collapsed="false">
      <c r="A17" s="19" t="s">
        <v>389</v>
      </c>
    </row>
    <row r="18" customFormat="false" ht="15" hidden="false" customHeight="false" outlineLevel="0" collapsed="false">
      <c r="A18" s="19" t="s">
        <v>390</v>
      </c>
    </row>
    <row r="19" customFormat="false" ht="15" hidden="false" customHeight="false" outlineLevel="0" collapsed="false">
      <c r="A19" s="19"/>
    </row>
    <row r="20" customFormat="false" ht="15" hidden="false" customHeight="false" outlineLevel="0" collapsed="false">
      <c r="A20" s="4" t="s">
        <v>391</v>
      </c>
    </row>
    <row r="21" customFormat="false" ht="15" hidden="false" customHeight="false" outlineLevel="0" collapsed="false">
      <c r="A21" s="19" t="s">
        <v>392</v>
      </c>
    </row>
    <row r="22" customFormat="false" ht="15" hidden="false" customHeight="false" outlineLevel="0" collapsed="false">
      <c r="A22" s="4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2026-07-13T18:56:29Z</dcterms:created>
  <dc:creator>openpyxl</dc:creator>
  <dc:description/>
  <dc:language>en-US</dc:language>
  <cp:lastModifiedBy/>
  <dcterms:modified xsi:type="dcterms:W3CDTF">2026-07-13T18:56:30Z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