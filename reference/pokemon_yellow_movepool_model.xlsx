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earnset Matrix" sheetId="2" state="visible" r:id="rId4"/>
    <sheet name="TM Sponges" sheetId="3" state="visible" r:id="rId5"/>
    <sheet name="Solo Carries" sheetId="4" state="visible" r:id="rId6"/>
    <sheet name="Dual-Type Defense" sheetId="5" state="visible" r:id="rId7"/>
    <sheet name="Damaging Moves" sheetId="6" state="visible" r:id="rId8"/>
    <sheet name="Team v2" sheetId="7" state="visible" r:id="rId9"/>
  </sheets>
  <definedNames>
    <definedName function="false" hidden="true" localSheetId="5" name="_xlnm._FilterDatabase" vbProcedure="false">'Damaging Moves'!$A$4:$H$103</definedName>
    <definedName function="false" hidden="true" localSheetId="1" name="_xlnm._FilterDatabase" vbProcedure="false">'Learnset Matrix'!$A$4:$V$155</definedName>
    <definedName function="false" hidden="true" localSheetId="3" name="_xlnm._FilterDatabase" vbProcedure="false">'Solo Carries'!$A$4:$L$64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<sst xmlns="http://schemas.openxmlformats.org/spreadsheetml/2006/main" count="1810" uniqueCount="632">
  <si>
    <t xml:space="preserve">Yellow — Movepool &amp; Learnset Model (v2)</t>
  </si>
  <si>
    <t xml:space="preserve">This is the layer the first workbook was missing: what each Pokemon can ACTUALLY learn, and what it does with it.</t>
  </si>
  <si>
    <t xml:space="preserve">WHERE THE DATA CAME FROM</t>
  </si>
  <si>
    <t xml:space="preserve">Source</t>
  </si>
  <si>
    <t xml:space="preserve">github.com/pret/pokeyellow — a disassembly of the actual Pokemon Yellow ROM. Not a wiki, not memory. Base stats, types, TM/HM compatibility bitfields, level-up learnsets, move power/type/accuracy, and wild encounter tables are all parsed straight from the game's own data files.</t>
  </si>
  <si>
    <t xml:space="preserve">Parsed</t>
  </si>
  <si>
    <t xml:space="preserve">151 Pokemon, 165 moves, 50 TMs + 5 HMs, 75 wild-encounterable species.</t>
  </si>
  <si>
    <t xml:space="preserve">Boss rosters</t>
  </si>
  <si>
    <t xml:space="preserve">dittobase.com/yellow — 49 Pokemon across 8 gyms + Elite Four + Champion.</t>
  </si>
  <si>
    <t xml:space="preserve">WHAT THE MODEL DOES</t>
  </si>
  <si>
    <t xml:space="preserve">1. Learnset matrix</t>
  </si>
  <si>
    <t xml:space="preserve">For all 151 x 15 attacking types: can this Pokemon learn a damaging move of this type, and what is the best one? (TM/HM + level-up.) See 'Learnset Matrix'.</t>
  </si>
  <si>
    <t xml:space="preserve">2. Damage sim</t>
  </si>
  <si>
    <t xml:space="preserve">Real Gen 1 damage formula: ((((2*L/5+2) * Power * A/D) / 50) + 2) * STAB * TypeEffectiveness. Attack stat A is Attack for physical types and Special for special types (Gen 1 has no per-move split). Defender's D is its real Defense or Special at its real level.</t>
  </si>
  <si>
    <t xml:space="preserve">3. Best moveset</t>
  </si>
  <si>
    <t xml:space="preserve">For every Pokemon, brute-force the best 4 damaging moves it can legally learn, chosen to maximise how many bosses it can 2HKO.</t>
  </si>
  <si>
    <t xml:space="preserve">4. Fragility</t>
  </si>
  <si>
    <t xml:space="preserve">The reverse: for each boss, the best damaging move IT can learn, aimed back at us. 'Fragility' counts how many of the 49 bosses can 2HKO our Pokemon back.</t>
  </si>
  <si>
    <t xml:space="preserve">5. Team search</t>
  </si>
  <si>
    <t xml:space="preserve">Greedy set-cover over the candidates to pick 6 that jointly threaten the whole gauntlet.</t>
  </si>
  <si>
    <t xml:space="preserve">ASSUMPTIONS — argue with these</t>
  </si>
  <si>
    <t xml:space="preserve">Levels</t>
  </si>
  <si>
    <t xml:space="preserve">LEVEL-MATCHED. Our Pokemon fights each trainer at that trainer's ace level, so nothing wins by being overlevelled. Bosses use their real in-game levels.</t>
  </si>
  <si>
    <t xml:space="preserve">Stats</t>
  </si>
  <si>
    <t xml:space="preserve">IV (DV) = 8 across the board, 0 EVs (no stat-XP grinding). Conservative; real stats will run a little higher.</t>
  </si>
  <si>
    <t xml:space="preserve">Damage roll</t>
  </si>
  <si>
    <t xml:space="preserve">Gen 1 rolls 217-255/255 of max damage; the model uses the ~92.5% average and multiplies by accuracy.</t>
  </si>
  <si>
    <t xml:space="preserve">Move taxes</t>
  </si>
  <si>
    <t xml:space="preserve">2-turn charge moves (Solarbeam, Sky Attack, Dig, Fly, Skull Bash, Razor Wind) x0.55. Hyper Beam x0.62 for the recharge. Recoil moves (Double-Edge, Submission, Take Down) x0.9.</t>
  </si>
  <si>
    <t xml:space="preserve">Excluded moves</t>
  </si>
  <si>
    <t xml:space="preserve">Selfdestruct and Explosion (they KO the user — a one-shot nuke, not coverage). Dream Eater (needs a sleeping target). Counter, Bide, Psywave, Super Fang (not cleanly modelable).</t>
  </si>
  <si>
    <t xml:space="preserve">Excluded Pokemon</t>
  </si>
  <si>
    <t xml:space="preserve">Mewtwo is legal before the League and 2HKOs 26/26 of the endgame by itself. It is left out of the team search because including it makes the exercise meaningless. Mew is unobtainable.</t>
  </si>
  <si>
    <t xml:space="preserve">TM timing</t>
  </si>
  <si>
    <t xml:space="preserve">THE BIG ONE. The model assumes every TM is available. That is exactly true for the Elite Four and Champion, and NOT true for the early gyms — you do not have Blizzard when you fight Brock. Read the 'E4' column as the real result and the 'All 49' column as directional.</t>
  </si>
  <si>
    <t xml:space="preserve">Not modelled</t>
  </si>
  <si>
    <t xml:space="preserve">Status moves (Thunder Wave, Toxic, Amnesia), Recover/Rest, turn order, crits, and the Gen 1 Focus Energy / Hyper Beam bugs. Speed matters enormously in practice and enters this model only via the Fragility column.</t>
  </si>
  <si>
    <t xml:space="preserve">SHEETS</t>
  </si>
  <si>
    <t xml:space="preserve">Learnset Matrix</t>
  </si>
  <si>
    <t xml:space="preserve">The answer to 'who can hold which move'. 151 x 15.</t>
  </si>
  <si>
    <t xml:space="preserve">TM Sponges</t>
  </si>
  <si>
    <t xml:space="preserve">Ranked by how many damaging move TYPES a Pokemon can learn via TM/HM. This is the Clefable axis.</t>
  </si>
  <si>
    <t xml:space="preserve">Solo Carries</t>
  </si>
  <si>
    <t xml:space="preserve">Every obtainable Pokemon, its optimal 4 moves, coverage, and fragility. Includes a coverage-vs-fragility scatter.</t>
  </si>
  <si>
    <t xml:space="preserve">Dual-Type Defense</t>
  </si>
  <si>
    <t xml:space="preserve">Every real Gen 1 typing scored defensively. The 'combo types' question.</t>
  </si>
  <si>
    <t xml:space="preserve">Damaging Moves</t>
  </si>
  <si>
    <t xml:space="preserve">All damaging moves, with TM number, power, accuracy and category.</t>
  </si>
  <si>
    <t xml:space="preserve">Team v2</t>
  </si>
  <si>
    <t xml:space="preserve">The revised recommendation, now constrained by what is actually learnable.</t>
  </si>
  <si>
    <t xml:space="preserve">Learnset Matrix — Best Damaging Move Power, by Type</t>
  </si>
  <si>
    <t xml:space="preserve">For each Pokemon x attacking type: base power of the strongest damaging move of that type it can learn (TM/HM or level-up). Blank = it cannot learn ANY damaging move of that type.</t>
  </si>
  <si>
    <t xml:space="preserve">#</t>
  </si>
  <si>
    <t xml:space="preserve">Pokemon</t>
  </si>
  <si>
    <t xml:space="preserve">Type 1</t>
  </si>
  <si>
    <t xml:space="preserve">Type 2</t>
  </si>
  <si>
    <t xml:space="preserve">In Yellow?</t>
  </si>
  <si>
    <t xml:space="preserve">TMs</t>
  </si>
  <si>
    <t xml:space="preserve">Attack types</t>
  </si>
  <si>
    <t xml:space="preserve">Normal</t>
  </si>
  <si>
    <t xml:space="preserve">Fire</t>
  </si>
  <si>
    <t xml:space="preserve">Water</t>
  </si>
  <si>
    <t xml:space="preserve">Electric</t>
  </si>
  <si>
    <t xml:space="preserve">Grass</t>
  </si>
  <si>
    <t xml:space="preserve">Ice</t>
  </si>
  <si>
    <t xml:space="preserve">Fighting</t>
  </si>
  <si>
    <t xml:space="preserve">Poison</t>
  </si>
  <si>
    <t xml:space="preserve">Ground</t>
  </si>
  <si>
    <t xml:space="preserve">Flying</t>
  </si>
  <si>
    <t xml:space="preserve">Psychic</t>
  </si>
  <si>
    <t xml:space="preserve">Bug</t>
  </si>
  <si>
    <t xml:space="preserve">Rock</t>
  </si>
  <si>
    <t xml:space="preserve">Ghost</t>
  </si>
  <si>
    <t xml:space="preserve">Dragon</t>
  </si>
  <si>
    <t xml:space="preserve">Mew</t>
  </si>
  <si>
    <t xml:space="preserve">no</t>
  </si>
  <si>
    <t xml:space="preserve">Snorlax</t>
  </si>
  <si>
    <t xml:space="preserve">yes</t>
  </si>
  <si>
    <t xml:space="preserve">Nidoking</t>
  </si>
  <si>
    <t xml:space="preserve">Kangaskhan</t>
  </si>
  <si>
    <t xml:space="preserve">Mewtwo</t>
  </si>
  <si>
    <t xml:space="preserve">Nidoqueen</t>
  </si>
  <si>
    <t xml:space="preserve">Wigglytuff</t>
  </si>
  <si>
    <t xml:space="preserve">Clefairy</t>
  </si>
  <si>
    <t xml:space="preserve">Rhydon</t>
  </si>
  <si>
    <t xml:space="preserve">Chansey</t>
  </si>
  <si>
    <t xml:space="preserve">Clefable</t>
  </si>
  <si>
    <t xml:space="preserve">Jigglypuff</t>
  </si>
  <si>
    <t xml:space="preserve">Lickitung</t>
  </si>
  <si>
    <t xml:space="preserve">Slowbro</t>
  </si>
  <si>
    <t xml:space="preserve">Slowpoke</t>
  </si>
  <si>
    <t xml:space="preserve">Psyduck</t>
  </si>
  <si>
    <t xml:space="preserve">Poliwhirl</t>
  </si>
  <si>
    <t xml:space="preserve">Nidorino</t>
  </si>
  <si>
    <t xml:space="preserve">Poliwrath</t>
  </si>
  <si>
    <t xml:space="preserve">Golduck</t>
  </si>
  <si>
    <t xml:space="preserve">Gengar</t>
  </si>
  <si>
    <t xml:space="preserve">trade evo</t>
  </si>
  <si>
    <t xml:space="preserve">Jynx</t>
  </si>
  <si>
    <t xml:space="preserve">Nidorina</t>
  </si>
  <si>
    <t xml:space="preserve">Cubone</t>
  </si>
  <si>
    <t xml:space="preserve">Marowak</t>
  </si>
  <si>
    <t xml:space="preserve">Lapras</t>
  </si>
  <si>
    <t xml:space="preserve">Mrime</t>
  </si>
  <si>
    <t xml:space="preserve">Tauros</t>
  </si>
  <si>
    <t xml:space="preserve">Raticate</t>
  </si>
  <si>
    <t xml:space="preserve">Arbok</t>
  </si>
  <si>
    <t xml:space="preserve">Dragonair</t>
  </si>
  <si>
    <t xml:space="preserve">Nidoran</t>
  </si>
  <si>
    <t xml:space="preserve">Blastoise</t>
  </si>
  <si>
    <t xml:space="preserve">Nidoran F</t>
  </si>
  <si>
    <t xml:space="preserve">Wartortle</t>
  </si>
  <si>
    <t xml:space="preserve">Rhyhorn</t>
  </si>
  <si>
    <t xml:space="preserve">Rattata</t>
  </si>
  <si>
    <t xml:space="preserve">Squirtle</t>
  </si>
  <si>
    <t xml:space="preserve">Primeape</t>
  </si>
  <si>
    <t xml:space="preserve">Dragonite</t>
  </si>
  <si>
    <t xml:space="preserve">Golem</t>
  </si>
  <si>
    <t xml:space="preserve">Machoke</t>
  </si>
  <si>
    <t xml:space="preserve">Gyarados</t>
  </si>
  <si>
    <t xml:space="preserve">Hitmonchan</t>
  </si>
  <si>
    <t xml:space="preserve">Kabutops</t>
  </si>
  <si>
    <t xml:space="preserve">Sandshrew</t>
  </si>
  <si>
    <t xml:space="preserve">Grimer</t>
  </si>
  <si>
    <t xml:space="preserve">Machamp</t>
  </si>
  <si>
    <t xml:space="preserve">Machop</t>
  </si>
  <si>
    <t xml:space="preserve">Haunter</t>
  </si>
  <si>
    <t xml:space="preserve">Sandslash</t>
  </si>
  <si>
    <t xml:space="preserve">Tentacruel</t>
  </si>
  <si>
    <t xml:space="preserve">Charizard</t>
  </si>
  <si>
    <t xml:space="preserve">Graveler</t>
  </si>
  <si>
    <t xml:space="preserve">Mankey</t>
  </si>
  <si>
    <t xml:space="preserve">Ekans</t>
  </si>
  <si>
    <t xml:space="preserve">Gastly</t>
  </si>
  <si>
    <t xml:space="preserve">Geodude</t>
  </si>
  <si>
    <t xml:space="preserve">Magmar</t>
  </si>
  <si>
    <t xml:space="preserve">Staryu</t>
  </si>
  <si>
    <t xml:space="preserve">Starmie</t>
  </si>
  <si>
    <t xml:space="preserve">Tentacool</t>
  </si>
  <si>
    <t xml:space="preserve">Dratini</t>
  </si>
  <si>
    <t xml:space="preserve">Muk</t>
  </si>
  <si>
    <t xml:space="preserve">Goldeen</t>
  </si>
  <si>
    <t xml:space="preserve">Jolteon</t>
  </si>
  <si>
    <t xml:space="preserve">Paras</t>
  </si>
  <si>
    <t xml:space="preserve">Poliwag</t>
  </si>
  <si>
    <t xml:space="preserve">Articuno</t>
  </si>
  <si>
    <t xml:space="preserve">Alakazam</t>
  </si>
  <si>
    <t xml:space="preserve">Koffing</t>
  </si>
  <si>
    <t xml:space="preserve">Zubat</t>
  </si>
  <si>
    <t xml:space="preserve">Venomoth</t>
  </si>
  <si>
    <t xml:space="preserve">Electabuzz</t>
  </si>
  <si>
    <t xml:space="preserve">Porygon</t>
  </si>
  <si>
    <t xml:space="preserve">Charmeleon</t>
  </si>
  <si>
    <t xml:space="preserve">Kadabra</t>
  </si>
  <si>
    <t xml:space="preserve">Kabuto</t>
  </si>
  <si>
    <t xml:space="preserve">Golbat</t>
  </si>
  <si>
    <t xml:space="preserve">Parasect</t>
  </si>
  <si>
    <t xml:space="preserve">Omastar</t>
  </si>
  <si>
    <t xml:space="preserve">Weezing</t>
  </si>
  <si>
    <t xml:space="preserve">Charmander</t>
  </si>
  <si>
    <t xml:space="preserve">Venonat</t>
  </si>
  <si>
    <t xml:space="preserve">Seaking</t>
  </si>
  <si>
    <t xml:space="preserve">Hypno</t>
  </si>
  <si>
    <t xml:space="preserve">Aerodactyl</t>
  </si>
  <si>
    <t xml:space="preserve">Persian</t>
  </si>
  <si>
    <t xml:space="preserve">Vulpix</t>
  </si>
  <si>
    <t xml:space="preserve">Cloyster</t>
  </si>
  <si>
    <t xml:space="preserve">Horsea</t>
  </si>
  <si>
    <t xml:space="preserve">Raichu</t>
  </si>
  <si>
    <t xml:space="preserve">Meowth</t>
  </si>
  <si>
    <t xml:space="preserve">Exeggutor</t>
  </si>
  <si>
    <t xml:space="preserve">Drowzee</t>
  </si>
  <si>
    <t xml:space="preserve">Arcanine</t>
  </si>
  <si>
    <t xml:space="preserve">Abra</t>
  </si>
  <si>
    <t xml:space="preserve">Seadra</t>
  </si>
  <si>
    <t xml:space="preserve">Growlithe</t>
  </si>
  <si>
    <t xml:space="preserve">Pikachu</t>
  </si>
  <si>
    <t xml:space="preserve">Shellder</t>
  </si>
  <si>
    <t xml:space="preserve">Moltres</t>
  </si>
  <si>
    <t xml:space="preserve">Vileplume</t>
  </si>
  <si>
    <t xml:space="preserve">Gloom</t>
  </si>
  <si>
    <t xml:space="preserve">Butterfree</t>
  </si>
  <si>
    <t xml:space="preserve">Exeggcute</t>
  </si>
  <si>
    <t xml:space="preserve">Victreebel</t>
  </si>
  <si>
    <t xml:space="preserve">Seel</t>
  </si>
  <si>
    <t xml:space="preserve">Ninetales</t>
  </si>
  <si>
    <t xml:space="preserve">Oddish</t>
  </si>
  <si>
    <t xml:space="preserve">Dewgong</t>
  </si>
  <si>
    <t xml:space="preserve">Vaporeon</t>
  </si>
  <si>
    <t xml:space="preserve">Omanyte</t>
  </si>
  <si>
    <t xml:space="preserve">Beedrill</t>
  </si>
  <si>
    <t xml:space="preserve">Dugtrio</t>
  </si>
  <si>
    <t xml:space="preserve">Kingler</t>
  </si>
  <si>
    <t xml:space="preserve">Bellsprout</t>
  </si>
  <si>
    <t xml:space="preserve">Flareon</t>
  </si>
  <si>
    <t xml:space="preserve">Diglett</t>
  </si>
  <si>
    <t xml:space="preserve">Onix</t>
  </si>
  <si>
    <t xml:space="preserve">Krabby</t>
  </si>
  <si>
    <t xml:space="preserve">Weepinbell</t>
  </si>
  <si>
    <t xml:space="preserve">Zapdos</t>
  </si>
  <si>
    <t xml:space="preserve">Doduo</t>
  </si>
  <si>
    <t xml:space="preserve">Venusaur</t>
  </si>
  <si>
    <t xml:space="preserve">Pidgeot</t>
  </si>
  <si>
    <t xml:space="preserve">Spearow</t>
  </si>
  <si>
    <t xml:space="preserve">Scyther</t>
  </si>
  <si>
    <t xml:space="preserve">Electrode</t>
  </si>
  <si>
    <t xml:space="preserve">Rapidash</t>
  </si>
  <si>
    <t xml:space="preserve">Hitmonlee</t>
  </si>
  <si>
    <t xml:space="preserve">Bulbasaur</t>
  </si>
  <si>
    <t xml:space="preserve">Fearow</t>
  </si>
  <si>
    <t xml:space="preserve">Ponyta</t>
  </si>
  <si>
    <t xml:space="preserve">Pinsir</t>
  </si>
  <si>
    <t xml:space="preserve">Dodrio</t>
  </si>
  <si>
    <t xml:space="preserve">Magneton</t>
  </si>
  <si>
    <t xml:space="preserve">Pidgey</t>
  </si>
  <si>
    <t xml:space="preserve">Tangela</t>
  </si>
  <si>
    <t xml:space="preserve">Farfetchd</t>
  </si>
  <si>
    <t xml:space="preserve">Magnemite</t>
  </si>
  <si>
    <t xml:space="preserve">Pidgeotto</t>
  </si>
  <si>
    <t xml:space="preserve">Ivysaur</t>
  </si>
  <si>
    <t xml:space="preserve">Voltorb</t>
  </si>
  <si>
    <t xml:space="preserve">Eevee</t>
  </si>
  <si>
    <t xml:space="preserve">Caterpie</t>
  </si>
  <si>
    <t xml:space="preserve">Magikarp</t>
  </si>
  <si>
    <t xml:space="preserve">Weedle</t>
  </si>
  <si>
    <t xml:space="preserve">Metapod</t>
  </si>
  <si>
    <t xml:space="preserve">Kakuna</t>
  </si>
  <si>
    <t xml:space="preserve">Ditto</t>
  </si>
  <si>
    <t xml:space="preserve">Sorted by number of attacking types available. Colour = base power (white 15 -&gt; green 120). Blank = that type is simply not in its movepool.</t>
  </si>
  <si>
    <t xml:space="preserve">RAW base power. The damage model discounts it: 2-turn charge moves (Dig 100, Solarbeam 120, Sky Attack 140) x0.55, Hyper Beam x0.62, and everything x accuracy. So Alakazam's Ground 100 is Dig, and it is far worse than Nidoking's Earthquake 100.</t>
  </si>
  <si>
    <t xml:space="preserve">EXCLUDED: fixed-damage moves (Seismic Toss, Night Shade, Dragon Rage, Sonicboom) and OHKO moves (Fissure, Horn Drill, Guillotine). The ROM stores these with base power 1, which is a sentinel, not a real power. They are still used in the damage sim, just not counted as type coverage.</t>
  </si>
  <si>
    <t xml:space="preserve">TM Sponges — Who Can Hold the Good Moves</t>
  </si>
  <si>
    <t xml:space="preserve">The axis workbook v1 was blind to. A Pokemon is not strong because of what it IS; it is strong because of what it can CARRY.</t>
  </si>
  <si>
    <t xml:space="preserve">Rank</t>
  </si>
  <si>
    <t xml:space="preserve">TM/HM count</t>
  </si>
  <si>
    <t xml:space="preserve">Damaging TM types</t>
  </si>
  <si>
    <t xml:space="preserve">Total attack types</t>
  </si>
  <si>
    <t xml:space="preserve">Big 4? (EQ/Blizz/TBolt/Slam)</t>
  </si>
  <si>
    <t xml:space="preserve">Damaging TM types it can learn</t>
  </si>
  <si>
    <t xml:space="preserve">4/4</t>
  </si>
  <si>
    <t xml:space="preserve">Dragon, Electric, Fighting, Fire, Flying, Grass, Ground, Ice, Normal, Psychic, Rock, Water</t>
  </si>
  <si>
    <t xml:space="preserve">Electric, Fighting, Fire, Grass, Ground, Ice, Normal, Psychic, Rock, Water</t>
  </si>
  <si>
    <t xml:space="preserve">3/4</t>
  </si>
  <si>
    <t xml:space="preserve">Electric, Fighting, Fire, Grass, Ice, Normal, Psychic, Water</t>
  </si>
  <si>
    <t xml:space="preserve">Electric, Fighting, Fire, Ground, Ice, Normal, Rock, Water</t>
  </si>
  <si>
    <t xml:space="preserve">Fighting, Fire, Ground, Ice, Normal, Psychic, Water</t>
  </si>
  <si>
    <t xml:space="preserve">Electric, Fighting, Fire, Ground, Ice, Normal, Water</t>
  </si>
  <si>
    <t xml:space="preserve">Dragon, Electric, Grass, Ice, Normal, Psychic, Water</t>
  </si>
  <si>
    <t xml:space="preserve">Fire, Ground, Ice, Normal, Psychic, Water</t>
  </si>
  <si>
    <t xml:space="preserve">Fighting, Ground, Ice, Normal, Psychic, Water</t>
  </si>
  <si>
    <t xml:space="preserve">2/4</t>
  </si>
  <si>
    <t xml:space="preserve">Dragon, Fighting, Fire, Flying, Ground, Normal</t>
  </si>
  <si>
    <t xml:space="preserve">Dragon, Electric, Fire, Ice, Normal, Water</t>
  </si>
  <si>
    <t xml:space="preserve">Fighting, Fire, Ground, Ice, Normal, Water</t>
  </si>
  <si>
    <t xml:space="preserve">Electric, Fighting, Grass, Normal, Psychic</t>
  </si>
  <si>
    <t xml:space="preserve">Fighting, Ground, Ice, Normal, Water</t>
  </si>
  <si>
    <t xml:space="preserve">Fighting, Ice, Normal, Psychic, Water</t>
  </si>
  <si>
    <t xml:space="preserve">Electric, Ice, Normal, Psychic, Water</t>
  </si>
  <si>
    <t xml:space="preserve">Electric, Fighting, Ground, Normal, Rock</t>
  </si>
  <si>
    <t xml:space="preserve">Fighting, Fire, Ground, Normal, Rock</t>
  </si>
  <si>
    <t xml:space="preserve">1/4</t>
  </si>
  <si>
    <t xml:space="preserve">Dragon, Fighting, Fire, Ground, Normal</t>
  </si>
  <si>
    <t xml:space="preserve">'The Big 4' = Earthquake (TM26), Blizzard (TM14), Thunderbolt (TM24), Body Slam (TM08). Anything that learns all four can single-handedly run the optimal offensive spread from workbook v1.</t>
  </si>
  <si>
    <t xml:space="preserve">Mew (55 TMs) is unobtainable in Yellow without glitches. Snorlax is the best LEGAL sponge: 36 TMs, 10 damaging types.</t>
  </si>
  <si>
    <t xml:space="preserve">Solo Carries — Simulated Against the Real Gauntlet</t>
  </si>
  <si>
    <t xml:space="preserve">Best 4 legally-learnable damaging moves per Pokemon. 'E4' = of the 26 Elite Four + Champion mons it can 2HKO. 'Fragility' = of 49 bosses, how many 2HKO IT back. Blue = raw damage-sim output.</t>
  </si>
  <si>
    <t xml:space="preserve">Get it?</t>
  </si>
  <si>
    <t xml:space="preserve">Best 4 Moves (optimised)</t>
  </si>
  <si>
    <t xml:space="preserve">E4 2HKO (/26)</t>
  </si>
  <si>
    <t xml:space="preserve">E4 %</t>
  </si>
  <si>
    <t xml:space="preserve">All bosses (/49)</t>
  </si>
  <si>
    <t xml:space="preserve">Fragility (/49)</t>
  </si>
  <si>
    <t xml:space="preserve">Frag %</t>
  </si>
  <si>
    <t xml:space="preserve">VALUE (cov / risk)</t>
  </si>
  <si>
    <t xml:space="preserve">Double Edge / Blizzard / Thunderbolt / Psychic</t>
  </si>
  <si>
    <t xml:space="preserve">Surf / Blizzard / Earthquake / Rock Slide</t>
  </si>
  <si>
    <t xml:space="preserve">Hyper Beam / Earthquake / Fire Blast / Rock Slide</t>
  </si>
  <si>
    <t xml:space="preserve">Hyper Beam / Double Edge / Solarbeam / Psychic</t>
  </si>
  <si>
    <t xml:space="preserve">Double Edge / Blizzard / Thunderbolt / Earthquake</t>
  </si>
  <si>
    <t xml:space="preserve">Double Edge / Hydro Pump / Blizzard / Thunderbolt</t>
  </si>
  <si>
    <t xml:space="preserve">Hyper Beam / Double Edge / Blizzard / Sky Attack</t>
  </si>
  <si>
    <t xml:space="preserve">Hyper Beam / Double Edge / Thunderbolt / Drill Peck</t>
  </si>
  <si>
    <t xml:space="preserve">Blizzard / Thunderbolt / Earthquake / Fire Blast</t>
  </si>
  <si>
    <t xml:space="preserve">Surf / Blizzard / Thunderbolt / Earthquake</t>
  </si>
  <si>
    <t xml:space="preserve">Surf / Blizzard / Earthquake / Psychic</t>
  </si>
  <si>
    <t xml:space="preserve">Submission / Earthquake / Fire Blast / Rock Slide</t>
  </si>
  <si>
    <t xml:space="preserve">Seismic Toss / Earthquake / Fire Blast / Rock Slide</t>
  </si>
  <si>
    <t xml:space="preserve">Blizzard / Submission / Earthquake / Psychic</t>
  </si>
  <si>
    <t xml:space="preserve">Blizzard / Thunderbolt / Psychic / Fire Blast</t>
  </si>
  <si>
    <t xml:space="preserve">Double Edge / Surf / Blizzard / Thunderbolt</t>
  </si>
  <si>
    <t xml:space="preserve">Hyper Beam / Double Edge / Seismic Toss / Psychic</t>
  </si>
  <si>
    <t xml:space="preserve">Double Edge / Hydro Pump / Blizzard / Mega Drain</t>
  </si>
  <si>
    <t xml:space="preserve">Hyper Beam / Double Edge / Fire Blast / Sky Attack</t>
  </si>
  <si>
    <t xml:space="preserve">Double Edge / Mega Drain / Thunderbolt / Psychic</t>
  </si>
  <si>
    <t xml:space="preserve">Blizzard / Seismic Toss / Earthquake / Fire Blast</t>
  </si>
  <si>
    <t xml:space="preserve">Double Edge / Earthquake / Fire Blast / Rock Slide</t>
  </si>
  <si>
    <t xml:space="preserve">Double Edge / Seismic Toss / Earthquake / Rock Slide</t>
  </si>
  <si>
    <t xml:space="preserve">Hydro Pump / Blizzard / Seismic Toss / Earthquake</t>
  </si>
  <si>
    <t xml:space="preserve">Double Edge / Hydro Pump / Blizzard / Seismic Toss</t>
  </si>
  <si>
    <t xml:space="preserve">Mega Drain / Thunderbolt / Psychic / Night Shade</t>
  </si>
  <si>
    <t xml:space="preserve">Submission / Thunderbolt / Dig / Rock Slide</t>
  </si>
  <si>
    <t xml:space="preserve">Seismic Toss / Dragon Rage / Earthquake / Fire Blast</t>
  </si>
  <si>
    <t xml:space="preserve">Hyper Beam / Seismic Toss / Earthquake / Rock Slide</t>
  </si>
  <si>
    <t xml:space="preserve">Double Edge / Hydro Pump / Surf / Blizzard</t>
  </si>
  <si>
    <t xml:space="preserve">Double Edge / Skull Bash / Seismic Toss / Psychic</t>
  </si>
  <si>
    <t xml:space="preserve">Double Edge / Dragon Rage / Dig / Fire Blast</t>
  </si>
  <si>
    <t xml:space="preserve">Hyper Beam / Double Edge / Sky Attack / Drill Peck</t>
  </si>
  <si>
    <t xml:space="preserve">Double Edge / Submission / Seismic Toss / Thunderbolt</t>
  </si>
  <si>
    <t xml:space="preserve">Hyper Beam / Double Edge / Surf / Blizzard</t>
  </si>
  <si>
    <t xml:space="preserve">Double Edge / Hydro Pump / Blizzard / Dig</t>
  </si>
  <si>
    <t xml:space="preserve">Hyper Beam / Double Edge / Fire Blast / Flamethrower</t>
  </si>
  <si>
    <t xml:space="preserve">Double Edge / Blizzard / Thunderbolt / Dig</t>
  </si>
  <si>
    <t xml:space="preserve">Surf / Blizzard / Thunderbolt / Psychic</t>
  </si>
  <si>
    <t xml:space="preserve">Hyper Beam / Double Edge / Thunderbolt / Thunder</t>
  </si>
  <si>
    <t xml:space="preserve">Hyper Beam / Double Edge / Earthquake / Rock Slide</t>
  </si>
  <si>
    <t xml:space="preserve">Bubblebeam / Blizzard / Seismic Toss / Earthquake</t>
  </si>
  <si>
    <t xml:space="preserve">Double Edge / Thunderbolt / Double Kick / Pinissile</t>
  </si>
  <si>
    <t xml:space="preserve">Double Edge / Skull Bash / Hi Jump Kick / Jump Kick</t>
  </si>
  <si>
    <t xml:space="preserve">VALUE = E4 coverage % / (0.25 + fragility %). Rewards Pokemon that threaten a lot WITHOUT dying to everything. The 0.25 floor stops untouchable-but-useless mons dividing by ~zero.</t>
  </si>
  <si>
    <t xml:space="preserve">Read Rhydon and Golem carefully: elite raw coverage, catastrophic fragility. Rock/Ground is 4x weak to BOTH Water and Grass. They hit like trucks and fold like paper.</t>
  </si>
  <si>
    <t xml:space="preserve">Dual-Type Defense — Which Type Combos Are Actually Good</t>
  </si>
  <si>
    <t xml:space="preserve">Every typing that exists in Gen 1, scored defensively. Score = 2x(immunities) + resists - weaknesses - 3x(4x weaknesses).</t>
  </si>
  <si>
    <t xml:space="preserve">Typing</t>
  </si>
  <si>
    <t xml:space="preserve">Score</t>
  </si>
  <si>
    <t xml:space="preserve">Immune to</t>
  </si>
  <si>
    <t xml:space="preserve">4x WEAK to</t>
  </si>
  <si>
    <t xml:space="preserve">2x weak to</t>
  </si>
  <si>
    <t xml:space="preserve">Resists</t>
  </si>
  <si>
    <t xml:space="preserve">Examples</t>
  </si>
  <si>
    <t xml:space="preserve">Water/Psychic</t>
  </si>
  <si>
    <t xml:space="preserve">-</t>
  </si>
  <si>
    <t xml:space="preserve">Electric, Grass, Bug</t>
  </si>
  <si>
    <t xml:space="preserve">Fire, Water, Ice, Fighting, Psychic</t>
  </si>
  <si>
    <t xml:space="preserve">Slowbro, Slowpoke, Starmie</t>
  </si>
  <si>
    <t xml:space="preserve">Electric/Flying</t>
  </si>
  <si>
    <t xml:space="preserve">Ice, Rock</t>
  </si>
  <si>
    <t xml:space="preserve">Grass, Fighting, Flying, Bug</t>
  </si>
  <si>
    <t xml:space="preserve">Fighting, Psychic</t>
  </si>
  <si>
    <t xml:space="preserve">Abra, Alakazam, Drowzee, Hypno</t>
  </si>
  <si>
    <t xml:space="preserve">Normal/Flying</t>
  </si>
  <si>
    <t xml:space="preserve">Ground, Ghost</t>
  </si>
  <si>
    <t xml:space="preserve">Electric, Ice, Rock</t>
  </si>
  <si>
    <t xml:space="preserve">Grass, Bug</t>
  </si>
  <si>
    <t xml:space="preserve">Dodrio, Doduo, Farfetchd, Fearow</t>
  </si>
  <si>
    <t xml:space="preserve">Rock/Flying</t>
  </si>
  <si>
    <t xml:space="preserve">Water, Electric, Ice, Rock</t>
  </si>
  <si>
    <t xml:space="preserve">Normal, Fire, Poison, Flying, Bug</t>
  </si>
  <si>
    <t xml:space="preserve">Ghost/Poison</t>
  </si>
  <si>
    <t xml:space="preserve">Normal, Fighting</t>
  </si>
  <si>
    <t xml:space="preserve">Ground, Psychic, Ghost</t>
  </si>
  <si>
    <t xml:space="preserve">Grass, Poison</t>
  </si>
  <si>
    <t xml:space="preserve">Gastly, Gengar, Haunter</t>
  </si>
  <si>
    <t xml:space="preserve">Ice, Dragon</t>
  </si>
  <si>
    <t xml:space="preserve">Fire, Water, Electric, Grass</t>
  </si>
  <si>
    <t xml:space="preserve">Dragonair, Dratini</t>
  </si>
  <si>
    <t xml:space="preserve">Dragon/Flying</t>
  </si>
  <si>
    <t xml:space="preserve">Rock, Dragon</t>
  </si>
  <si>
    <t xml:space="preserve">Fire, Water, Grass, Fighting, Bug</t>
  </si>
  <si>
    <t xml:space="preserve">Water/Flying</t>
  </si>
  <si>
    <t xml:space="preserve">Fire, Water, Fighting, Bug</t>
  </si>
  <si>
    <t xml:space="preserve">Chansey, Clefable, Clefairy, Ditto</t>
  </si>
  <si>
    <t xml:space="preserve">Electric, Grass</t>
  </si>
  <si>
    <t xml:space="preserve">Fire, Water, Ice</t>
  </si>
  <si>
    <t xml:space="preserve">Blastoise, Goldeen, Golduck, Horsea</t>
  </si>
  <si>
    <t xml:space="preserve">Electric, Flying</t>
  </si>
  <si>
    <t xml:space="preserve">Electabuzz, Electrode, Jolteon, Magnemite</t>
  </si>
  <si>
    <t xml:space="preserve">Poison/Flying</t>
  </si>
  <si>
    <t xml:space="preserve">Electric, Ice, Psychic, Rock</t>
  </si>
  <si>
    <t xml:space="preserve">Grass, Fighting, Poison</t>
  </si>
  <si>
    <t xml:space="preserve">Golbat, Zubat</t>
  </si>
  <si>
    <t xml:space="preserve">Grass/Psychic</t>
  </si>
  <si>
    <t xml:space="preserve">Fire, Ice, Poison, Flying</t>
  </si>
  <si>
    <t xml:space="preserve">Water, Electric, Grass, Fighting, Ground, Psychic</t>
  </si>
  <si>
    <t xml:space="preserve">Exeggcute, Exeggutor</t>
  </si>
  <si>
    <t xml:space="preserve">Water/Fighting</t>
  </si>
  <si>
    <t xml:space="preserve">Electric, Grass, Flying, Psychic</t>
  </si>
  <si>
    <t xml:space="preserve">Fire, Water, Ice, Bug, Rock</t>
  </si>
  <si>
    <t xml:space="preserve">Water, Grass, Ice</t>
  </si>
  <si>
    <t xml:space="preserve">Poison, Rock</t>
  </si>
  <si>
    <t xml:space="preserve">Cubone, Diglett, Dugtrio, Marowak</t>
  </si>
  <si>
    <t xml:space="preserve">Ice/Psychic</t>
  </si>
  <si>
    <t xml:space="preserve">Fire, Bug, Rock</t>
  </si>
  <si>
    <t xml:space="preserve">Ice, Psychic</t>
  </si>
  <si>
    <t xml:space="preserve">Water/Poison</t>
  </si>
  <si>
    <t xml:space="preserve">Electric, Ground, Psychic, Bug</t>
  </si>
  <si>
    <t xml:space="preserve">Fire, Water, Ice, Fighting, Poison</t>
  </si>
  <si>
    <t xml:space="preserve">Tentacool, Tentacruel</t>
  </si>
  <si>
    <t xml:space="preserve">Poison/Ground</t>
  </si>
  <si>
    <t xml:space="preserve">Water, Ice, Ground, Psychic, Bug</t>
  </si>
  <si>
    <t xml:space="preserve">Fighting, Poison, Rock</t>
  </si>
  <si>
    <t xml:space="preserve">Nidoking, Nidoqueen</t>
  </si>
  <si>
    <t xml:space="preserve">Ground, Psychic, Bug</t>
  </si>
  <si>
    <t xml:space="preserve">Arbok, Ekans, Grimer, Koffing</t>
  </si>
  <si>
    <t xml:space="preserve">Water, Ground, Rock</t>
  </si>
  <si>
    <t xml:space="preserve">Fire, Grass, Bug</t>
  </si>
  <si>
    <t xml:space="preserve">Arcanine, Charmander, Charmeleon, Flareon</t>
  </si>
  <si>
    <t xml:space="preserve">Flying, Psychic</t>
  </si>
  <si>
    <t xml:space="preserve">Bug, Rock</t>
  </si>
  <si>
    <t xml:space="preserve">Hitmonchan, Hitmonlee, Machamp, Machoke</t>
  </si>
  <si>
    <t xml:space="preserve">Fire/Flying</t>
  </si>
  <si>
    <t xml:space="preserve">Water, Electric, Ice</t>
  </si>
  <si>
    <t xml:space="preserve">Fire, Grass, Fighting, Bug</t>
  </si>
  <si>
    <t xml:space="preserve">Charizard, Moltres</t>
  </si>
  <si>
    <t xml:space="preserve">Ice/Flying</t>
  </si>
  <si>
    <t xml:space="preserve">Fire, Electric</t>
  </si>
  <si>
    <t xml:space="preserve">Fire, Poison, Flying, Rock</t>
  </si>
  <si>
    <t xml:space="preserve">Grass, Fighting, Ground</t>
  </si>
  <si>
    <t xml:space="preserve">Caterpie, Metapod, Pinsir</t>
  </si>
  <si>
    <t xml:space="preserve">Rock/Water</t>
  </si>
  <si>
    <t xml:space="preserve">Electric, Fighting, Ground</t>
  </si>
  <si>
    <t xml:space="preserve">Normal, Fire, Ice, Poison, Flying</t>
  </si>
  <si>
    <t xml:space="preserve">Kabuto, Kabutops, Omanyte, Omastar</t>
  </si>
  <si>
    <t xml:space="preserve">Fire, Ice, Poison, Flying, Bug</t>
  </si>
  <si>
    <t xml:space="preserve">Water, Electric, Grass, Ground</t>
  </si>
  <si>
    <t xml:space="preserve">Water/Ice</t>
  </si>
  <si>
    <t xml:space="preserve">Electric, Grass, Fighting, Rock</t>
  </si>
  <si>
    <t xml:space="preserve">Water, Ice</t>
  </si>
  <si>
    <t xml:space="preserve">Cloyster, Dewgong, Lapras</t>
  </si>
  <si>
    <t xml:space="preserve">Ground/Rock</t>
  </si>
  <si>
    <t xml:space="preserve">Water, Grass</t>
  </si>
  <si>
    <t xml:space="preserve">Ice, Fighting, Ground</t>
  </si>
  <si>
    <t xml:space="preserve">Normal, Fire, Poison, Flying, Rock</t>
  </si>
  <si>
    <t xml:space="preserve">Rhydon, Rhyhorn</t>
  </si>
  <si>
    <t xml:space="preserve">Rock/Ground</t>
  </si>
  <si>
    <t xml:space="preserve">Geodude, Golem, Graveler, Onix</t>
  </si>
  <si>
    <t xml:space="preserve">Grass/Poison</t>
  </si>
  <si>
    <t xml:space="preserve">Fire, Ice, Flying, Psychic</t>
  </si>
  <si>
    <t xml:space="preserve">Water, Electric, Grass, Fighting</t>
  </si>
  <si>
    <t xml:space="preserve">Bellsprout, Bulbasaur, Gloom, Ivysaur</t>
  </si>
  <si>
    <t xml:space="preserve">Bug/Flying</t>
  </si>
  <si>
    <t xml:space="preserve">Fire, Electric, Ice, Poison, Flying</t>
  </si>
  <si>
    <t xml:space="preserve">Grass, Fighting, Bug</t>
  </si>
  <si>
    <t xml:space="preserve">Butterfree, Scyther</t>
  </si>
  <si>
    <t xml:space="preserve">Bug/Poison</t>
  </si>
  <si>
    <t xml:space="preserve">Fire, Flying, Psychic, Bug, Rock</t>
  </si>
  <si>
    <t xml:space="preserve">Grass, Fighting</t>
  </si>
  <si>
    <t xml:space="preserve">Beedrill, Kakuna, Venomoth, Venonat</t>
  </si>
  <si>
    <t xml:space="preserve">Bug/Grass</t>
  </si>
  <si>
    <t xml:space="preserve">Fire, Poison, Flying</t>
  </si>
  <si>
    <t xml:space="preserve">Ice, Bug, Rock</t>
  </si>
  <si>
    <t xml:space="preserve">Water, Electric, Grass, Fighting, Ground</t>
  </si>
  <si>
    <t xml:space="preserve">Paras, Parasect</t>
  </si>
  <si>
    <t xml:space="preserve">Gen 1 oddities: Grass/Poison is 4x weak to BUG (Bug hits Poison for 2x in Gen 1). Ghost/Poison (Gengar) is immune to Normal AND Fighting. Water/Psychic (Starmie, Slowbro) is the best defensive typing in the game.</t>
  </si>
  <si>
    <t xml:space="preserve">Every Damaging Move in Yellow</t>
  </si>
  <si>
    <t xml:space="preserve">Parsed from the ROM. Category is set by TYPE — Gen 1 has no per-move physical/special split.</t>
  </si>
  <si>
    <t xml:space="preserve">Move</t>
  </si>
  <si>
    <t xml:space="preserve">Type</t>
  </si>
  <si>
    <t xml:space="preserve">Category</t>
  </si>
  <si>
    <t xml:space="preserve">Power</t>
  </si>
  <si>
    <t xml:space="preserve">Accuracy</t>
  </si>
  <si>
    <t xml:space="preserve">PP</t>
  </si>
  <si>
    <t xml:space="preserve">TM/HM</t>
  </si>
  <si>
    <t xml:space="preserve">Expected power (Pwr x Acc)</t>
  </si>
  <si>
    <t xml:space="preserve">Explosion</t>
  </si>
  <si>
    <t xml:space="preserve">Physical</t>
  </si>
  <si>
    <t xml:space="preserve">TM47</t>
  </si>
  <si>
    <t xml:space="preserve">Hyper Beam</t>
  </si>
  <si>
    <t xml:space="preserve">TM15</t>
  </si>
  <si>
    <t xml:space="preserve">Selfdestruct</t>
  </si>
  <si>
    <t xml:space="preserve">TM36</t>
  </si>
  <si>
    <t xml:space="preserve">Sky Attack</t>
  </si>
  <si>
    <t xml:space="preserve">TM43</t>
  </si>
  <si>
    <t xml:space="preserve">Solarbeam</t>
  </si>
  <si>
    <t xml:space="preserve">Special</t>
  </si>
  <si>
    <t xml:space="preserve">TM22</t>
  </si>
  <si>
    <t xml:space="preserve">Blizzard</t>
  </si>
  <si>
    <t xml:space="preserve">TM14</t>
  </si>
  <si>
    <t xml:space="preserve">Fire Blast</t>
  </si>
  <si>
    <t xml:space="preserve">TM38</t>
  </si>
  <si>
    <t xml:space="preserve">Double Edge</t>
  </si>
  <si>
    <t xml:space="preserve">TM10</t>
  </si>
  <si>
    <t xml:space="preserve">Earthquake</t>
  </si>
  <si>
    <t xml:space="preserve">TM26</t>
  </si>
  <si>
    <t xml:space="preserve">Dig</t>
  </si>
  <si>
    <t xml:space="preserve">TM28</t>
  </si>
  <si>
    <t xml:space="preserve">Skull Bash</t>
  </si>
  <si>
    <t xml:space="preserve">TM40</t>
  </si>
  <si>
    <t xml:space="preserve">Dream Eater</t>
  </si>
  <si>
    <t xml:space="preserve">TM42</t>
  </si>
  <si>
    <t xml:space="preserve">Hydro Pump</t>
  </si>
  <si>
    <t xml:space="preserve">Flamethrower</t>
  </si>
  <si>
    <t xml:space="preserve">Surf</t>
  </si>
  <si>
    <t xml:space="preserve">HM03</t>
  </si>
  <si>
    <t xml:space="preserve">Ice Beam</t>
  </si>
  <si>
    <t xml:space="preserve">TM13</t>
  </si>
  <si>
    <t xml:space="preserve">Thunderbolt</t>
  </si>
  <si>
    <t xml:space="preserve">TM24</t>
  </si>
  <si>
    <t xml:space="preserve">Mega Kick</t>
  </si>
  <si>
    <t xml:space="preserve">TM05</t>
  </si>
  <si>
    <t xml:space="preserve">Thrash</t>
  </si>
  <si>
    <t xml:space="preserve">TM29</t>
  </si>
  <si>
    <t xml:space="preserve">Body Slam</t>
  </si>
  <si>
    <t xml:space="preserve">TM08</t>
  </si>
  <si>
    <t xml:space="preserve">Thunder</t>
  </si>
  <si>
    <t xml:space="preserve">TM25</t>
  </si>
  <si>
    <t xml:space="preserve">Drill Peck</t>
  </si>
  <si>
    <t xml:space="preserve">Strength</t>
  </si>
  <si>
    <t xml:space="preserve">HM04</t>
  </si>
  <si>
    <t xml:space="preserve">Waterfall</t>
  </si>
  <si>
    <t xml:space="preserve">Tri Attack</t>
  </si>
  <si>
    <t xml:space="preserve">TM49</t>
  </si>
  <si>
    <t xml:space="preserve">Take Down</t>
  </si>
  <si>
    <t xml:space="preserve">TM09</t>
  </si>
  <si>
    <t xml:space="preserve">Hi Jump Kick</t>
  </si>
  <si>
    <t xml:space="preserve">Crabhammer</t>
  </si>
  <si>
    <t xml:space="preserve">Fire Punch</t>
  </si>
  <si>
    <t xml:space="preserve">Ice Punch</t>
  </si>
  <si>
    <t xml:space="preserve">Thunderpunch</t>
  </si>
  <si>
    <t xml:space="preserve">Egg Bomb</t>
  </si>
  <si>
    <t xml:space="preserve">TM37</t>
  </si>
  <si>
    <t xml:space="preserve">Hyper Fang</t>
  </si>
  <si>
    <t xml:space="preserve">Headbutt</t>
  </si>
  <si>
    <t xml:space="preserve">Petal Dance</t>
  </si>
  <si>
    <t xml:space="preserve">Dizzy Punch</t>
  </si>
  <si>
    <t xml:space="preserve">Slash</t>
  </si>
  <si>
    <t xml:space="preserve">Mega Punch</t>
  </si>
  <si>
    <t xml:space="preserve">TM01</t>
  </si>
  <si>
    <t xml:space="preserve">Rock Slide</t>
  </si>
  <si>
    <t xml:space="preserve">TM48</t>
  </si>
  <si>
    <t xml:space="preserve">Fly</t>
  </si>
  <si>
    <t xml:space="preserve">HM02</t>
  </si>
  <si>
    <t xml:space="preserve">Jump Kick</t>
  </si>
  <si>
    <t xml:space="preserve">Stomp</t>
  </si>
  <si>
    <t xml:space="preserve">Horn Attack</t>
  </si>
  <si>
    <t xml:space="preserve">Psybeam</t>
  </si>
  <si>
    <t xml:space="preserve">Bubblebeam</t>
  </si>
  <si>
    <t xml:space="preserve">TM11</t>
  </si>
  <si>
    <t xml:space="preserve">Aurora Beam</t>
  </si>
  <si>
    <t xml:space="preserve">Sludge</t>
  </si>
  <si>
    <t xml:space="preserve">Submission</t>
  </si>
  <si>
    <t xml:space="preserve">TM17</t>
  </si>
  <si>
    <t xml:space="preserve">Razor Wind</t>
  </si>
  <si>
    <t xml:space="preserve">TM02</t>
  </si>
  <si>
    <t xml:space="preserve">Slam</t>
  </si>
  <si>
    <t xml:space="preserve">Bite</t>
  </si>
  <si>
    <t xml:space="preserve">Swift</t>
  </si>
  <si>
    <t xml:space="preserve">TM39</t>
  </si>
  <si>
    <t xml:space="preserve">Bone Club</t>
  </si>
  <si>
    <t xml:space="preserve">Vicegrip</t>
  </si>
  <si>
    <t xml:space="preserve">Razor Leaf</t>
  </si>
  <si>
    <t xml:space="preserve">Rolling Kick</t>
  </si>
  <si>
    <t xml:space="preserve">Karate Chop</t>
  </si>
  <si>
    <t xml:space="preserve">Confusion</t>
  </si>
  <si>
    <t xml:space="preserve">Struggle</t>
  </si>
  <si>
    <t xml:space="preserve">Cut</t>
  </si>
  <si>
    <t xml:space="preserve">HM01</t>
  </si>
  <si>
    <t xml:space="preserve">Low Kick</t>
  </si>
  <si>
    <t xml:space="preserve">Bonemerang</t>
  </si>
  <si>
    <t xml:space="preserve">Pound</t>
  </si>
  <si>
    <t xml:space="preserve">Pay Day</t>
  </si>
  <si>
    <t xml:space="preserve">TM16</t>
  </si>
  <si>
    <t xml:space="preserve">Scratch</t>
  </si>
  <si>
    <t xml:space="preserve">Gust</t>
  </si>
  <si>
    <t xml:space="preserve">Acid</t>
  </si>
  <si>
    <t xml:space="preserve">Ember</t>
  </si>
  <si>
    <t xml:space="preserve">Water Gun</t>
  </si>
  <si>
    <t xml:space="preserve">TM12</t>
  </si>
  <si>
    <t xml:space="preserve">Mega Drain</t>
  </si>
  <si>
    <t xml:space="preserve">TM21</t>
  </si>
  <si>
    <t xml:space="preserve">Thundershock</t>
  </si>
  <si>
    <t xml:space="preserve">Quick Attack</t>
  </si>
  <si>
    <t xml:space="preserve">Wing Attack</t>
  </si>
  <si>
    <t xml:space="preserve">Vine Whip</t>
  </si>
  <si>
    <t xml:space="preserve">Peck</t>
  </si>
  <si>
    <t xml:space="preserve">Tackle</t>
  </si>
  <si>
    <t xml:space="preserve">Rock Throw</t>
  </si>
  <si>
    <t xml:space="preserve">Double Kick</t>
  </si>
  <si>
    <t xml:space="preserve">Clamp</t>
  </si>
  <si>
    <t xml:space="preserve">Twineedle</t>
  </si>
  <si>
    <t xml:space="preserve">Absorb</t>
  </si>
  <si>
    <t xml:space="preserve">Rage</t>
  </si>
  <si>
    <t xml:space="preserve">TM20</t>
  </si>
  <si>
    <t xml:space="preserve">Lick</t>
  </si>
  <si>
    <t xml:space="preserve">Spike Cannon</t>
  </si>
  <si>
    <t xml:space="preserve">Leech Life</t>
  </si>
  <si>
    <t xml:space="preserve">Bubble</t>
  </si>
  <si>
    <t xml:space="preserve">Comet Punch</t>
  </si>
  <si>
    <t xml:space="preserve">Poison Sting</t>
  </si>
  <si>
    <t xml:space="preserve">Fury Swipes</t>
  </si>
  <si>
    <t xml:space="preserve">Smog</t>
  </si>
  <si>
    <t xml:space="preserve">Doubleslap</t>
  </si>
  <si>
    <t xml:space="preserve">Fury Attack</t>
  </si>
  <si>
    <t xml:space="preserve">Wrap</t>
  </si>
  <si>
    <t xml:space="preserve">Barrage</t>
  </si>
  <si>
    <t xml:space="preserve">Pinissile</t>
  </si>
  <si>
    <t xml:space="preserve">Bind</t>
  </si>
  <si>
    <t xml:space="preserve">Fire Spin</t>
  </si>
  <si>
    <t xml:space="preserve">Constrict</t>
  </si>
  <si>
    <t xml:space="preserve">The Revised Answer</t>
  </si>
  <si>
    <t xml:space="preserve">Now constrained by what each Pokemon can actually learn, and penalised for dying.</t>
  </si>
  <si>
    <t xml:space="preserve">Slot</t>
  </si>
  <si>
    <t xml:space="preserve">Moveset (all legally learnable)</t>
  </si>
  <si>
    <t xml:space="preserve">Where</t>
  </si>
  <si>
    <t xml:space="preserve">Fragility</t>
  </si>
  <si>
    <t xml:space="preserve">Why it is here</t>
  </si>
  <si>
    <t xml:space="preserve">1</t>
  </si>
  <si>
    <t xml:space="preserve">Body Slam / Blizzard / Earthquake / Thunderbolt</t>
  </si>
  <si>
    <t xml:space="preserve">Route 12 or 16 (Poke Flute)</t>
  </si>
  <si>
    <t xml:space="preserve">Best legal TM sponge in the game: 36 TMs, 10 damaging types, learns all of the Big 4. Highest VALUE score of anything obtainable. Only 3 of 49 bosses can 2HKO it.</t>
  </si>
  <si>
    <t xml:space="preserve">2</t>
  </si>
  <si>
    <t xml:space="preserve">Blizzard / Surf / Thunderbolt / Body Slam</t>
  </si>
  <si>
    <t xml:space="preserve">Free gift, Silph Co. 7F</t>
  </si>
  <si>
    <t xml:space="preserve">22/26 endgame coverage at a fragility of 6 — the best coverage-to-risk trade in Yellow. Water + Ice STAB on one bulky body, and it still holds Thunderbolt.</t>
  </si>
  <si>
    <t xml:space="preserve">3</t>
  </si>
  <si>
    <t xml:space="preserve">Earthquake / Blizzard / Thunderbolt / Body Slam</t>
  </si>
  <si>
    <t xml:space="preserve">Moon Stone a Nidorino</t>
  </si>
  <si>
    <t xml:space="preserve">8 damaging TM types, and the best body that gets Earthquake plus the rest of the Big 4. Immune to Electric. Fragility 29 — lead with it, do not tank with it.</t>
  </si>
  <si>
    <t xml:space="preserve">4</t>
  </si>
  <si>
    <t xml:space="preserve">Psychic / Mega Drain / Body Slam / Hyper Beam</t>
  </si>
  <si>
    <t xml:space="preserve">Leaf Stone an Exeggcute (Safari Zone)</t>
  </si>
  <si>
    <t xml:space="preserve">Psychic is unresisted and effectively uncounterable in Gen 1. 22/26 at fragility 9. Technically 4x weak to Bug, which does not matter because every Bug move is garbage.</t>
  </si>
  <si>
    <t xml:space="preserve">5</t>
  </si>
  <si>
    <t xml:space="preserve">Thunderbolt / Body Slam / Seismic Toss / Thunder Wave</t>
  </si>
  <si>
    <t xml:space="preserve">Forced</t>
  </si>
  <si>
    <t xml:space="preserve">HONEST ANSWER: the sim rates it badly — frailest thing here, and it cannot evolve in Yellow. It is on the team because the game gives you no choice. Its real job is Thunder Wave support, not damage.</t>
  </si>
  <si>
    <t xml:space="preserve">6</t>
  </si>
  <si>
    <t xml:space="preserve">Water Stone a Staryu (fish Route 19-21)</t>
  </si>
  <si>
    <t xml:space="preserve">Best defensive typing in Gen 1 (see 'Dual-Type Defense'), huge Speed, 22/26 coverage. Swap for Vaporeon if you want bulk over speed, or Clefable if you want the widest movepool.</t>
  </si>
  <si>
    <t xml:space="preserve">WHAT CHANGED FROM v1, AND WHY:</t>
  </si>
  <si>
    <t xml:space="preserve">  Dugtrio is OUT. Almost no TM breadth (Earthquake and little else) and a fragility of 44/49 — nearly every boss 2HKOs it. Superb against Lt. Surge, a liability everywhere else.</t>
  </si>
  <si>
    <t xml:space="preserve">  Alakazam is OUT of the default: Kadabra needs a TRADE to evolve. Exeggutor delivers the same Psychic coverage with far more bulk. If you have a trade partner, Alakazam is still excellent.</t>
  </si>
  <si>
    <t xml:space="preserve">  Snorlax is PROMOTED to slot 1. v1 scored Normal at 0.0% because Normal never hits super-effectively. That was the metric failing: Snorlax's value is that it can CARRY Blizzard, Earthquake and Thunderbolt at once.</t>
  </si>
  <si>
    <t xml:space="preserve">  Starmie and Exeggutor are IN. Both were invisible to v1, which never looked at movepools.</t>
  </si>
  <si>
    <t xml:space="preserve">THE HEADLINE FINDING:</t>
  </si>
  <si>
    <t xml:space="preserve">  In Gen 1, a Pokemon's TYPE barely matters offensively. Its TM COMPATIBILITY does.</t>
  </si>
  <si>
    <t xml:space="preserve">  Every top-ranked Pokemon converges on roughly the same four moves — Blizzard, Thunderbolt, Earthquake, Body Slam — regardless of its own type.</t>
  </si>
  <si>
    <t xml:space="preserve">  The real question is not 'what type coverage do I need'. It is 'which bodies can hold the four good moves'.</t>
  </si>
  <si>
    <t xml:space="preserve">ABOUT CLEFABLE (your hunch):</t>
  </si>
  <si>
    <t xml:space="preserve">  Clefairy is pure NORMAL in Gen 1 — the Fairy type does not exist until Gen 6. So: no typing edge.</t>
  </si>
  <si>
    <t xml:space="preserve">  But you were right anyway, for a better reason. Clefable has 34 TMs and 8 damaging TM types, and it ranks 5th in the whole game by VALUE: 18/26 endgame coverage at a fragility of only 5.</t>
  </si>
  <si>
    <t xml:space="preserve">  Clefairy itself is a trap — same movepool, fragility 33. The Moon Stone is doing all the work: HP 70-&gt;95, Special 60-&gt;85.</t>
  </si>
  <si>
    <t xml:space="preserve">  It is a legitimate 6th slot. It just is not quite Starmie, and it costs a Moon Stone that Nidoking also wants.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</si>
</sst>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0"/>
    <numFmt numFmtId="168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A6A6A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A2CE87"/>
          <bgColor rgb="FF000000"/>
        </patternFill>
      </fill>
    </dxf>
    <dxf>
      <fill>
        <patternFill patternType="solid">
          <fgColor rgb="FFC1D68D"/>
          <bgColor rgb="FF000000"/>
        </patternFill>
      </fill>
    </dxf>
    <dxf>
      <fill>
        <patternFill patternType="solid">
          <fgColor rgb="FFD1DA90"/>
          <bgColor rgb="FF000000"/>
        </patternFill>
      </fill>
    </dxf>
    <dxf>
      <fill>
        <patternFill patternType="solid">
          <fgColor rgb="FFFFF6DA"/>
          <bgColor rgb="FF000000"/>
        </patternFill>
      </fill>
    </dxf>
    <dxf>
      <fill>
        <patternFill patternType="solid">
          <fgColor rgb="FFFFFDF6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0E296"/>
          <bgColor rgb="FF000000"/>
        </patternFill>
      </fill>
    </dxf>
    <dxf>
      <fill>
        <patternFill patternType="solid">
          <fgColor rgb="FFB1D28A"/>
          <bgColor rgb="FF000000"/>
        </patternFill>
      </fill>
    </dxf>
    <dxf>
      <fill>
        <patternFill patternType="solid">
          <fgColor rgb="FFFFE9A3"/>
          <bgColor rgb="FF000000"/>
        </patternFill>
      </fill>
    </dxf>
    <dxf>
      <fill>
        <patternFill patternType="solid">
          <fgColor rgb="FFFFF4D1"/>
          <bgColor rgb="FF000000"/>
        </patternFill>
      </fill>
    </dxf>
    <dxf>
      <fill>
        <patternFill patternType="solid">
          <fgColor rgb="FFE0DE93"/>
          <bgColor rgb="FF000000"/>
        </patternFill>
      </fill>
    </dxf>
    <dxf>
      <fill>
        <patternFill patternType="solid">
          <fgColor rgb="FFFFF9E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0BF"/>
          <bgColor rgb="FF000000"/>
        </patternFill>
      </fill>
    </dxf>
    <dxf>
      <fill>
        <patternFill patternType="solid">
          <fgColor rgb="FFFFFBED"/>
          <bgColor rgb="FF000000"/>
        </patternFill>
      </fill>
    </dxf>
    <dxf>
      <fill>
        <patternFill>
          <bgColor rgb="FFC6EFCE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Coverage vs. Fragility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"Pokemon"</c:f>
              <c:strCache>
                <c:ptCount val="1"/>
                <c:pt idx="0">
                  <c:v>Pokemon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'Solo Carries'!$J$5:$J$64</c:f>
              <c:numCache>
                <c:formatCode>General</c:formatCode>
                <c:ptCount val="60"/>
                <c:pt idx="0">
                  <c:v>1</c:v>
                </c:pt>
                <c:pt idx="1">
                  <c:v>36</c:v>
                </c:pt>
                <c:pt idx="2">
                  <c:v>37</c:v>
                </c:pt>
                <c:pt idx="3">
                  <c:v>6</c:v>
                </c:pt>
                <c:pt idx="4">
                  <c:v>9</c:v>
                </c:pt>
                <c:pt idx="5">
                  <c:v>16</c:v>
                </c:pt>
                <c:pt idx="6">
                  <c:v>3</c:v>
                </c:pt>
                <c:pt idx="7">
                  <c:v>18</c:v>
                </c:pt>
                <c:pt idx="8">
                  <c:v>17</c:v>
                </c:pt>
                <c:pt idx="9">
                  <c:v>9</c:v>
                </c:pt>
                <c:pt idx="10">
                  <c:v>20</c:v>
                </c:pt>
                <c:pt idx="11">
                  <c:v>27</c:v>
                </c:pt>
                <c:pt idx="12">
                  <c:v>29</c:v>
                </c:pt>
                <c:pt idx="13">
                  <c:v>13</c:v>
                </c:pt>
                <c:pt idx="14">
                  <c:v>20</c:v>
                </c:pt>
                <c:pt idx="15">
                  <c:v>40</c:v>
                </c:pt>
                <c:pt idx="16">
                  <c:v>24</c:v>
                </c:pt>
                <c:pt idx="17">
                  <c:v>36</c:v>
                </c:pt>
                <c:pt idx="18">
                  <c:v>15</c:v>
                </c:pt>
                <c:pt idx="19">
                  <c:v>22</c:v>
                </c:pt>
                <c:pt idx="20">
                  <c:v>23</c:v>
                </c:pt>
                <c:pt idx="21">
                  <c:v>21</c:v>
                </c:pt>
                <c:pt idx="22">
                  <c:v>21</c:v>
                </c:pt>
                <c:pt idx="23">
                  <c:v>23</c:v>
                </c:pt>
                <c:pt idx="24">
                  <c:v>32</c:v>
                </c:pt>
                <c:pt idx="25">
                  <c:v>40</c:v>
                </c:pt>
                <c:pt idx="26">
                  <c:v>46</c:v>
                </c:pt>
                <c:pt idx="27">
                  <c:v>16</c:v>
                </c:pt>
                <c:pt idx="28">
                  <c:v>21</c:v>
                </c:pt>
                <c:pt idx="29">
                  <c:v>25</c:v>
                </c:pt>
                <c:pt idx="30">
                  <c:v>2</c:v>
                </c:pt>
                <c:pt idx="31">
                  <c:v>5</c:v>
                </c:pt>
                <c:pt idx="32">
                  <c:v>22</c:v>
                </c:pt>
                <c:pt idx="33">
                  <c:v>30</c:v>
                </c:pt>
                <c:pt idx="34">
                  <c:v>30</c:v>
                </c:pt>
                <c:pt idx="35">
                  <c:v>34</c:v>
                </c:pt>
                <c:pt idx="36">
                  <c:v>28</c:v>
                </c:pt>
                <c:pt idx="37">
                  <c:v>29</c:v>
                </c:pt>
                <c:pt idx="38">
                  <c:v>3</c:v>
                </c:pt>
                <c:pt idx="39">
                  <c:v>41</c:v>
                </c:pt>
                <c:pt idx="40">
                  <c:v>22</c:v>
                </c:pt>
                <c:pt idx="41">
                  <c:v>29</c:v>
                </c:pt>
                <c:pt idx="42">
                  <c:v>35</c:v>
                </c:pt>
                <c:pt idx="43">
                  <c:v>25</c:v>
                </c:pt>
                <c:pt idx="44">
                  <c:v>27</c:v>
                </c:pt>
                <c:pt idx="45">
                  <c:v>17</c:v>
                </c:pt>
                <c:pt idx="46">
                  <c:v>18</c:v>
                </c:pt>
                <c:pt idx="47">
                  <c:v>23</c:v>
                </c:pt>
                <c:pt idx="48">
                  <c:v>38</c:v>
                </c:pt>
                <c:pt idx="49">
                  <c:v>40</c:v>
                </c:pt>
                <c:pt idx="50">
                  <c:v>13</c:v>
                </c:pt>
                <c:pt idx="51">
                  <c:v>42</c:v>
                </c:pt>
                <c:pt idx="52">
                  <c:v>44</c:v>
                </c:pt>
                <c:pt idx="53">
                  <c:v>48</c:v>
                </c:pt>
                <c:pt idx="54">
                  <c:v>33</c:v>
                </c:pt>
                <c:pt idx="55">
                  <c:v>16</c:v>
                </c:pt>
                <c:pt idx="56">
                  <c:v>24</c:v>
                </c:pt>
                <c:pt idx="57">
                  <c:v>45</c:v>
                </c:pt>
                <c:pt idx="58">
                  <c:v>33</c:v>
                </c:pt>
                <c:pt idx="59">
                  <c:v>27</c:v>
                </c:pt>
              </c:numCache>
            </c:numRef>
          </c:xVal>
          <c:yVal>
            <c:numRef>
              <c:f>'Solo Carries'!$G$5:$G$64</c:f>
              <c:numCache>
                <c:formatCode>General</c:formatCode>
                <c:ptCount val="60"/>
                <c:pt idx="0">
                  <c:v>26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14</c:v>
                </c:pt>
              </c:numCache>
            </c:numRef>
          </c:yVal>
          <c:smooth val="1"/>
        </c:ser>
        <c:axId val="62405781"/>
        <c:axId val="26987182"/>
      </c:scatterChart>
      <c:valAx>
        <c:axId val="624057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Fragility (bosses that 2HKO it)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87182"/>
        <c:crosses val="autoZero"/>
        <c:crossBetween val="midCat"/>
      </c:valAx>
      <c:valAx>
        <c:axId val="26987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E4 mons 2HKO'd (of 26)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0578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24</xdr:col>
      <xdr:colOff>113040</xdr:colOff>
      <xdr:row>22</xdr:row>
      <xdr:rowOff>55800</xdr:rowOff>
    </xdr:to>
    <xdr:graphicFrame>
      <xdr:nvGraphicFramePr>
        <xdr:cNvPr id="0" name="Chart 1"/>
        <xdr:cNvGraphicFramePr/>
      </xdr:nvGraphicFramePr>
      <xdr:xfrm>
        <a:off x="11677680" y="57168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5.0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/>
      <c r="B8" s="5"/>
    </row>
    <row r="9" customFormat="false" ht="15" hidden="false" customHeight="false" outlineLevel="0" collapsed="false">
      <c r="A9" s="3" t="s">
        <v>9</v>
      </c>
    </row>
    <row r="10" customFormat="false" ht="23.85" hidden="false" customHeight="false" outlineLevel="0" collapsed="false">
      <c r="A10" s="4" t="s">
        <v>10</v>
      </c>
      <c r="B10" s="5" t="s">
        <v>11</v>
      </c>
    </row>
    <row r="11" customFormat="false" ht="23.8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23.8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/>
      <c r="B15" s="5"/>
    </row>
    <row r="16" customFormat="false" ht="15" hidden="false" customHeight="false" outlineLevel="0" collapsed="false">
      <c r="A16" s="3" t="s">
        <v>20</v>
      </c>
    </row>
    <row r="17" customFormat="false" ht="23.85" hidden="false" customHeight="false" outlineLevel="0" collapsed="false">
      <c r="A17" s="4" t="s">
        <v>21</v>
      </c>
      <c r="B17" s="5" t="s">
        <v>22</v>
      </c>
    </row>
    <row r="18" customFormat="false" ht="15" hidden="false" customHeight="false" outlineLevel="0" collapsed="false">
      <c r="A18" s="4" t="s">
        <v>23</v>
      </c>
      <c r="B18" s="5" t="s">
        <v>24</v>
      </c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23.85" hidden="false" customHeight="false" outlineLevel="0" collapsed="false">
      <c r="A20" s="4" t="s">
        <v>27</v>
      </c>
      <c r="B20" s="5" t="s">
        <v>28</v>
      </c>
    </row>
    <row r="21" customFormat="false" ht="23.85" hidden="false" customHeight="false" outlineLevel="0" collapsed="false">
      <c r="A21" s="4" t="s">
        <v>29</v>
      </c>
      <c r="B21" s="5" t="s">
        <v>30</v>
      </c>
    </row>
    <row r="22" customFormat="false" ht="23.85" hidden="false" customHeight="false" outlineLevel="0" collapsed="false">
      <c r="A22" s="4" t="s">
        <v>31</v>
      </c>
      <c r="B22" s="5" t="s">
        <v>32</v>
      </c>
    </row>
    <row r="23" customFormat="false" ht="23.85" hidden="false" customHeight="false" outlineLevel="0" collapsed="false">
      <c r="A23" s="4" t="s">
        <v>33</v>
      </c>
      <c r="B23" s="5" t="s">
        <v>34</v>
      </c>
    </row>
    <row r="24" customFormat="false" ht="23.85" hidden="false" customHeight="false" outlineLevel="0" collapsed="false">
      <c r="A24" s="4" t="s">
        <v>35</v>
      </c>
      <c r="B24" s="5" t="s">
        <v>36</v>
      </c>
    </row>
    <row r="25" customFormat="false" ht="15" hidden="false" customHeight="false" outlineLevel="0" collapsed="false">
      <c r="A25" s="4"/>
      <c r="B25" s="5"/>
    </row>
    <row r="26" customFormat="false" ht="15" hidden="false" customHeight="false" outlineLevel="0" collapsed="false">
      <c r="A26" s="3" t="s">
        <v>37</v>
      </c>
    </row>
    <row r="27" customFormat="false" ht="15" hidden="false" customHeight="false" outlineLevel="0" collapsed="false">
      <c r="A27" s="4" t="s">
        <v>38</v>
      </c>
      <c r="B27" s="5" t="s">
        <v>39</v>
      </c>
    </row>
    <row r="28" customFormat="false" ht="15" hidden="false" customHeight="false" outlineLevel="0" collapsed="false">
      <c r="A28" s="4" t="s">
        <v>40</v>
      </c>
      <c r="B28" s="5" t="s">
        <v>41</v>
      </c>
    </row>
    <row r="29" customFormat="false" ht="15" hidden="false" customHeight="false" outlineLevel="0" collapsed="false">
      <c r="A29" s="4" t="s">
        <v>42</v>
      </c>
      <c r="B29" s="5" t="s">
        <v>43</v>
      </c>
    </row>
    <row r="30" customFormat="false" ht="15" hidden="false" customHeight="false" outlineLevel="0" collapsed="false">
      <c r="A30" s="4" t="s">
        <v>44</v>
      </c>
      <c r="B30" s="5" t="s">
        <v>45</v>
      </c>
    </row>
    <row r="31" customFormat="false" ht="15" hidden="false" customHeight="false" outlineLevel="0" collapsed="false">
      <c r="A31" s="4" t="s">
        <v>46</v>
      </c>
      <c r="B31" s="5" t="s">
        <v>47</v>
      </c>
    </row>
    <row r="32" customFormat="false" ht="15" hidden="false" customHeight="false" outlineLevel="0" collapsed="false">
      <c r="A32" s="4" t="s">
        <v>48</v>
      </c>
      <c r="B32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22" min="8" style="0" width="7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35.05" hidden="false" customHeight="false" outlineLevel="0" collapsed="false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  <c r="M4" s="6" t="s">
        <v>64</v>
      </c>
      <c r="N4" s="6" t="s">
        <v>65</v>
      </c>
      <c r="O4" s="6" t="s">
        <v>66</v>
      </c>
      <c r="P4" s="6" t="s">
        <v>67</v>
      </c>
      <c r="Q4" s="6" t="s">
        <v>68</v>
      </c>
      <c r="R4" s="6" t="s">
        <v>69</v>
      </c>
      <c r="S4" s="6" t="s">
        <v>70</v>
      </c>
      <c r="T4" s="6" t="s">
        <v>71</v>
      </c>
      <c r="U4" s="6" t="s">
        <v>72</v>
      </c>
      <c r="V4" s="6" t="s">
        <v>73</v>
      </c>
    </row>
    <row r="5" customFormat="false" ht="15" hidden="false" customHeight="false" outlineLevel="0" collapsed="false">
      <c r="A5" s="7" t="n">
        <v>1</v>
      </c>
      <c r="B5" s="8" t="s">
        <v>74</v>
      </c>
      <c r="C5" s="7" t="s">
        <v>69</v>
      </c>
      <c r="D5" s="7"/>
      <c r="E5" s="7" t="s">
        <v>75</v>
      </c>
      <c r="F5" s="7" t="n">
        <v>55</v>
      </c>
      <c r="G5" s="9" t="n">
        <f aca="false">COUNT(H5:V5)</f>
        <v>11</v>
      </c>
      <c r="H5" s="10" t="n">
        <v>150</v>
      </c>
      <c r="I5" s="10" t="n">
        <v>120</v>
      </c>
      <c r="J5" s="10" t="n">
        <v>95</v>
      </c>
      <c r="K5" s="10" t="n">
        <v>120</v>
      </c>
      <c r="L5" s="10" t="n">
        <v>120</v>
      </c>
      <c r="M5" s="10" t="n">
        <v>120</v>
      </c>
      <c r="N5" s="10" t="n">
        <v>80</v>
      </c>
      <c r="O5" s="10"/>
      <c r="P5" s="10" t="n">
        <v>100</v>
      </c>
      <c r="Q5" s="10" t="n">
        <v>140</v>
      </c>
      <c r="R5" s="10" t="n">
        <v>90</v>
      </c>
      <c r="S5" s="10"/>
      <c r="T5" s="10" t="n">
        <v>75</v>
      </c>
      <c r="U5" s="10"/>
      <c r="V5" s="10"/>
    </row>
    <row r="6" customFormat="false" ht="15" hidden="false" customHeight="false" outlineLevel="0" collapsed="false">
      <c r="A6" s="7" t="n">
        <v>2</v>
      </c>
      <c r="B6" s="8" t="s">
        <v>76</v>
      </c>
      <c r="C6" s="7" t="s">
        <v>59</v>
      </c>
      <c r="D6" s="7"/>
      <c r="E6" s="7" t="s">
        <v>77</v>
      </c>
      <c r="F6" s="7" t="n">
        <v>36</v>
      </c>
      <c r="G6" s="9" t="n">
        <f aca="false">COUNT(H6:V6)</f>
        <v>10</v>
      </c>
      <c r="H6" s="11" t="n">
        <v>150</v>
      </c>
      <c r="I6" s="11" t="n">
        <v>120</v>
      </c>
      <c r="J6" s="11" t="n">
        <v>95</v>
      </c>
      <c r="K6" s="11" t="n">
        <v>120</v>
      </c>
      <c r="L6" s="11" t="n">
        <v>120</v>
      </c>
      <c r="M6" s="11" t="n">
        <v>120</v>
      </c>
      <c r="N6" s="11" t="n">
        <v>80</v>
      </c>
      <c r="O6" s="11"/>
      <c r="P6" s="11" t="n">
        <v>100</v>
      </c>
      <c r="Q6" s="11"/>
      <c r="R6" s="11" t="n">
        <v>90</v>
      </c>
      <c r="S6" s="11"/>
      <c r="T6" s="11" t="n">
        <v>75</v>
      </c>
      <c r="U6" s="11"/>
      <c r="V6" s="11"/>
    </row>
    <row r="7" customFormat="false" ht="15" hidden="false" customHeight="false" outlineLevel="0" collapsed="false">
      <c r="A7" s="7" t="n">
        <v>3</v>
      </c>
      <c r="B7" s="8" t="s">
        <v>78</v>
      </c>
      <c r="C7" s="7" t="s">
        <v>66</v>
      </c>
      <c r="D7" s="7" t="s">
        <v>67</v>
      </c>
      <c r="E7" s="7" t="s">
        <v>77</v>
      </c>
      <c r="F7" s="7" t="n">
        <v>32</v>
      </c>
      <c r="G7" s="9" t="n">
        <f aca="false">COUNT(H7:V7)</f>
        <v>9</v>
      </c>
      <c r="H7" s="11" t="n">
        <v>150</v>
      </c>
      <c r="I7" s="11" t="n">
        <v>120</v>
      </c>
      <c r="J7" s="11" t="n">
        <v>95</v>
      </c>
      <c r="K7" s="11" t="n">
        <v>120</v>
      </c>
      <c r="L7" s="11"/>
      <c r="M7" s="11" t="n">
        <v>120</v>
      </c>
      <c r="N7" s="11" t="n">
        <v>80</v>
      </c>
      <c r="O7" s="11" t="n">
        <v>15</v>
      </c>
      <c r="P7" s="11" t="n">
        <v>100</v>
      </c>
      <c r="Q7" s="11"/>
      <c r="R7" s="11"/>
      <c r="S7" s="11"/>
      <c r="T7" s="11" t="n">
        <v>75</v>
      </c>
      <c r="U7" s="11"/>
      <c r="V7" s="11"/>
    </row>
    <row r="8" customFormat="false" ht="15" hidden="false" customHeight="false" outlineLevel="0" collapsed="false">
      <c r="A8" s="7" t="n">
        <v>4</v>
      </c>
      <c r="B8" s="8" t="s">
        <v>79</v>
      </c>
      <c r="C8" s="7" t="s">
        <v>59</v>
      </c>
      <c r="D8" s="7"/>
      <c r="E8" s="7" t="s">
        <v>77</v>
      </c>
      <c r="F8" s="7" t="n">
        <v>29</v>
      </c>
      <c r="G8" s="9" t="n">
        <f aca="false">COUNT(H8:V8)</f>
        <v>8</v>
      </c>
      <c r="H8" s="11" t="n">
        <v>150</v>
      </c>
      <c r="I8" s="11" t="n">
        <v>120</v>
      </c>
      <c r="J8" s="11" t="n">
        <v>95</v>
      </c>
      <c r="K8" s="11" t="n">
        <v>120</v>
      </c>
      <c r="L8" s="11"/>
      <c r="M8" s="11" t="n">
        <v>120</v>
      </c>
      <c r="N8" s="11" t="n">
        <v>80</v>
      </c>
      <c r="O8" s="11"/>
      <c r="P8" s="11" t="n">
        <v>100</v>
      </c>
      <c r="Q8" s="11"/>
      <c r="R8" s="11"/>
      <c r="S8" s="11"/>
      <c r="T8" s="11" t="n">
        <v>75</v>
      </c>
      <c r="U8" s="11"/>
      <c r="V8" s="11"/>
    </row>
    <row r="9" customFormat="false" ht="15" hidden="false" customHeight="false" outlineLevel="0" collapsed="false">
      <c r="A9" s="7" t="n">
        <v>5</v>
      </c>
      <c r="B9" s="8" t="s">
        <v>80</v>
      </c>
      <c r="C9" s="7" t="s">
        <v>69</v>
      </c>
      <c r="D9" s="7"/>
      <c r="E9" s="7" t="s">
        <v>77</v>
      </c>
      <c r="F9" s="7" t="n">
        <v>35</v>
      </c>
      <c r="G9" s="9" t="n">
        <f aca="false">COUNT(H9:V9)</f>
        <v>8</v>
      </c>
      <c r="H9" s="11" t="n">
        <v>150</v>
      </c>
      <c r="I9" s="11" t="n">
        <v>120</v>
      </c>
      <c r="J9" s="11" t="n">
        <v>65</v>
      </c>
      <c r="K9" s="11" t="n">
        <v>120</v>
      </c>
      <c r="L9" s="11" t="n">
        <v>120</v>
      </c>
      <c r="M9" s="11" t="n">
        <v>120</v>
      </c>
      <c r="N9" s="11" t="n">
        <v>80</v>
      </c>
      <c r="O9" s="11"/>
      <c r="P9" s="11"/>
      <c r="Q9" s="11"/>
      <c r="R9" s="11" t="n">
        <v>90</v>
      </c>
      <c r="S9" s="11"/>
      <c r="T9" s="11"/>
      <c r="U9" s="11"/>
      <c r="V9" s="11"/>
    </row>
    <row r="10" customFormat="false" ht="15" hidden="false" customHeight="false" outlineLevel="0" collapsed="false">
      <c r="A10" s="7" t="n">
        <v>6</v>
      </c>
      <c r="B10" s="8" t="s">
        <v>81</v>
      </c>
      <c r="C10" s="7" t="s">
        <v>66</v>
      </c>
      <c r="D10" s="7" t="s">
        <v>67</v>
      </c>
      <c r="E10" s="7" t="s">
        <v>77</v>
      </c>
      <c r="F10" s="7" t="n">
        <v>32</v>
      </c>
      <c r="G10" s="9" t="n">
        <f aca="false">COUNT(H10:V10)</f>
        <v>8</v>
      </c>
      <c r="H10" s="11" t="n">
        <v>150</v>
      </c>
      <c r="I10" s="11" t="n">
        <v>120</v>
      </c>
      <c r="J10" s="11" t="n">
        <v>95</v>
      </c>
      <c r="K10" s="11" t="n">
        <v>120</v>
      </c>
      <c r="L10" s="11"/>
      <c r="M10" s="11" t="n">
        <v>120</v>
      </c>
      <c r="N10" s="11" t="n">
        <v>80</v>
      </c>
      <c r="O10" s="11"/>
      <c r="P10" s="11" t="n">
        <v>100</v>
      </c>
      <c r="Q10" s="11"/>
      <c r="R10" s="11"/>
      <c r="S10" s="11"/>
      <c r="T10" s="11" t="n">
        <v>75</v>
      </c>
      <c r="U10" s="11"/>
      <c r="V10" s="11"/>
    </row>
    <row r="11" customFormat="false" ht="15" hidden="false" customHeight="false" outlineLevel="0" collapsed="false">
      <c r="A11" s="7" t="n">
        <v>7</v>
      </c>
      <c r="B11" s="8" t="s">
        <v>82</v>
      </c>
      <c r="C11" s="7" t="s">
        <v>59</v>
      </c>
      <c r="D11" s="7"/>
      <c r="E11" s="7" t="s">
        <v>77</v>
      </c>
      <c r="F11" s="7" t="n">
        <v>33</v>
      </c>
      <c r="G11" s="9" t="n">
        <f aca="false">COUNT(H11:V11)</f>
        <v>8</v>
      </c>
      <c r="H11" s="11" t="n">
        <v>150</v>
      </c>
      <c r="I11" s="11" t="n">
        <v>120</v>
      </c>
      <c r="J11" s="11" t="n">
        <v>65</v>
      </c>
      <c r="K11" s="11" t="n">
        <v>120</v>
      </c>
      <c r="L11" s="11" t="n">
        <v>120</v>
      </c>
      <c r="M11" s="11" t="n">
        <v>120</v>
      </c>
      <c r="N11" s="11" t="n">
        <v>80</v>
      </c>
      <c r="O11" s="11"/>
      <c r="P11" s="11"/>
      <c r="Q11" s="11"/>
      <c r="R11" s="11" t="n">
        <v>90</v>
      </c>
      <c r="S11" s="11"/>
      <c r="T11" s="11"/>
      <c r="U11" s="11"/>
      <c r="V11" s="11"/>
    </row>
    <row r="12" customFormat="false" ht="15" hidden="false" customHeight="false" outlineLevel="0" collapsed="false">
      <c r="A12" s="7" t="n">
        <v>8</v>
      </c>
      <c r="B12" s="8" t="s">
        <v>83</v>
      </c>
      <c r="C12" s="7" t="s">
        <v>59</v>
      </c>
      <c r="D12" s="7"/>
      <c r="E12" s="7" t="s">
        <v>77</v>
      </c>
      <c r="F12" s="7" t="n">
        <v>33</v>
      </c>
      <c r="G12" s="9" t="n">
        <f aca="false">COUNT(H12:V12)</f>
        <v>8</v>
      </c>
      <c r="H12" s="11" t="n">
        <v>120</v>
      </c>
      <c r="I12" s="11" t="n">
        <v>120</v>
      </c>
      <c r="J12" s="11" t="n">
        <v>65</v>
      </c>
      <c r="K12" s="11" t="n">
        <v>120</v>
      </c>
      <c r="L12" s="11" t="n">
        <v>120</v>
      </c>
      <c r="M12" s="11" t="n">
        <v>120</v>
      </c>
      <c r="N12" s="11" t="n">
        <v>80</v>
      </c>
      <c r="O12" s="11"/>
      <c r="P12" s="11"/>
      <c r="Q12" s="11"/>
      <c r="R12" s="11" t="n">
        <v>90</v>
      </c>
      <c r="S12" s="11"/>
      <c r="T12" s="11"/>
      <c r="U12" s="11"/>
      <c r="V12" s="11"/>
    </row>
    <row r="13" customFormat="false" ht="15" hidden="false" customHeight="false" outlineLevel="0" collapsed="false">
      <c r="A13" s="7" t="n">
        <v>9</v>
      </c>
      <c r="B13" s="8" t="s">
        <v>84</v>
      </c>
      <c r="C13" s="7" t="s">
        <v>67</v>
      </c>
      <c r="D13" s="7" t="s">
        <v>71</v>
      </c>
      <c r="E13" s="7" t="s">
        <v>77</v>
      </c>
      <c r="F13" s="7" t="n">
        <v>32</v>
      </c>
      <c r="G13" s="9" t="n">
        <f aca="false">COUNT(H13:V13)</f>
        <v>8</v>
      </c>
      <c r="H13" s="11" t="n">
        <v>150</v>
      </c>
      <c r="I13" s="11" t="n">
        <v>120</v>
      </c>
      <c r="J13" s="11" t="n">
        <v>95</v>
      </c>
      <c r="K13" s="11" t="n">
        <v>120</v>
      </c>
      <c r="L13" s="11"/>
      <c r="M13" s="11" t="n">
        <v>120</v>
      </c>
      <c r="N13" s="11" t="n">
        <v>80</v>
      </c>
      <c r="O13" s="11"/>
      <c r="P13" s="11" t="n">
        <v>100</v>
      </c>
      <c r="Q13" s="11"/>
      <c r="R13" s="11"/>
      <c r="S13" s="11"/>
      <c r="T13" s="11" t="n">
        <v>75</v>
      </c>
      <c r="U13" s="11"/>
      <c r="V13" s="11"/>
    </row>
    <row r="14" customFormat="false" ht="15" hidden="false" customHeight="false" outlineLevel="0" collapsed="false">
      <c r="A14" s="7" t="n">
        <v>10</v>
      </c>
      <c r="B14" s="8" t="s">
        <v>85</v>
      </c>
      <c r="C14" s="7" t="s">
        <v>59</v>
      </c>
      <c r="D14" s="7"/>
      <c r="E14" s="7" t="s">
        <v>77</v>
      </c>
      <c r="F14" s="7" t="n">
        <v>36</v>
      </c>
      <c r="G14" s="9" t="n">
        <f aca="false">COUNT(H14:V14)</f>
        <v>8</v>
      </c>
      <c r="H14" s="11" t="n">
        <v>150</v>
      </c>
      <c r="I14" s="11" t="n">
        <v>120</v>
      </c>
      <c r="J14" s="11" t="n">
        <v>65</v>
      </c>
      <c r="K14" s="11" t="n">
        <v>120</v>
      </c>
      <c r="L14" s="11" t="n">
        <v>120</v>
      </c>
      <c r="M14" s="11" t="n">
        <v>120</v>
      </c>
      <c r="N14" s="11" t="n">
        <v>80</v>
      </c>
      <c r="O14" s="11"/>
      <c r="P14" s="11"/>
      <c r="Q14" s="11"/>
      <c r="R14" s="11" t="n">
        <v>90</v>
      </c>
      <c r="S14" s="11"/>
      <c r="T14" s="11"/>
      <c r="U14" s="11"/>
      <c r="V14" s="11"/>
    </row>
    <row r="15" customFormat="false" ht="15" hidden="false" customHeight="false" outlineLevel="0" collapsed="false">
      <c r="A15" s="7" t="n">
        <v>11</v>
      </c>
      <c r="B15" s="8" t="s">
        <v>86</v>
      </c>
      <c r="C15" s="7" t="s">
        <v>59</v>
      </c>
      <c r="D15" s="7"/>
      <c r="E15" s="7" t="s">
        <v>77</v>
      </c>
      <c r="F15" s="7" t="n">
        <v>34</v>
      </c>
      <c r="G15" s="9" t="n">
        <f aca="false">COUNT(H15:V15)</f>
        <v>8</v>
      </c>
      <c r="H15" s="11" t="n">
        <v>150</v>
      </c>
      <c r="I15" s="11" t="n">
        <v>120</v>
      </c>
      <c r="J15" s="11" t="n">
        <v>65</v>
      </c>
      <c r="K15" s="11" t="n">
        <v>120</v>
      </c>
      <c r="L15" s="11" t="n">
        <v>120</v>
      </c>
      <c r="M15" s="11" t="n">
        <v>120</v>
      </c>
      <c r="N15" s="11" t="n">
        <v>80</v>
      </c>
      <c r="O15" s="11"/>
      <c r="P15" s="11"/>
      <c r="Q15" s="11"/>
      <c r="R15" s="11" t="n">
        <v>90</v>
      </c>
      <c r="S15" s="11"/>
      <c r="T15" s="11"/>
      <c r="U15" s="11"/>
      <c r="V15" s="11"/>
    </row>
    <row r="16" customFormat="false" ht="15" hidden="false" customHeight="false" outlineLevel="0" collapsed="false">
      <c r="A16" s="7" t="n">
        <v>12</v>
      </c>
      <c r="B16" s="8" t="s">
        <v>87</v>
      </c>
      <c r="C16" s="7" t="s">
        <v>59</v>
      </c>
      <c r="D16" s="7"/>
      <c r="E16" s="7" t="s">
        <v>77</v>
      </c>
      <c r="F16" s="7" t="n">
        <v>32</v>
      </c>
      <c r="G16" s="9" t="n">
        <f aca="false">COUNT(H16:V16)</f>
        <v>8</v>
      </c>
      <c r="H16" s="11" t="n">
        <v>120</v>
      </c>
      <c r="I16" s="11" t="n">
        <v>120</v>
      </c>
      <c r="J16" s="11" t="n">
        <v>65</v>
      </c>
      <c r="K16" s="11" t="n">
        <v>120</v>
      </c>
      <c r="L16" s="11" t="n">
        <v>120</v>
      </c>
      <c r="M16" s="11" t="n">
        <v>120</v>
      </c>
      <c r="N16" s="11" t="n">
        <v>80</v>
      </c>
      <c r="O16" s="11"/>
      <c r="P16" s="11"/>
      <c r="Q16" s="11"/>
      <c r="R16" s="11" t="n">
        <v>90</v>
      </c>
      <c r="S16" s="11"/>
      <c r="T16" s="11"/>
      <c r="U16" s="11"/>
      <c r="V16" s="11"/>
    </row>
    <row r="17" customFormat="false" ht="15" hidden="false" customHeight="false" outlineLevel="0" collapsed="false">
      <c r="A17" s="7" t="n">
        <v>13</v>
      </c>
      <c r="B17" s="8" t="s">
        <v>88</v>
      </c>
      <c r="C17" s="7" t="s">
        <v>59</v>
      </c>
      <c r="D17" s="7"/>
      <c r="E17" s="7" t="s">
        <v>77</v>
      </c>
      <c r="F17" s="7" t="n">
        <v>30</v>
      </c>
      <c r="G17" s="9" t="n">
        <f aca="false">COUNT(H17:V17)</f>
        <v>7</v>
      </c>
      <c r="H17" s="11" t="n">
        <v>150</v>
      </c>
      <c r="I17" s="11" t="n">
        <v>120</v>
      </c>
      <c r="J17" s="11" t="n">
        <v>95</v>
      </c>
      <c r="K17" s="11" t="n">
        <v>120</v>
      </c>
      <c r="L17" s="11"/>
      <c r="M17" s="11" t="n">
        <v>120</v>
      </c>
      <c r="N17" s="11" t="n">
        <v>80</v>
      </c>
      <c r="O17" s="11"/>
      <c r="P17" s="11" t="n">
        <v>100</v>
      </c>
      <c r="Q17" s="11"/>
      <c r="R17" s="11"/>
      <c r="S17" s="11"/>
      <c r="T17" s="11"/>
      <c r="U17" s="11"/>
      <c r="V17" s="11"/>
    </row>
    <row r="18" customFormat="false" ht="15" hidden="false" customHeight="false" outlineLevel="0" collapsed="false">
      <c r="A18" s="7" t="n">
        <v>14</v>
      </c>
      <c r="B18" s="8" t="s">
        <v>89</v>
      </c>
      <c r="C18" s="7" t="s">
        <v>61</v>
      </c>
      <c r="D18" s="7" t="s">
        <v>69</v>
      </c>
      <c r="E18" s="7" t="s">
        <v>77</v>
      </c>
      <c r="F18" s="7" t="n">
        <v>36</v>
      </c>
      <c r="G18" s="9" t="n">
        <f aca="false">COUNT(H18:V18)</f>
        <v>7</v>
      </c>
      <c r="H18" s="11" t="n">
        <v>150</v>
      </c>
      <c r="I18" s="11" t="n">
        <v>120</v>
      </c>
      <c r="J18" s="11" t="n">
        <v>95</v>
      </c>
      <c r="K18" s="11"/>
      <c r="L18" s="11"/>
      <c r="M18" s="11" t="n">
        <v>120</v>
      </c>
      <c r="N18" s="11" t="n">
        <v>80</v>
      </c>
      <c r="O18" s="11"/>
      <c r="P18" s="11" t="n">
        <v>100</v>
      </c>
      <c r="Q18" s="11"/>
      <c r="R18" s="11" t="n">
        <v>90</v>
      </c>
      <c r="S18" s="11"/>
      <c r="T18" s="11"/>
      <c r="U18" s="11"/>
      <c r="V18" s="11"/>
    </row>
    <row r="19" customFormat="false" ht="15" hidden="false" customHeight="false" outlineLevel="0" collapsed="false">
      <c r="A19" s="7" t="n">
        <v>15</v>
      </c>
      <c r="B19" s="8" t="s">
        <v>90</v>
      </c>
      <c r="C19" s="7" t="s">
        <v>61</v>
      </c>
      <c r="D19" s="7" t="s">
        <v>69</v>
      </c>
      <c r="E19" s="7" t="s">
        <v>77</v>
      </c>
      <c r="F19" s="7" t="n">
        <v>30</v>
      </c>
      <c r="G19" s="9" t="n">
        <f aca="false">COUNT(H19:V19)</f>
        <v>6</v>
      </c>
      <c r="H19" s="11" t="n">
        <v>100</v>
      </c>
      <c r="I19" s="11" t="n">
        <v>120</v>
      </c>
      <c r="J19" s="11" t="n">
        <v>95</v>
      </c>
      <c r="K19" s="11"/>
      <c r="L19" s="11"/>
      <c r="M19" s="11" t="n">
        <v>120</v>
      </c>
      <c r="N19" s="11"/>
      <c r="O19" s="11"/>
      <c r="P19" s="11" t="n">
        <v>100</v>
      </c>
      <c r="Q19" s="11"/>
      <c r="R19" s="11" t="n">
        <v>90</v>
      </c>
      <c r="S19" s="11"/>
      <c r="T19" s="11"/>
      <c r="U19" s="11"/>
      <c r="V19" s="11"/>
    </row>
    <row r="20" customFormat="false" ht="15" hidden="false" customHeight="false" outlineLevel="0" collapsed="false">
      <c r="A20" s="7" t="n">
        <v>16</v>
      </c>
      <c r="B20" s="8" t="s">
        <v>91</v>
      </c>
      <c r="C20" s="7" t="s">
        <v>61</v>
      </c>
      <c r="D20" s="7"/>
      <c r="E20" s="7" t="s">
        <v>77</v>
      </c>
      <c r="F20" s="7" t="n">
        <v>25</v>
      </c>
      <c r="G20" s="9" t="n">
        <f aca="false">COUNT(H20:V20)</f>
        <v>6</v>
      </c>
      <c r="H20" s="11" t="n">
        <v>120</v>
      </c>
      <c r="I20" s="11"/>
      <c r="J20" s="11" t="n">
        <v>120</v>
      </c>
      <c r="K20" s="11"/>
      <c r="L20" s="11"/>
      <c r="M20" s="11" t="n">
        <v>120</v>
      </c>
      <c r="N20" s="11" t="n">
        <v>80</v>
      </c>
      <c r="O20" s="11"/>
      <c r="P20" s="11" t="n">
        <v>100</v>
      </c>
      <c r="Q20" s="11"/>
      <c r="R20" s="11" t="n">
        <v>50</v>
      </c>
      <c r="S20" s="11"/>
      <c r="T20" s="11"/>
      <c r="U20" s="11"/>
      <c r="V20" s="11"/>
    </row>
    <row r="21" customFormat="false" ht="15" hidden="false" customHeight="false" outlineLevel="0" collapsed="false">
      <c r="A21" s="7" t="n">
        <v>17</v>
      </c>
      <c r="B21" s="8" t="s">
        <v>92</v>
      </c>
      <c r="C21" s="7" t="s">
        <v>61</v>
      </c>
      <c r="D21" s="7"/>
      <c r="E21" s="7" t="s">
        <v>77</v>
      </c>
      <c r="F21" s="7" t="n">
        <v>27</v>
      </c>
      <c r="G21" s="9" t="n">
        <f aca="false">COUNT(H21:V21)</f>
        <v>6</v>
      </c>
      <c r="H21" s="11" t="n">
        <v>120</v>
      </c>
      <c r="I21" s="11"/>
      <c r="J21" s="11" t="n">
        <v>120</v>
      </c>
      <c r="K21" s="11"/>
      <c r="L21" s="11"/>
      <c r="M21" s="11" t="n">
        <v>120</v>
      </c>
      <c r="N21" s="11" t="n">
        <v>80</v>
      </c>
      <c r="O21" s="11"/>
      <c r="P21" s="11" t="n">
        <v>100</v>
      </c>
      <c r="Q21" s="11"/>
      <c r="R21" s="11" t="n">
        <v>90</v>
      </c>
      <c r="S21" s="11"/>
      <c r="T21" s="11"/>
      <c r="U21" s="11"/>
      <c r="V21" s="11"/>
    </row>
    <row r="22" customFormat="false" ht="15" hidden="false" customHeight="false" outlineLevel="0" collapsed="false">
      <c r="A22" s="7" t="n">
        <v>18</v>
      </c>
      <c r="B22" s="8" t="s">
        <v>93</v>
      </c>
      <c r="C22" s="7" t="s">
        <v>66</v>
      </c>
      <c r="D22" s="7"/>
      <c r="E22" s="7" t="s">
        <v>77</v>
      </c>
      <c r="F22" s="7" t="n">
        <v>19</v>
      </c>
      <c r="G22" s="9" t="n">
        <f aca="false">COUNT(H22:V22)</f>
        <v>6</v>
      </c>
      <c r="H22" s="11" t="n">
        <v>100</v>
      </c>
      <c r="I22" s="11"/>
      <c r="J22" s="11" t="n">
        <v>65</v>
      </c>
      <c r="K22" s="11" t="n">
        <v>120</v>
      </c>
      <c r="L22" s="11"/>
      <c r="M22" s="11" t="n">
        <v>120</v>
      </c>
      <c r="N22" s="11" t="n">
        <v>30</v>
      </c>
      <c r="O22" s="11" t="n">
        <v>15</v>
      </c>
      <c r="P22" s="11"/>
      <c r="Q22" s="11"/>
      <c r="R22" s="11"/>
      <c r="S22" s="11"/>
      <c r="T22" s="11"/>
      <c r="U22" s="11"/>
      <c r="V22" s="11"/>
    </row>
    <row r="23" customFormat="false" ht="15" hidden="false" customHeight="false" outlineLevel="0" collapsed="false">
      <c r="A23" s="7" t="n">
        <v>19</v>
      </c>
      <c r="B23" s="8" t="s">
        <v>94</v>
      </c>
      <c r="C23" s="7" t="s">
        <v>61</v>
      </c>
      <c r="D23" s="7" t="s">
        <v>65</v>
      </c>
      <c r="E23" s="7" t="s">
        <v>77</v>
      </c>
      <c r="F23" s="7" t="n">
        <v>28</v>
      </c>
      <c r="G23" s="9" t="n">
        <f aca="false">COUNT(H23:V23)</f>
        <v>6</v>
      </c>
      <c r="H23" s="11" t="n">
        <v>150</v>
      </c>
      <c r="I23" s="11"/>
      <c r="J23" s="11" t="n">
        <v>95</v>
      </c>
      <c r="K23" s="11"/>
      <c r="L23" s="11"/>
      <c r="M23" s="11" t="n">
        <v>120</v>
      </c>
      <c r="N23" s="11" t="n">
        <v>80</v>
      </c>
      <c r="O23" s="11"/>
      <c r="P23" s="11" t="n">
        <v>100</v>
      </c>
      <c r="Q23" s="11"/>
      <c r="R23" s="11" t="n">
        <v>90</v>
      </c>
      <c r="S23" s="11"/>
      <c r="T23" s="11"/>
      <c r="U23" s="11"/>
      <c r="V23" s="11"/>
    </row>
    <row r="24" customFormat="false" ht="15" hidden="false" customHeight="false" outlineLevel="0" collapsed="false">
      <c r="A24" s="7" t="n">
        <v>20</v>
      </c>
      <c r="B24" s="8" t="s">
        <v>95</v>
      </c>
      <c r="C24" s="7" t="s">
        <v>61</v>
      </c>
      <c r="D24" s="7"/>
      <c r="E24" s="7" t="s">
        <v>77</v>
      </c>
      <c r="F24" s="7" t="n">
        <v>26</v>
      </c>
      <c r="G24" s="9" t="n">
        <f aca="false">COUNT(H24:V24)</f>
        <v>6</v>
      </c>
      <c r="H24" s="11" t="n">
        <v>150</v>
      </c>
      <c r="I24" s="11"/>
      <c r="J24" s="11" t="n">
        <v>120</v>
      </c>
      <c r="K24" s="11"/>
      <c r="L24" s="11"/>
      <c r="M24" s="11" t="n">
        <v>120</v>
      </c>
      <c r="N24" s="11" t="n">
        <v>80</v>
      </c>
      <c r="O24" s="11"/>
      <c r="P24" s="11" t="n">
        <v>100</v>
      </c>
      <c r="Q24" s="11"/>
      <c r="R24" s="11" t="n">
        <v>50</v>
      </c>
      <c r="S24" s="11"/>
      <c r="T24" s="11"/>
      <c r="U24" s="11"/>
      <c r="V24" s="11"/>
    </row>
    <row r="25" customFormat="false" ht="15" hidden="false" customHeight="false" outlineLevel="0" collapsed="false">
      <c r="A25" s="7" t="n">
        <v>21</v>
      </c>
      <c r="B25" s="8" t="s">
        <v>96</v>
      </c>
      <c r="C25" s="7" t="s">
        <v>72</v>
      </c>
      <c r="D25" s="7" t="s">
        <v>66</v>
      </c>
      <c r="E25" s="7" t="s">
        <v>97</v>
      </c>
      <c r="F25" s="7" t="n">
        <v>27</v>
      </c>
      <c r="G25" s="9" t="n">
        <f aca="false">COUNT(H25:V25)</f>
        <v>6</v>
      </c>
      <c r="H25" s="11" t="n">
        <v>150</v>
      </c>
      <c r="I25" s="11"/>
      <c r="J25" s="11"/>
      <c r="K25" s="11" t="n">
        <v>120</v>
      </c>
      <c r="L25" s="11" t="n">
        <v>40</v>
      </c>
      <c r="M25" s="11"/>
      <c r="N25" s="11" t="n">
        <v>80</v>
      </c>
      <c r="O25" s="11"/>
      <c r="P25" s="11"/>
      <c r="Q25" s="11"/>
      <c r="R25" s="11" t="n">
        <v>90</v>
      </c>
      <c r="S25" s="11"/>
      <c r="T25" s="11"/>
      <c r="U25" s="11" t="n">
        <v>20</v>
      </c>
      <c r="V25" s="11"/>
    </row>
    <row r="26" customFormat="false" ht="15" hidden="false" customHeight="false" outlineLevel="0" collapsed="false">
      <c r="A26" s="7" t="n">
        <v>22</v>
      </c>
      <c r="B26" s="8" t="s">
        <v>98</v>
      </c>
      <c r="C26" s="7" t="s">
        <v>64</v>
      </c>
      <c r="D26" s="7" t="s">
        <v>69</v>
      </c>
      <c r="E26" s="7" t="s">
        <v>75</v>
      </c>
      <c r="F26" s="7" t="n">
        <v>26</v>
      </c>
      <c r="G26" s="9" t="n">
        <f aca="false">COUNT(H26:V26)</f>
        <v>6</v>
      </c>
      <c r="H26" s="10" t="n">
        <v>150</v>
      </c>
      <c r="I26" s="10"/>
      <c r="J26" s="10" t="n">
        <v>65</v>
      </c>
      <c r="K26" s="10"/>
      <c r="L26" s="10"/>
      <c r="M26" s="10" t="n">
        <v>120</v>
      </c>
      <c r="N26" s="10" t="n">
        <v>80</v>
      </c>
      <c r="O26" s="10"/>
      <c r="P26" s="10"/>
      <c r="Q26" s="10"/>
      <c r="R26" s="10" t="n">
        <v>90</v>
      </c>
      <c r="S26" s="10"/>
      <c r="T26" s="10"/>
      <c r="U26" s="10" t="n">
        <v>20</v>
      </c>
      <c r="V26" s="10"/>
    </row>
    <row r="27" customFormat="false" ht="15" hidden="false" customHeight="false" outlineLevel="0" collapsed="false">
      <c r="A27" s="7" t="n">
        <v>23</v>
      </c>
      <c r="B27" s="8" t="s">
        <v>99</v>
      </c>
      <c r="C27" s="7" t="s">
        <v>66</v>
      </c>
      <c r="D27" s="7"/>
      <c r="E27" s="7" t="s">
        <v>77</v>
      </c>
      <c r="F27" s="7" t="n">
        <v>19</v>
      </c>
      <c r="G27" s="9" t="n">
        <f aca="false">COUNT(H27:V27)</f>
        <v>6</v>
      </c>
      <c r="H27" s="11" t="n">
        <v>100</v>
      </c>
      <c r="I27" s="11"/>
      <c r="J27" s="11" t="n">
        <v>65</v>
      </c>
      <c r="K27" s="11" t="n">
        <v>120</v>
      </c>
      <c r="L27" s="11"/>
      <c r="M27" s="11" t="n">
        <v>120</v>
      </c>
      <c r="N27" s="11" t="n">
        <v>30</v>
      </c>
      <c r="O27" s="11" t="n">
        <v>15</v>
      </c>
      <c r="P27" s="11"/>
      <c r="Q27" s="11"/>
      <c r="R27" s="11"/>
      <c r="S27" s="11"/>
      <c r="T27" s="11"/>
      <c r="U27" s="11"/>
      <c r="V27" s="11"/>
    </row>
    <row r="28" customFormat="false" ht="15" hidden="false" customHeight="false" outlineLevel="0" collapsed="false">
      <c r="A28" s="7" t="n">
        <v>24</v>
      </c>
      <c r="B28" s="8" t="s">
        <v>100</v>
      </c>
      <c r="C28" s="7" t="s">
        <v>67</v>
      </c>
      <c r="D28" s="7"/>
      <c r="E28" s="7" t="s">
        <v>77</v>
      </c>
      <c r="F28" s="7" t="n">
        <v>25</v>
      </c>
      <c r="G28" s="9" t="n">
        <f aca="false">COUNT(H28:V28)</f>
        <v>6</v>
      </c>
      <c r="H28" s="11" t="n">
        <v>120</v>
      </c>
      <c r="I28" s="11" t="n">
        <v>120</v>
      </c>
      <c r="J28" s="11" t="n">
        <v>65</v>
      </c>
      <c r="K28" s="11"/>
      <c r="L28" s="11"/>
      <c r="M28" s="11" t="n">
        <v>120</v>
      </c>
      <c r="N28" s="11" t="n">
        <v>80</v>
      </c>
      <c r="O28" s="11"/>
      <c r="P28" s="11" t="n">
        <v>100</v>
      </c>
      <c r="Q28" s="11"/>
      <c r="R28" s="11"/>
      <c r="S28" s="11"/>
      <c r="T28" s="11"/>
      <c r="U28" s="11"/>
      <c r="V28" s="11"/>
    </row>
    <row r="29" customFormat="false" ht="15" hidden="false" customHeight="false" outlineLevel="0" collapsed="false">
      <c r="A29" s="7" t="n">
        <v>25</v>
      </c>
      <c r="B29" s="8" t="s">
        <v>101</v>
      </c>
      <c r="C29" s="7" t="s">
        <v>67</v>
      </c>
      <c r="D29" s="7"/>
      <c r="E29" s="7" t="s">
        <v>77</v>
      </c>
      <c r="F29" s="7" t="n">
        <v>26</v>
      </c>
      <c r="G29" s="9" t="n">
        <f aca="false">COUNT(H29:V29)</f>
        <v>6</v>
      </c>
      <c r="H29" s="11" t="n">
        <v>150</v>
      </c>
      <c r="I29" s="11" t="n">
        <v>120</v>
      </c>
      <c r="J29" s="11" t="n">
        <v>65</v>
      </c>
      <c r="K29" s="11"/>
      <c r="L29" s="11"/>
      <c r="M29" s="11" t="n">
        <v>120</v>
      </c>
      <c r="N29" s="11" t="n">
        <v>80</v>
      </c>
      <c r="O29" s="11"/>
      <c r="P29" s="11" t="n">
        <v>100</v>
      </c>
      <c r="Q29" s="11"/>
      <c r="R29" s="11"/>
      <c r="S29" s="11"/>
      <c r="T29" s="11"/>
      <c r="U29" s="11"/>
      <c r="V29" s="11"/>
    </row>
    <row r="30" customFormat="false" ht="15" hidden="false" customHeight="false" outlineLevel="0" collapsed="false">
      <c r="A30" s="7" t="n">
        <v>26</v>
      </c>
      <c r="B30" s="8" t="s">
        <v>102</v>
      </c>
      <c r="C30" s="7" t="s">
        <v>61</v>
      </c>
      <c r="D30" s="7" t="s">
        <v>64</v>
      </c>
      <c r="E30" s="7" t="s">
        <v>77</v>
      </c>
      <c r="F30" s="7" t="n">
        <v>26</v>
      </c>
      <c r="G30" s="9" t="n">
        <f aca="false">COUNT(H30:V30)</f>
        <v>6</v>
      </c>
      <c r="H30" s="11" t="n">
        <v>150</v>
      </c>
      <c r="I30" s="11"/>
      <c r="J30" s="11" t="n">
        <v>120</v>
      </c>
      <c r="K30" s="11" t="n">
        <v>120</v>
      </c>
      <c r="L30" s="11" t="n">
        <v>120</v>
      </c>
      <c r="M30" s="11" t="n">
        <v>120</v>
      </c>
      <c r="N30" s="11"/>
      <c r="O30" s="11"/>
      <c r="P30" s="11"/>
      <c r="Q30" s="11"/>
      <c r="R30" s="11" t="n">
        <v>90</v>
      </c>
      <c r="S30" s="11"/>
      <c r="T30" s="11"/>
      <c r="U30" s="11"/>
      <c r="V30" s="11"/>
    </row>
    <row r="31" customFormat="false" ht="15" hidden="false" customHeight="false" outlineLevel="0" collapsed="false">
      <c r="A31" s="7" t="n">
        <v>27</v>
      </c>
      <c r="B31" s="8" t="s">
        <v>103</v>
      </c>
      <c r="C31" s="7" t="s">
        <v>69</v>
      </c>
      <c r="D31" s="7"/>
      <c r="E31" s="7" t="s">
        <v>75</v>
      </c>
      <c r="F31" s="7" t="n">
        <v>27</v>
      </c>
      <c r="G31" s="9" t="n">
        <f aca="false">COUNT(H31:V31)</f>
        <v>5</v>
      </c>
      <c r="H31" s="10" t="n">
        <v>150</v>
      </c>
      <c r="I31" s="10"/>
      <c r="J31" s="10"/>
      <c r="K31" s="10" t="n">
        <v>120</v>
      </c>
      <c r="L31" s="10" t="n">
        <v>120</v>
      </c>
      <c r="M31" s="10"/>
      <c r="N31" s="10" t="n">
        <v>80</v>
      </c>
      <c r="O31" s="10"/>
      <c r="P31" s="10"/>
      <c r="Q31" s="10"/>
      <c r="R31" s="10" t="n">
        <v>90</v>
      </c>
      <c r="S31" s="10"/>
      <c r="T31" s="10"/>
      <c r="U31" s="10"/>
      <c r="V31" s="10"/>
    </row>
    <row r="32" customFormat="false" ht="15" hidden="false" customHeight="false" outlineLevel="0" collapsed="false">
      <c r="A32" s="7" t="n">
        <v>28</v>
      </c>
      <c r="B32" s="8" t="s">
        <v>104</v>
      </c>
      <c r="C32" s="7" t="s">
        <v>59</v>
      </c>
      <c r="D32" s="7"/>
      <c r="E32" s="7" t="s">
        <v>77</v>
      </c>
      <c r="F32" s="7" t="n">
        <v>21</v>
      </c>
      <c r="G32" s="9" t="n">
        <f aca="false">COUNT(H32:V32)</f>
        <v>5</v>
      </c>
      <c r="H32" s="11" t="n">
        <v>150</v>
      </c>
      <c r="I32" s="11" t="n">
        <v>120</v>
      </c>
      <c r="J32" s="11"/>
      <c r="K32" s="11" t="n">
        <v>120</v>
      </c>
      <c r="L32" s="11"/>
      <c r="M32" s="11" t="n">
        <v>120</v>
      </c>
      <c r="N32" s="11"/>
      <c r="O32" s="11"/>
      <c r="P32" s="11" t="n">
        <v>100</v>
      </c>
      <c r="Q32" s="11"/>
      <c r="R32" s="11"/>
      <c r="S32" s="11"/>
      <c r="T32" s="11"/>
      <c r="U32" s="11"/>
      <c r="V32" s="11"/>
    </row>
    <row r="33" customFormat="false" ht="15" hidden="false" customHeight="false" outlineLevel="0" collapsed="false">
      <c r="A33" s="7" t="n">
        <v>29</v>
      </c>
      <c r="B33" s="8" t="s">
        <v>105</v>
      </c>
      <c r="C33" s="7" t="s">
        <v>59</v>
      </c>
      <c r="D33" s="7"/>
      <c r="E33" s="7" t="s">
        <v>77</v>
      </c>
      <c r="F33" s="7" t="n">
        <v>20</v>
      </c>
      <c r="G33" s="9" t="n">
        <f aca="false">COUNT(H33:V33)</f>
        <v>5</v>
      </c>
      <c r="H33" s="11" t="n">
        <v>150</v>
      </c>
      <c r="I33" s="11"/>
      <c r="J33" s="11" t="n">
        <v>65</v>
      </c>
      <c r="K33" s="11" t="n">
        <v>120</v>
      </c>
      <c r="L33" s="11"/>
      <c r="M33" s="11" t="n">
        <v>120</v>
      </c>
      <c r="N33" s="11"/>
      <c r="O33" s="11"/>
      <c r="P33" s="11" t="n">
        <v>100</v>
      </c>
      <c r="Q33" s="11"/>
      <c r="R33" s="11"/>
      <c r="S33" s="11"/>
      <c r="T33" s="11"/>
      <c r="U33" s="11"/>
      <c r="V33" s="11"/>
    </row>
    <row r="34" customFormat="false" ht="15" hidden="false" customHeight="false" outlineLevel="0" collapsed="false">
      <c r="A34" s="7" t="n">
        <v>30</v>
      </c>
      <c r="B34" s="8" t="s">
        <v>106</v>
      </c>
      <c r="C34" s="7" t="s">
        <v>66</v>
      </c>
      <c r="D34" s="7"/>
      <c r="E34" s="7" t="s">
        <v>75</v>
      </c>
      <c r="F34" s="7" t="n">
        <v>18</v>
      </c>
      <c r="G34" s="9" t="n">
        <f aca="false">COUNT(H34:V34)</f>
        <v>5</v>
      </c>
      <c r="H34" s="10" t="n">
        <v>150</v>
      </c>
      <c r="I34" s="10"/>
      <c r="J34" s="10"/>
      <c r="K34" s="10"/>
      <c r="L34" s="10" t="n">
        <v>40</v>
      </c>
      <c r="M34" s="10"/>
      <c r="N34" s="10"/>
      <c r="O34" s="10" t="n">
        <v>40</v>
      </c>
      <c r="P34" s="10" t="n">
        <v>100</v>
      </c>
      <c r="Q34" s="10"/>
      <c r="R34" s="10"/>
      <c r="S34" s="10"/>
      <c r="T34" s="10" t="n">
        <v>75</v>
      </c>
      <c r="U34" s="10"/>
      <c r="V34" s="10"/>
    </row>
    <row r="35" customFormat="false" ht="15" hidden="false" customHeight="false" outlineLevel="0" collapsed="false">
      <c r="A35" s="7" t="n">
        <v>31</v>
      </c>
      <c r="B35" s="8" t="s">
        <v>107</v>
      </c>
      <c r="C35" s="7" t="s">
        <v>73</v>
      </c>
      <c r="D35" s="7"/>
      <c r="E35" s="7" t="s">
        <v>77</v>
      </c>
      <c r="F35" s="7" t="n">
        <v>24</v>
      </c>
      <c r="G35" s="9" t="n">
        <f aca="false">COUNT(H35:V35)</f>
        <v>5</v>
      </c>
      <c r="H35" s="11" t="n">
        <v>150</v>
      </c>
      <c r="I35" s="11" t="n">
        <v>120</v>
      </c>
      <c r="J35" s="11" t="n">
        <v>95</v>
      </c>
      <c r="K35" s="11" t="n">
        <v>120</v>
      </c>
      <c r="L35" s="11"/>
      <c r="M35" s="11" t="n">
        <v>120</v>
      </c>
      <c r="N35" s="11"/>
      <c r="O35" s="11"/>
      <c r="P35" s="11"/>
      <c r="Q35" s="11"/>
      <c r="R35" s="11"/>
      <c r="S35" s="11"/>
      <c r="T35" s="11"/>
      <c r="U35" s="11"/>
      <c r="V35" s="11"/>
    </row>
    <row r="36" customFormat="false" ht="15" hidden="false" customHeight="false" outlineLevel="0" collapsed="false">
      <c r="A36" s="7" t="n">
        <v>32</v>
      </c>
      <c r="B36" s="8" t="s">
        <v>108</v>
      </c>
      <c r="C36" s="7" t="s">
        <v>66</v>
      </c>
      <c r="D36" s="7"/>
      <c r="E36" s="7" t="s">
        <v>77</v>
      </c>
      <c r="F36" s="7" t="n">
        <v>16</v>
      </c>
      <c r="G36" s="9" t="n">
        <f aca="false">COUNT(H36:V36)</f>
        <v>5</v>
      </c>
      <c r="H36" s="11" t="n">
        <v>100</v>
      </c>
      <c r="I36" s="11"/>
      <c r="J36" s="11"/>
      <c r="K36" s="11" t="n">
        <v>120</v>
      </c>
      <c r="L36" s="11"/>
      <c r="M36" s="11" t="n">
        <v>120</v>
      </c>
      <c r="N36" s="11" t="n">
        <v>30</v>
      </c>
      <c r="O36" s="11" t="n">
        <v>15</v>
      </c>
      <c r="P36" s="11"/>
      <c r="Q36" s="11"/>
      <c r="R36" s="11"/>
      <c r="S36" s="11"/>
      <c r="T36" s="11"/>
      <c r="U36" s="11"/>
      <c r="V36" s="11"/>
    </row>
    <row r="37" customFormat="false" ht="15" hidden="false" customHeight="false" outlineLevel="0" collapsed="false">
      <c r="A37" s="7" t="n">
        <v>33</v>
      </c>
      <c r="B37" s="8" t="s">
        <v>109</v>
      </c>
      <c r="C37" s="7" t="s">
        <v>61</v>
      </c>
      <c r="D37" s="7"/>
      <c r="E37" s="7" t="s">
        <v>77</v>
      </c>
      <c r="F37" s="7" t="n">
        <v>27</v>
      </c>
      <c r="G37" s="9" t="n">
        <f aca="false">COUNT(H37:V37)</f>
        <v>5</v>
      </c>
      <c r="H37" s="11" t="n">
        <v>150</v>
      </c>
      <c r="I37" s="11"/>
      <c r="J37" s="11" t="n">
        <v>120</v>
      </c>
      <c r="K37" s="11"/>
      <c r="L37" s="11"/>
      <c r="M37" s="11" t="n">
        <v>120</v>
      </c>
      <c r="N37" s="11" t="n">
        <v>80</v>
      </c>
      <c r="O37" s="11"/>
      <c r="P37" s="11" t="n">
        <v>100</v>
      </c>
      <c r="Q37" s="11"/>
      <c r="R37" s="11"/>
      <c r="S37" s="11"/>
      <c r="T37" s="11"/>
      <c r="U37" s="11"/>
      <c r="V37" s="11"/>
    </row>
    <row r="38" customFormat="false" ht="15" hidden="false" customHeight="false" outlineLevel="0" collapsed="false">
      <c r="A38" s="7" t="n">
        <v>34</v>
      </c>
      <c r="B38" s="8" t="s">
        <v>110</v>
      </c>
      <c r="C38" s="7" t="s">
        <v>66</v>
      </c>
      <c r="D38" s="7"/>
      <c r="E38" s="7" t="s">
        <v>77</v>
      </c>
      <c r="F38" s="7" t="n">
        <v>15</v>
      </c>
      <c r="G38" s="9" t="n">
        <f aca="false">COUNT(H38:V38)</f>
        <v>5</v>
      </c>
      <c r="H38" s="11" t="n">
        <v>100</v>
      </c>
      <c r="I38" s="11"/>
      <c r="J38" s="11"/>
      <c r="K38" s="11" t="n">
        <v>120</v>
      </c>
      <c r="L38" s="11"/>
      <c r="M38" s="11" t="n">
        <v>120</v>
      </c>
      <c r="N38" s="11" t="n">
        <v>30</v>
      </c>
      <c r="O38" s="11" t="n">
        <v>15</v>
      </c>
      <c r="P38" s="11"/>
      <c r="Q38" s="11"/>
      <c r="R38" s="11"/>
      <c r="S38" s="11"/>
      <c r="T38" s="11"/>
      <c r="U38" s="11"/>
      <c r="V38" s="11"/>
    </row>
    <row r="39" customFormat="false" ht="15" hidden="false" customHeight="false" outlineLevel="0" collapsed="false">
      <c r="A39" s="7" t="n">
        <v>35</v>
      </c>
      <c r="B39" s="8" t="s">
        <v>111</v>
      </c>
      <c r="C39" s="7" t="s">
        <v>61</v>
      </c>
      <c r="D39" s="7"/>
      <c r="E39" s="7" t="s">
        <v>77</v>
      </c>
      <c r="F39" s="7" t="n">
        <v>24</v>
      </c>
      <c r="G39" s="9" t="n">
        <f aca="false">COUNT(H39:V39)</f>
        <v>5</v>
      </c>
      <c r="H39" s="11" t="n">
        <v>120</v>
      </c>
      <c r="I39" s="11"/>
      <c r="J39" s="11" t="n">
        <v>120</v>
      </c>
      <c r="K39" s="11"/>
      <c r="L39" s="11"/>
      <c r="M39" s="11" t="n">
        <v>120</v>
      </c>
      <c r="N39" s="11" t="n">
        <v>80</v>
      </c>
      <c r="O39" s="11"/>
      <c r="P39" s="11" t="n">
        <v>100</v>
      </c>
      <c r="Q39" s="11"/>
      <c r="R39" s="11"/>
      <c r="S39" s="11"/>
      <c r="T39" s="11"/>
      <c r="U39" s="11"/>
      <c r="V39" s="11"/>
    </row>
    <row r="40" customFormat="false" ht="15" hidden="false" customHeight="false" outlineLevel="0" collapsed="false">
      <c r="A40" s="7" t="n">
        <v>36</v>
      </c>
      <c r="B40" s="8" t="s">
        <v>112</v>
      </c>
      <c r="C40" s="7" t="s">
        <v>67</v>
      </c>
      <c r="D40" s="7" t="s">
        <v>71</v>
      </c>
      <c r="E40" s="7" t="s">
        <v>77</v>
      </c>
      <c r="F40" s="7" t="n">
        <v>20</v>
      </c>
      <c r="G40" s="9" t="n">
        <f aca="false">COUNT(H40:V40)</f>
        <v>5</v>
      </c>
      <c r="H40" s="11" t="n">
        <v>100</v>
      </c>
      <c r="I40" s="11" t="n">
        <v>120</v>
      </c>
      <c r="J40" s="11"/>
      <c r="K40" s="11" t="n">
        <v>120</v>
      </c>
      <c r="L40" s="11"/>
      <c r="M40" s="11"/>
      <c r="N40" s="11"/>
      <c r="O40" s="11"/>
      <c r="P40" s="11" t="n">
        <v>100</v>
      </c>
      <c r="Q40" s="11"/>
      <c r="R40" s="11"/>
      <c r="S40" s="11"/>
      <c r="T40" s="11" t="n">
        <v>75</v>
      </c>
      <c r="U40" s="11"/>
      <c r="V40" s="11"/>
    </row>
    <row r="41" customFormat="false" ht="15" hidden="false" customHeight="false" outlineLevel="0" collapsed="false">
      <c r="A41" s="7" t="n">
        <v>37</v>
      </c>
      <c r="B41" s="8" t="s">
        <v>113</v>
      </c>
      <c r="C41" s="7" t="s">
        <v>59</v>
      </c>
      <c r="D41" s="7"/>
      <c r="E41" s="7" t="s">
        <v>77</v>
      </c>
      <c r="F41" s="7" t="n">
        <v>18</v>
      </c>
      <c r="G41" s="9" t="n">
        <f aca="false">COUNT(H41:V41)</f>
        <v>5</v>
      </c>
      <c r="H41" s="11" t="n">
        <v>100</v>
      </c>
      <c r="I41" s="11"/>
      <c r="J41" s="11" t="n">
        <v>65</v>
      </c>
      <c r="K41" s="11" t="n">
        <v>120</v>
      </c>
      <c r="L41" s="11"/>
      <c r="M41" s="11" t="n">
        <v>120</v>
      </c>
      <c r="N41" s="11"/>
      <c r="O41" s="11"/>
      <c r="P41" s="11" t="n">
        <v>100</v>
      </c>
      <c r="Q41" s="11"/>
      <c r="R41" s="11"/>
      <c r="S41" s="11"/>
      <c r="T41" s="11"/>
      <c r="U41" s="11"/>
      <c r="V41" s="11"/>
    </row>
    <row r="42" customFormat="false" ht="15" hidden="false" customHeight="false" outlineLevel="0" collapsed="false">
      <c r="A42" s="7" t="n">
        <v>38</v>
      </c>
      <c r="B42" s="8" t="s">
        <v>114</v>
      </c>
      <c r="C42" s="7" t="s">
        <v>61</v>
      </c>
      <c r="D42" s="7"/>
      <c r="E42" s="7" t="s">
        <v>77</v>
      </c>
      <c r="F42" s="7" t="n">
        <v>24</v>
      </c>
      <c r="G42" s="9" t="n">
        <f aca="false">COUNT(H42:V42)</f>
        <v>5</v>
      </c>
      <c r="H42" s="11" t="n">
        <v>120</v>
      </c>
      <c r="I42" s="11"/>
      <c r="J42" s="11" t="n">
        <v>120</v>
      </c>
      <c r="K42" s="11"/>
      <c r="L42" s="11"/>
      <c r="M42" s="11" t="n">
        <v>120</v>
      </c>
      <c r="N42" s="11" t="n">
        <v>80</v>
      </c>
      <c r="O42" s="11"/>
      <c r="P42" s="11" t="n">
        <v>100</v>
      </c>
      <c r="Q42" s="11"/>
      <c r="R42" s="11"/>
      <c r="S42" s="11"/>
      <c r="T42" s="11"/>
      <c r="U42" s="11"/>
      <c r="V42" s="11"/>
    </row>
    <row r="43" customFormat="false" ht="15" hidden="false" customHeight="false" outlineLevel="0" collapsed="false">
      <c r="A43" s="7" t="n">
        <v>39</v>
      </c>
      <c r="B43" s="8" t="s">
        <v>115</v>
      </c>
      <c r="C43" s="7" t="s">
        <v>65</v>
      </c>
      <c r="D43" s="7"/>
      <c r="E43" s="7" t="s">
        <v>77</v>
      </c>
      <c r="F43" s="7" t="n">
        <v>25</v>
      </c>
      <c r="G43" s="9" t="n">
        <f aca="false">COUNT(H43:V43)</f>
        <v>5</v>
      </c>
      <c r="H43" s="11" t="n">
        <v>150</v>
      </c>
      <c r="I43" s="11"/>
      <c r="J43" s="11"/>
      <c r="K43" s="11" t="n">
        <v>120</v>
      </c>
      <c r="L43" s="11"/>
      <c r="M43" s="11"/>
      <c r="N43" s="11" t="n">
        <v>80</v>
      </c>
      <c r="O43" s="11"/>
      <c r="P43" s="11" t="n">
        <v>100</v>
      </c>
      <c r="Q43" s="11"/>
      <c r="R43" s="11"/>
      <c r="S43" s="11"/>
      <c r="T43" s="11" t="n">
        <v>75</v>
      </c>
      <c r="U43" s="11"/>
      <c r="V43" s="11"/>
    </row>
    <row r="44" customFormat="false" ht="15" hidden="false" customHeight="false" outlineLevel="0" collapsed="false">
      <c r="A44" s="7" t="n">
        <v>40</v>
      </c>
      <c r="B44" s="8" t="s">
        <v>116</v>
      </c>
      <c r="C44" s="7" t="s">
        <v>73</v>
      </c>
      <c r="D44" s="7" t="s">
        <v>68</v>
      </c>
      <c r="E44" s="7" t="s">
        <v>77</v>
      </c>
      <c r="F44" s="7" t="n">
        <v>27</v>
      </c>
      <c r="G44" s="9" t="n">
        <f aca="false">COUNT(H44:V44)</f>
        <v>5</v>
      </c>
      <c r="H44" s="11" t="n">
        <v>150</v>
      </c>
      <c r="I44" s="11" t="n">
        <v>120</v>
      </c>
      <c r="J44" s="11" t="n">
        <v>95</v>
      </c>
      <c r="K44" s="11" t="n">
        <v>120</v>
      </c>
      <c r="L44" s="11"/>
      <c r="M44" s="11" t="n">
        <v>120</v>
      </c>
      <c r="N44" s="11"/>
      <c r="O44" s="11"/>
      <c r="P44" s="11"/>
      <c r="Q44" s="11"/>
      <c r="R44" s="11"/>
      <c r="S44" s="11"/>
      <c r="T44" s="11"/>
      <c r="U44" s="11"/>
      <c r="V44" s="11"/>
    </row>
    <row r="45" customFormat="false" ht="15" hidden="false" customHeight="false" outlineLevel="0" collapsed="false">
      <c r="A45" s="7" t="n">
        <v>41</v>
      </c>
      <c r="B45" s="8" t="s">
        <v>117</v>
      </c>
      <c r="C45" s="7" t="s">
        <v>71</v>
      </c>
      <c r="D45" s="7" t="s">
        <v>67</v>
      </c>
      <c r="E45" s="7" t="s">
        <v>97</v>
      </c>
      <c r="F45" s="7" t="n">
        <v>25</v>
      </c>
      <c r="G45" s="9" t="n">
        <f aca="false">COUNT(H45:V45)</f>
        <v>5</v>
      </c>
      <c r="H45" s="11" t="n">
        <v>150</v>
      </c>
      <c r="I45" s="11" t="n">
        <v>120</v>
      </c>
      <c r="J45" s="11"/>
      <c r="K45" s="11"/>
      <c r="L45" s="11"/>
      <c r="M45" s="11"/>
      <c r="N45" s="11" t="n">
        <v>80</v>
      </c>
      <c r="O45" s="11"/>
      <c r="P45" s="11" t="n">
        <v>100</v>
      </c>
      <c r="Q45" s="11"/>
      <c r="R45" s="11"/>
      <c r="S45" s="11"/>
      <c r="T45" s="11" t="n">
        <v>75</v>
      </c>
      <c r="U45" s="11"/>
      <c r="V45" s="11"/>
    </row>
    <row r="46" customFormat="false" ht="15" hidden="false" customHeight="false" outlineLevel="0" collapsed="false">
      <c r="A46" s="7" t="n">
        <v>42</v>
      </c>
      <c r="B46" s="8" t="s">
        <v>118</v>
      </c>
      <c r="C46" s="7" t="s">
        <v>65</v>
      </c>
      <c r="D46" s="7"/>
      <c r="E46" s="7" t="s">
        <v>77</v>
      </c>
      <c r="F46" s="7" t="n">
        <v>23</v>
      </c>
      <c r="G46" s="9" t="n">
        <f aca="false">COUNT(H46:V46)</f>
        <v>5</v>
      </c>
      <c r="H46" s="11" t="n">
        <v>120</v>
      </c>
      <c r="I46" s="11" t="n">
        <v>120</v>
      </c>
      <c r="J46" s="11"/>
      <c r="K46" s="11"/>
      <c r="L46" s="11"/>
      <c r="M46" s="11"/>
      <c r="N46" s="11" t="n">
        <v>80</v>
      </c>
      <c r="O46" s="11"/>
      <c r="P46" s="11" t="n">
        <v>100</v>
      </c>
      <c r="Q46" s="11"/>
      <c r="R46" s="11"/>
      <c r="S46" s="11"/>
      <c r="T46" s="11" t="n">
        <v>75</v>
      </c>
      <c r="U46" s="11"/>
      <c r="V46" s="11"/>
    </row>
    <row r="47" customFormat="false" ht="15" hidden="false" customHeight="false" outlineLevel="0" collapsed="false">
      <c r="A47" s="7" t="n">
        <v>43</v>
      </c>
      <c r="B47" s="8" t="s">
        <v>119</v>
      </c>
      <c r="C47" s="7" t="s">
        <v>61</v>
      </c>
      <c r="D47" s="7" t="s">
        <v>68</v>
      </c>
      <c r="E47" s="7" t="s">
        <v>77</v>
      </c>
      <c r="F47" s="7" t="n">
        <v>23</v>
      </c>
      <c r="G47" s="9" t="n">
        <f aca="false">COUNT(H47:V47)</f>
        <v>5</v>
      </c>
      <c r="H47" s="11" t="n">
        <v>150</v>
      </c>
      <c r="I47" s="11" t="n">
        <v>120</v>
      </c>
      <c r="J47" s="11" t="n">
        <v>120</v>
      </c>
      <c r="K47" s="11" t="n">
        <v>120</v>
      </c>
      <c r="L47" s="11"/>
      <c r="M47" s="11" t="n">
        <v>120</v>
      </c>
      <c r="N47" s="11"/>
      <c r="O47" s="11"/>
      <c r="P47" s="11"/>
      <c r="Q47" s="11"/>
      <c r="R47" s="11"/>
      <c r="S47" s="11"/>
      <c r="T47" s="11"/>
      <c r="U47" s="11"/>
      <c r="V47" s="11"/>
    </row>
    <row r="48" customFormat="false" ht="15" hidden="false" customHeight="false" outlineLevel="0" collapsed="false">
      <c r="A48" s="7" t="n">
        <v>44</v>
      </c>
      <c r="B48" s="8" t="s">
        <v>120</v>
      </c>
      <c r="C48" s="7" t="s">
        <v>65</v>
      </c>
      <c r="D48" s="7"/>
      <c r="E48" s="7" t="s">
        <v>77</v>
      </c>
      <c r="F48" s="7" t="n">
        <v>19</v>
      </c>
      <c r="G48" s="9" t="n">
        <f aca="false">COUNT(H48:V48)</f>
        <v>5</v>
      </c>
      <c r="H48" s="11" t="n">
        <v>120</v>
      </c>
      <c r="I48" s="11" t="n">
        <v>75</v>
      </c>
      <c r="J48" s="11"/>
      <c r="K48" s="11" t="n">
        <v>75</v>
      </c>
      <c r="L48" s="11"/>
      <c r="M48" s="11" t="n">
        <v>75</v>
      </c>
      <c r="N48" s="11" t="n">
        <v>80</v>
      </c>
      <c r="O48" s="11"/>
      <c r="P48" s="11"/>
      <c r="Q48" s="11"/>
      <c r="R48" s="11"/>
      <c r="S48" s="11"/>
      <c r="T48" s="11"/>
      <c r="U48" s="11"/>
      <c r="V48" s="11"/>
    </row>
    <row r="49" customFormat="false" ht="15" hidden="false" customHeight="false" outlineLevel="0" collapsed="false">
      <c r="A49" s="7" t="n">
        <v>45</v>
      </c>
      <c r="B49" s="8" t="s">
        <v>121</v>
      </c>
      <c r="C49" s="7" t="s">
        <v>71</v>
      </c>
      <c r="D49" s="7" t="s">
        <v>61</v>
      </c>
      <c r="E49" s="7" t="s">
        <v>77</v>
      </c>
      <c r="F49" s="7" t="n">
        <v>24</v>
      </c>
      <c r="G49" s="9" t="n">
        <f aca="false">COUNT(H49:V49)</f>
        <v>5</v>
      </c>
      <c r="H49" s="11" t="n">
        <v>150</v>
      </c>
      <c r="I49" s="11"/>
      <c r="J49" s="11" t="n">
        <v>120</v>
      </c>
      <c r="K49" s="11"/>
      <c r="L49" s="11" t="n">
        <v>20</v>
      </c>
      <c r="M49" s="11" t="n">
        <v>120</v>
      </c>
      <c r="N49" s="11" t="n">
        <v>80</v>
      </c>
      <c r="O49" s="11"/>
      <c r="P49" s="11"/>
      <c r="Q49" s="11"/>
      <c r="R49" s="11"/>
      <c r="S49" s="11"/>
      <c r="T49" s="11"/>
      <c r="U49" s="11"/>
      <c r="V49" s="11"/>
    </row>
    <row r="50" customFormat="false" ht="15" hidden="false" customHeight="false" outlineLevel="0" collapsed="false">
      <c r="A50" s="7" t="n">
        <v>46</v>
      </c>
      <c r="B50" s="8" t="s">
        <v>122</v>
      </c>
      <c r="C50" s="7" t="s">
        <v>67</v>
      </c>
      <c r="D50" s="7"/>
      <c r="E50" s="7" t="s">
        <v>77</v>
      </c>
      <c r="F50" s="7" t="n">
        <v>21</v>
      </c>
      <c r="G50" s="9" t="n">
        <f aca="false">COUNT(H50:V50)</f>
        <v>5</v>
      </c>
      <c r="H50" s="11" t="n">
        <v>100</v>
      </c>
      <c r="I50" s="11"/>
      <c r="J50" s="11"/>
      <c r="K50" s="11"/>
      <c r="L50" s="11"/>
      <c r="M50" s="11"/>
      <c r="N50" s="11" t="n">
        <v>80</v>
      </c>
      <c r="O50" s="11" t="n">
        <v>15</v>
      </c>
      <c r="P50" s="11" t="n">
        <v>100</v>
      </c>
      <c r="Q50" s="11"/>
      <c r="R50" s="11"/>
      <c r="S50" s="11"/>
      <c r="T50" s="11" t="n">
        <v>75</v>
      </c>
      <c r="U50" s="11"/>
      <c r="V50" s="11"/>
    </row>
    <row r="51" customFormat="false" ht="15" hidden="false" customHeight="false" outlineLevel="0" collapsed="false">
      <c r="A51" s="7" t="n">
        <v>47</v>
      </c>
      <c r="B51" s="8" t="s">
        <v>123</v>
      </c>
      <c r="C51" s="7" t="s">
        <v>66</v>
      </c>
      <c r="D51" s="7"/>
      <c r="E51" s="7" t="s">
        <v>77</v>
      </c>
      <c r="F51" s="7" t="n">
        <v>14</v>
      </c>
      <c r="G51" s="9" t="n">
        <f aca="false">COUNT(H51:V51)</f>
        <v>5</v>
      </c>
      <c r="H51" s="11" t="n">
        <v>85</v>
      </c>
      <c r="I51" s="11" t="n">
        <v>120</v>
      </c>
      <c r="J51" s="11"/>
      <c r="K51" s="11" t="n">
        <v>120</v>
      </c>
      <c r="L51" s="11" t="n">
        <v>40</v>
      </c>
      <c r="M51" s="11"/>
      <c r="N51" s="11"/>
      <c r="O51" s="11" t="n">
        <v>65</v>
      </c>
      <c r="P51" s="11"/>
      <c r="Q51" s="11"/>
      <c r="R51" s="11"/>
      <c r="S51" s="11"/>
      <c r="T51" s="11"/>
      <c r="U51" s="11"/>
      <c r="V51" s="11"/>
    </row>
    <row r="52" customFormat="false" ht="15" hidden="false" customHeight="false" outlineLevel="0" collapsed="false">
      <c r="A52" s="7" t="n">
        <v>48</v>
      </c>
      <c r="B52" s="8" t="s">
        <v>124</v>
      </c>
      <c r="C52" s="7" t="s">
        <v>65</v>
      </c>
      <c r="D52" s="7"/>
      <c r="E52" s="7" t="s">
        <v>97</v>
      </c>
      <c r="F52" s="7" t="n">
        <v>24</v>
      </c>
      <c r="G52" s="9" t="n">
        <f aca="false">COUNT(H52:V52)</f>
        <v>5</v>
      </c>
      <c r="H52" s="11" t="n">
        <v>150</v>
      </c>
      <c r="I52" s="11" t="n">
        <v>120</v>
      </c>
      <c r="J52" s="11"/>
      <c r="K52" s="11"/>
      <c r="L52" s="11"/>
      <c r="M52" s="11"/>
      <c r="N52" s="11" t="n">
        <v>80</v>
      </c>
      <c r="O52" s="11"/>
      <c r="P52" s="11" t="n">
        <v>100</v>
      </c>
      <c r="Q52" s="11"/>
      <c r="R52" s="11"/>
      <c r="S52" s="11"/>
      <c r="T52" s="11" t="n">
        <v>75</v>
      </c>
      <c r="U52" s="11"/>
      <c r="V52" s="11"/>
    </row>
    <row r="53" customFormat="false" ht="15" hidden="false" customHeight="false" outlineLevel="0" collapsed="false">
      <c r="A53" s="7" t="n">
        <v>49</v>
      </c>
      <c r="B53" s="8" t="s">
        <v>125</v>
      </c>
      <c r="C53" s="7" t="s">
        <v>65</v>
      </c>
      <c r="D53" s="7"/>
      <c r="E53" s="7" t="s">
        <v>77</v>
      </c>
      <c r="F53" s="7" t="n">
        <v>23</v>
      </c>
      <c r="G53" s="9" t="n">
        <f aca="false">COUNT(H53:V53)</f>
        <v>5</v>
      </c>
      <c r="H53" s="11" t="n">
        <v>120</v>
      </c>
      <c r="I53" s="11" t="n">
        <v>120</v>
      </c>
      <c r="J53" s="11"/>
      <c r="K53" s="11"/>
      <c r="L53" s="11"/>
      <c r="M53" s="11"/>
      <c r="N53" s="11" t="n">
        <v>80</v>
      </c>
      <c r="O53" s="11"/>
      <c r="P53" s="11" t="n">
        <v>100</v>
      </c>
      <c r="Q53" s="11"/>
      <c r="R53" s="11"/>
      <c r="S53" s="11"/>
      <c r="T53" s="11" t="n">
        <v>75</v>
      </c>
      <c r="U53" s="11"/>
      <c r="V53" s="11"/>
    </row>
    <row r="54" customFormat="false" ht="15" hidden="false" customHeight="false" outlineLevel="0" collapsed="false">
      <c r="A54" s="7" t="n">
        <v>50</v>
      </c>
      <c r="B54" s="8" t="s">
        <v>126</v>
      </c>
      <c r="C54" s="7" t="s">
        <v>72</v>
      </c>
      <c r="D54" s="7" t="s">
        <v>66</v>
      </c>
      <c r="E54" s="7" t="s">
        <v>77</v>
      </c>
      <c r="F54" s="7" t="n">
        <v>15</v>
      </c>
      <c r="G54" s="9" t="n">
        <f aca="false">COUNT(H54:V54)</f>
        <v>5</v>
      </c>
      <c r="H54" s="11" t="n">
        <v>20</v>
      </c>
      <c r="I54" s="11"/>
      <c r="J54" s="11"/>
      <c r="K54" s="11" t="n">
        <v>120</v>
      </c>
      <c r="L54" s="11" t="n">
        <v>40</v>
      </c>
      <c r="M54" s="11"/>
      <c r="N54" s="11"/>
      <c r="O54" s="11"/>
      <c r="P54" s="11"/>
      <c r="Q54" s="11"/>
      <c r="R54" s="11" t="n">
        <v>90</v>
      </c>
      <c r="S54" s="11"/>
      <c r="T54" s="11"/>
      <c r="U54" s="11" t="n">
        <v>20</v>
      </c>
      <c r="V54" s="11"/>
    </row>
    <row r="55" customFormat="false" ht="15" hidden="false" customHeight="false" outlineLevel="0" collapsed="false">
      <c r="A55" s="7" t="n">
        <v>51</v>
      </c>
      <c r="B55" s="8" t="s">
        <v>127</v>
      </c>
      <c r="C55" s="7" t="s">
        <v>67</v>
      </c>
      <c r="D55" s="7"/>
      <c r="E55" s="7" t="s">
        <v>77</v>
      </c>
      <c r="F55" s="7" t="n">
        <v>22</v>
      </c>
      <c r="G55" s="9" t="n">
        <f aca="false">COUNT(H55:V55)</f>
        <v>5</v>
      </c>
      <c r="H55" s="11" t="n">
        <v>150</v>
      </c>
      <c r="I55" s="11"/>
      <c r="J55" s="11"/>
      <c r="K55" s="11"/>
      <c r="L55" s="11"/>
      <c r="M55" s="11"/>
      <c r="N55" s="11" t="n">
        <v>80</v>
      </c>
      <c r="O55" s="11" t="n">
        <v>15</v>
      </c>
      <c r="P55" s="11" t="n">
        <v>100</v>
      </c>
      <c r="Q55" s="11"/>
      <c r="R55" s="11"/>
      <c r="S55" s="11"/>
      <c r="T55" s="11" t="n">
        <v>75</v>
      </c>
      <c r="U55" s="11"/>
      <c r="V55" s="11"/>
    </row>
    <row r="56" customFormat="false" ht="15" hidden="false" customHeight="false" outlineLevel="0" collapsed="false">
      <c r="A56" s="7" t="n">
        <v>52</v>
      </c>
      <c r="B56" s="8" t="s">
        <v>128</v>
      </c>
      <c r="C56" s="7" t="s">
        <v>61</v>
      </c>
      <c r="D56" s="7" t="s">
        <v>66</v>
      </c>
      <c r="E56" s="7" t="s">
        <v>77</v>
      </c>
      <c r="F56" s="7" t="n">
        <v>20</v>
      </c>
      <c r="G56" s="9" t="n">
        <f aca="false">COUNT(H56:V56)</f>
        <v>5</v>
      </c>
      <c r="H56" s="11" t="n">
        <v>150</v>
      </c>
      <c r="I56" s="11"/>
      <c r="J56" s="11" t="n">
        <v>120</v>
      </c>
      <c r="K56" s="11"/>
      <c r="L56" s="11" t="n">
        <v>40</v>
      </c>
      <c r="M56" s="11" t="n">
        <v>120</v>
      </c>
      <c r="N56" s="11"/>
      <c r="O56" s="11" t="n">
        <v>40</v>
      </c>
      <c r="P56" s="11"/>
      <c r="Q56" s="11"/>
      <c r="R56" s="11"/>
      <c r="S56" s="11"/>
      <c r="T56" s="11"/>
      <c r="U56" s="11"/>
      <c r="V56" s="11"/>
    </row>
    <row r="57" customFormat="false" ht="15" hidden="false" customHeight="false" outlineLevel="0" collapsed="false">
      <c r="A57" s="7" t="n">
        <v>53</v>
      </c>
      <c r="B57" s="8" t="s">
        <v>129</v>
      </c>
      <c r="C57" s="7" t="s">
        <v>60</v>
      </c>
      <c r="D57" s="7" t="s">
        <v>68</v>
      </c>
      <c r="E57" s="7" t="s">
        <v>77</v>
      </c>
      <c r="F57" s="7" t="n">
        <v>28</v>
      </c>
      <c r="G57" s="9" t="n">
        <f aca="false">COUNT(H57:V57)</f>
        <v>5</v>
      </c>
      <c r="H57" s="11" t="n">
        <v>150</v>
      </c>
      <c r="I57" s="11" t="n">
        <v>120</v>
      </c>
      <c r="J57" s="11"/>
      <c r="K57" s="11"/>
      <c r="L57" s="11"/>
      <c r="M57" s="11"/>
      <c r="N57" s="11" t="n">
        <v>80</v>
      </c>
      <c r="O57" s="11"/>
      <c r="P57" s="11" t="n">
        <v>100</v>
      </c>
      <c r="Q57" s="11" t="n">
        <v>70</v>
      </c>
      <c r="R57" s="11"/>
      <c r="S57" s="11"/>
      <c r="T57" s="11"/>
      <c r="U57" s="11"/>
      <c r="V57" s="11"/>
    </row>
    <row r="58" customFormat="false" ht="15" hidden="false" customHeight="false" outlineLevel="0" collapsed="false">
      <c r="A58" s="7" t="n">
        <v>54</v>
      </c>
      <c r="B58" s="8" t="s">
        <v>130</v>
      </c>
      <c r="C58" s="7" t="s">
        <v>71</v>
      </c>
      <c r="D58" s="7" t="s">
        <v>67</v>
      </c>
      <c r="E58" s="7" t="s">
        <v>77</v>
      </c>
      <c r="F58" s="7" t="n">
        <v>23</v>
      </c>
      <c r="G58" s="9" t="n">
        <f aca="false">COUNT(H58:V58)</f>
        <v>5</v>
      </c>
      <c r="H58" s="11" t="n">
        <v>100</v>
      </c>
      <c r="I58" s="11" t="n">
        <v>120</v>
      </c>
      <c r="J58" s="11"/>
      <c r="K58" s="11"/>
      <c r="L58" s="11"/>
      <c r="M58" s="11"/>
      <c r="N58" s="11" t="n">
        <v>80</v>
      </c>
      <c r="O58" s="11"/>
      <c r="P58" s="11" t="n">
        <v>100</v>
      </c>
      <c r="Q58" s="11"/>
      <c r="R58" s="11"/>
      <c r="S58" s="11"/>
      <c r="T58" s="11" t="n">
        <v>75</v>
      </c>
      <c r="U58" s="11"/>
      <c r="V58" s="11"/>
    </row>
    <row r="59" customFormat="false" ht="15" hidden="false" customHeight="false" outlineLevel="0" collapsed="false">
      <c r="A59" s="7" t="n">
        <v>55</v>
      </c>
      <c r="B59" s="8" t="s">
        <v>131</v>
      </c>
      <c r="C59" s="7" t="s">
        <v>65</v>
      </c>
      <c r="D59" s="7"/>
      <c r="E59" s="7" t="s">
        <v>77</v>
      </c>
      <c r="F59" s="7" t="n">
        <v>24</v>
      </c>
      <c r="G59" s="9" t="n">
        <f aca="false">COUNT(H59:V59)</f>
        <v>5</v>
      </c>
      <c r="H59" s="11" t="n">
        <v>120</v>
      </c>
      <c r="I59" s="11"/>
      <c r="J59" s="11"/>
      <c r="K59" s="11" t="n">
        <v>120</v>
      </c>
      <c r="L59" s="11"/>
      <c r="M59" s="11"/>
      <c r="N59" s="11" t="n">
        <v>80</v>
      </c>
      <c r="O59" s="11"/>
      <c r="P59" s="11" t="n">
        <v>100</v>
      </c>
      <c r="Q59" s="11"/>
      <c r="R59" s="11"/>
      <c r="S59" s="11"/>
      <c r="T59" s="11" t="n">
        <v>75</v>
      </c>
      <c r="U59" s="11"/>
      <c r="V59" s="11"/>
    </row>
    <row r="60" customFormat="false" ht="15" hidden="false" customHeight="false" outlineLevel="0" collapsed="false">
      <c r="A60" s="7" t="n">
        <v>56</v>
      </c>
      <c r="B60" s="8" t="s">
        <v>132</v>
      </c>
      <c r="C60" s="7" t="s">
        <v>66</v>
      </c>
      <c r="D60" s="7"/>
      <c r="E60" s="7" t="s">
        <v>75</v>
      </c>
      <c r="F60" s="7" t="n">
        <v>17</v>
      </c>
      <c r="G60" s="9" t="n">
        <f aca="false">COUNT(H60:V60)</f>
        <v>5</v>
      </c>
      <c r="H60" s="10" t="n">
        <v>100</v>
      </c>
      <c r="I60" s="10"/>
      <c r="J60" s="10"/>
      <c r="K60" s="10"/>
      <c r="L60" s="10" t="n">
        <v>40</v>
      </c>
      <c r="M60" s="10"/>
      <c r="N60" s="10"/>
      <c r="O60" s="10" t="n">
        <v>40</v>
      </c>
      <c r="P60" s="10" t="n">
        <v>100</v>
      </c>
      <c r="Q60" s="10"/>
      <c r="R60" s="10"/>
      <c r="S60" s="10"/>
      <c r="T60" s="10" t="n">
        <v>75</v>
      </c>
      <c r="U60" s="10"/>
      <c r="V60" s="10"/>
    </row>
    <row r="61" customFormat="false" ht="15" hidden="false" customHeight="false" outlineLevel="0" collapsed="false">
      <c r="A61" s="7" t="n">
        <v>57</v>
      </c>
      <c r="B61" s="8" t="s">
        <v>133</v>
      </c>
      <c r="C61" s="7" t="s">
        <v>72</v>
      </c>
      <c r="D61" s="7" t="s">
        <v>66</v>
      </c>
      <c r="E61" s="7" t="s">
        <v>77</v>
      </c>
      <c r="F61" s="7" t="n">
        <v>15</v>
      </c>
      <c r="G61" s="9" t="n">
        <f aca="false">COUNT(H61:V61)</f>
        <v>5</v>
      </c>
      <c r="H61" s="11" t="n">
        <v>20</v>
      </c>
      <c r="I61" s="11"/>
      <c r="J61" s="11"/>
      <c r="K61" s="11" t="n">
        <v>120</v>
      </c>
      <c r="L61" s="11" t="n">
        <v>40</v>
      </c>
      <c r="M61" s="11"/>
      <c r="N61" s="11"/>
      <c r="O61" s="11"/>
      <c r="P61" s="11"/>
      <c r="Q61" s="11"/>
      <c r="R61" s="11" t="n">
        <v>90</v>
      </c>
      <c r="S61" s="11"/>
      <c r="T61" s="11"/>
      <c r="U61" s="11" t="n">
        <v>20</v>
      </c>
      <c r="V61" s="11"/>
    </row>
    <row r="62" customFormat="false" ht="15" hidden="false" customHeight="false" outlineLevel="0" collapsed="false">
      <c r="A62" s="7" t="n">
        <v>58</v>
      </c>
      <c r="B62" s="8" t="s">
        <v>134</v>
      </c>
      <c r="C62" s="7" t="s">
        <v>71</v>
      </c>
      <c r="D62" s="7" t="s">
        <v>67</v>
      </c>
      <c r="E62" s="7" t="s">
        <v>77</v>
      </c>
      <c r="F62" s="7" t="n">
        <v>23</v>
      </c>
      <c r="G62" s="9" t="n">
        <f aca="false">COUNT(H62:V62)</f>
        <v>5</v>
      </c>
      <c r="H62" s="11" t="n">
        <v>100</v>
      </c>
      <c r="I62" s="11" t="n">
        <v>120</v>
      </c>
      <c r="J62" s="11"/>
      <c r="K62" s="11"/>
      <c r="L62" s="11"/>
      <c r="M62" s="11"/>
      <c r="N62" s="11" t="n">
        <v>80</v>
      </c>
      <c r="O62" s="11"/>
      <c r="P62" s="11" t="n">
        <v>100</v>
      </c>
      <c r="Q62" s="11"/>
      <c r="R62" s="11"/>
      <c r="S62" s="11"/>
      <c r="T62" s="11" t="n">
        <v>75</v>
      </c>
      <c r="U62" s="11"/>
      <c r="V62" s="11"/>
    </row>
    <row r="63" customFormat="false" ht="15" hidden="false" customHeight="false" outlineLevel="0" collapsed="false">
      <c r="A63" s="7" t="n">
        <v>59</v>
      </c>
      <c r="B63" s="8" t="s">
        <v>135</v>
      </c>
      <c r="C63" s="7" t="s">
        <v>60</v>
      </c>
      <c r="D63" s="7"/>
      <c r="E63" s="7" t="s">
        <v>75</v>
      </c>
      <c r="F63" s="7" t="n">
        <v>23</v>
      </c>
      <c r="G63" s="9" t="n">
        <f aca="false">COUNT(H63:V63)</f>
        <v>5</v>
      </c>
      <c r="H63" s="10" t="n">
        <v>150</v>
      </c>
      <c r="I63" s="10" t="n">
        <v>120</v>
      </c>
      <c r="J63" s="10"/>
      <c r="K63" s="10"/>
      <c r="L63" s="10"/>
      <c r="M63" s="10"/>
      <c r="N63" s="10" t="n">
        <v>80</v>
      </c>
      <c r="O63" s="10" t="n">
        <v>20</v>
      </c>
      <c r="P63" s="10"/>
      <c r="Q63" s="10"/>
      <c r="R63" s="10" t="n">
        <v>90</v>
      </c>
      <c r="S63" s="10"/>
      <c r="T63" s="10"/>
      <c r="U63" s="10"/>
      <c r="V63" s="10"/>
    </row>
    <row r="64" customFormat="false" ht="15" hidden="false" customHeight="false" outlineLevel="0" collapsed="false">
      <c r="A64" s="7" t="n">
        <v>60</v>
      </c>
      <c r="B64" s="8" t="s">
        <v>136</v>
      </c>
      <c r="C64" s="7" t="s">
        <v>61</v>
      </c>
      <c r="D64" s="7"/>
      <c r="E64" s="7" t="s">
        <v>77</v>
      </c>
      <c r="F64" s="7" t="n">
        <v>25</v>
      </c>
      <c r="G64" s="9" t="n">
        <f aca="false">COUNT(H64:V64)</f>
        <v>5</v>
      </c>
      <c r="H64" s="11" t="n">
        <v>100</v>
      </c>
      <c r="I64" s="11"/>
      <c r="J64" s="11" t="n">
        <v>120</v>
      </c>
      <c r="K64" s="11" t="n">
        <v>120</v>
      </c>
      <c r="L64" s="11"/>
      <c r="M64" s="11" t="n">
        <v>120</v>
      </c>
      <c r="N64" s="11"/>
      <c r="O64" s="11"/>
      <c r="P64" s="11"/>
      <c r="Q64" s="11"/>
      <c r="R64" s="11" t="n">
        <v>90</v>
      </c>
      <c r="S64" s="11"/>
      <c r="T64" s="11"/>
      <c r="U64" s="11"/>
      <c r="V64" s="11"/>
    </row>
    <row r="65" customFormat="false" ht="15" hidden="false" customHeight="false" outlineLevel="0" collapsed="false">
      <c r="A65" s="7" t="n">
        <v>61</v>
      </c>
      <c r="B65" s="8" t="s">
        <v>137</v>
      </c>
      <c r="C65" s="7" t="s">
        <v>61</v>
      </c>
      <c r="D65" s="7" t="s">
        <v>69</v>
      </c>
      <c r="E65" s="7" t="s">
        <v>77</v>
      </c>
      <c r="F65" s="7" t="n">
        <v>26</v>
      </c>
      <c r="G65" s="9" t="n">
        <f aca="false">COUNT(H65:V65)</f>
        <v>5</v>
      </c>
      <c r="H65" s="11" t="n">
        <v>150</v>
      </c>
      <c r="I65" s="11"/>
      <c r="J65" s="11" t="n">
        <v>95</v>
      </c>
      <c r="K65" s="11" t="n">
        <v>120</v>
      </c>
      <c r="L65" s="11"/>
      <c r="M65" s="11" t="n">
        <v>120</v>
      </c>
      <c r="N65" s="11"/>
      <c r="O65" s="11"/>
      <c r="P65" s="11"/>
      <c r="Q65" s="11"/>
      <c r="R65" s="11" t="n">
        <v>90</v>
      </c>
      <c r="S65" s="11"/>
      <c r="T65" s="11"/>
      <c r="U65" s="11"/>
      <c r="V65" s="11"/>
    </row>
    <row r="66" customFormat="false" ht="15" hidden="false" customHeight="false" outlineLevel="0" collapsed="false">
      <c r="A66" s="7" t="n">
        <v>62</v>
      </c>
      <c r="B66" s="8" t="s">
        <v>138</v>
      </c>
      <c r="C66" s="7" t="s">
        <v>61</v>
      </c>
      <c r="D66" s="7" t="s">
        <v>66</v>
      </c>
      <c r="E66" s="7" t="s">
        <v>77</v>
      </c>
      <c r="F66" s="7" t="n">
        <v>19</v>
      </c>
      <c r="G66" s="9" t="n">
        <f aca="false">COUNT(H66:V66)</f>
        <v>5</v>
      </c>
      <c r="H66" s="11" t="n">
        <v>100</v>
      </c>
      <c r="I66" s="11"/>
      <c r="J66" s="11" t="n">
        <v>120</v>
      </c>
      <c r="K66" s="11"/>
      <c r="L66" s="11" t="n">
        <v>40</v>
      </c>
      <c r="M66" s="11" t="n">
        <v>120</v>
      </c>
      <c r="N66" s="11"/>
      <c r="O66" s="11" t="n">
        <v>40</v>
      </c>
      <c r="P66" s="11"/>
      <c r="Q66" s="11"/>
      <c r="R66" s="11"/>
      <c r="S66" s="11"/>
      <c r="T66" s="11"/>
      <c r="U66" s="11"/>
      <c r="V66" s="11"/>
    </row>
    <row r="67" customFormat="false" ht="15" hidden="false" customHeight="false" outlineLevel="0" collapsed="false">
      <c r="A67" s="7" t="n">
        <v>63</v>
      </c>
      <c r="B67" s="8" t="s">
        <v>139</v>
      </c>
      <c r="C67" s="7" t="s">
        <v>73</v>
      </c>
      <c r="D67" s="7"/>
      <c r="E67" s="7" t="s">
        <v>77</v>
      </c>
      <c r="F67" s="7" t="n">
        <v>23</v>
      </c>
      <c r="G67" s="9" t="n">
        <f aca="false">COUNT(H67:V67)</f>
        <v>5</v>
      </c>
      <c r="H67" s="11" t="n">
        <v>150</v>
      </c>
      <c r="I67" s="11" t="n">
        <v>120</v>
      </c>
      <c r="J67" s="11" t="n">
        <v>95</v>
      </c>
      <c r="K67" s="11" t="n">
        <v>120</v>
      </c>
      <c r="L67" s="11"/>
      <c r="M67" s="11" t="n">
        <v>120</v>
      </c>
      <c r="N67" s="11"/>
      <c r="O67" s="11"/>
      <c r="P67" s="11"/>
      <c r="Q67" s="11"/>
      <c r="R67" s="11"/>
      <c r="S67" s="11"/>
      <c r="T67" s="11"/>
      <c r="U67" s="11"/>
      <c r="V67" s="11"/>
    </row>
    <row r="68" customFormat="false" ht="15" hidden="false" customHeight="false" outlineLevel="0" collapsed="false">
      <c r="A68" s="7" t="n">
        <v>64</v>
      </c>
      <c r="B68" s="8" t="s">
        <v>140</v>
      </c>
      <c r="C68" s="7" t="s">
        <v>66</v>
      </c>
      <c r="D68" s="7"/>
      <c r="E68" s="7" t="s">
        <v>77</v>
      </c>
      <c r="F68" s="7" t="n">
        <v>15</v>
      </c>
      <c r="G68" s="9" t="n">
        <f aca="false">COUNT(H68:V68)</f>
        <v>5</v>
      </c>
      <c r="H68" s="11" t="n">
        <v>150</v>
      </c>
      <c r="I68" s="11" t="n">
        <v>120</v>
      </c>
      <c r="J68" s="11"/>
      <c r="K68" s="11" t="n">
        <v>120</v>
      </c>
      <c r="L68" s="11" t="n">
        <v>40</v>
      </c>
      <c r="M68" s="11"/>
      <c r="N68" s="11"/>
      <c r="O68" s="11" t="n">
        <v>65</v>
      </c>
      <c r="P68" s="11"/>
      <c r="Q68" s="11"/>
      <c r="R68" s="11"/>
      <c r="S68" s="11"/>
      <c r="T68" s="11"/>
      <c r="U68" s="11"/>
      <c r="V68" s="11"/>
    </row>
    <row r="69" customFormat="false" ht="15" hidden="false" customHeight="false" outlineLevel="0" collapsed="false">
      <c r="A69" s="7" t="n">
        <v>65</v>
      </c>
      <c r="B69" s="8" t="s">
        <v>141</v>
      </c>
      <c r="C69" s="7" t="s">
        <v>61</v>
      </c>
      <c r="D69" s="7"/>
      <c r="E69" s="7" t="s">
        <v>77</v>
      </c>
      <c r="F69" s="7" t="n">
        <v>17</v>
      </c>
      <c r="G69" s="9" t="n">
        <f aca="false">COUNT(H69:V69)</f>
        <v>4</v>
      </c>
      <c r="H69" s="11" t="n">
        <v>100</v>
      </c>
      <c r="I69" s="11"/>
      <c r="J69" s="11" t="n">
        <v>95</v>
      </c>
      <c r="K69" s="11"/>
      <c r="L69" s="11"/>
      <c r="M69" s="11" t="n">
        <v>120</v>
      </c>
      <c r="N69" s="11"/>
      <c r="O69" s="11"/>
      <c r="P69" s="11"/>
      <c r="Q69" s="11" t="n">
        <v>35</v>
      </c>
      <c r="R69" s="11"/>
      <c r="S69" s="11"/>
      <c r="T69" s="11"/>
      <c r="U69" s="11"/>
      <c r="V69" s="11"/>
    </row>
    <row r="70" customFormat="false" ht="15" hidden="false" customHeight="false" outlineLevel="0" collapsed="false">
      <c r="A70" s="7" t="n">
        <v>66</v>
      </c>
      <c r="B70" s="8" t="s">
        <v>142</v>
      </c>
      <c r="C70" s="7" t="s">
        <v>62</v>
      </c>
      <c r="D70" s="7"/>
      <c r="E70" s="7" t="s">
        <v>77</v>
      </c>
      <c r="F70" s="7" t="n">
        <v>18</v>
      </c>
      <c r="G70" s="9" t="n">
        <f aca="false">COUNT(H70:V70)</f>
        <v>4</v>
      </c>
      <c r="H70" s="11" t="n">
        <v>150</v>
      </c>
      <c r="I70" s="11"/>
      <c r="J70" s="11"/>
      <c r="K70" s="11" t="n">
        <v>120</v>
      </c>
      <c r="L70" s="11"/>
      <c r="M70" s="11"/>
      <c r="N70" s="11" t="n">
        <v>30</v>
      </c>
      <c r="O70" s="11"/>
      <c r="P70" s="11"/>
      <c r="Q70" s="11"/>
      <c r="R70" s="11"/>
      <c r="S70" s="11" t="n">
        <v>14</v>
      </c>
      <c r="T70" s="11"/>
      <c r="U70" s="11"/>
      <c r="V70" s="11"/>
    </row>
    <row r="71" customFormat="false" ht="15" hidden="false" customHeight="false" outlineLevel="0" collapsed="false">
      <c r="A71" s="7" t="n">
        <v>67</v>
      </c>
      <c r="B71" s="8" t="s">
        <v>143</v>
      </c>
      <c r="C71" s="7" t="s">
        <v>70</v>
      </c>
      <c r="D71" s="7" t="s">
        <v>63</v>
      </c>
      <c r="E71" s="7" t="s">
        <v>77</v>
      </c>
      <c r="F71" s="7" t="n">
        <v>17</v>
      </c>
      <c r="G71" s="9" t="n">
        <f aca="false">COUNT(H71:V71)</f>
        <v>4</v>
      </c>
      <c r="H71" s="11" t="n">
        <v>100</v>
      </c>
      <c r="I71" s="11"/>
      <c r="J71" s="11"/>
      <c r="K71" s="11"/>
      <c r="L71" s="11" t="n">
        <v>120</v>
      </c>
      <c r="M71" s="11"/>
      <c r="N71" s="11"/>
      <c r="O71" s="11"/>
      <c r="P71" s="11" t="n">
        <v>100</v>
      </c>
      <c r="Q71" s="11"/>
      <c r="R71" s="11"/>
      <c r="S71" s="11" t="n">
        <v>20</v>
      </c>
      <c r="T71" s="11"/>
      <c r="U71" s="11"/>
      <c r="V71" s="11"/>
    </row>
    <row r="72" customFormat="false" ht="15" hidden="false" customHeight="false" outlineLevel="0" collapsed="false">
      <c r="A72" s="7" t="n">
        <v>68</v>
      </c>
      <c r="B72" s="8" t="s">
        <v>144</v>
      </c>
      <c r="C72" s="7" t="s">
        <v>61</v>
      </c>
      <c r="D72" s="7"/>
      <c r="E72" s="7" t="s">
        <v>77</v>
      </c>
      <c r="F72" s="7" t="n">
        <v>18</v>
      </c>
      <c r="G72" s="9" t="n">
        <f aca="false">COUNT(H72:V72)</f>
        <v>4</v>
      </c>
      <c r="H72" s="11" t="n">
        <v>100</v>
      </c>
      <c r="I72" s="11"/>
      <c r="J72" s="11" t="n">
        <v>120</v>
      </c>
      <c r="K72" s="11"/>
      <c r="L72" s="11"/>
      <c r="M72" s="11" t="n">
        <v>120</v>
      </c>
      <c r="N72" s="11"/>
      <c r="O72" s="11"/>
      <c r="P72" s="11"/>
      <c r="Q72" s="11"/>
      <c r="R72" s="11" t="n">
        <v>90</v>
      </c>
      <c r="S72" s="11"/>
      <c r="T72" s="11"/>
      <c r="U72" s="11"/>
      <c r="V72" s="11"/>
    </row>
    <row r="73" customFormat="false" ht="15" hidden="false" customHeight="false" outlineLevel="0" collapsed="false">
      <c r="A73" s="7" t="n">
        <v>69</v>
      </c>
      <c r="B73" s="8" t="s">
        <v>145</v>
      </c>
      <c r="C73" s="7" t="s">
        <v>64</v>
      </c>
      <c r="D73" s="7" t="s">
        <v>68</v>
      </c>
      <c r="E73" s="7" t="s">
        <v>77</v>
      </c>
      <c r="F73" s="7" t="n">
        <v>20</v>
      </c>
      <c r="G73" s="9" t="n">
        <f aca="false">COUNT(H73:V73)</f>
        <v>4</v>
      </c>
      <c r="H73" s="11" t="n">
        <v>150</v>
      </c>
      <c r="I73" s="11"/>
      <c r="J73" s="11" t="n">
        <v>65</v>
      </c>
      <c r="K73" s="11"/>
      <c r="L73" s="11"/>
      <c r="M73" s="11" t="n">
        <v>120</v>
      </c>
      <c r="N73" s="11"/>
      <c r="O73" s="11"/>
      <c r="P73" s="11"/>
      <c r="Q73" s="11" t="n">
        <v>140</v>
      </c>
      <c r="R73" s="11"/>
      <c r="S73" s="11"/>
      <c r="T73" s="11"/>
      <c r="U73" s="11"/>
      <c r="V73" s="11"/>
    </row>
    <row r="74" customFormat="false" ht="15" hidden="false" customHeight="false" outlineLevel="0" collapsed="false">
      <c r="A74" s="7" t="n">
        <v>70</v>
      </c>
      <c r="B74" s="8" t="s">
        <v>146</v>
      </c>
      <c r="C74" s="7" t="s">
        <v>69</v>
      </c>
      <c r="D74" s="7"/>
      <c r="E74" s="7" t="s">
        <v>97</v>
      </c>
      <c r="F74" s="7" t="n">
        <v>26</v>
      </c>
      <c r="G74" s="9" t="n">
        <f aca="false">COUNT(H74:V74)</f>
        <v>4</v>
      </c>
      <c r="H74" s="11" t="n">
        <v>150</v>
      </c>
      <c r="I74" s="11"/>
      <c r="J74" s="11"/>
      <c r="K74" s="11"/>
      <c r="L74" s="11"/>
      <c r="M74" s="11"/>
      <c r="N74" s="11" t="n">
        <v>80</v>
      </c>
      <c r="O74" s="11"/>
      <c r="P74" s="11" t="n">
        <v>100</v>
      </c>
      <c r="Q74" s="11"/>
      <c r="R74" s="11" t="n">
        <v>90</v>
      </c>
      <c r="S74" s="11"/>
      <c r="T74" s="11"/>
      <c r="U74" s="11"/>
      <c r="V74" s="11"/>
    </row>
    <row r="75" customFormat="false" ht="15" hidden="false" customHeight="false" outlineLevel="0" collapsed="false">
      <c r="A75" s="7" t="n">
        <v>71</v>
      </c>
      <c r="B75" s="8" t="s">
        <v>147</v>
      </c>
      <c r="C75" s="7" t="s">
        <v>66</v>
      </c>
      <c r="D75" s="7"/>
      <c r="E75" s="7" t="s">
        <v>75</v>
      </c>
      <c r="F75" s="7" t="n">
        <v>12</v>
      </c>
      <c r="G75" s="9" t="n">
        <f aca="false">COUNT(H75:V75)</f>
        <v>4</v>
      </c>
      <c r="H75" s="10" t="n">
        <v>35</v>
      </c>
      <c r="I75" s="10" t="n">
        <v>120</v>
      </c>
      <c r="J75" s="10"/>
      <c r="K75" s="10" t="n">
        <v>120</v>
      </c>
      <c r="L75" s="10"/>
      <c r="M75" s="10"/>
      <c r="N75" s="10"/>
      <c r="O75" s="10" t="n">
        <v>65</v>
      </c>
      <c r="P75" s="10"/>
      <c r="Q75" s="10"/>
      <c r="R75" s="10"/>
      <c r="S75" s="10"/>
      <c r="T75" s="10"/>
      <c r="U75" s="10"/>
      <c r="V75" s="10"/>
    </row>
    <row r="76" customFormat="false" ht="15" hidden="false" customHeight="false" outlineLevel="0" collapsed="false">
      <c r="A76" s="7" t="n">
        <v>72</v>
      </c>
      <c r="B76" s="8" t="s">
        <v>148</v>
      </c>
      <c r="C76" s="7" t="s">
        <v>66</v>
      </c>
      <c r="D76" s="7" t="s">
        <v>68</v>
      </c>
      <c r="E76" s="7" t="s">
        <v>77</v>
      </c>
      <c r="F76" s="7" t="n">
        <v>13</v>
      </c>
      <c r="G76" s="9" t="n">
        <f aca="false">COUNT(H76:V76)</f>
        <v>4</v>
      </c>
      <c r="H76" s="11" t="n">
        <v>100</v>
      </c>
      <c r="I76" s="11"/>
      <c r="J76" s="11"/>
      <c r="K76" s="11"/>
      <c r="L76" s="11" t="n">
        <v>40</v>
      </c>
      <c r="M76" s="11"/>
      <c r="N76" s="11"/>
      <c r="O76" s="11"/>
      <c r="P76" s="11"/>
      <c r="Q76" s="11" t="n">
        <v>35</v>
      </c>
      <c r="R76" s="11"/>
      <c r="S76" s="11" t="n">
        <v>20</v>
      </c>
      <c r="T76" s="11"/>
      <c r="U76" s="11"/>
      <c r="V76" s="11"/>
    </row>
    <row r="77" customFormat="false" ht="15" hidden="false" customHeight="false" outlineLevel="0" collapsed="false">
      <c r="A77" s="7" t="n">
        <v>73</v>
      </c>
      <c r="B77" s="8" t="s">
        <v>149</v>
      </c>
      <c r="C77" s="7" t="s">
        <v>70</v>
      </c>
      <c r="D77" s="7" t="s">
        <v>66</v>
      </c>
      <c r="E77" s="7" t="s">
        <v>77</v>
      </c>
      <c r="F77" s="7" t="n">
        <v>20</v>
      </c>
      <c r="G77" s="9" t="n">
        <f aca="false">COUNT(H77:V77)</f>
        <v>4</v>
      </c>
      <c r="H77" s="11" t="n">
        <v>150</v>
      </c>
      <c r="I77" s="11"/>
      <c r="J77" s="11"/>
      <c r="K77" s="11"/>
      <c r="L77" s="11" t="n">
        <v>120</v>
      </c>
      <c r="M77" s="11"/>
      <c r="N77" s="11"/>
      <c r="O77" s="11"/>
      <c r="P77" s="11"/>
      <c r="Q77" s="11"/>
      <c r="R77" s="11" t="n">
        <v>90</v>
      </c>
      <c r="S77" s="11" t="n">
        <v>20</v>
      </c>
      <c r="T77" s="11"/>
      <c r="U77" s="11"/>
      <c r="V77" s="11"/>
    </row>
    <row r="78" customFormat="false" ht="15" hidden="false" customHeight="false" outlineLevel="0" collapsed="false">
      <c r="A78" s="7" t="n">
        <v>74</v>
      </c>
      <c r="B78" s="8" t="s">
        <v>150</v>
      </c>
      <c r="C78" s="7" t="s">
        <v>62</v>
      </c>
      <c r="D78" s="7"/>
      <c r="E78" s="7" t="s">
        <v>75</v>
      </c>
      <c r="F78" s="7" t="n">
        <v>28</v>
      </c>
      <c r="G78" s="9" t="n">
        <f aca="false">COUNT(H78:V78)</f>
        <v>4</v>
      </c>
      <c r="H78" s="10" t="n">
        <v>150</v>
      </c>
      <c r="I78" s="10"/>
      <c r="J78" s="10"/>
      <c r="K78" s="10" t="n">
        <v>120</v>
      </c>
      <c r="L78" s="10"/>
      <c r="M78" s="10"/>
      <c r="N78" s="10" t="n">
        <v>80</v>
      </c>
      <c r="O78" s="10"/>
      <c r="P78" s="10"/>
      <c r="Q78" s="10"/>
      <c r="R78" s="10" t="n">
        <v>90</v>
      </c>
      <c r="S78" s="10"/>
      <c r="T78" s="10"/>
      <c r="U78" s="10"/>
      <c r="V78" s="10"/>
    </row>
    <row r="79" customFormat="false" ht="15" hidden="false" customHeight="false" outlineLevel="0" collapsed="false">
      <c r="A79" s="7" t="n">
        <v>75</v>
      </c>
      <c r="B79" s="8" t="s">
        <v>151</v>
      </c>
      <c r="C79" s="7" t="s">
        <v>59</v>
      </c>
      <c r="D79" s="7"/>
      <c r="E79" s="7" t="s">
        <v>77</v>
      </c>
      <c r="F79" s="7" t="n">
        <v>23</v>
      </c>
      <c r="G79" s="9" t="n">
        <f aca="false">COUNT(H79:V79)</f>
        <v>4</v>
      </c>
      <c r="H79" s="11" t="n">
        <v>150</v>
      </c>
      <c r="I79" s="11"/>
      <c r="J79" s="11"/>
      <c r="K79" s="11" t="n">
        <v>120</v>
      </c>
      <c r="L79" s="11"/>
      <c r="M79" s="11" t="n">
        <v>120</v>
      </c>
      <c r="N79" s="11"/>
      <c r="O79" s="11"/>
      <c r="P79" s="11"/>
      <c r="Q79" s="11"/>
      <c r="R79" s="11" t="n">
        <v>90</v>
      </c>
      <c r="S79" s="11"/>
      <c r="T79" s="11"/>
      <c r="U79" s="11"/>
      <c r="V79" s="11"/>
    </row>
    <row r="80" customFormat="false" ht="15" hidden="false" customHeight="false" outlineLevel="0" collapsed="false">
      <c r="A80" s="7" t="n">
        <v>76</v>
      </c>
      <c r="B80" s="8" t="s">
        <v>152</v>
      </c>
      <c r="C80" s="7" t="s">
        <v>60</v>
      </c>
      <c r="D80" s="7"/>
      <c r="E80" s="7" t="s">
        <v>77</v>
      </c>
      <c r="F80" s="7" t="n">
        <v>24</v>
      </c>
      <c r="G80" s="9" t="n">
        <f aca="false">COUNT(H80:V80)</f>
        <v>4</v>
      </c>
      <c r="H80" s="11" t="n">
        <v>120</v>
      </c>
      <c r="I80" s="11" t="n">
        <v>120</v>
      </c>
      <c r="J80" s="11"/>
      <c r="K80" s="11"/>
      <c r="L80" s="11"/>
      <c r="M80" s="11"/>
      <c r="N80" s="11" t="n">
        <v>80</v>
      </c>
      <c r="O80" s="11"/>
      <c r="P80" s="11" t="n">
        <v>100</v>
      </c>
      <c r="Q80" s="11"/>
      <c r="R80" s="11"/>
      <c r="S80" s="11"/>
      <c r="T80" s="11"/>
      <c r="U80" s="11"/>
      <c r="V80" s="11"/>
    </row>
    <row r="81" customFormat="false" ht="15" hidden="false" customHeight="false" outlineLevel="0" collapsed="false">
      <c r="A81" s="7" t="n">
        <v>77</v>
      </c>
      <c r="B81" s="8" t="s">
        <v>153</v>
      </c>
      <c r="C81" s="7" t="s">
        <v>69</v>
      </c>
      <c r="D81" s="7"/>
      <c r="E81" s="7" t="s">
        <v>77</v>
      </c>
      <c r="F81" s="7" t="n">
        <v>25</v>
      </c>
      <c r="G81" s="9" t="n">
        <f aca="false">COUNT(H81:V81)</f>
        <v>4</v>
      </c>
      <c r="H81" s="11" t="n">
        <v>120</v>
      </c>
      <c r="I81" s="11"/>
      <c r="J81" s="11"/>
      <c r="K81" s="11"/>
      <c r="L81" s="11"/>
      <c r="M81" s="11"/>
      <c r="N81" s="11" t="n">
        <v>80</v>
      </c>
      <c r="O81" s="11"/>
      <c r="P81" s="11" t="n">
        <v>100</v>
      </c>
      <c r="Q81" s="11"/>
      <c r="R81" s="11" t="n">
        <v>90</v>
      </c>
      <c r="S81" s="11"/>
      <c r="T81" s="11"/>
      <c r="U81" s="11"/>
      <c r="V81" s="11"/>
    </row>
    <row r="82" customFormat="false" ht="15" hidden="false" customHeight="false" outlineLevel="0" collapsed="false">
      <c r="A82" s="7" t="n">
        <v>78</v>
      </c>
      <c r="B82" s="8" t="s">
        <v>154</v>
      </c>
      <c r="C82" s="7" t="s">
        <v>71</v>
      </c>
      <c r="D82" s="7" t="s">
        <v>61</v>
      </c>
      <c r="E82" s="7" t="s">
        <v>77</v>
      </c>
      <c r="F82" s="7" t="n">
        <v>16</v>
      </c>
      <c r="G82" s="9" t="n">
        <f aca="false">COUNT(H82:V82)</f>
        <v>4</v>
      </c>
      <c r="H82" s="11" t="n">
        <v>100</v>
      </c>
      <c r="I82" s="11"/>
      <c r="J82" s="11" t="n">
        <v>120</v>
      </c>
      <c r="K82" s="11"/>
      <c r="L82" s="11" t="n">
        <v>20</v>
      </c>
      <c r="M82" s="11" t="n">
        <v>120</v>
      </c>
      <c r="N82" s="11"/>
      <c r="O82" s="11"/>
      <c r="P82" s="11"/>
      <c r="Q82" s="11"/>
      <c r="R82" s="11"/>
      <c r="S82" s="11"/>
      <c r="T82" s="11"/>
      <c r="U82" s="11"/>
      <c r="V82" s="11"/>
    </row>
    <row r="83" customFormat="false" ht="15" hidden="false" customHeight="false" outlineLevel="0" collapsed="false">
      <c r="A83" s="7" t="n">
        <v>79</v>
      </c>
      <c r="B83" s="8" t="s">
        <v>155</v>
      </c>
      <c r="C83" s="7" t="s">
        <v>66</v>
      </c>
      <c r="D83" s="7" t="s">
        <v>68</v>
      </c>
      <c r="E83" s="7" t="s">
        <v>77</v>
      </c>
      <c r="F83" s="7" t="n">
        <v>14</v>
      </c>
      <c r="G83" s="9" t="n">
        <f aca="false">COUNT(H83:V83)</f>
        <v>4</v>
      </c>
      <c r="H83" s="11" t="n">
        <v>150</v>
      </c>
      <c r="I83" s="11"/>
      <c r="J83" s="11"/>
      <c r="K83" s="11"/>
      <c r="L83" s="11" t="n">
        <v>40</v>
      </c>
      <c r="M83" s="11"/>
      <c r="N83" s="11"/>
      <c r="O83" s="11"/>
      <c r="P83" s="11"/>
      <c r="Q83" s="11" t="n">
        <v>35</v>
      </c>
      <c r="R83" s="11"/>
      <c r="S83" s="11" t="n">
        <v>20</v>
      </c>
      <c r="T83" s="11"/>
      <c r="U83" s="11"/>
      <c r="V83" s="11"/>
    </row>
    <row r="84" customFormat="false" ht="15" hidden="false" customHeight="false" outlineLevel="0" collapsed="false">
      <c r="A84" s="7" t="n">
        <v>80</v>
      </c>
      <c r="B84" s="8" t="s">
        <v>156</v>
      </c>
      <c r="C84" s="7" t="s">
        <v>70</v>
      </c>
      <c r="D84" s="7" t="s">
        <v>63</v>
      </c>
      <c r="E84" s="7" t="s">
        <v>77</v>
      </c>
      <c r="F84" s="7" t="n">
        <v>18</v>
      </c>
      <c r="G84" s="9" t="n">
        <f aca="false">COUNT(H84:V84)</f>
        <v>4</v>
      </c>
      <c r="H84" s="11" t="n">
        <v>150</v>
      </c>
      <c r="I84" s="11"/>
      <c r="J84" s="11"/>
      <c r="K84" s="11"/>
      <c r="L84" s="11" t="n">
        <v>120</v>
      </c>
      <c r="M84" s="11"/>
      <c r="N84" s="11"/>
      <c r="O84" s="11"/>
      <c r="P84" s="11" t="n">
        <v>100</v>
      </c>
      <c r="Q84" s="11"/>
      <c r="R84" s="11"/>
      <c r="S84" s="11" t="n">
        <v>20</v>
      </c>
      <c r="T84" s="11"/>
      <c r="U84" s="11"/>
      <c r="V84" s="11"/>
    </row>
    <row r="85" customFormat="false" ht="15" hidden="false" customHeight="false" outlineLevel="0" collapsed="false">
      <c r="A85" s="7" t="n">
        <v>81</v>
      </c>
      <c r="B85" s="8" t="s">
        <v>157</v>
      </c>
      <c r="C85" s="7" t="s">
        <v>71</v>
      </c>
      <c r="D85" s="7" t="s">
        <v>61</v>
      </c>
      <c r="E85" s="7" t="s">
        <v>77</v>
      </c>
      <c r="F85" s="7" t="n">
        <v>21</v>
      </c>
      <c r="G85" s="9" t="n">
        <f aca="false">COUNT(H85:V85)</f>
        <v>4</v>
      </c>
      <c r="H85" s="11" t="n">
        <v>150</v>
      </c>
      <c r="I85" s="11"/>
      <c r="J85" s="11" t="n">
        <v>120</v>
      </c>
      <c r="K85" s="11"/>
      <c r="L85" s="11"/>
      <c r="M85" s="11" t="n">
        <v>120</v>
      </c>
      <c r="N85" s="11" t="n">
        <v>80</v>
      </c>
      <c r="O85" s="11"/>
      <c r="P85" s="11"/>
      <c r="Q85" s="11"/>
      <c r="R85" s="11"/>
      <c r="S85" s="11"/>
      <c r="T85" s="11"/>
      <c r="U85" s="11"/>
      <c r="V85" s="11"/>
    </row>
    <row r="86" customFormat="false" ht="15" hidden="false" customHeight="false" outlineLevel="0" collapsed="false">
      <c r="A86" s="7" t="n">
        <v>82</v>
      </c>
      <c r="B86" s="8" t="s">
        <v>158</v>
      </c>
      <c r="C86" s="7" t="s">
        <v>66</v>
      </c>
      <c r="D86" s="7"/>
      <c r="E86" s="7" t="s">
        <v>75</v>
      </c>
      <c r="F86" s="7" t="n">
        <v>13</v>
      </c>
      <c r="G86" s="9" t="n">
        <f aca="false">COUNT(H86:V86)</f>
        <v>4</v>
      </c>
      <c r="H86" s="10" t="n">
        <v>150</v>
      </c>
      <c r="I86" s="10" t="n">
        <v>120</v>
      </c>
      <c r="J86" s="10"/>
      <c r="K86" s="10" t="n">
        <v>120</v>
      </c>
      <c r="L86" s="10"/>
      <c r="M86" s="10"/>
      <c r="N86" s="10"/>
      <c r="O86" s="10" t="n">
        <v>65</v>
      </c>
      <c r="P86" s="10"/>
      <c r="Q86" s="10"/>
      <c r="R86" s="10"/>
      <c r="S86" s="10"/>
      <c r="T86" s="10"/>
      <c r="U86" s="10"/>
      <c r="V86" s="10"/>
    </row>
    <row r="87" customFormat="false" ht="15" hidden="false" customHeight="false" outlineLevel="0" collapsed="false">
      <c r="A87" s="7" t="n">
        <v>83</v>
      </c>
      <c r="B87" s="8" t="s">
        <v>159</v>
      </c>
      <c r="C87" s="7" t="s">
        <v>60</v>
      </c>
      <c r="D87" s="7"/>
      <c r="E87" s="7" t="s">
        <v>77</v>
      </c>
      <c r="F87" s="7" t="n">
        <v>24</v>
      </c>
      <c r="G87" s="9" t="n">
        <f aca="false">COUNT(H87:V87)</f>
        <v>4</v>
      </c>
      <c r="H87" s="11" t="n">
        <v>120</v>
      </c>
      <c r="I87" s="11" t="n">
        <v>120</v>
      </c>
      <c r="J87" s="11"/>
      <c r="K87" s="11"/>
      <c r="L87" s="11"/>
      <c r="M87" s="11"/>
      <c r="N87" s="11" t="n">
        <v>80</v>
      </c>
      <c r="O87" s="11"/>
      <c r="P87" s="11" t="n">
        <v>100</v>
      </c>
      <c r="Q87" s="11"/>
      <c r="R87" s="11"/>
      <c r="S87" s="11"/>
      <c r="T87" s="11"/>
      <c r="U87" s="11"/>
      <c r="V87" s="11"/>
    </row>
    <row r="88" customFormat="false" ht="15" hidden="false" customHeight="false" outlineLevel="0" collapsed="false">
      <c r="A88" s="7" t="n">
        <v>84</v>
      </c>
      <c r="B88" s="8" t="s">
        <v>160</v>
      </c>
      <c r="C88" s="7" t="s">
        <v>70</v>
      </c>
      <c r="D88" s="7" t="s">
        <v>66</v>
      </c>
      <c r="E88" s="7" t="s">
        <v>77</v>
      </c>
      <c r="F88" s="7" t="n">
        <v>15</v>
      </c>
      <c r="G88" s="9" t="n">
        <f aca="false">COUNT(H88:V88)</f>
        <v>4</v>
      </c>
      <c r="H88" s="11" t="n">
        <v>100</v>
      </c>
      <c r="I88" s="11"/>
      <c r="J88" s="11"/>
      <c r="K88" s="11"/>
      <c r="L88" s="11" t="n">
        <v>120</v>
      </c>
      <c r="M88" s="11"/>
      <c r="N88" s="11"/>
      <c r="O88" s="11"/>
      <c r="P88" s="11"/>
      <c r="Q88" s="11"/>
      <c r="R88" s="11" t="n">
        <v>90</v>
      </c>
      <c r="S88" s="11" t="n">
        <v>20</v>
      </c>
      <c r="T88" s="11"/>
      <c r="U88" s="11"/>
      <c r="V88" s="11"/>
    </row>
    <row r="89" customFormat="false" ht="15" hidden="false" customHeight="false" outlineLevel="0" collapsed="false">
      <c r="A89" s="7" t="n">
        <v>85</v>
      </c>
      <c r="B89" s="8" t="s">
        <v>161</v>
      </c>
      <c r="C89" s="7" t="s">
        <v>61</v>
      </c>
      <c r="D89" s="7"/>
      <c r="E89" s="7" t="s">
        <v>77</v>
      </c>
      <c r="F89" s="7" t="n">
        <v>18</v>
      </c>
      <c r="G89" s="9" t="n">
        <f aca="false">COUNT(H89:V89)</f>
        <v>4</v>
      </c>
      <c r="H89" s="11" t="n">
        <v>150</v>
      </c>
      <c r="I89" s="11"/>
      <c r="J89" s="11" t="n">
        <v>95</v>
      </c>
      <c r="K89" s="11"/>
      <c r="L89" s="11"/>
      <c r="M89" s="11" t="n">
        <v>120</v>
      </c>
      <c r="N89" s="11"/>
      <c r="O89" s="11"/>
      <c r="P89" s="11"/>
      <c r="Q89" s="11" t="n">
        <v>35</v>
      </c>
      <c r="R89" s="11"/>
      <c r="S89" s="11"/>
      <c r="T89" s="11"/>
      <c r="U89" s="11"/>
      <c r="V89" s="11"/>
    </row>
    <row r="90" customFormat="false" ht="15" hidden="false" customHeight="false" outlineLevel="0" collapsed="false">
      <c r="A90" s="7" t="n">
        <v>86</v>
      </c>
      <c r="B90" s="8" t="s">
        <v>162</v>
      </c>
      <c r="C90" s="7" t="s">
        <v>69</v>
      </c>
      <c r="D90" s="7"/>
      <c r="E90" s="7" t="s">
        <v>77</v>
      </c>
      <c r="F90" s="7" t="n">
        <v>26</v>
      </c>
      <c r="G90" s="9" t="n">
        <f aca="false">COUNT(H90:V90)</f>
        <v>3</v>
      </c>
      <c r="H90" s="11" t="n">
        <v>150</v>
      </c>
      <c r="I90" s="11"/>
      <c r="J90" s="11"/>
      <c r="K90" s="11"/>
      <c r="L90" s="11"/>
      <c r="M90" s="11"/>
      <c r="N90" s="11" t="n">
        <v>80</v>
      </c>
      <c r="O90" s="11"/>
      <c r="P90" s="11"/>
      <c r="Q90" s="11"/>
      <c r="R90" s="11" t="n">
        <v>90</v>
      </c>
      <c r="S90" s="11"/>
      <c r="T90" s="11"/>
      <c r="U90" s="11"/>
      <c r="V90" s="11"/>
    </row>
    <row r="91" customFormat="false" ht="15" hidden="false" customHeight="false" outlineLevel="0" collapsed="false">
      <c r="A91" s="7" t="n">
        <v>87</v>
      </c>
      <c r="B91" s="8" t="s">
        <v>163</v>
      </c>
      <c r="C91" s="7" t="s">
        <v>71</v>
      </c>
      <c r="D91" s="7" t="s">
        <v>68</v>
      </c>
      <c r="E91" s="7" t="s">
        <v>77</v>
      </c>
      <c r="F91" s="7" t="n">
        <v>18</v>
      </c>
      <c r="G91" s="9" t="n">
        <f aca="false">COUNT(H91:V91)</f>
        <v>3</v>
      </c>
      <c r="H91" s="11" t="n">
        <v>150</v>
      </c>
      <c r="I91" s="11" t="n">
        <v>120</v>
      </c>
      <c r="J91" s="11"/>
      <c r="K91" s="11"/>
      <c r="L91" s="11"/>
      <c r="M91" s="11"/>
      <c r="N91" s="11"/>
      <c r="O91" s="11"/>
      <c r="P91" s="11"/>
      <c r="Q91" s="11" t="n">
        <v>140</v>
      </c>
      <c r="R91" s="11"/>
      <c r="S91" s="11"/>
      <c r="T91" s="11"/>
      <c r="U91" s="11"/>
      <c r="V91" s="11"/>
    </row>
    <row r="92" customFormat="false" ht="15" hidden="false" customHeight="false" outlineLevel="0" collapsed="false">
      <c r="A92" s="7" t="n">
        <v>88</v>
      </c>
      <c r="B92" s="8" t="s">
        <v>164</v>
      </c>
      <c r="C92" s="7" t="s">
        <v>59</v>
      </c>
      <c r="D92" s="7"/>
      <c r="E92" s="7" t="s">
        <v>75</v>
      </c>
      <c r="F92" s="7" t="n">
        <v>18</v>
      </c>
      <c r="G92" s="9" t="n">
        <f aca="false">COUNT(H92:V92)</f>
        <v>3</v>
      </c>
      <c r="H92" s="10" t="n">
        <v>150</v>
      </c>
      <c r="I92" s="10"/>
      <c r="J92" s="10" t="n">
        <v>65</v>
      </c>
      <c r="K92" s="10" t="n">
        <v>120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customFormat="false" ht="15" hidden="false" customHeight="false" outlineLevel="0" collapsed="false">
      <c r="A93" s="7" t="n">
        <v>89</v>
      </c>
      <c r="B93" s="8" t="s">
        <v>165</v>
      </c>
      <c r="C93" s="7" t="s">
        <v>60</v>
      </c>
      <c r="D93" s="7"/>
      <c r="E93" s="7" t="s">
        <v>75</v>
      </c>
      <c r="F93" s="7" t="n">
        <v>15</v>
      </c>
      <c r="G93" s="9" t="n">
        <f aca="false">COUNT(H93:V93)</f>
        <v>3</v>
      </c>
      <c r="H93" s="10" t="n">
        <v>100</v>
      </c>
      <c r="I93" s="10" t="n">
        <v>120</v>
      </c>
      <c r="J93" s="10"/>
      <c r="K93" s="10"/>
      <c r="L93" s="10"/>
      <c r="M93" s="10"/>
      <c r="N93" s="10"/>
      <c r="O93" s="10"/>
      <c r="P93" s="10" t="n">
        <v>100</v>
      </c>
      <c r="Q93" s="10"/>
      <c r="R93" s="10"/>
      <c r="S93" s="10"/>
      <c r="T93" s="10"/>
      <c r="U93" s="10"/>
      <c r="V93" s="10"/>
    </row>
    <row r="94" customFormat="false" ht="15" hidden="false" customHeight="false" outlineLevel="0" collapsed="false">
      <c r="A94" s="7" t="n">
        <v>90</v>
      </c>
      <c r="B94" s="8" t="s">
        <v>166</v>
      </c>
      <c r="C94" s="7" t="s">
        <v>61</v>
      </c>
      <c r="D94" s="7" t="s">
        <v>64</v>
      </c>
      <c r="E94" s="7" t="s">
        <v>75</v>
      </c>
      <c r="F94" s="7" t="n">
        <v>21</v>
      </c>
      <c r="G94" s="9" t="n">
        <f aca="false">COUNT(H94:V94)</f>
        <v>3</v>
      </c>
      <c r="H94" s="10" t="n">
        <v>150</v>
      </c>
      <c r="I94" s="10"/>
      <c r="J94" s="10" t="n">
        <v>95</v>
      </c>
      <c r="K94" s="10"/>
      <c r="L94" s="10"/>
      <c r="M94" s="10" t="n">
        <v>120</v>
      </c>
      <c r="N94" s="10"/>
      <c r="O94" s="10"/>
      <c r="P94" s="10"/>
      <c r="Q94" s="10"/>
      <c r="R94" s="10"/>
      <c r="S94" s="10"/>
      <c r="T94" s="10"/>
      <c r="U94" s="10"/>
      <c r="V94" s="10"/>
    </row>
    <row r="95" customFormat="false" ht="15" hidden="false" customHeight="false" outlineLevel="0" collapsed="false">
      <c r="A95" s="7" t="n">
        <v>91</v>
      </c>
      <c r="B95" s="8" t="s">
        <v>167</v>
      </c>
      <c r="C95" s="7" t="s">
        <v>61</v>
      </c>
      <c r="D95" s="7"/>
      <c r="E95" s="7" t="s">
        <v>75</v>
      </c>
      <c r="F95" s="7" t="n">
        <v>16</v>
      </c>
      <c r="G95" s="9" t="n">
        <f aca="false">COUNT(H95:V95)</f>
        <v>3</v>
      </c>
      <c r="H95" s="10" t="n">
        <v>100</v>
      </c>
      <c r="I95" s="10"/>
      <c r="J95" s="10" t="n">
        <v>120</v>
      </c>
      <c r="K95" s="10"/>
      <c r="L95" s="10"/>
      <c r="M95" s="10" t="n">
        <v>120</v>
      </c>
      <c r="N95" s="10"/>
      <c r="O95" s="10"/>
      <c r="P95" s="10"/>
      <c r="Q95" s="10"/>
      <c r="R95" s="10"/>
      <c r="S95" s="10"/>
      <c r="T95" s="10"/>
      <c r="U95" s="10"/>
      <c r="V95" s="10"/>
    </row>
    <row r="96" customFormat="false" ht="15" hidden="false" customHeight="false" outlineLevel="0" collapsed="false">
      <c r="A96" s="7" t="n">
        <v>92</v>
      </c>
      <c r="B96" s="8" t="s">
        <v>168</v>
      </c>
      <c r="C96" s="7" t="s">
        <v>62</v>
      </c>
      <c r="D96" s="7"/>
      <c r="E96" s="7" t="s">
        <v>77</v>
      </c>
      <c r="F96" s="7" t="n">
        <v>23</v>
      </c>
      <c r="G96" s="9" t="n">
        <f aca="false">COUNT(H96:V96)</f>
        <v>3</v>
      </c>
      <c r="H96" s="11" t="n">
        <v>150</v>
      </c>
      <c r="I96" s="11"/>
      <c r="J96" s="11"/>
      <c r="K96" s="11" t="n">
        <v>120</v>
      </c>
      <c r="L96" s="11"/>
      <c r="M96" s="11"/>
      <c r="N96" s="11" t="n">
        <v>80</v>
      </c>
      <c r="O96" s="11"/>
      <c r="P96" s="11"/>
      <c r="Q96" s="11"/>
      <c r="R96" s="11"/>
      <c r="S96" s="11"/>
      <c r="T96" s="11"/>
      <c r="U96" s="11"/>
      <c r="V96" s="11"/>
    </row>
    <row r="97" customFormat="false" ht="15" hidden="false" customHeight="false" outlineLevel="0" collapsed="false">
      <c r="A97" s="7" t="n">
        <v>93</v>
      </c>
      <c r="B97" s="8" t="s">
        <v>169</v>
      </c>
      <c r="C97" s="7" t="s">
        <v>59</v>
      </c>
      <c r="D97" s="7"/>
      <c r="E97" s="7" t="s">
        <v>75</v>
      </c>
      <c r="F97" s="7" t="n">
        <v>17</v>
      </c>
      <c r="G97" s="9" t="n">
        <f aca="false">COUNT(H97:V97)</f>
        <v>3</v>
      </c>
      <c r="H97" s="10" t="n">
        <v>100</v>
      </c>
      <c r="I97" s="10"/>
      <c r="J97" s="10" t="n">
        <v>65</v>
      </c>
      <c r="K97" s="10" t="n">
        <v>120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customFormat="false" ht="15" hidden="false" customHeight="false" outlineLevel="0" collapsed="false">
      <c r="A98" s="7" t="n">
        <v>94</v>
      </c>
      <c r="B98" s="8" t="s">
        <v>170</v>
      </c>
      <c r="C98" s="7" t="s">
        <v>63</v>
      </c>
      <c r="D98" s="7" t="s">
        <v>69</v>
      </c>
      <c r="E98" s="7" t="s">
        <v>77</v>
      </c>
      <c r="F98" s="7" t="n">
        <v>20</v>
      </c>
      <c r="G98" s="9" t="n">
        <f aca="false">COUNT(H98:V98)</f>
        <v>3</v>
      </c>
      <c r="H98" s="11" t="n">
        <v>150</v>
      </c>
      <c r="I98" s="11"/>
      <c r="J98" s="11"/>
      <c r="K98" s="11"/>
      <c r="L98" s="11" t="n">
        <v>120</v>
      </c>
      <c r="M98" s="11"/>
      <c r="N98" s="11"/>
      <c r="O98" s="11"/>
      <c r="P98" s="11"/>
      <c r="Q98" s="11"/>
      <c r="R98" s="11" t="n">
        <v>90</v>
      </c>
      <c r="S98" s="11"/>
      <c r="T98" s="11"/>
      <c r="U98" s="11"/>
      <c r="V98" s="11"/>
    </row>
    <row r="99" customFormat="false" ht="15" hidden="false" customHeight="false" outlineLevel="0" collapsed="false">
      <c r="A99" s="7" t="n">
        <v>95</v>
      </c>
      <c r="B99" s="8" t="s">
        <v>171</v>
      </c>
      <c r="C99" s="7" t="s">
        <v>69</v>
      </c>
      <c r="D99" s="7"/>
      <c r="E99" s="7" t="s">
        <v>77</v>
      </c>
      <c r="F99" s="7" t="n">
        <v>25</v>
      </c>
      <c r="G99" s="9" t="n">
        <f aca="false">COUNT(H99:V99)</f>
        <v>3</v>
      </c>
      <c r="H99" s="11" t="n">
        <v>120</v>
      </c>
      <c r="I99" s="11"/>
      <c r="J99" s="11"/>
      <c r="K99" s="11"/>
      <c r="L99" s="11"/>
      <c r="M99" s="11"/>
      <c r="N99" s="11" t="n">
        <v>80</v>
      </c>
      <c r="O99" s="11"/>
      <c r="P99" s="11"/>
      <c r="Q99" s="11"/>
      <c r="R99" s="11" t="n">
        <v>90</v>
      </c>
      <c r="S99" s="11"/>
      <c r="T99" s="11"/>
      <c r="U99" s="11"/>
      <c r="V99" s="11"/>
    </row>
    <row r="100" customFormat="false" ht="15" hidden="false" customHeight="false" outlineLevel="0" collapsed="false">
      <c r="A100" s="7" t="n">
        <v>96</v>
      </c>
      <c r="B100" s="8" t="s">
        <v>172</v>
      </c>
      <c r="C100" s="7" t="s">
        <v>60</v>
      </c>
      <c r="D100" s="7"/>
      <c r="E100" s="7" t="s">
        <v>77</v>
      </c>
      <c r="F100" s="7" t="n">
        <v>18</v>
      </c>
      <c r="G100" s="9" t="n">
        <f aca="false">COUNT(H100:V100)</f>
        <v>3</v>
      </c>
      <c r="H100" s="11" t="n">
        <v>150</v>
      </c>
      <c r="I100" s="11" t="n">
        <v>120</v>
      </c>
      <c r="J100" s="11"/>
      <c r="K100" s="11"/>
      <c r="L100" s="11"/>
      <c r="M100" s="11"/>
      <c r="N100" s="11"/>
      <c r="O100" s="11"/>
      <c r="P100" s="11" t="n">
        <v>100</v>
      </c>
      <c r="Q100" s="11"/>
      <c r="R100" s="11"/>
      <c r="S100" s="11"/>
      <c r="T100" s="11"/>
      <c r="U100" s="11"/>
      <c r="V100" s="11"/>
    </row>
    <row r="101" customFormat="false" ht="15" hidden="false" customHeight="false" outlineLevel="0" collapsed="false">
      <c r="A101" s="7" t="n">
        <v>97</v>
      </c>
      <c r="B101" s="8" t="s">
        <v>173</v>
      </c>
      <c r="C101" s="7" t="s">
        <v>69</v>
      </c>
      <c r="D101" s="7"/>
      <c r="E101" s="7" t="s">
        <v>77</v>
      </c>
      <c r="F101" s="7" t="n">
        <v>24</v>
      </c>
      <c r="G101" s="9" t="n">
        <f aca="false">COUNT(H101:V101)</f>
        <v>3</v>
      </c>
      <c r="H101" s="11" t="n">
        <v>120</v>
      </c>
      <c r="I101" s="11"/>
      <c r="J101" s="11"/>
      <c r="K101" s="11"/>
      <c r="L101" s="11"/>
      <c r="M101" s="11"/>
      <c r="N101" s="11" t="n">
        <v>80</v>
      </c>
      <c r="O101" s="11"/>
      <c r="P101" s="11"/>
      <c r="Q101" s="11"/>
      <c r="R101" s="11" t="n">
        <v>90</v>
      </c>
      <c r="S101" s="11"/>
      <c r="T101" s="11"/>
      <c r="U101" s="11"/>
      <c r="V101" s="11"/>
    </row>
    <row r="102" customFormat="false" ht="15" hidden="false" customHeight="false" outlineLevel="0" collapsed="false">
      <c r="A102" s="7" t="n">
        <v>98</v>
      </c>
      <c r="B102" s="8" t="s">
        <v>174</v>
      </c>
      <c r="C102" s="7" t="s">
        <v>61</v>
      </c>
      <c r="D102" s="7"/>
      <c r="E102" s="7" t="s">
        <v>75</v>
      </c>
      <c r="F102" s="7" t="n">
        <v>17</v>
      </c>
      <c r="G102" s="9" t="n">
        <f aca="false">COUNT(H102:V102)</f>
        <v>3</v>
      </c>
      <c r="H102" s="10" t="n">
        <v>150</v>
      </c>
      <c r="I102" s="10"/>
      <c r="J102" s="10" t="n">
        <v>120</v>
      </c>
      <c r="K102" s="10"/>
      <c r="L102" s="10"/>
      <c r="M102" s="10" t="n">
        <v>120</v>
      </c>
      <c r="N102" s="10"/>
      <c r="O102" s="10"/>
      <c r="P102" s="10"/>
      <c r="Q102" s="10"/>
      <c r="R102" s="10"/>
      <c r="S102" s="10"/>
      <c r="T102" s="10"/>
      <c r="U102" s="10"/>
      <c r="V102" s="10"/>
    </row>
    <row r="103" customFormat="false" ht="15" hidden="false" customHeight="false" outlineLevel="0" collapsed="false">
      <c r="A103" s="7" t="n">
        <v>99</v>
      </c>
      <c r="B103" s="8" t="s">
        <v>175</v>
      </c>
      <c r="C103" s="7" t="s">
        <v>60</v>
      </c>
      <c r="D103" s="7"/>
      <c r="E103" s="7" t="s">
        <v>77</v>
      </c>
      <c r="F103" s="7" t="n">
        <v>16</v>
      </c>
      <c r="G103" s="9" t="n">
        <f aca="false">COUNT(H103:V103)</f>
        <v>3</v>
      </c>
      <c r="H103" s="11" t="n">
        <v>100</v>
      </c>
      <c r="I103" s="11" t="n">
        <v>120</v>
      </c>
      <c r="J103" s="11"/>
      <c r="K103" s="11"/>
      <c r="L103" s="11"/>
      <c r="M103" s="11"/>
      <c r="N103" s="11"/>
      <c r="O103" s="11"/>
      <c r="P103" s="11" t="n">
        <v>100</v>
      </c>
      <c r="Q103" s="11"/>
      <c r="R103" s="11"/>
      <c r="S103" s="11"/>
      <c r="T103" s="11"/>
      <c r="U103" s="11"/>
      <c r="V103" s="11"/>
    </row>
    <row r="104" customFormat="false" ht="15" hidden="false" customHeight="false" outlineLevel="0" collapsed="false">
      <c r="A104" s="7" t="n">
        <v>100</v>
      </c>
      <c r="B104" s="8" t="s">
        <v>176</v>
      </c>
      <c r="C104" s="7" t="s">
        <v>62</v>
      </c>
      <c r="D104" s="7"/>
      <c r="E104" s="7" t="s">
        <v>77</v>
      </c>
      <c r="F104" s="7" t="n">
        <v>22</v>
      </c>
      <c r="G104" s="9" t="n">
        <f aca="false">COUNT(H104:V104)</f>
        <v>3</v>
      </c>
      <c r="H104" s="11" t="n">
        <v>120</v>
      </c>
      <c r="I104" s="11"/>
      <c r="J104" s="11"/>
      <c r="K104" s="11" t="n">
        <v>120</v>
      </c>
      <c r="L104" s="11"/>
      <c r="M104" s="11"/>
      <c r="N104" s="11" t="n">
        <v>80</v>
      </c>
      <c r="O104" s="11"/>
      <c r="P104" s="11"/>
      <c r="Q104" s="11"/>
      <c r="R104" s="11"/>
      <c r="S104" s="11"/>
      <c r="T104" s="11"/>
      <c r="U104" s="11"/>
      <c r="V104" s="11"/>
    </row>
    <row r="105" customFormat="false" ht="15" hidden="false" customHeight="false" outlineLevel="0" collapsed="false">
      <c r="A105" s="7" t="n">
        <v>101</v>
      </c>
      <c r="B105" s="8" t="s">
        <v>177</v>
      </c>
      <c r="C105" s="7" t="s">
        <v>61</v>
      </c>
      <c r="D105" s="7"/>
      <c r="E105" s="7" t="s">
        <v>75</v>
      </c>
      <c r="F105" s="7" t="n">
        <v>20</v>
      </c>
      <c r="G105" s="9" t="n">
        <f aca="false">COUNT(H105:V105)</f>
        <v>3</v>
      </c>
      <c r="H105" s="10" t="n">
        <v>100</v>
      </c>
      <c r="I105" s="10"/>
      <c r="J105" s="10" t="n">
        <v>95</v>
      </c>
      <c r="K105" s="10"/>
      <c r="L105" s="10"/>
      <c r="M105" s="10" t="n">
        <v>120</v>
      </c>
      <c r="N105" s="10"/>
      <c r="O105" s="10"/>
      <c r="P105" s="10"/>
      <c r="Q105" s="10"/>
      <c r="R105" s="10"/>
      <c r="S105" s="10"/>
      <c r="T105" s="10"/>
      <c r="U105" s="10"/>
      <c r="V105" s="10"/>
    </row>
    <row r="106" customFormat="false" ht="15" hidden="false" customHeight="false" outlineLevel="0" collapsed="false">
      <c r="A106" s="7" t="n">
        <v>102</v>
      </c>
      <c r="B106" s="8" t="s">
        <v>178</v>
      </c>
      <c r="C106" s="7" t="s">
        <v>60</v>
      </c>
      <c r="D106" s="7" t="s">
        <v>68</v>
      </c>
      <c r="E106" s="7" t="s">
        <v>77</v>
      </c>
      <c r="F106" s="7" t="n">
        <v>17</v>
      </c>
      <c r="G106" s="9" t="n">
        <f aca="false">COUNT(H106:V106)</f>
        <v>3</v>
      </c>
      <c r="H106" s="11" t="n">
        <v>150</v>
      </c>
      <c r="I106" s="11" t="n">
        <v>120</v>
      </c>
      <c r="J106" s="11"/>
      <c r="K106" s="11"/>
      <c r="L106" s="11"/>
      <c r="M106" s="11"/>
      <c r="N106" s="11"/>
      <c r="O106" s="11"/>
      <c r="P106" s="11"/>
      <c r="Q106" s="11" t="n">
        <v>140</v>
      </c>
      <c r="R106" s="11"/>
      <c r="S106" s="11"/>
      <c r="T106" s="11"/>
      <c r="U106" s="11"/>
      <c r="V106" s="11"/>
    </row>
    <row r="107" customFormat="false" ht="15" hidden="false" customHeight="false" outlineLevel="0" collapsed="false">
      <c r="A107" s="7" t="n">
        <v>103</v>
      </c>
      <c r="B107" s="8" t="s">
        <v>179</v>
      </c>
      <c r="C107" s="7" t="s">
        <v>63</v>
      </c>
      <c r="D107" s="7" t="s">
        <v>66</v>
      </c>
      <c r="E107" s="7" t="s">
        <v>77</v>
      </c>
      <c r="F107" s="7" t="n">
        <v>16</v>
      </c>
      <c r="G107" s="9" t="n">
        <f aca="false">COUNT(H107:V107)</f>
        <v>3</v>
      </c>
      <c r="H107" s="11" t="n">
        <v>150</v>
      </c>
      <c r="I107" s="11"/>
      <c r="J107" s="11"/>
      <c r="K107" s="11"/>
      <c r="L107" s="11" t="n">
        <v>120</v>
      </c>
      <c r="M107" s="11"/>
      <c r="N107" s="11"/>
      <c r="O107" s="11" t="n">
        <v>40</v>
      </c>
      <c r="P107" s="11"/>
      <c r="Q107" s="11"/>
      <c r="R107" s="11"/>
      <c r="S107" s="11"/>
      <c r="T107" s="11"/>
      <c r="U107" s="11"/>
      <c r="V107" s="11"/>
    </row>
    <row r="108" customFormat="false" ht="15" hidden="false" customHeight="false" outlineLevel="0" collapsed="false">
      <c r="A108" s="7" t="n">
        <v>104</v>
      </c>
      <c r="B108" s="8" t="s">
        <v>180</v>
      </c>
      <c r="C108" s="7" t="s">
        <v>63</v>
      </c>
      <c r="D108" s="7" t="s">
        <v>66</v>
      </c>
      <c r="E108" s="7" t="s">
        <v>77</v>
      </c>
      <c r="F108" s="7" t="n">
        <v>14</v>
      </c>
      <c r="G108" s="9" t="n">
        <f aca="false">COUNT(H108:V108)</f>
        <v>3</v>
      </c>
      <c r="H108" s="11" t="n">
        <v>100</v>
      </c>
      <c r="I108" s="11"/>
      <c r="J108" s="11"/>
      <c r="K108" s="11"/>
      <c r="L108" s="11" t="n">
        <v>120</v>
      </c>
      <c r="M108" s="11"/>
      <c r="N108" s="11"/>
      <c r="O108" s="11" t="n">
        <v>40</v>
      </c>
      <c r="P108" s="11"/>
      <c r="Q108" s="11"/>
      <c r="R108" s="11"/>
      <c r="S108" s="11"/>
      <c r="T108" s="11"/>
      <c r="U108" s="11"/>
      <c r="V108" s="11"/>
    </row>
    <row r="109" customFormat="false" ht="15" hidden="false" customHeight="false" outlineLevel="0" collapsed="false">
      <c r="A109" s="7" t="n">
        <v>105</v>
      </c>
      <c r="B109" s="8" t="s">
        <v>181</v>
      </c>
      <c r="C109" s="7" t="s">
        <v>70</v>
      </c>
      <c r="D109" s="7" t="s">
        <v>68</v>
      </c>
      <c r="E109" s="7" t="s">
        <v>77</v>
      </c>
      <c r="F109" s="7" t="n">
        <v>20</v>
      </c>
      <c r="G109" s="9" t="n">
        <f aca="false">COUNT(H109:V109)</f>
        <v>3</v>
      </c>
      <c r="H109" s="11" t="n">
        <v>150</v>
      </c>
      <c r="I109" s="11"/>
      <c r="J109" s="11"/>
      <c r="K109" s="11"/>
      <c r="L109" s="11" t="n">
        <v>120</v>
      </c>
      <c r="M109" s="11"/>
      <c r="N109" s="11"/>
      <c r="O109" s="11"/>
      <c r="P109" s="11"/>
      <c r="Q109" s="11"/>
      <c r="R109" s="11" t="n">
        <v>90</v>
      </c>
      <c r="S109" s="11"/>
      <c r="T109" s="11"/>
      <c r="U109" s="11"/>
      <c r="V109" s="11"/>
    </row>
    <row r="110" customFormat="false" ht="15" hidden="false" customHeight="false" outlineLevel="0" collapsed="false">
      <c r="A110" s="7" t="n">
        <v>106</v>
      </c>
      <c r="B110" s="8" t="s">
        <v>182</v>
      </c>
      <c r="C110" s="7" t="s">
        <v>63</v>
      </c>
      <c r="D110" s="7" t="s">
        <v>69</v>
      </c>
      <c r="E110" s="7" t="s">
        <v>77</v>
      </c>
      <c r="F110" s="7" t="n">
        <v>16</v>
      </c>
      <c r="G110" s="9" t="n">
        <f aca="false">COUNT(H110:V110)</f>
        <v>3</v>
      </c>
      <c r="H110" s="11" t="n">
        <v>100</v>
      </c>
      <c r="I110" s="11"/>
      <c r="J110" s="11"/>
      <c r="K110" s="11"/>
      <c r="L110" s="11" t="n">
        <v>120</v>
      </c>
      <c r="M110" s="11"/>
      <c r="N110" s="11"/>
      <c r="O110" s="11"/>
      <c r="P110" s="11"/>
      <c r="Q110" s="11"/>
      <c r="R110" s="11" t="n">
        <v>90</v>
      </c>
      <c r="S110" s="11"/>
      <c r="T110" s="11"/>
      <c r="U110" s="11"/>
      <c r="V110" s="11"/>
    </row>
    <row r="111" customFormat="false" ht="15" hidden="false" customHeight="false" outlineLevel="0" collapsed="false">
      <c r="A111" s="7" t="n">
        <v>107</v>
      </c>
      <c r="B111" s="8" t="s">
        <v>183</v>
      </c>
      <c r="C111" s="7" t="s">
        <v>63</v>
      </c>
      <c r="D111" s="7" t="s">
        <v>66</v>
      </c>
      <c r="E111" s="7" t="s">
        <v>77</v>
      </c>
      <c r="F111" s="7" t="n">
        <v>16</v>
      </c>
      <c r="G111" s="9" t="n">
        <f aca="false">COUNT(H111:V111)</f>
        <v>3</v>
      </c>
      <c r="H111" s="11" t="n">
        <v>150</v>
      </c>
      <c r="I111" s="11"/>
      <c r="J111" s="11"/>
      <c r="K111" s="11"/>
      <c r="L111" s="11" t="n">
        <v>120</v>
      </c>
      <c r="M111" s="11"/>
      <c r="N111" s="11"/>
      <c r="O111" s="11" t="n">
        <v>40</v>
      </c>
      <c r="P111" s="11"/>
      <c r="Q111" s="11"/>
      <c r="R111" s="11"/>
      <c r="S111" s="11"/>
      <c r="T111" s="11"/>
      <c r="U111" s="11"/>
      <c r="V111" s="11"/>
    </row>
    <row r="112" customFormat="false" ht="15" hidden="false" customHeight="false" outlineLevel="0" collapsed="false">
      <c r="A112" s="7" t="n">
        <v>108</v>
      </c>
      <c r="B112" s="8" t="s">
        <v>184</v>
      </c>
      <c r="C112" s="7" t="s">
        <v>61</v>
      </c>
      <c r="D112" s="7"/>
      <c r="E112" s="7" t="s">
        <v>77</v>
      </c>
      <c r="F112" s="7" t="n">
        <v>19</v>
      </c>
      <c r="G112" s="9" t="n">
        <f aca="false">COUNT(H112:V112)</f>
        <v>3</v>
      </c>
      <c r="H112" s="11" t="n">
        <v>100</v>
      </c>
      <c r="I112" s="11"/>
      <c r="J112" s="11" t="n">
        <v>95</v>
      </c>
      <c r="K112" s="11"/>
      <c r="L112" s="11"/>
      <c r="M112" s="11" t="n">
        <v>120</v>
      </c>
      <c r="N112" s="11"/>
      <c r="O112" s="11"/>
      <c r="P112" s="11"/>
      <c r="Q112" s="11"/>
      <c r="R112" s="11"/>
      <c r="S112" s="11"/>
      <c r="T112" s="11"/>
      <c r="U112" s="11"/>
      <c r="V112" s="11"/>
    </row>
    <row r="113" customFormat="false" ht="15" hidden="false" customHeight="false" outlineLevel="0" collapsed="false">
      <c r="A113" s="7" t="n">
        <v>109</v>
      </c>
      <c r="B113" s="8" t="s">
        <v>185</v>
      </c>
      <c r="C113" s="7" t="s">
        <v>60</v>
      </c>
      <c r="D113" s="7"/>
      <c r="E113" s="7" t="s">
        <v>75</v>
      </c>
      <c r="F113" s="7" t="n">
        <v>16</v>
      </c>
      <c r="G113" s="9" t="n">
        <f aca="false">COUNT(H113:V113)</f>
        <v>3</v>
      </c>
      <c r="H113" s="10" t="n">
        <v>150</v>
      </c>
      <c r="I113" s="10" t="n">
        <v>120</v>
      </c>
      <c r="J113" s="10"/>
      <c r="K113" s="10"/>
      <c r="L113" s="10"/>
      <c r="M113" s="10"/>
      <c r="N113" s="10"/>
      <c r="O113" s="10"/>
      <c r="P113" s="10" t="n">
        <v>100</v>
      </c>
      <c r="Q113" s="10"/>
      <c r="R113" s="10"/>
      <c r="S113" s="10"/>
      <c r="T113" s="10"/>
      <c r="U113" s="10"/>
      <c r="V113" s="10"/>
    </row>
    <row r="114" customFormat="false" ht="15" hidden="false" customHeight="false" outlineLevel="0" collapsed="false">
      <c r="A114" s="7" t="n">
        <v>110</v>
      </c>
      <c r="B114" s="8" t="s">
        <v>186</v>
      </c>
      <c r="C114" s="7" t="s">
        <v>63</v>
      </c>
      <c r="D114" s="7" t="s">
        <v>66</v>
      </c>
      <c r="E114" s="7" t="s">
        <v>77</v>
      </c>
      <c r="F114" s="7" t="n">
        <v>14</v>
      </c>
      <c r="G114" s="9" t="n">
        <f aca="false">COUNT(H114:V114)</f>
        <v>3</v>
      </c>
      <c r="H114" s="11" t="n">
        <v>100</v>
      </c>
      <c r="I114" s="11"/>
      <c r="J114" s="11"/>
      <c r="K114" s="11"/>
      <c r="L114" s="11" t="n">
        <v>120</v>
      </c>
      <c r="M114" s="11"/>
      <c r="N114" s="11"/>
      <c r="O114" s="11" t="n">
        <v>40</v>
      </c>
      <c r="P114" s="11"/>
      <c r="Q114" s="11"/>
      <c r="R114" s="11"/>
      <c r="S114" s="11"/>
      <c r="T114" s="11"/>
      <c r="U114" s="11"/>
      <c r="V114" s="11"/>
    </row>
    <row r="115" customFormat="false" ht="15" hidden="false" customHeight="false" outlineLevel="0" collapsed="false">
      <c r="A115" s="7" t="n">
        <v>111</v>
      </c>
      <c r="B115" s="8" t="s">
        <v>187</v>
      </c>
      <c r="C115" s="7" t="s">
        <v>61</v>
      </c>
      <c r="D115" s="7" t="s">
        <v>64</v>
      </c>
      <c r="E115" s="7" t="s">
        <v>77</v>
      </c>
      <c r="F115" s="7" t="n">
        <v>20</v>
      </c>
      <c r="G115" s="9" t="n">
        <f aca="false">COUNT(H115:V115)</f>
        <v>3</v>
      </c>
      <c r="H115" s="11" t="n">
        <v>150</v>
      </c>
      <c r="I115" s="11"/>
      <c r="J115" s="11" t="n">
        <v>95</v>
      </c>
      <c r="K115" s="11"/>
      <c r="L115" s="11"/>
      <c r="M115" s="11" t="n">
        <v>120</v>
      </c>
      <c r="N115" s="11"/>
      <c r="O115" s="11"/>
      <c r="P115" s="11"/>
      <c r="Q115" s="11"/>
      <c r="R115" s="11"/>
      <c r="S115" s="11"/>
      <c r="T115" s="11"/>
      <c r="U115" s="11"/>
      <c r="V115" s="11"/>
    </row>
    <row r="116" customFormat="false" ht="15" hidden="false" customHeight="false" outlineLevel="0" collapsed="false">
      <c r="A116" s="7" t="n">
        <v>112</v>
      </c>
      <c r="B116" s="8" t="s">
        <v>188</v>
      </c>
      <c r="C116" s="7" t="s">
        <v>61</v>
      </c>
      <c r="D116" s="7"/>
      <c r="E116" s="7" t="s">
        <v>77</v>
      </c>
      <c r="F116" s="7" t="n">
        <v>19</v>
      </c>
      <c r="G116" s="9" t="n">
        <f aca="false">COUNT(H116:V116)</f>
        <v>3</v>
      </c>
      <c r="H116" s="11" t="n">
        <v>150</v>
      </c>
      <c r="I116" s="11"/>
      <c r="J116" s="11" t="n">
        <v>120</v>
      </c>
      <c r="K116" s="11"/>
      <c r="L116" s="11"/>
      <c r="M116" s="11" t="n">
        <v>120</v>
      </c>
      <c r="N116" s="11"/>
      <c r="O116" s="11"/>
      <c r="P116" s="11"/>
      <c r="Q116" s="11"/>
      <c r="R116" s="11"/>
      <c r="S116" s="11"/>
      <c r="T116" s="11"/>
      <c r="U116" s="11"/>
      <c r="V116" s="11"/>
    </row>
    <row r="117" customFormat="false" ht="15" hidden="false" customHeight="false" outlineLevel="0" collapsed="false">
      <c r="A117" s="7" t="n">
        <v>113</v>
      </c>
      <c r="B117" s="8" t="s">
        <v>189</v>
      </c>
      <c r="C117" s="7" t="s">
        <v>71</v>
      </c>
      <c r="D117" s="7" t="s">
        <v>61</v>
      </c>
      <c r="E117" s="7" t="s">
        <v>77</v>
      </c>
      <c r="F117" s="7" t="n">
        <v>16</v>
      </c>
      <c r="G117" s="9" t="n">
        <f aca="false">COUNT(H117:V117)</f>
        <v>3</v>
      </c>
      <c r="H117" s="11" t="n">
        <v>100</v>
      </c>
      <c r="I117" s="11"/>
      <c r="J117" s="11" t="n">
        <v>120</v>
      </c>
      <c r="K117" s="11"/>
      <c r="L117" s="11"/>
      <c r="M117" s="11" t="n">
        <v>120</v>
      </c>
      <c r="N117" s="11"/>
      <c r="O117" s="11"/>
      <c r="P117" s="11"/>
      <c r="Q117" s="11"/>
      <c r="R117" s="11"/>
      <c r="S117" s="11"/>
      <c r="T117" s="11"/>
      <c r="U117" s="11"/>
      <c r="V117" s="11"/>
    </row>
    <row r="118" customFormat="false" ht="15" hidden="false" customHeight="false" outlineLevel="0" collapsed="false">
      <c r="A118" s="7" t="n">
        <v>114</v>
      </c>
      <c r="B118" s="8" t="s">
        <v>190</v>
      </c>
      <c r="C118" s="7" t="s">
        <v>70</v>
      </c>
      <c r="D118" s="7" t="s">
        <v>66</v>
      </c>
      <c r="E118" s="7" t="s">
        <v>75</v>
      </c>
      <c r="F118" s="7" t="n">
        <v>16</v>
      </c>
      <c r="G118" s="9" t="n">
        <f aca="false">COUNT(H118:V118)</f>
        <v>3</v>
      </c>
      <c r="H118" s="10" t="n">
        <v>150</v>
      </c>
      <c r="I118" s="10"/>
      <c r="J118" s="10"/>
      <c r="K118" s="10"/>
      <c r="L118" s="10" t="n">
        <v>40</v>
      </c>
      <c r="M118" s="10"/>
      <c r="N118" s="10"/>
      <c r="O118" s="10"/>
      <c r="P118" s="10"/>
      <c r="Q118" s="10"/>
      <c r="R118" s="10"/>
      <c r="S118" s="10" t="n">
        <v>25</v>
      </c>
      <c r="T118" s="10"/>
      <c r="U118" s="10"/>
      <c r="V118" s="10"/>
    </row>
    <row r="119" customFormat="false" ht="15" hidden="false" customHeight="false" outlineLevel="0" collapsed="false">
      <c r="A119" s="7" t="n">
        <v>115</v>
      </c>
      <c r="B119" s="8" t="s">
        <v>191</v>
      </c>
      <c r="C119" s="7" t="s">
        <v>67</v>
      </c>
      <c r="D119" s="7"/>
      <c r="E119" s="7" t="s">
        <v>77</v>
      </c>
      <c r="F119" s="7" t="n">
        <v>16</v>
      </c>
      <c r="G119" s="9" t="n">
        <f aca="false">COUNT(H119:V119)</f>
        <v>3</v>
      </c>
      <c r="H119" s="11" t="n">
        <v>150</v>
      </c>
      <c r="I119" s="11"/>
      <c r="J119" s="11"/>
      <c r="K119" s="11"/>
      <c r="L119" s="11"/>
      <c r="M119" s="11"/>
      <c r="N119" s="11"/>
      <c r="O119" s="11"/>
      <c r="P119" s="11" t="n">
        <v>100</v>
      </c>
      <c r="Q119" s="11"/>
      <c r="R119" s="11"/>
      <c r="S119" s="11"/>
      <c r="T119" s="11" t="n">
        <v>75</v>
      </c>
      <c r="U119" s="11"/>
      <c r="V119" s="11"/>
    </row>
    <row r="120" customFormat="false" ht="15" hidden="false" customHeight="false" outlineLevel="0" collapsed="false">
      <c r="A120" s="7" t="n">
        <v>116</v>
      </c>
      <c r="B120" s="8" t="s">
        <v>192</v>
      </c>
      <c r="C120" s="7" t="s">
        <v>61</v>
      </c>
      <c r="D120" s="7"/>
      <c r="E120" s="7" t="s">
        <v>77</v>
      </c>
      <c r="F120" s="7" t="n">
        <v>19</v>
      </c>
      <c r="G120" s="9" t="n">
        <f aca="false">COUNT(H120:V120)</f>
        <v>3</v>
      </c>
      <c r="H120" s="11" t="n">
        <v>150</v>
      </c>
      <c r="I120" s="11"/>
      <c r="J120" s="11" t="n">
        <v>95</v>
      </c>
      <c r="K120" s="11"/>
      <c r="L120" s="11"/>
      <c r="M120" s="11" t="n">
        <v>120</v>
      </c>
      <c r="N120" s="11"/>
      <c r="O120" s="11"/>
      <c r="P120" s="11"/>
      <c r="Q120" s="11"/>
      <c r="R120" s="11"/>
      <c r="S120" s="11"/>
      <c r="T120" s="11"/>
      <c r="U120" s="11"/>
      <c r="V120" s="11"/>
    </row>
    <row r="121" customFormat="false" ht="15" hidden="false" customHeight="false" outlineLevel="0" collapsed="false">
      <c r="A121" s="7" t="n">
        <v>117</v>
      </c>
      <c r="B121" s="8" t="s">
        <v>193</v>
      </c>
      <c r="C121" s="7" t="s">
        <v>63</v>
      </c>
      <c r="D121" s="7" t="s">
        <v>66</v>
      </c>
      <c r="E121" s="7" t="s">
        <v>77</v>
      </c>
      <c r="F121" s="7" t="n">
        <v>14</v>
      </c>
      <c r="G121" s="9" t="n">
        <f aca="false">COUNT(H121:V121)</f>
        <v>3</v>
      </c>
      <c r="H121" s="11" t="n">
        <v>100</v>
      </c>
      <c r="I121" s="11"/>
      <c r="J121" s="11"/>
      <c r="K121" s="11"/>
      <c r="L121" s="11" t="n">
        <v>120</v>
      </c>
      <c r="M121" s="11"/>
      <c r="N121" s="11"/>
      <c r="O121" s="11" t="n">
        <v>40</v>
      </c>
      <c r="P121" s="11"/>
      <c r="Q121" s="11"/>
      <c r="R121" s="11"/>
      <c r="S121" s="11"/>
      <c r="T121" s="11"/>
      <c r="U121" s="11"/>
      <c r="V121" s="11"/>
    </row>
    <row r="122" customFormat="false" ht="15" hidden="false" customHeight="false" outlineLevel="0" collapsed="false">
      <c r="A122" s="7" t="n">
        <v>118</v>
      </c>
      <c r="B122" s="8" t="s">
        <v>194</v>
      </c>
      <c r="C122" s="7" t="s">
        <v>60</v>
      </c>
      <c r="D122" s="7"/>
      <c r="E122" s="7" t="s">
        <v>77</v>
      </c>
      <c r="F122" s="7" t="n">
        <v>15</v>
      </c>
      <c r="G122" s="9" t="n">
        <f aca="false">COUNT(H122:V122)</f>
        <v>3</v>
      </c>
      <c r="H122" s="11" t="n">
        <v>150</v>
      </c>
      <c r="I122" s="11" t="n">
        <v>120</v>
      </c>
      <c r="J122" s="11"/>
      <c r="K122" s="11"/>
      <c r="L122" s="11"/>
      <c r="M122" s="11"/>
      <c r="N122" s="11"/>
      <c r="O122" s="11" t="n">
        <v>20</v>
      </c>
      <c r="P122" s="11"/>
      <c r="Q122" s="11"/>
      <c r="R122" s="11"/>
      <c r="S122" s="11"/>
      <c r="T122" s="11"/>
      <c r="U122" s="11"/>
      <c r="V122" s="11"/>
    </row>
    <row r="123" customFormat="false" ht="15" hidden="false" customHeight="false" outlineLevel="0" collapsed="false">
      <c r="A123" s="7" t="n">
        <v>119</v>
      </c>
      <c r="B123" s="8" t="s">
        <v>195</v>
      </c>
      <c r="C123" s="7" t="s">
        <v>67</v>
      </c>
      <c r="D123" s="7"/>
      <c r="E123" s="7" t="s">
        <v>77</v>
      </c>
      <c r="F123" s="7" t="n">
        <v>15</v>
      </c>
      <c r="G123" s="9" t="n">
        <f aca="false">COUNT(H123:V123)</f>
        <v>3</v>
      </c>
      <c r="H123" s="11" t="n">
        <v>100</v>
      </c>
      <c r="I123" s="11"/>
      <c r="J123" s="11"/>
      <c r="K123" s="11"/>
      <c r="L123" s="11"/>
      <c r="M123" s="11"/>
      <c r="N123" s="11"/>
      <c r="O123" s="11"/>
      <c r="P123" s="11" t="n">
        <v>100</v>
      </c>
      <c r="Q123" s="11"/>
      <c r="R123" s="11"/>
      <c r="S123" s="11"/>
      <c r="T123" s="11" t="n">
        <v>75</v>
      </c>
      <c r="U123" s="11"/>
      <c r="V123" s="11"/>
    </row>
    <row r="124" customFormat="false" ht="15" hidden="false" customHeight="false" outlineLevel="0" collapsed="false">
      <c r="A124" s="7" t="n">
        <v>120</v>
      </c>
      <c r="B124" s="8" t="s">
        <v>196</v>
      </c>
      <c r="C124" s="7" t="s">
        <v>71</v>
      </c>
      <c r="D124" s="7" t="s">
        <v>67</v>
      </c>
      <c r="E124" s="7" t="s">
        <v>77</v>
      </c>
      <c r="F124" s="7" t="n">
        <v>18</v>
      </c>
      <c r="G124" s="9" t="n">
        <f aca="false">COUNT(H124:V124)</f>
        <v>3</v>
      </c>
      <c r="H124" s="11" t="n">
        <v>100</v>
      </c>
      <c r="I124" s="11"/>
      <c r="J124" s="11"/>
      <c r="K124" s="11"/>
      <c r="L124" s="11"/>
      <c r="M124" s="11"/>
      <c r="N124" s="11"/>
      <c r="O124" s="11"/>
      <c r="P124" s="11" t="n">
        <v>100</v>
      </c>
      <c r="Q124" s="11"/>
      <c r="R124" s="11"/>
      <c r="S124" s="11"/>
      <c r="T124" s="11" t="n">
        <v>75</v>
      </c>
      <c r="U124" s="11"/>
      <c r="V124" s="11"/>
    </row>
    <row r="125" customFormat="false" ht="15" hidden="false" customHeight="false" outlineLevel="0" collapsed="false">
      <c r="A125" s="7" t="n">
        <v>121</v>
      </c>
      <c r="B125" s="8" t="s">
        <v>197</v>
      </c>
      <c r="C125" s="7" t="s">
        <v>61</v>
      </c>
      <c r="D125" s="7"/>
      <c r="E125" s="7" t="s">
        <v>77</v>
      </c>
      <c r="F125" s="7" t="n">
        <v>18</v>
      </c>
      <c r="G125" s="9" t="n">
        <f aca="false">COUNT(H125:V125)</f>
        <v>3</v>
      </c>
      <c r="H125" s="11" t="n">
        <v>100</v>
      </c>
      <c r="I125" s="11"/>
      <c r="J125" s="11" t="n">
        <v>95</v>
      </c>
      <c r="K125" s="11"/>
      <c r="L125" s="11"/>
      <c r="M125" s="11" t="n">
        <v>120</v>
      </c>
      <c r="N125" s="11"/>
      <c r="O125" s="11"/>
      <c r="P125" s="11"/>
      <c r="Q125" s="11"/>
      <c r="R125" s="11"/>
      <c r="S125" s="11"/>
      <c r="T125" s="11"/>
      <c r="U125" s="11"/>
      <c r="V125" s="11"/>
    </row>
    <row r="126" customFormat="false" ht="15" hidden="false" customHeight="false" outlineLevel="0" collapsed="false">
      <c r="A126" s="7" t="n">
        <v>122</v>
      </c>
      <c r="B126" s="8" t="s">
        <v>198</v>
      </c>
      <c r="C126" s="7" t="s">
        <v>63</v>
      </c>
      <c r="D126" s="7" t="s">
        <v>66</v>
      </c>
      <c r="E126" s="7" t="s">
        <v>77</v>
      </c>
      <c r="F126" s="7" t="n">
        <v>14</v>
      </c>
      <c r="G126" s="9" t="n">
        <f aca="false">COUNT(H126:V126)</f>
        <v>3</v>
      </c>
      <c r="H126" s="11" t="n">
        <v>100</v>
      </c>
      <c r="I126" s="11"/>
      <c r="J126" s="11"/>
      <c r="K126" s="11"/>
      <c r="L126" s="11" t="n">
        <v>120</v>
      </c>
      <c r="M126" s="11"/>
      <c r="N126" s="11"/>
      <c r="O126" s="11" t="n">
        <v>40</v>
      </c>
      <c r="P126" s="11"/>
      <c r="Q126" s="11"/>
      <c r="R126" s="11"/>
      <c r="S126" s="11"/>
      <c r="T126" s="11"/>
      <c r="U126" s="11"/>
      <c r="V126" s="11"/>
    </row>
    <row r="127" customFormat="false" ht="15" hidden="false" customHeight="false" outlineLevel="0" collapsed="false">
      <c r="A127" s="7" t="n">
        <v>123</v>
      </c>
      <c r="B127" s="8" t="s">
        <v>199</v>
      </c>
      <c r="C127" s="7" t="s">
        <v>62</v>
      </c>
      <c r="D127" s="7" t="s">
        <v>68</v>
      </c>
      <c r="E127" s="7" t="s">
        <v>77</v>
      </c>
      <c r="F127" s="7" t="n">
        <v>20</v>
      </c>
      <c r="G127" s="9" t="n">
        <f aca="false">COUNT(H127:V127)</f>
        <v>3</v>
      </c>
      <c r="H127" s="11" t="n">
        <v>150</v>
      </c>
      <c r="I127" s="11"/>
      <c r="J127" s="11"/>
      <c r="K127" s="11" t="n">
        <v>120</v>
      </c>
      <c r="L127" s="11"/>
      <c r="M127" s="11"/>
      <c r="N127" s="11"/>
      <c r="O127" s="11"/>
      <c r="P127" s="11"/>
      <c r="Q127" s="11" t="n">
        <v>140</v>
      </c>
      <c r="R127" s="11"/>
      <c r="S127" s="11"/>
      <c r="T127" s="11"/>
      <c r="U127" s="11"/>
      <c r="V127" s="11"/>
    </row>
    <row r="128" customFormat="false" ht="15" hidden="false" customHeight="false" outlineLevel="0" collapsed="false">
      <c r="A128" s="7" t="n">
        <v>124</v>
      </c>
      <c r="B128" s="8" t="s">
        <v>200</v>
      </c>
      <c r="C128" s="7" t="s">
        <v>59</v>
      </c>
      <c r="D128" s="7" t="s">
        <v>68</v>
      </c>
      <c r="E128" s="7" t="s">
        <v>77</v>
      </c>
      <c r="F128" s="7" t="n">
        <v>16</v>
      </c>
      <c r="G128" s="9" t="n">
        <f aca="false">COUNT(H128:V128)</f>
        <v>2</v>
      </c>
      <c r="H128" s="11" t="n">
        <v>100</v>
      </c>
      <c r="I128" s="11"/>
      <c r="J128" s="11"/>
      <c r="K128" s="11"/>
      <c r="L128" s="11"/>
      <c r="M128" s="11"/>
      <c r="N128" s="11"/>
      <c r="O128" s="11"/>
      <c r="P128" s="11"/>
      <c r="Q128" s="11" t="n">
        <v>140</v>
      </c>
      <c r="R128" s="11"/>
      <c r="S128" s="11"/>
      <c r="T128" s="11"/>
      <c r="U128" s="11"/>
      <c r="V128" s="11"/>
    </row>
    <row r="129" customFormat="false" ht="15" hidden="false" customHeight="false" outlineLevel="0" collapsed="false">
      <c r="A129" s="7" t="n">
        <v>125</v>
      </c>
      <c r="B129" s="8" t="s">
        <v>201</v>
      </c>
      <c r="C129" s="7" t="s">
        <v>63</v>
      </c>
      <c r="D129" s="7" t="s">
        <v>66</v>
      </c>
      <c r="E129" s="7" t="s">
        <v>77</v>
      </c>
      <c r="F129" s="7" t="n">
        <v>16</v>
      </c>
      <c r="G129" s="9" t="n">
        <f aca="false">COUNT(H129:V129)</f>
        <v>2</v>
      </c>
      <c r="H129" s="11" t="n">
        <v>150</v>
      </c>
      <c r="I129" s="11"/>
      <c r="J129" s="11"/>
      <c r="K129" s="11"/>
      <c r="L129" s="11" t="n">
        <v>120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customFormat="false" ht="15" hidden="false" customHeight="false" outlineLevel="0" collapsed="false">
      <c r="A130" s="7" t="n">
        <v>126</v>
      </c>
      <c r="B130" s="8" t="s">
        <v>202</v>
      </c>
      <c r="C130" s="7" t="s">
        <v>59</v>
      </c>
      <c r="D130" s="7" t="s">
        <v>68</v>
      </c>
      <c r="E130" s="7" t="s">
        <v>77</v>
      </c>
      <c r="F130" s="7" t="n">
        <v>16</v>
      </c>
      <c r="G130" s="9" t="n">
        <f aca="false">COUNT(H130:V130)</f>
        <v>2</v>
      </c>
      <c r="H130" s="11" t="n">
        <v>150</v>
      </c>
      <c r="I130" s="11"/>
      <c r="J130" s="11"/>
      <c r="K130" s="11"/>
      <c r="L130" s="11"/>
      <c r="M130" s="11"/>
      <c r="N130" s="11"/>
      <c r="O130" s="11"/>
      <c r="P130" s="11"/>
      <c r="Q130" s="11" t="n">
        <v>140</v>
      </c>
      <c r="R130" s="11"/>
      <c r="S130" s="11"/>
      <c r="T130" s="11"/>
      <c r="U130" s="11"/>
      <c r="V130" s="11"/>
    </row>
    <row r="131" customFormat="false" ht="15" hidden="false" customHeight="false" outlineLevel="0" collapsed="false">
      <c r="A131" s="7" t="n">
        <v>127</v>
      </c>
      <c r="B131" s="8" t="s">
        <v>203</v>
      </c>
      <c r="C131" s="7" t="s">
        <v>59</v>
      </c>
      <c r="D131" s="7" t="s">
        <v>68</v>
      </c>
      <c r="E131" s="7" t="s">
        <v>77</v>
      </c>
      <c r="F131" s="7" t="n">
        <v>14</v>
      </c>
      <c r="G131" s="9" t="n">
        <f aca="false">COUNT(H131:V131)</f>
        <v>2</v>
      </c>
      <c r="H131" s="11" t="n">
        <v>100</v>
      </c>
      <c r="I131" s="11"/>
      <c r="J131" s="11"/>
      <c r="K131" s="11"/>
      <c r="L131" s="11"/>
      <c r="M131" s="11"/>
      <c r="N131" s="11"/>
      <c r="O131" s="11"/>
      <c r="P131" s="11"/>
      <c r="Q131" s="11" t="n">
        <v>140</v>
      </c>
      <c r="R131" s="11"/>
      <c r="S131" s="11"/>
      <c r="T131" s="11"/>
      <c r="U131" s="11"/>
      <c r="V131" s="11"/>
    </row>
    <row r="132" customFormat="false" ht="15" hidden="false" customHeight="false" outlineLevel="0" collapsed="false">
      <c r="A132" s="7" t="n">
        <v>128</v>
      </c>
      <c r="B132" s="8" t="s">
        <v>204</v>
      </c>
      <c r="C132" s="7" t="s">
        <v>70</v>
      </c>
      <c r="D132" s="7" t="s">
        <v>68</v>
      </c>
      <c r="E132" s="7" t="s">
        <v>77</v>
      </c>
      <c r="F132" s="7" t="n">
        <v>14</v>
      </c>
      <c r="G132" s="9" t="n">
        <f aca="false">COUNT(H132:V132)</f>
        <v>2</v>
      </c>
      <c r="H132" s="11" t="n">
        <v>150</v>
      </c>
      <c r="I132" s="11"/>
      <c r="J132" s="11"/>
      <c r="K132" s="11"/>
      <c r="L132" s="11"/>
      <c r="M132" s="11"/>
      <c r="N132" s="11"/>
      <c r="O132" s="11"/>
      <c r="P132" s="11"/>
      <c r="Q132" s="11" t="n">
        <v>35</v>
      </c>
      <c r="R132" s="11"/>
      <c r="S132" s="11"/>
      <c r="T132" s="11"/>
      <c r="U132" s="11"/>
      <c r="V132" s="11"/>
    </row>
    <row r="133" customFormat="false" ht="15" hidden="false" customHeight="false" outlineLevel="0" collapsed="false">
      <c r="A133" s="7" t="n">
        <v>129</v>
      </c>
      <c r="B133" s="8" t="s">
        <v>205</v>
      </c>
      <c r="C133" s="7" t="s">
        <v>62</v>
      </c>
      <c r="D133" s="7"/>
      <c r="E133" s="7" t="s">
        <v>77</v>
      </c>
      <c r="F133" s="7" t="n">
        <v>19</v>
      </c>
      <c r="G133" s="9" t="n">
        <f aca="false">COUNT(H133:V133)</f>
        <v>2</v>
      </c>
      <c r="H133" s="11" t="n">
        <v>150</v>
      </c>
      <c r="I133" s="11"/>
      <c r="J133" s="11"/>
      <c r="K133" s="11" t="n">
        <v>120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customFormat="false" ht="15" hidden="false" customHeight="false" outlineLevel="0" collapsed="false">
      <c r="A134" s="7" t="n">
        <v>130</v>
      </c>
      <c r="B134" s="8" t="s">
        <v>206</v>
      </c>
      <c r="C134" s="7" t="s">
        <v>60</v>
      </c>
      <c r="D134" s="7"/>
      <c r="E134" s="7" t="s">
        <v>77</v>
      </c>
      <c r="F134" s="7" t="n">
        <v>16</v>
      </c>
      <c r="G134" s="9" t="n">
        <f aca="false">COUNT(H134:V134)</f>
        <v>2</v>
      </c>
      <c r="H134" s="11" t="n">
        <v>150</v>
      </c>
      <c r="I134" s="11" t="n">
        <v>120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customFormat="false" ht="15" hidden="false" customHeight="false" outlineLevel="0" collapsed="false">
      <c r="A135" s="7" t="n">
        <v>131</v>
      </c>
      <c r="B135" s="8" t="s">
        <v>207</v>
      </c>
      <c r="C135" s="7" t="s">
        <v>65</v>
      </c>
      <c r="D135" s="7"/>
      <c r="E135" s="7" t="s">
        <v>77</v>
      </c>
      <c r="F135" s="7" t="n">
        <v>19</v>
      </c>
      <c r="G135" s="9" t="n">
        <f aca="false">COUNT(H135:V135)</f>
        <v>2</v>
      </c>
      <c r="H135" s="11" t="n">
        <v>120</v>
      </c>
      <c r="I135" s="11"/>
      <c r="J135" s="11"/>
      <c r="K135" s="11"/>
      <c r="L135" s="11"/>
      <c r="M135" s="11"/>
      <c r="N135" s="11" t="n">
        <v>85</v>
      </c>
      <c r="O135" s="11"/>
      <c r="P135" s="11"/>
      <c r="Q135" s="11"/>
      <c r="R135" s="11"/>
      <c r="S135" s="11"/>
      <c r="T135" s="11"/>
      <c r="U135" s="11"/>
      <c r="V135" s="11"/>
    </row>
    <row r="136" customFormat="false" ht="15" hidden="false" customHeight="false" outlineLevel="0" collapsed="false">
      <c r="A136" s="7" t="n">
        <v>132</v>
      </c>
      <c r="B136" s="8" t="s">
        <v>208</v>
      </c>
      <c r="C136" s="7" t="s">
        <v>63</v>
      </c>
      <c r="D136" s="7" t="s">
        <v>66</v>
      </c>
      <c r="E136" s="7" t="s">
        <v>77</v>
      </c>
      <c r="F136" s="7" t="n">
        <v>15</v>
      </c>
      <c r="G136" s="9" t="n">
        <f aca="false">COUNT(H136:V136)</f>
        <v>2</v>
      </c>
      <c r="H136" s="11" t="n">
        <v>100</v>
      </c>
      <c r="I136" s="11"/>
      <c r="J136" s="11"/>
      <c r="K136" s="11"/>
      <c r="L136" s="11" t="n">
        <v>120</v>
      </c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customFormat="false" ht="15" hidden="false" customHeight="false" outlineLevel="0" collapsed="false">
      <c r="A137" s="7" t="n">
        <v>133</v>
      </c>
      <c r="B137" s="8" t="s">
        <v>209</v>
      </c>
      <c r="C137" s="7" t="s">
        <v>59</v>
      </c>
      <c r="D137" s="7" t="s">
        <v>68</v>
      </c>
      <c r="E137" s="7" t="s">
        <v>77</v>
      </c>
      <c r="F137" s="7" t="n">
        <v>15</v>
      </c>
      <c r="G137" s="9" t="n">
        <f aca="false">COUNT(H137:V137)</f>
        <v>2</v>
      </c>
      <c r="H137" s="11" t="n">
        <v>150</v>
      </c>
      <c r="I137" s="11"/>
      <c r="J137" s="11"/>
      <c r="K137" s="11"/>
      <c r="L137" s="11"/>
      <c r="M137" s="11"/>
      <c r="N137" s="11"/>
      <c r="O137" s="11"/>
      <c r="P137" s="11"/>
      <c r="Q137" s="11" t="n">
        <v>140</v>
      </c>
      <c r="R137" s="11"/>
      <c r="S137" s="11"/>
      <c r="T137" s="11"/>
      <c r="U137" s="11"/>
      <c r="V137" s="11"/>
    </row>
    <row r="138" customFormat="false" ht="15" hidden="false" customHeight="false" outlineLevel="0" collapsed="false">
      <c r="A138" s="7" t="n">
        <v>134</v>
      </c>
      <c r="B138" s="8" t="s">
        <v>210</v>
      </c>
      <c r="C138" s="7" t="s">
        <v>60</v>
      </c>
      <c r="D138" s="7"/>
      <c r="E138" s="7" t="s">
        <v>77</v>
      </c>
      <c r="F138" s="7" t="n">
        <v>15</v>
      </c>
      <c r="G138" s="9" t="n">
        <f aca="false">COUNT(H138:V138)</f>
        <v>2</v>
      </c>
      <c r="H138" s="11" t="n">
        <v>100</v>
      </c>
      <c r="I138" s="11" t="n">
        <v>120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customFormat="false" ht="15" hidden="false" customHeight="false" outlineLevel="0" collapsed="false">
      <c r="A139" s="7" t="n">
        <v>135</v>
      </c>
      <c r="B139" s="8" t="s">
        <v>211</v>
      </c>
      <c r="C139" s="7" t="s">
        <v>70</v>
      </c>
      <c r="D139" s="7"/>
      <c r="E139" s="7" t="s">
        <v>77</v>
      </c>
      <c r="F139" s="7" t="n">
        <v>16</v>
      </c>
      <c r="G139" s="9" t="n">
        <f aca="false">COUNT(H139:V139)</f>
        <v>2</v>
      </c>
      <c r="H139" s="11" t="n">
        <v>150</v>
      </c>
      <c r="I139" s="11"/>
      <c r="J139" s="11"/>
      <c r="K139" s="11"/>
      <c r="L139" s="11"/>
      <c r="M139" s="11"/>
      <c r="N139" s="11" t="n">
        <v>80</v>
      </c>
      <c r="O139" s="11"/>
      <c r="P139" s="11"/>
      <c r="Q139" s="11"/>
      <c r="R139" s="11"/>
      <c r="S139" s="11"/>
      <c r="T139" s="11"/>
      <c r="U139" s="11"/>
      <c r="V139" s="11"/>
    </row>
    <row r="140" customFormat="false" ht="15" hidden="false" customHeight="false" outlineLevel="0" collapsed="false">
      <c r="A140" s="7" t="n">
        <v>136</v>
      </c>
      <c r="B140" s="8" t="s">
        <v>212</v>
      </c>
      <c r="C140" s="7" t="s">
        <v>59</v>
      </c>
      <c r="D140" s="7" t="s">
        <v>68</v>
      </c>
      <c r="E140" s="7" t="s">
        <v>77</v>
      </c>
      <c r="F140" s="7" t="n">
        <v>17</v>
      </c>
      <c r="G140" s="9" t="n">
        <f aca="false">COUNT(H140:V140)</f>
        <v>2</v>
      </c>
      <c r="H140" s="11" t="n">
        <v>150</v>
      </c>
      <c r="I140" s="11"/>
      <c r="J140" s="11"/>
      <c r="K140" s="11"/>
      <c r="L140" s="11"/>
      <c r="M140" s="11"/>
      <c r="N140" s="11"/>
      <c r="O140" s="11"/>
      <c r="P140" s="11"/>
      <c r="Q140" s="11" t="n">
        <v>140</v>
      </c>
      <c r="R140" s="11"/>
      <c r="S140" s="11"/>
      <c r="T140" s="11"/>
      <c r="U140" s="11"/>
      <c r="V140" s="11"/>
    </row>
    <row r="141" customFormat="false" ht="15" hidden="false" customHeight="false" outlineLevel="0" collapsed="false">
      <c r="A141" s="7" t="n">
        <v>137</v>
      </c>
      <c r="B141" s="8" t="s">
        <v>213</v>
      </c>
      <c r="C141" s="7" t="s">
        <v>62</v>
      </c>
      <c r="D141" s="7"/>
      <c r="E141" s="7" t="s">
        <v>77</v>
      </c>
      <c r="F141" s="7" t="n">
        <v>17</v>
      </c>
      <c r="G141" s="9" t="n">
        <f aca="false">COUNT(H141:V141)</f>
        <v>2</v>
      </c>
      <c r="H141" s="11" t="n">
        <v>150</v>
      </c>
      <c r="I141" s="11"/>
      <c r="J141" s="11"/>
      <c r="K141" s="11" t="n">
        <v>120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customFormat="false" ht="15" hidden="false" customHeight="false" outlineLevel="0" collapsed="false">
      <c r="A142" s="7" t="n">
        <v>138</v>
      </c>
      <c r="B142" s="8" t="s">
        <v>214</v>
      </c>
      <c r="C142" s="7" t="s">
        <v>59</v>
      </c>
      <c r="D142" s="7" t="s">
        <v>68</v>
      </c>
      <c r="E142" s="7" t="s">
        <v>77</v>
      </c>
      <c r="F142" s="7" t="n">
        <v>15</v>
      </c>
      <c r="G142" s="9" t="n">
        <f aca="false">COUNT(H142:V142)</f>
        <v>2</v>
      </c>
      <c r="H142" s="11" t="n">
        <v>100</v>
      </c>
      <c r="I142" s="11"/>
      <c r="J142" s="11"/>
      <c r="K142" s="11"/>
      <c r="L142" s="11"/>
      <c r="M142" s="11"/>
      <c r="N142" s="11"/>
      <c r="O142" s="11"/>
      <c r="P142" s="11"/>
      <c r="Q142" s="11" t="n">
        <v>140</v>
      </c>
      <c r="R142" s="11"/>
      <c r="S142" s="11"/>
      <c r="T142" s="11"/>
      <c r="U142" s="11"/>
      <c r="V142" s="11"/>
    </row>
    <row r="143" customFormat="false" ht="15" hidden="false" customHeight="false" outlineLevel="0" collapsed="false">
      <c r="A143" s="7" t="n">
        <v>139</v>
      </c>
      <c r="B143" s="8" t="s">
        <v>215</v>
      </c>
      <c r="C143" s="7" t="s">
        <v>63</v>
      </c>
      <c r="D143" s="7"/>
      <c r="E143" s="7" t="s">
        <v>77</v>
      </c>
      <c r="F143" s="7" t="n">
        <v>16</v>
      </c>
      <c r="G143" s="9" t="n">
        <f aca="false">COUNT(H143:V143)</f>
        <v>2</v>
      </c>
      <c r="H143" s="11" t="n">
        <v>150</v>
      </c>
      <c r="I143" s="11"/>
      <c r="J143" s="11"/>
      <c r="K143" s="11"/>
      <c r="L143" s="11" t="n">
        <v>120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customFormat="false" ht="15" hidden="false" customHeight="false" outlineLevel="0" collapsed="false">
      <c r="A144" s="7" t="n">
        <v>140</v>
      </c>
      <c r="B144" s="8" t="s">
        <v>216</v>
      </c>
      <c r="C144" s="7" t="s">
        <v>59</v>
      </c>
      <c r="D144" s="7" t="s">
        <v>68</v>
      </c>
      <c r="E144" s="7" t="s">
        <v>77</v>
      </c>
      <c r="F144" s="7" t="n">
        <v>18</v>
      </c>
      <c r="G144" s="9" t="n">
        <f aca="false">COUNT(H144:V144)</f>
        <v>2</v>
      </c>
      <c r="H144" s="11" t="n">
        <v>100</v>
      </c>
      <c r="I144" s="11"/>
      <c r="J144" s="11"/>
      <c r="K144" s="11"/>
      <c r="L144" s="11"/>
      <c r="M144" s="11"/>
      <c r="N144" s="11"/>
      <c r="O144" s="11"/>
      <c r="P144" s="11"/>
      <c r="Q144" s="11" t="n">
        <v>70</v>
      </c>
      <c r="R144" s="11"/>
      <c r="S144" s="11"/>
      <c r="T144" s="11"/>
      <c r="U144" s="11"/>
      <c r="V144" s="11"/>
    </row>
    <row r="145" customFormat="false" ht="15" hidden="false" customHeight="false" outlineLevel="0" collapsed="false">
      <c r="A145" s="7" t="n">
        <v>141</v>
      </c>
      <c r="B145" s="8" t="s">
        <v>217</v>
      </c>
      <c r="C145" s="7" t="s">
        <v>62</v>
      </c>
      <c r="D145" s="7"/>
      <c r="E145" s="7" t="s">
        <v>77</v>
      </c>
      <c r="F145" s="7" t="n">
        <v>16</v>
      </c>
      <c r="G145" s="9" t="n">
        <f aca="false">COUNT(H145:V145)</f>
        <v>2</v>
      </c>
      <c r="H145" s="11" t="n">
        <v>100</v>
      </c>
      <c r="I145" s="11"/>
      <c r="J145" s="11"/>
      <c r="K145" s="11" t="n">
        <v>120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customFormat="false" ht="15" hidden="false" customHeight="false" outlineLevel="0" collapsed="false">
      <c r="A146" s="7" t="n">
        <v>142</v>
      </c>
      <c r="B146" s="8" t="s">
        <v>218</v>
      </c>
      <c r="C146" s="7" t="s">
        <v>59</v>
      </c>
      <c r="D146" s="7" t="s">
        <v>68</v>
      </c>
      <c r="E146" s="7" t="s">
        <v>77</v>
      </c>
      <c r="F146" s="7" t="n">
        <v>15</v>
      </c>
      <c r="G146" s="9" t="n">
        <f aca="false">COUNT(H146:V146)</f>
        <v>2</v>
      </c>
      <c r="H146" s="11" t="n">
        <v>100</v>
      </c>
      <c r="I146" s="11"/>
      <c r="J146" s="11"/>
      <c r="K146" s="11"/>
      <c r="L146" s="11"/>
      <c r="M146" s="11"/>
      <c r="N146" s="11"/>
      <c r="O146" s="11"/>
      <c r="P146" s="11"/>
      <c r="Q146" s="11" t="n">
        <v>140</v>
      </c>
      <c r="R146" s="11"/>
      <c r="S146" s="11"/>
      <c r="T146" s="11"/>
      <c r="U146" s="11"/>
      <c r="V146" s="11"/>
    </row>
    <row r="147" customFormat="false" ht="15" hidden="false" customHeight="false" outlineLevel="0" collapsed="false">
      <c r="A147" s="7" t="n">
        <v>143</v>
      </c>
      <c r="B147" s="8" t="s">
        <v>219</v>
      </c>
      <c r="C147" s="7" t="s">
        <v>63</v>
      </c>
      <c r="D147" s="7" t="s">
        <v>66</v>
      </c>
      <c r="E147" s="7" t="s">
        <v>77</v>
      </c>
      <c r="F147" s="7" t="n">
        <v>15</v>
      </c>
      <c r="G147" s="9" t="n">
        <f aca="false">COUNT(H147:V147)</f>
        <v>2</v>
      </c>
      <c r="H147" s="11" t="n">
        <v>100</v>
      </c>
      <c r="I147" s="11"/>
      <c r="J147" s="11"/>
      <c r="K147" s="11"/>
      <c r="L147" s="11" t="n">
        <v>120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customFormat="false" ht="15" hidden="false" customHeight="false" outlineLevel="0" collapsed="false">
      <c r="A148" s="7" t="n">
        <v>144</v>
      </c>
      <c r="B148" s="8" t="s">
        <v>220</v>
      </c>
      <c r="C148" s="7" t="s">
        <v>62</v>
      </c>
      <c r="D148" s="7"/>
      <c r="E148" s="7" t="s">
        <v>77</v>
      </c>
      <c r="F148" s="7" t="n">
        <v>17</v>
      </c>
      <c r="G148" s="9" t="n">
        <f aca="false">COUNT(H148:V148)</f>
        <v>2</v>
      </c>
      <c r="H148" s="11" t="n">
        <v>90</v>
      </c>
      <c r="I148" s="11"/>
      <c r="J148" s="11"/>
      <c r="K148" s="11" t="n">
        <v>120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customFormat="false" ht="15" hidden="false" customHeight="false" outlineLevel="0" collapsed="false">
      <c r="A149" s="7" t="n">
        <v>145</v>
      </c>
      <c r="B149" s="8" t="s">
        <v>221</v>
      </c>
      <c r="C149" s="7" t="s">
        <v>59</v>
      </c>
      <c r="D149" s="7"/>
      <c r="E149" s="7" t="s">
        <v>77</v>
      </c>
      <c r="F149" s="7" t="n">
        <v>13</v>
      </c>
      <c r="G149" s="9" t="n">
        <f aca="false">COUNT(H149:V149)</f>
        <v>1</v>
      </c>
      <c r="H149" s="11" t="n">
        <v>100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customFormat="false" ht="15" hidden="false" customHeight="false" outlineLevel="0" collapsed="false">
      <c r="A150" s="7" t="n">
        <v>146</v>
      </c>
      <c r="B150" s="8" t="s">
        <v>222</v>
      </c>
      <c r="C150" s="7" t="s">
        <v>70</v>
      </c>
      <c r="D150" s="7"/>
      <c r="E150" s="7" t="s">
        <v>77</v>
      </c>
      <c r="F150" s="7" t="n">
        <v>0</v>
      </c>
      <c r="G150" s="9" t="n">
        <f aca="false">COUNT(H150:V150)</f>
        <v>1</v>
      </c>
      <c r="H150" s="11" t="n">
        <v>35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customFormat="false" ht="15" hidden="false" customHeight="false" outlineLevel="0" collapsed="false">
      <c r="A151" s="7" t="n">
        <v>147</v>
      </c>
      <c r="B151" s="8" t="s">
        <v>223</v>
      </c>
      <c r="C151" s="7" t="s">
        <v>61</v>
      </c>
      <c r="D151" s="7"/>
      <c r="E151" s="7" t="s">
        <v>77</v>
      </c>
      <c r="F151" s="7" t="n">
        <v>0</v>
      </c>
      <c r="G151" s="9" t="n">
        <f aca="false">COUNT(H151:V151)</f>
        <v>1</v>
      </c>
      <c r="H151" s="11" t="n">
        <v>35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customFormat="false" ht="15" hidden="false" customHeight="false" outlineLevel="0" collapsed="false">
      <c r="A152" s="7" t="n">
        <v>148</v>
      </c>
      <c r="B152" s="8" t="s">
        <v>224</v>
      </c>
      <c r="C152" s="7" t="s">
        <v>70</v>
      </c>
      <c r="D152" s="7" t="s">
        <v>66</v>
      </c>
      <c r="E152" s="7" t="s">
        <v>75</v>
      </c>
      <c r="F152" s="7" t="n">
        <v>0</v>
      </c>
      <c r="G152" s="9" t="n">
        <f aca="false">COUNT(H152:V152)</f>
        <v>1</v>
      </c>
      <c r="H152" s="10"/>
      <c r="I152" s="10"/>
      <c r="J152" s="10"/>
      <c r="K152" s="10"/>
      <c r="L152" s="10"/>
      <c r="M152" s="10"/>
      <c r="N152" s="10"/>
      <c r="O152" s="10" t="n">
        <v>15</v>
      </c>
      <c r="P152" s="10"/>
      <c r="Q152" s="10"/>
      <c r="R152" s="10"/>
      <c r="S152" s="10"/>
      <c r="T152" s="10"/>
      <c r="U152" s="10"/>
      <c r="V152" s="10"/>
    </row>
    <row r="153" customFormat="false" ht="15" hidden="false" customHeight="false" outlineLevel="0" collapsed="false">
      <c r="A153" s="7" t="n">
        <v>149</v>
      </c>
      <c r="B153" s="8" t="s">
        <v>225</v>
      </c>
      <c r="C153" s="7" t="s">
        <v>70</v>
      </c>
      <c r="D153" s="7"/>
      <c r="E153" s="7" t="s">
        <v>77</v>
      </c>
      <c r="F153" s="7" t="n">
        <v>0</v>
      </c>
      <c r="G153" s="9" t="n">
        <f aca="false">COUNT(H153:V153)</f>
        <v>0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customFormat="false" ht="15" hidden="false" customHeight="false" outlineLevel="0" collapsed="false">
      <c r="A154" s="7" t="n">
        <v>150</v>
      </c>
      <c r="B154" s="8" t="s">
        <v>226</v>
      </c>
      <c r="C154" s="7" t="s">
        <v>70</v>
      </c>
      <c r="D154" s="7" t="s">
        <v>66</v>
      </c>
      <c r="E154" s="7" t="s">
        <v>75</v>
      </c>
      <c r="F154" s="7" t="n">
        <v>0</v>
      </c>
      <c r="G154" s="9" t="n">
        <f aca="false">COUNT(H154:V154)</f>
        <v>0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customFormat="false" ht="15" hidden="false" customHeight="false" outlineLevel="0" collapsed="false">
      <c r="A155" s="7" t="n">
        <v>151</v>
      </c>
      <c r="B155" s="8" t="s">
        <v>227</v>
      </c>
      <c r="C155" s="7" t="s">
        <v>59</v>
      </c>
      <c r="D155" s="7"/>
      <c r="E155" s="7" t="s">
        <v>77</v>
      </c>
      <c r="F155" s="7" t="n">
        <v>0</v>
      </c>
      <c r="G155" s="9" t="n">
        <f aca="false">COUNT(H155:V155)</f>
        <v>0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7" customFormat="false" ht="15" hidden="false" customHeight="false" outlineLevel="0" collapsed="false">
      <c r="A157" s="2" t="s">
        <v>228</v>
      </c>
    </row>
    <row r="158" customFormat="false" ht="15" hidden="false" customHeight="false" outlineLevel="0" collapsed="false">
      <c r="A158" s="2" t="s">
        <v>229</v>
      </c>
    </row>
    <row r="159" customFormat="false" ht="15" hidden="false" customHeight="false" outlineLevel="0" collapsed="false">
      <c r="A159" s="2" t="s">
        <v>230</v>
      </c>
    </row>
  </sheetData>
  <autoFilter ref="A4:V155"/>
  <conditionalFormatting sqref="H5:V155">
    <cfRule type="colorScale" priority="2">
      <colorScale>
        <cfvo type="num" val="15"/>
        <cfvo type="num" val="70"/>
        <cfvo type="num" val="120"/>
        <color rgb="FFFFFFFF"/>
        <color rgb="FFFFE699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9" min="9" style="0" width="17"/>
    <col collapsed="false" customWidth="true" hidden="false" outlineLevel="0" max="10" min="10" style="0" width="58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35.05" hidden="false" customHeight="false" outlineLevel="0" collapsed="false">
      <c r="A4" s="6" t="s">
        <v>233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234</v>
      </c>
      <c r="G4" s="6" t="s">
        <v>235</v>
      </c>
      <c r="H4" s="6" t="s">
        <v>236</v>
      </c>
      <c r="I4" s="6" t="s">
        <v>237</v>
      </c>
      <c r="J4" s="6" t="s">
        <v>238</v>
      </c>
    </row>
    <row r="5" customFormat="false" ht="15" hidden="false" customHeight="false" outlineLevel="0" collapsed="false">
      <c r="A5" s="12" t="n">
        <v>1</v>
      </c>
      <c r="B5" s="13" t="s">
        <v>74</v>
      </c>
      <c r="C5" s="12" t="s">
        <v>69</v>
      </c>
      <c r="D5" s="12"/>
      <c r="E5" s="12" t="s">
        <v>75</v>
      </c>
      <c r="F5" s="14" t="n">
        <v>55</v>
      </c>
      <c r="G5" s="14" t="n">
        <v>12</v>
      </c>
      <c r="H5" s="14" t="n">
        <v>11</v>
      </c>
      <c r="I5" s="14" t="s">
        <v>239</v>
      </c>
      <c r="J5" s="12" t="s">
        <v>240</v>
      </c>
    </row>
    <row r="6" customFormat="false" ht="15" hidden="false" customHeight="false" outlineLevel="0" collapsed="false">
      <c r="A6" s="7" t="n">
        <v>2</v>
      </c>
      <c r="B6" s="8" t="s">
        <v>76</v>
      </c>
      <c r="C6" s="7" t="s">
        <v>59</v>
      </c>
      <c r="D6" s="7"/>
      <c r="E6" s="7" t="s">
        <v>77</v>
      </c>
      <c r="F6" s="11" t="n">
        <v>36</v>
      </c>
      <c r="G6" s="11" t="n">
        <v>10</v>
      </c>
      <c r="H6" s="11" t="n">
        <v>10</v>
      </c>
      <c r="I6" s="11" t="s">
        <v>239</v>
      </c>
      <c r="J6" s="7" t="s">
        <v>241</v>
      </c>
    </row>
    <row r="7" customFormat="false" ht="15" hidden="false" customHeight="false" outlineLevel="0" collapsed="false">
      <c r="A7" s="7" t="n">
        <v>3</v>
      </c>
      <c r="B7" s="8" t="s">
        <v>85</v>
      </c>
      <c r="C7" s="7" t="s">
        <v>59</v>
      </c>
      <c r="D7" s="7"/>
      <c r="E7" s="7" t="s">
        <v>77</v>
      </c>
      <c r="F7" s="11" t="n">
        <v>36</v>
      </c>
      <c r="G7" s="11" t="n">
        <v>8</v>
      </c>
      <c r="H7" s="11" t="n">
        <v>8</v>
      </c>
      <c r="I7" s="11" t="s">
        <v>242</v>
      </c>
      <c r="J7" s="7" t="s">
        <v>243</v>
      </c>
    </row>
    <row r="8" customFormat="false" ht="15" hidden="false" customHeight="false" outlineLevel="0" collapsed="false">
      <c r="A8" s="7" t="n">
        <v>4</v>
      </c>
      <c r="B8" s="8" t="s">
        <v>80</v>
      </c>
      <c r="C8" s="7" t="s">
        <v>69</v>
      </c>
      <c r="D8" s="7"/>
      <c r="E8" s="7" t="s">
        <v>77</v>
      </c>
      <c r="F8" s="11" t="n">
        <v>35</v>
      </c>
      <c r="G8" s="11" t="n">
        <v>8</v>
      </c>
      <c r="H8" s="11" t="n">
        <v>8</v>
      </c>
      <c r="I8" s="11" t="s">
        <v>242</v>
      </c>
      <c r="J8" s="7" t="s">
        <v>243</v>
      </c>
    </row>
    <row r="9" customFormat="false" ht="15" hidden="false" customHeight="false" outlineLevel="0" collapsed="false">
      <c r="A9" s="7" t="n">
        <v>5</v>
      </c>
      <c r="B9" s="8" t="s">
        <v>86</v>
      </c>
      <c r="C9" s="7" t="s">
        <v>59</v>
      </c>
      <c r="D9" s="7"/>
      <c r="E9" s="7" t="s">
        <v>77</v>
      </c>
      <c r="F9" s="11" t="n">
        <v>34</v>
      </c>
      <c r="G9" s="11" t="n">
        <v>8</v>
      </c>
      <c r="H9" s="11" t="n">
        <v>8</v>
      </c>
      <c r="I9" s="11" t="s">
        <v>242</v>
      </c>
      <c r="J9" s="7" t="s">
        <v>243</v>
      </c>
    </row>
    <row r="10" customFormat="false" ht="15" hidden="false" customHeight="false" outlineLevel="0" collapsed="false">
      <c r="A10" s="7" t="n">
        <v>6</v>
      </c>
      <c r="B10" s="8" t="s">
        <v>82</v>
      </c>
      <c r="C10" s="7" t="s">
        <v>59</v>
      </c>
      <c r="D10" s="7"/>
      <c r="E10" s="7" t="s">
        <v>77</v>
      </c>
      <c r="F10" s="11" t="n">
        <v>33</v>
      </c>
      <c r="G10" s="11" t="n">
        <v>8</v>
      </c>
      <c r="H10" s="11" t="n">
        <v>8</v>
      </c>
      <c r="I10" s="11" t="s">
        <v>242</v>
      </c>
      <c r="J10" s="7" t="s">
        <v>243</v>
      </c>
    </row>
    <row r="11" customFormat="false" ht="15" hidden="false" customHeight="false" outlineLevel="0" collapsed="false">
      <c r="A11" s="7" t="n">
        <v>7</v>
      </c>
      <c r="B11" s="8" t="s">
        <v>83</v>
      </c>
      <c r="C11" s="7" t="s">
        <v>59</v>
      </c>
      <c r="D11" s="7"/>
      <c r="E11" s="7" t="s">
        <v>77</v>
      </c>
      <c r="F11" s="11" t="n">
        <v>33</v>
      </c>
      <c r="G11" s="11" t="n">
        <v>8</v>
      </c>
      <c r="H11" s="11" t="n">
        <v>8</v>
      </c>
      <c r="I11" s="11" t="s">
        <v>242</v>
      </c>
      <c r="J11" s="7" t="s">
        <v>243</v>
      </c>
    </row>
    <row r="12" customFormat="false" ht="15" hidden="false" customHeight="false" outlineLevel="0" collapsed="false">
      <c r="A12" s="7" t="n">
        <v>8</v>
      </c>
      <c r="B12" s="8" t="s">
        <v>81</v>
      </c>
      <c r="C12" s="7" t="s">
        <v>66</v>
      </c>
      <c r="D12" s="7" t="s">
        <v>67</v>
      </c>
      <c r="E12" s="7" t="s">
        <v>77</v>
      </c>
      <c r="F12" s="11" t="n">
        <v>32</v>
      </c>
      <c r="G12" s="11" t="n">
        <v>8</v>
      </c>
      <c r="H12" s="11" t="n">
        <v>8</v>
      </c>
      <c r="I12" s="11" t="s">
        <v>239</v>
      </c>
      <c r="J12" s="7" t="s">
        <v>244</v>
      </c>
    </row>
    <row r="13" customFormat="false" ht="15" hidden="false" customHeight="false" outlineLevel="0" collapsed="false">
      <c r="A13" s="7" t="n">
        <v>9</v>
      </c>
      <c r="B13" s="8" t="s">
        <v>84</v>
      </c>
      <c r="C13" s="7" t="s">
        <v>67</v>
      </c>
      <c r="D13" s="7" t="s">
        <v>71</v>
      </c>
      <c r="E13" s="7" t="s">
        <v>77</v>
      </c>
      <c r="F13" s="11" t="n">
        <v>32</v>
      </c>
      <c r="G13" s="11" t="n">
        <v>8</v>
      </c>
      <c r="H13" s="11" t="n">
        <v>8</v>
      </c>
      <c r="I13" s="11" t="s">
        <v>239</v>
      </c>
      <c r="J13" s="7" t="s">
        <v>244</v>
      </c>
    </row>
    <row r="14" customFormat="false" ht="15" hidden="false" customHeight="false" outlineLevel="0" collapsed="false">
      <c r="A14" s="7" t="n">
        <v>10</v>
      </c>
      <c r="B14" s="8" t="s">
        <v>78</v>
      </c>
      <c r="C14" s="7" t="s">
        <v>66</v>
      </c>
      <c r="D14" s="7" t="s">
        <v>67</v>
      </c>
      <c r="E14" s="7" t="s">
        <v>77</v>
      </c>
      <c r="F14" s="11" t="n">
        <v>32</v>
      </c>
      <c r="G14" s="11" t="n">
        <v>8</v>
      </c>
      <c r="H14" s="11" t="n">
        <v>9</v>
      </c>
      <c r="I14" s="11" t="s">
        <v>239</v>
      </c>
      <c r="J14" s="7" t="s">
        <v>244</v>
      </c>
    </row>
    <row r="15" customFormat="false" ht="15" hidden="false" customHeight="false" outlineLevel="0" collapsed="false">
      <c r="A15" s="7" t="n">
        <v>11</v>
      </c>
      <c r="B15" s="8" t="s">
        <v>87</v>
      </c>
      <c r="C15" s="7" t="s">
        <v>59</v>
      </c>
      <c r="D15" s="7"/>
      <c r="E15" s="7" t="s">
        <v>77</v>
      </c>
      <c r="F15" s="11" t="n">
        <v>32</v>
      </c>
      <c r="G15" s="11" t="n">
        <v>8</v>
      </c>
      <c r="H15" s="11" t="n">
        <v>8</v>
      </c>
      <c r="I15" s="11" t="s">
        <v>242</v>
      </c>
      <c r="J15" s="7" t="s">
        <v>243</v>
      </c>
    </row>
    <row r="16" customFormat="false" ht="15" hidden="false" customHeight="false" outlineLevel="0" collapsed="false">
      <c r="A16" s="7" t="n">
        <v>12</v>
      </c>
      <c r="B16" s="8" t="s">
        <v>79</v>
      </c>
      <c r="C16" s="7" t="s">
        <v>59</v>
      </c>
      <c r="D16" s="7"/>
      <c r="E16" s="7" t="s">
        <v>77</v>
      </c>
      <c r="F16" s="11" t="n">
        <v>29</v>
      </c>
      <c r="G16" s="11" t="n">
        <v>8</v>
      </c>
      <c r="H16" s="11" t="n">
        <v>8</v>
      </c>
      <c r="I16" s="11" t="s">
        <v>239</v>
      </c>
      <c r="J16" s="7" t="s">
        <v>244</v>
      </c>
    </row>
    <row r="17" customFormat="false" ht="15" hidden="false" customHeight="false" outlineLevel="0" collapsed="false">
      <c r="A17" s="7" t="n">
        <v>13</v>
      </c>
      <c r="B17" s="8" t="s">
        <v>89</v>
      </c>
      <c r="C17" s="7" t="s">
        <v>61</v>
      </c>
      <c r="D17" s="7" t="s">
        <v>69</v>
      </c>
      <c r="E17" s="7" t="s">
        <v>77</v>
      </c>
      <c r="F17" s="11" t="n">
        <v>36</v>
      </c>
      <c r="G17" s="11" t="n">
        <v>7</v>
      </c>
      <c r="H17" s="11" t="n">
        <v>7</v>
      </c>
      <c r="I17" s="11" t="s">
        <v>242</v>
      </c>
      <c r="J17" s="7" t="s">
        <v>245</v>
      </c>
    </row>
    <row r="18" customFormat="false" ht="15" hidden="false" customHeight="false" outlineLevel="0" collapsed="false">
      <c r="A18" s="7" t="n">
        <v>14</v>
      </c>
      <c r="B18" s="8" t="s">
        <v>88</v>
      </c>
      <c r="C18" s="7" t="s">
        <v>59</v>
      </c>
      <c r="D18" s="7"/>
      <c r="E18" s="7" t="s">
        <v>77</v>
      </c>
      <c r="F18" s="11" t="n">
        <v>30</v>
      </c>
      <c r="G18" s="11" t="n">
        <v>7</v>
      </c>
      <c r="H18" s="11" t="n">
        <v>7</v>
      </c>
      <c r="I18" s="11" t="s">
        <v>239</v>
      </c>
      <c r="J18" s="7" t="s">
        <v>246</v>
      </c>
    </row>
    <row r="19" customFormat="false" ht="15" hidden="false" customHeight="false" outlineLevel="0" collapsed="false">
      <c r="A19" s="7" t="n">
        <v>15</v>
      </c>
      <c r="B19" s="8" t="s">
        <v>102</v>
      </c>
      <c r="C19" s="7" t="s">
        <v>61</v>
      </c>
      <c r="D19" s="7" t="s">
        <v>64</v>
      </c>
      <c r="E19" s="7" t="s">
        <v>77</v>
      </c>
      <c r="F19" s="11" t="n">
        <v>26</v>
      </c>
      <c r="G19" s="11" t="n">
        <v>7</v>
      </c>
      <c r="H19" s="11" t="n">
        <v>6</v>
      </c>
      <c r="I19" s="11" t="s">
        <v>242</v>
      </c>
      <c r="J19" s="7" t="s">
        <v>247</v>
      </c>
    </row>
    <row r="20" customFormat="false" ht="15" hidden="false" customHeight="false" outlineLevel="0" collapsed="false">
      <c r="A20" s="7" t="n">
        <v>16</v>
      </c>
      <c r="B20" s="8" t="s">
        <v>90</v>
      </c>
      <c r="C20" s="7" t="s">
        <v>61</v>
      </c>
      <c r="D20" s="7" t="s">
        <v>69</v>
      </c>
      <c r="E20" s="7" t="s">
        <v>77</v>
      </c>
      <c r="F20" s="11" t="n">
        <v>30</v>
      </c>
      <c r="G20" s="11" t="n">
        <v>6</v>
      </c>
      <c r="H20" s="11" t="n">
        <v>6</v>
      </c>
      <c r="I20" s="11" t="s">
        <v>242</v>
      </c>
      <c r="J20" s="7" t="s">
        <v>248</v>
      </c>
    </row>
    <row r="21" customFormat="false" ht="15" hidden="false" customHeight="false" outlineLevel="0" collapsed="false">
      <c r="A21" s="7" t="n">
        <v>17</v>
      </c>
      <c r="B21" s="8" t="s">
        <v>94</v>
      </c>
      <c r="C21" s="7" t="s">
        <v>61</v>
      </c>
      <c r="D21" s="7" t="s">
        <v>65</v>
      </c>
      <c r="E21" s="7" t="s">
        <v>77</v>
      </c>
      <c r="F21" s="11" t="n">
        <v>28</v>
      </c>
      <c r="G21" s="11" t="n">
        <v>6</v>
      </c>
      <c r="H21" s="11" t="n">
        <v>6</v>
      </c>
      <c r="I21" s="11" t="s">
        <v>242</v>
      </c>
      <c r="J21" s="7" t="s">
        <v>249</v>
      </c>
    </row>
    <row r="22" customFormat="false" ht="15" hidden="false" customHeight="false" outlineLevel="0" collapsed="false">
      <c r="A22" s="7" t="n">
        <v>18</v>
      </c>
      <c r="B22" s="8" t="s">
        <v>129</v>
      </c>
      <c r="C22" s="7" t="s">
        <v>60</v>
      </c>
      <c r="D22" s="7" t="s">
        <v>68</v>
      </c>
      <c r="E22" s="7" t="s">
        <v>77</v>
      </c>
      <c r="F22" s="11" t="n">
        <v>28</v>
      </c>
      <c r="G22" s="11" t="n">
        <v>6</v>
      </c>
      <c r="H22" s="11" t="n">
        <v>5</v>
      </c>
      <c r="I22" s="11" t="s">
        <v>250</v>
      </c>
      <c r="J22" s="7" t="s">
        <v>251</v>
      </c>
    </row>
    <row r="23" customFormat="false" ht="15" hidden="false" customHeight="false" outlineLevel="0" collapsed="false">
      <c r="A23" s="7" t="n">
        <v>19</v>
      </c>
      <c r="B23" s="8" t="s">
        <v>92</v>
      </c>
      <c r="C23" s="7" t="s">
        <v>61</v>
      </c>
      <c r="D23" s="7"/>
      <c r="E23" s="7" t="s">
        <v>77</v>
      </c>
      <c r="F23" s="11" t="n">
        <v>27</v>
      </c>
      <c r="G23" s="11" t="n">
        <v>6</v>
      </c>
      <c r="H23" s="11" t="n">
        <v>6</v>
      </c>
      <c r="I23" s="11" t="s">
        <v>242</v>
      </c>
      <c r="J23" s="7" t="s">
        <v>249</v>
      </c>
    </row>
    <row r="24" customFormat="false" ht="15" hidden="false" customHeight="false" outlineLevel="0" collapsed="false">
      <c r="A24" s="7" t="n">
        <v>20</v>
      </c>
      <c r="B24" s="8" t="s">
        <v>116</v>
      </c>
      <c r="C24" s="7" t="s">
        <v>73</v>
      </c>
      <c r="D24" s="7" t="s">
        <v>68</v>
      </c>
      <c r="E24" s="7" t="s">
        <v>77</v>
      </c>
      <c r="F24" s="11" t="n">
        <v>27</v>
      </c>
      <c r="G24" s="11" t="n">
        <v>6</v>
      </c>
      <c r="H24" s="11" t="n">
        <v>5</v>
      </c>
      <c r="I24" s="11" t="s">
        <v>242</v>
      </c>
      <c r="J24" s="7" t="s">
        <v>252</v>
      </c>
    </row>
    <row r="25" customFormat="false" ht="15" hidden="false" customHeight="false" outlineLevel="0" collapsed="false">
      <c r="A25" s="7" t="n">
        <v>21</v>
      </c>
      <c r="B25" s="8" t="s">
        <v>101</v>
      </c>
      <c r="C25" s="7" t="s">
        <v>67</v>
      </c>
      <c r="D25" s="7"/>
      <c r="E25" s="7" t="s">
        <v>77</v>
      </c>
      <c r="F25" s="11" t="n">
        <v>26</v>
      </c>
      <c r="G25" s="11" t="n">
        <v>6</v>
      </c>
      <c r="H25" s="11" t="n">
        <v>6</v>
      </c>
      <c r="I25" s="11" t="s">
        <v>242</v>
      </c>
      <c r="J25" s="7" t="s">
        <v>253</v>
      </c>
    </row>
    <row r="26" customFormat="false" ht="15" hidden="false" customHeight="false" outlineLevel="0" collapsed="false">
      <c r="A26" s="7" t="n">
        <v>22</v>
      </c>
      <c r="B26" s="8" t="s">
        <v>100</v>
      </c>
      <c r="C26" s="7" t="s">
        <v>67</v>
      </c>
      <c r="D26" s="7"/>
      <c r="E26" s="7" t="s">
        <v>77</v>
      </c>
      <c r="F26" s="11" t="n">
        <v>25</v>
      </c>
      <c r="G26" s="11" t="n">
        <v>6</v>
      </c>
      <c r="H26" s="11" t="n">
        <v>6</v>
      </c>
      <c r="I26" s="11" t="s">
        <v>242</v>
      </c>
      <c r="J26" s="7" t="s">
        <v>253</v>
      </c>
    </row>
    <row r="27" customFormat="false" ht="15" hidden="false" customHeight="false" outlineLevel="0" collapsed="false">
      <c r="A27" s="7" t="n">
        <v>23</v>
      </c>
      <c r="B27" s="8" t="s">
        <v>107</v>
      </c>
      <c r="C27" s="7" t="s">
        <v>73</v>
      </c>
      <c r="D27" s="7"/>
      <c r="E27" s="7" t="s">
        <v>77</v>
      </c>
      <c r="F27" s="11" t="n">
        <v>24</v>
      </c>
      <c r="G27" s="11" t="n">
        <v>6</v>
      </c>
      <c r="H27" s="11" t="n">
        <v>5</v>
      </c>
      <c r="I27" s="11" t="s">
        <v>242</v>
      </c>
      <c r="J27" s="7" t="s">
        <v>252</v>
      </c>
    </row>
    <row r="28" customFormat="false" ht="15" hidden="false" customHeight="false" outlineLevel="0" collapsed="false">
      <c r="A28" s="7" t="n">
        <v>24</v>
      </c>
      <c r="B28" s="8" t="s">
        <v>119</v>
      </c>
      <c r="C28" s="7" t="s">
        <v>61</v>
      </c>
      <c r="D28" s="7" t="s">
        <v>68</v>
      </c>
      <c r="E28" s="7" t="s">
        <v>77</v>
      </c>
      <c r="F28" s="11" t="n">
        <v>23</v>
      </c>
      <c r="G28" s="11" t="n">
        <v>6</v>
      </c>
      <c r="H28" s="11" t="n">
        <v>5</v>
      </c>
      <c r="I28" s="11" t="s">
        <v>242</v>
      </c>
      <c r="J28" s="7" t="s">
        <v>252</v>
      </c>
    </row>
    <row r="29" customFormat="false" ht="15" hidden="false" customHeight="false" outlineLevel="0" collapsed="false">
      <c r="A29" s="7" t="n">
        <v>25</v>
      </c>
      <c r="B29" s="8" t="s">
        <v>139</v>
      </c>
      <c r="C29" s="7" t="s">
        <v>73</v>
      </c>
      <c r="D29" s="7"/>
      <c r="E29" s="7" t="s">
        <v>77</v>
      </c>
      <c r="F29" s="11" t="n">
        <v>23</v>
      </c>
      <c r="G29" s="11" t="n">
        <v>6</v>
      </c>
      <c r="H29" s="11" t="n">
        <v>5</v>
      </c>
      <c r="I29" s="11" t="s">
        <v>242</v>
      </c>
      <c r="J29" s="7" t="s">
        <v>252</v>
      </c>
    </row>
    <row r="30" customFormat="false" ht="15" hidden="false" customHeight="false" outlineLevel="0" collapsed="false">
      <c r="A30" s="12" t="n">
        <v>26</v>
      </c>
      <c r="B30" s="13" t="s">
        <v>103</v>
      </c>
      <c r="C30" s="12" t="s">
        <v>69</v>
      </c>
      <c r="D30" s="12"/>
      <c r="E30" s="12" t="s">
        <v>75</v>
      </c>
      <c r="F30" s="14" t="n">
        <v>27</v>
      </c>
      <c r="G30" s="14" t="n">
        <v>5</v>
      </c>
      <c r="H30" s="14" t="n">
        <v>5</v>
      </c>
      <c r="I30" s="14" t="s">
        <v>250</v>
      </c>
      <c r="J30" s="12" t="s">
        <v>254</v>
      </c>
    </row>
    <row r="31" customFormat="false" ht="15" hidden="false" customHeight="false" outlineLevel="0" collapsed="false">
      <c r="A31" s="7" t="n">
        <v>27</v>
      </c>
      <c r="B31" s="8" t="s">
        <v>109</v>
      </c>
      <c r="C31" s="7" t="s">
        <v>61</v>
      </c>
      <c r="D31" s="7"/>
      <c r="E31" s="7" t="s">
        <v>77</v>
      </c>
      <c r="F31" s="11" t="n">
        <v>27</v>
      </c>
      <c r="G31" s="11" t="n">
        <v>5</v>
      </c>
      <c r="H31" s="11" t="n">
        <v>5</v>
      </c>
      <c r="I31" s="11" t="s">
        <v>242</v>
      </c>
      <c r="J31" s="7" t="s">
        <v>255</v>
      </c>
    </row>
    <row r="32" customFormat="false" ht="15" hidden="false" customHeight="false" outlineLevel="0" collapsed="false">
      <c r="A32" s="7" t="n">
        <v>28</v>
      </c>
      <c r="B32" s="8" t="s">
        <v>96</v>
      </c>
      <c r="C32" s="7" t="s">
        <v>72</v>
      </c>
      <c r="D32" s="7" t="s">
        <v>66</v>
      </c>
      <c r="E32" s="7" t="s">
        <v>97</v>
      </c>
      <c r="F32" s="11" t="n">
        <v>27</v>
      </c>
      <c r="G32" s="11" t="n">
        <v>5</v>
      </c>
      <c r="H32" s="11" t="n">
        <v>6</v>
      </c>
      <c r="I32" s="11" t="s">
        <v>250</v>
      </c>
      <c r="J32" s="7" t="s">
        <v>254</v>
      </c>
    </row>
    <row r="33" customFormat="false" ht="15" hidden="false" customHeight="false" outlineLevel="0" collapsed="false">
      <c r="A33" s="7" t="n">
        <v>29</v>
      </c>
      <c r="B33" s="8" t="s">
        <v>95</v>
      </c>
      <c r="C33" s="7" t="s">
        <v>61</v>
      </c>
      <c r="D33" s="7"/>
      <c r="E33" s="7" t="s">
        <v>77</v>
      </c>
      <c r="F33" s="11" t="n">
        <v>26</v>
      </c>
      <c r="G33" s="11" t="n">
        <v>5</v>
      </c>
      <c r="H33" s="11" t="n">
        <v>6</v>
      </c>
      <c r="I33" s="11" t="s">
        <v>250</v>
      </c>
      <c r="J33" s="7" t="s">
        <v>255</v>
      </c>
    </row>
    <row r="34" customFormat="false" ht="15" hidden="false" customHeight="false" outlineLevel="0" collapsed="false">
      <c r="A34" s="12" t="n">
        <v>30</v>
      </c>
      <c r="B34" s="13" t="s">
        <v>98</v>
      </c>
      <c r="C34" s="12" t="s">
        <v>64</v>
      </c>
      <c r="D34" s="12" t="s">
        <v>69</v>
      </c>
      <c r="E34" s="12" t="s">
        <v>75</v>
      </c>
      <c r="F34" s="14" t="n">
        <v>26</v>
      </c>
      <c r="G34" s="14" t="n">
        <v>5</v>
      </c>
      <c r="H34" s="14" t="n">
        <v>6</v>
      </c>
      <c r="I34" s="14" t="s">
        <v>250</v>
      </c>
      <c r="J34" s="12" t="s">
        <v>256</v>
      </c>
    </row>
    <row r="35" customFormat="false" ht="15" hidden="false" customHeight="false" outlineLevel="0" collapsed="false">
      <c r="A35" s="7" t="n">
        <v>31</v>
      </c>
      <c r="B35" s="8" t="s">
        <v>137</v>
      </c>
      <c r="C35" s="7" t="s">
        <v>61</v>
      </c>
      <c r="D35" s="7" t="s">
        <v>69</v>
      </c>
      <c r="E35" s="7" t="s">
        <v>77</v>
      </c>
      <c r="F35" s="11" t="n">
        <v>26</v>
      </c>
      <c r="G35" s="11" t="n">
        <v>5</v>
      </c>
      <c r="H35" s="11" t="n">
        <v>5</v>
      </c>
      <c r="I35" s="11" t="s">
        <v>250</v>
      </c>
      <c r="J35" s="7" t="s">
        <v>257</v>
      </c>
    </row>
    <row r="36" customFormat="false" ht="15" hidden="false" customHeight="false" outlineLevel="0" collapsed="false">
      <c r="A36" s="7" t="n">
        <v>32</v>
      </c>
      <c r="B36" s="8" t="s">
        <v>91</v>
      </c>
      <c r="C36" s="7" t="s">
        <v>61</v>
      </c>
      <c r="D36" s="7"/>
      <c r="E36" s="7" t="s">
        <v>77</v>
      </c>
      <c r="F36" s="11" t="n">
        <v>25</v>
      </c>
      <c r="G36" s="11" t="n">
        <v>5</v>
      </c>
      <c r="H36" s="11" t="n">
        <v>6</v>
      </c>
      <c r="I36" s="11" t="s">
        <v>250</v>
      </c>
      <c r="J36" s="7" t="s">
        <v>255</v>
      </c>
    </row>
    <row r="37" customFormat="false" ht="15" hidden="false" customHeight="false" outlineLevel="0" collapsed="false">
      <c r="A37" s="7" t="n">
        <v>33</v>
      </c>
      <c r="B37" s="8" t="s">
        <v>115</v>
      </c>
      <c r="C37" s="7" t="s">
        <v>65</v>
      </c>
      <c r="D37" s="7"/>
      <c r="E37" s="7" t="s">
        <v>77</v>
      </c>
      <c r="F37" s="11" t="n">
        <v>25</v>
      </c>
      <c r="G37" s="11" t="n">
        <v>5</v>
      </c>
      <c r="H37" s="11" t="n">
        <v>5</v>
      </c>
      <c r="I37" s="11" t="s">
        <v>250</v>
      </c>
      <c r="J37" s="7" t="s">
        <v>258</v>
      </c>
    </row>
    <row r="38" customFormat="false" ht="15" hidden="false" customHeight="false" outlineLevel="0" collapsed="false">
      <c r="A38" s="7" t="n">
        <v>34</v>
      </c>
      <c r="B38" s="8" t="s">
        <v>117</v>
      </c>
      <c r="C38" s="7" t="s">
        <v>71</v>
      </c>
      <c r="D38" s="7" t="s">
        <v>67</v>
      </c>
      <c r="E38" s="7" t="s">
        <v>97</v>
      </c>
      <c r="F38" s="11" t="n">
        <v>25</v>
      </c>
      <c r="G38" s="11" t="n">
        <v>5</v>
      </c>
      <c r="H38" s="11" t="n">
        <v>5</v>
      </c>
      <c r="I38" s="11" t="s">
        <v>250</v>
      </c>
      <c r="J38" s="7" t="s">
        <v>259</v>
      </c>
    </row>
    <row r="39" customFormat="false" ht="15" hidden="false" customHeight="false" outlineLevel="0" collapsed="false">
      <c r="A39" s="7" t="n">
        <v>35</v>
      </c>
      <c r="B39" s="8" t="s">
        <v>136</v>
      </c>
      <c r="C39" s="7" t="s">
        <v>61</v>
      </c>
      <c r="D39" s="7"/>
      <c r="E39" s="7" t="s">
        <v>77</v>
      </c>
      <c r="F39" s="11" t="n">
        <v>25</v>
      </c>
      <c r="G39" s="11" t="n">
        <v>5</v>
      </c>
      <c r="H39" s="11" t="n">
        <v>5</v>
      </c>
      <c r="I39" s="11" t="s">
        <v>250</v>
      </c>
      <c r="J39" s="7" t="s">
        <v>257</v>
      </c>
    </row>
    <row r="40" customFormat="false" ht="15" hidden="false" customHeight="false" outlineLevel="0" collapsed="false">
      <c r="A40" s="7" t="n">
        <v>36</v>
      </c>
      <c r="B40" s="8" t="s">
        <v>111</v>
      </c>
      <c r="C40" s="7" t="s">
        <v>61</v>
      </c>
      <c r="D40" s="7"/>
      <c r="E40" s="7" t="s">
        <v>77</v>
      </c>
      <c r="F40" s="11" t="n">
        <v>24</v>
      </c>
      <c r="G40" s="11" t="n">
        <v>5</v>
      </c>
      <c r="H40" s="11" t="n">
        <v>5</v>
      </c>
      <c r="I40" s="11" t="s">
        <v>250</v>
      </c>
      <c r="J40" s="7" t="s">
        <v>255</v>
      </c>
    </row>
    <row r="41" customFormat="false" ht="15" hidden="false" customHeight="false" outlineLevel="0" collapsed="false">
      <c r="A41" s="7" t="n">
        <v>37</v>
      </c>
      <c r="B41" s="8" t="s">
        <v>114</v>
      </c>
      <c r="C41" s="7" t="s">
        <v>61</v>
      </c>
      <c r="D41" s="7"/>
      <c r="E41" s="7" t="s">
        <v>77</v>
      </c>
      <c r="F41" s="11" t="n">
        <v>24</v>
      </c>
      <c r="G41" s="11" t="n">
        <v>5</v>
      </c>
      <c r="H41" s="11" t="n">
        <v>5</v>
      </c>
      <c r="I41" s="11" t="s">
        <v>250</v>
      </c>
      <c r="J41" s="7" t="s">
        <v>255</v>
      </c>
    </row>
    <row r="42" customFormat="false" ht="15" hidden="false" customHeight="false" outlineLevel="0" collapsed="false">
      <c r="A42" s="7" t="n">
        <v>38</v>
      </c>
      <c r="B42" s="8" t="s">
        <v>152</v>
      </c>
      <c r="C42" s="7" t="s">
        <v>60</v>
      </c>
      <c r="D42" s="7"/>
      <c r="E42" s="7" t="s">
        <v>77</v>
      </c>
      <c r="F42" s="11" t="n">
        <v>24</v>
      </c>
      <c r="G42" s="11" t="n">
        <v>5</v>
      </c>
      <c r="H42" s="11" t="n">
        <v>4</v>
      </c>
      <c r="I42" s="11" t="s">
        <v>260</v>
      </c>
      <c r="J42" s="7" t="s">
        <v>261</v>
      </c>
    </row>
    <row r="43" customFormat="false" ht="15" hidden="false" customHeight="false" outlineLevel="0" collapsed="false">
      <c r="A43" s="7" t="n">
        <v>39</v>
      </c>
      <c r="B43" s="8" t="s">
        <v>124</v>
      </c>
      <c r="C43" s="7" t="s">
        <v>65</v>
      </c>
      <c r="D43" s="7"/>
      <c r="E43" s="7" t="s">
        <v>97</v>
      </c>
      <c r="F43" s="11" t="n">
        <v>24</v>
      </c>
      <c r="G43" s="11" t="n">
        <v>5</v>
      </c>
      <c r="H43" s="11" t="n">
        <v>5</v>
      </c>
      <c r="I43" s="11" t="s">
        <v>250</v>
      </c>
      <c r="J43" s="7" t="s">
        <v>259</v>
      </c>
    </row>
    <row r="44" customFormat="false" ht="15" hidden="false" customHeight="false" outlineLevel="0" collapsed="false">
      <c r="A44" s="7" t="n">
        <v>40</v>
      </c>
      <c r="B44" s="8" t="s">
        <v>131</v>
      </c>
      <c r="C44" s="7" t="s">
        <v>65</v>
      </c>
      <c r="D44" s="7"/>
      <c r="E44" s="7" t="s">
        <v>77</v>
      </c>
      <c r="F44" s="11" t="n">
        <v>24</v>
      </c>
      <c r="G44" s="11" t="n">
        <v>5</v>
      </c>
      <c r="H44" s="11" t="n">
        <v>5</v>
      </c>
      <c r="I44" s="11" t="s">
        <v>250</v>
      </c>
      <c r="J44" s="7" t="s">
        <v>258</v>
      </c>
    </row>
    <row r="45" customFormat="false" ht="15" hidden="false" customHeight="false" outlineLevel="0" collapsed="false">
      <c r="A45" s="7" t="n">
        <v>41</v>
      </c>
      <c r="B45" s="8" t="s">
        <v>159</v>
      </c>
      <c r="C45" s="7" t="s">
        <v>60</v>
      </c>
      <c r="D45" s="7"/>
      <c r="E45" s="7" t="s">
        <v>77</v>
      </c>
      <c r="F45" s="11" t="n">
        <v>24</v>
      </c>
      <c r="G45" s="11" t="n">
        <v>5</v>
      </c>
      <c r="H45" s="11" t="n">
        <v>4</v>
      </c>
      <c r="I45" s="11" t="s">
        <v>260</v>
      </c>
      <c r="J45" s="7" t="s">
        <v>261</v>
      </c>
    </row>
    <row r="46" customFormat="false" ht="15" hidden="false" customHeight="false" outlineLevel="0" collapsed="false">
      <c r="A46" s="7" t="n">
        <v>42</v>
      </c>
      <c r="B46" s="8" t="s">
        <v>118</v>
      </c>
      <c r="C46" s="7" t="s">
        <v>65</v>
      </c>
      <c r="D46" s="7"/>
      <c r="E46" s="7" t="s">
        <v>77</v>
      </c>
      <c r="F46" s="11" t="n">
        <v>23</v>
      </c>
      <c r="G46" s="11" t="n">
        <v>5</v>
      </c>
      <c r="H46" s="11" t="n">
        <v>5</v>
      </c>
      <c r="I46" s="11" t="s">
        <v>250</v>
      </c>
      <c r="J46" s="7" t="s">
        <v>259</v>
      </c>
    </row>
    <row r="47" customFormat="false" ht="15" hidden="false" customHeight="false" outlineLevel="0" collapsed="false">
      <c r="A47" s="7" t="n">
        <v>43</v>
      </c>
      <c r="B47" s="8" t="s">
        <v>125</v>
      </c>
      <c r="C47" s="7" t="s">
        <v>65</v>
      </c>
      <c r="D47" s="7"/>
      <c r="E47" s="7" t="s">
        <v>77</v>
      </c>
      <c r="F47" s="11" t="n">
        <v>23</v>
      </c>
      <c r="G47" s="11" t="n">
        <v>5</v>
      </c>
      <c r="H47" s="11" t="n">
        <v>5</v>
      </c>
      <c r="I47" s="11" t="s">
        <v>250</v>
      </c>
      <c r="J47" s="7" t="s">
        <v>259</v>
      </c>
    </row>
    <row r="48" customFormat="false" ht="15" hidden="false" customHeight="false" outlineLevel="0" collapsed="false">
      <c r="A48" s="7" t="n">
        <v>44</v>
      </c>
      <c r="B48" s="8" t="s">
        <v>130</v>
      </c>
      <c r="C48" s="7" t="s">
        <v>71</v>
      </c>
      <c r="D48" s="7" t="s">
        <v>67</v>
      </c>
      <c r="E48" s="7" t="s">
        <v>77</v>
      </c>
      <c r="F48" s="11" t="n">
        <v>23</v>
      </c>
      <c r="G48" s="11" t="n">
        <v>5</v>
      </c>
      <c r="H48" s="11" t="n">
        <v>5</v>
      </c>
      <c r="I48" s="11" t="s">
        <v>250</v>
      </c>
      <c r="J48" s="7" t="s">
        <v>259</v>
      </c>
    </row>
    <row r="49" customFormat="false" ht="15" hidden="false" customHeight="false" outlineLevel="0" collapsed="false">
      <c r="A49" s="7" t="n">
        <v>45</v>
      </c>
      <c r="B49" s="8" t="s">
        <v>134</v>
      </c>
      <c r="C49" s="7" t="s">
        <v>71</v>
      </c>
      <c r="D49" s="7" t="s">
        <v>67</v>
      </c>
      <c r="E49" s="7" t="s">
        <v>77</v>
      </c>
      <c r="F49" s="11" t="n">
        <v>23</v>
      </c>
      <c r="G49" s="11" t="n">
        <v>5</v>
      </c>
      <c r="H49" s="11" t="n">
        <v>5</v>
      </c>
      <c r="I49" s="11" t="s">
        <v>250</v>
      </c>
      <c r="J49" s="7" t="s">
        <v>259</v>
      </c>
    </row>
    <row r="51" customFormat="false" ht="15" hidden="false" customHeight="false" outlineLevel="0" collapsed="false">
      <c r="A51" s="2" t="s">
        <v>262</v>
      </c>
    </row>
    <row r="52" customFormat="false" ht="15" hidden="false" customHeight="false" outlineLevel="0" collapsed="false">
      <c r="A52" s="2" t="s">
        <v>263</v>
      </c>
    </row>
  </sheetData>
  <conditionalFormatting sqref="I5:I49">
    <cfRule type="cellIs" priority="2" operator="equal" aboveAverage="0" equalAverage="0" bottom="0" percent="0" rank="0" text="" dxfId="19">
      <formula>"4/4"</formula>
    </cfRule>
  </conditionalFormatting>
  <conditionalFormatting sqref="G5:G49">
    <cfRule type="cellIs" priority="3" operator="greaterThanOrEqual" aboveAverage="0" equalAverage="0" bottom="0" percent="0" rank="0" text="" dxfId="19">
      <formula>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44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4" customFormat="false" ht="35.05" hidden="false" customHeight="false" outlineLevel="0" collapsed="false">
      <c r="A4" s="6" t="s">
        <v>233</v>
      </c>
      <c r="B4" s="6" t="s">
        <v>53</v>
      </c>
      <c r="C4" s="6" t="s">
        <v>54</v>
      </c>
      <c r="D4" s="6" t="s">
        <v>55</v>
      </c>
      <c r="E4" s="6" t="s">
        <v>266</v>
      </c>
      <c r="F4" s="6" t="s">
        <v>267</v>
      </c>
      <c r="G4" s="6" t="s">
        <v>268</v>
      </c>
      <c r="H4" s="6" t="s">
        <v>269</v>
      </c>
      <c r="I4" s="6" t="s">
        <v>270</v>
      </c>
      <c r="J4" s="6" t="s">
        <v>271</v>
      </c>
      <c r="K4" s="6" t="s">
        <v>272</v>
      </c>
      <c r="L4" s="6" t="s">
        <v>273</v>
      </c>
    </row>
    <row r="5" customFormat="false" ht="15" hidden="false" customHeight="false" outlineLevel="0" collapsed="false">
      <c r="A5" s="7" t="n">
        <v>1</v>
      </c>
      <c r="B5" s="8" t="s">
        <v>80</v>
      </c>
      <c r="C5" s="7" t="s">
        <v>69</v>
      </c>
      <c r="D5" s="7"/>
      <c r="E5" s="7" t="s">
        <v>77</v>
      </c>
      <c r="F5" s="7" t="s">
        <v>274</v>
      </c>
      <c r="G5" s="15" t="n">
        <v>26</v>
      </c>
      <c r="H5" s="16" t="n">
        <f aca="false">G5/26</f>
        <v>1</v>
      </c>
      <c r="I5" s="15" t="n">
        <v>49</v>
      </c>
      <c r="J5" s="15" t="n">
        <v>1</v>
      </c>
      <c r="K5" s="16" t="n">
        <f aca="false">J5/49</f>
        <v>0.0204081632653061</v>
      </c>
      <c r="L5" s="17" t="n">
        <f aca="false">H5/(0.25+K5)</f>
        <v>3.69811320754717</v>
      </c>
    </row>
    <row r="6" customFormat="false" ht="15" hidden="false" customHeight="false" outlineLevel="0" collapsed="false">
      <c r="A6" s="7" t="n">
        <v>2</v>
      </c>
      <c r="B6" s="8" t="s">
        <v>84</v>
      </c>
      <c r="C6" s="7" t="s">
        <v>67</v>
      </c>
      <c r="D6" s="7" t="s">
        <v>71</v>
      </c>
      <c r="E6" s="7" t="s">
        <v>77</v>
      </c>
      <c r="F6" s="7" t="s">
        <v>275</v>
      </c>
      <c r="G6" s="15" t="n">
        <v>24</v>
      </c>
      <c r="H6" s="16" t="n">
        <f aca="false">G6/26</f>
        <v>0.923076923076923</v>
      </c>
      <c r="I6" s="15" t="n">
        <v>46</v>
      </c>
      <c r="J6" s="15" t="n">
        <v>36</v>
      </c>
      <c r="K6" s="16" t="n">
        <f aca="false">J6/49</f>
        <v>0.73469387755102</v>
      </c>
      <c r="L6" s="17" t="n">
        <f aca="false">H6/(0.25+K6)</f>
        <v>0.937425269031487</v>
      </c>
    </row>
    <row r="7" customFormat="false" ht="15" hidden="false" customHeight="false" outlineLevel="0" collapsed="false">
      <c r="A7" s="7" t="n">
        <v>3</v>
      </c>
      <c r="B7" s="8" t="s">
        <v>117</v>
      </c>
      <c r="C7" s="7" t="s">
        <v>71</v>
      </c>
      <c r="D7" s="7" t="s">
        <v>67</v>
      </c>
      <c r="E7" s="7" t="s">
        <v>97</v>
      </c>
      <c r="F7" s="7" t="s">
        <v>276</v>
      </c>
      <c r="G7" s="15" t="n">
        <v>23</v>
      </c>
      <c r="H7" s="16" t="n">
        <f aca="false">G7/26</f>
        <v>0.884615384615385</v>
      </c>
      <c r="I7" s="15" t="n">
        <v>45</v>
      </c>
      <c r="J7" s="15" t="n">
        <v>37</v>
      </c>
      <c r="K7" s="16" t="n">
        <f aca="false">J7/49</f>
        <v>0.755102040816327</v>
      </c>
      <c r="L7" s="17" t="n">
        <f aca="false">H7/(0.25+K7)</f>
        <v>0.880124951190941</v>
      </c>
    </row>
    <row r="8" customFormat="false" ht="15" hidden="false" customHeight="false" outlineLevel="0" collapsed="false">
      <c r="A8" s="7" t="n">
        <v>4</v>
      </c>
      <c r="B8" s="8" t="s">
        <v>102</v>
      </c>
      <c r="C8" s="7" t="s">
        <v>61</v>
      </c>
      <c r="D8" s="7" t="s">
        <v>64</v>
      </c>
      <c r="E8" s="7" t="s">
        <v>77</v>
      </c>
      <c r="F8" s="7" t="s">
        <v>274</v>
      </c>
      <c r="G8" s="15" t="n">
        <v>22</v>
      </c>
      <c r="H8" s="16" t="n">
        <f aca="false">G8/26</f>
        <v>0.846153846153846</v>
      </c>
      <c r="I8" s="15" t="n">
        <v>45</v>
      </c>
      <c r="J8" s="15" t="n">
        <v>6</v>
      </c>
      <c r="K8" s="16" t="n">
        <f aca="false">J8/49</f>
        <v>0.122448979591837</v>
      </c>
      <c r="L8" s="17" t="n">
        <f aca="false">H8/(0.25+K8)</f>
        <v>2.27186512118019</v>
      </c>
    </row>
    <row r="9" customFormat="false" ht="15" hidden="false" customHeight="false" outlineLevel="0" collapsed="false">
      <c r="A9" s="7" t="n">
        <v>5</v>
      </c>
      <c r="B9" s="8" t="s">
        <v>170</v>
      </c>
      <c r="C9" s="7" t="s">
        <v>63</v>
      </c>
      <c r="D9" s="7" t="s">
        <v>69</v>
      </c>
      <c r="E9" s="7" t="s">
        <v>77</v>
      </c>
      <c r="F9" s="7" t="s">
        <v>277</v>
      </c>
      <c r="G9" s="15" t="n">
        <v>22</v>
      </c>
      <c r="H9" s="16" t="n">
        <f aca="false">G9/26</f>
        <v>0.846153846153846</v>
      </c>
      <c r="I9" s="15" t="n">
        <v>45</v>
      </c>
      <c r="J9" s="15" t="n">
        <v>9</v>
      </c>
      <c r="K9" s="16" t="n">
        <f aca="false">J9/49</f>
        <v>0.183673469387755</v>
      </c>
      <c r="L9" s="17" t="n">
        <f aca="false">H9/(0.25+K9)</f>
        <v>1.95113122171946</v>
      </c>
    </row>
    <row r="10" customFormat="false" ht="15" hidden="false" customHeight="false" outlineLevel="0" collapsed="false">
      <c r="A10" s="7" t="n">
        <v>6</v>
      </c>
      <c r="B10" s="8" t="s">
        <v>137</v>
      </c>
      <c r="C10" s="7" t="s">
        <v>61</v>
      </c>
      <c r="D10" s="7" t="s">
        <v>69</v>
      </c>
      <c r="E10" s="7" t="s">
        <v>77</v>
      </c>
      <c r="F10" s="7" t="s">
        <v>274</v>
      </c>
      <c r="G10" s="15" t="n">
        <v>22</v>
      </c>
      <c r="H10" s="16" t="n">
        <f aca="false">G10/26</f>
        <v>0.846153846153846</v>
      </c>
      <c r="I10" s="15" t="n">
        <v>43</v>
      </c>
      <c r="J10" s="15" t="n">
        <v>16</v>
      </c>
      <c r="K10" s="16" t="n">
        <f aca="false">J10/49</f>
        <v>0.326530612244898</v>
      </c>
      <c r="L10" s="17" t="n">
        <f aca="false">H10/(0.25+K10)</f>
        <v>1.46766507828455</v>
      </c>
    </row>
    <row r="11" customFormat="false" ht="15" hidden="false" customHeight="false" outlineLevel="0" collapsed="false">
      <c r="A11" s="7" t="n">
        <v>7</v>
      </c>
      <c r="B11" s="8" t="s">
        <v>76</v>
      </c>
      <c r="C11" s="7" t="s">
        <v>59</v>
      </c>
      <c r="D11" s="7"/>
      <c r="E11" s="7" t="s">
        <v>77</v>
      </c>
      <c r="F11" s="7" t="s">
        <v>278</v>
      </c>
      <c r="G11" s="15" t="n">
        <v>21</v>
      </c>
      <c r="H11" s="16" t="n">
        <f aca="false">G11/26</f>
        <v>0.807692307692308</v>
      </c>
      <c r="I11" s="15" t="n">
        <v>44</v>
      </c>
      <c r="J11" s="15" t="n">
        <v>3</v>
      </c>
      <c r="K11" s="16" t="n">
        <f aca="false">J11/49</f>
        <v>0.0612244897959184</v>
      </c>
      <c r="L11" s="17" t="n">
        <f aca="false">H11/(0.25+K11)</f>
        <v>2.59520807061791</v>
      </c>
    </row>
    <row r="12" customFormat="false" ht="15" hidden="false" customHeight="false" outlineLevel="0" collapsed="false">
      <c r="A12" s="7" t="n">
        <v>8</v>
      </c>
      <c r="B12" s="8" t="s">
        <v>119</v>
      </c>
      <c r="C12" s="7" t="s">
        <v>61</v>
      </c>
      <c r="D12" s="7" t="s">
        <v>68</v>
      </c>
      <c r="E12" s="7" t="s">
        <v>77</v>
      </c>
      <c r="F12" s="7" t="s">
        <v>279</v>
      </c>
      <c r="G12" s="15" t="n">
        <v>21</v>
      </c>
      <c r="H12" s="16" t="n">
        <f aca="false">G12/26</f>
        <v>0.807692307692308</v>
      </c>
      <c r="I12" s="15" t="n">
        <v>44</v>
      </c>
      <c r="J12" s="15" t="n">
        <v>18</v>
      </c>
      <c r="K12" s="16" t="n">
        <f aca="false">J12/49</f>
        <v>0.36734693877551</v>
      </c>
      <c r="L12" s="17" t="n">
        <f aca="false">H12/(0.25+K12)</f>
        <v>1.30832803560076</v>
      </c>
    </row>
    <row r="13" customFormat="false" ht="15" hidden="false" customHeight="false" outlineLevel="0" collapsed="false">
      <c r="A13" s="7" t="n">
        <v>9</v>
      </c>
      <c r="B13" s="8" t="s">
        <v>145</v>
      </c>
      <c r="C13" s="7" t="s">
        <v>64</v>
      </c>
      <c r="D13" s="7" t="s">
        <v>68</v>
      </c>
      <c r="E13" s="7" t="s">
        <v>77</v>
      </c>
      <c r="F13" s="7" t="s">
        <v>280</v>
      </c>
      <c r="G13" s="15" t="n">
        <v>21</v>
      </c>
      <c r="H13" s="16" t="n">
        <f aca="false">G13/26</f>
        <v>0.807692307692308</v>
      </c>
      <c r="I13" s="15" t="n">
        <v>43</v>
      </c>
      <c r="J13" s="15" t="n">
        <v>17</v>
      </c>
      <c r="K13" s="16" t="n">
        <f aca="false">J13/49</f>
        <v>0.346938775510204</v>
      </c>
      <c r="L13" s="17" t="n">
        <f aca="false">H13/(0.25+K13)</f>
        <v>1.35305719921105</v>
      </c>
    </row>
    <row r="14" customFormat="false" ht="15" hidden="false" customHeight="false" outlineLevel="0" collapsed="false">
      <c r="A14" s="7" t="n">
        <v>10</v>
      </c>
      <c r="B14" s="8" t="s">
        <v>199</v>
      </c>
      <c r="C14" s="7" t="s">
        <v>62</v>
      </c>
      <c r="D14" s="7" t="s">
        <v>68</v>
      </c>
      <c r="E14" s="7" t="s">
        <v>77</v>
      </c>
      <c r="F14" s="7" t="s">
        <v>281</v>
      </c>
      <c r="G14" s="15" t="n">
        <v>21</v>
      </c>
      <c r="H14" s="16" t="n">
        <f aca="false">G14/26</f>
        <v>0.807692307692308</v>
      </c>
      <c r="I14" s="15" t="n">
        <v>38</v>
      </c>
      <c r="J14" s="15" t="n">
        <v>9</v>
      </c>
      <c r="K14" s="16" t="n">
        <f aca="false">J14/49</f>
        <v>0.183673469387755</v>
      </c>
      <c r="L14" s="17" t="n">
        <f aca="false">H14/(0.25+K14)</f>
        <v>1.86244343891403</v>
      </c>
    </row>
    <row r="15" customFormat="false" ht="15" hidden="false" customHeight="false" outlineLevel="0" collapsed="false">
      <c r="A15" s="7" t="n">
        <v>11</v>
      </c>
      <c r="B15" s="8" t="s">
        <v>104</v>
      </c>
      <c r="C15" s="7" t="s">
        <v>59</v>
      </c>
      <c r="D15" s="7"/>
      <c r="E15" s="7" t="s">
        <v>77</v>
      </c>
      <c r="F15" s="7" t="s">
        <v>278</v>
      </c>
      <c r="G15" s="15" t="n">
        <v>20</v>
      </c>
      <c r="H15" s="16" t="n">
        <f aca="false">G15/26</f>
        <v>0.769230769230769</v>
      </c>
      <c r="I15" s="15" t="n">
        <v>43</v>
      </c>
      <c r="J15" s="15" t="n">
        <v>20</v>
      </c>
      <c r="K15" s="16" t="n">
        <f aca="false">J15/49</f>
        <v>0.408163265306122</v>
      </c>
      <c r="L15" s="17" t="n">
        <f aca="false">H15/(0.25+K15)</f>
        <v>1.16875372689326</v>
      </c>
    </row>
    <row r="16" customFormat="false" ht="15" hidden="false" customHeight="false" outlineLevel="0" collapsed="false">
      <c r="A16" s="7" t="n">
        <v>12</v>
      </c>
      <c r="B16" s="8" t="s">
        <v>81</v>
      </c>
      <c r="C16" s="7" t="s">
        <v>66</v>
      </c>
      <c r="D16" s="7" t="s">
        <v>67</v>
      </c>
      <c r="E16" s="7" t="s">
        <v>77</v>
      </c>
      <c r="F16" s="7" t="s">
        <v>282</v>
      </c>
      <c r="G16" s="15" t="n">
        <v>20</v>
      </c>
      <c r="H16" s="16" t="n">
        <f aca="false">G16/26</f>
        <v>0.769230769230769</v>
      </c>
      <c r="I16" s="15" t="n">
        <v>43</v>
      </c>
      <c r="J16" s="15" t="n">
        <v>27</v>
      </c>
      <c r="K16" s="16" t="n">
        <f aca="false">J16/49</f>
        <v>0.551020408163265</v>
      </c>
      <c r="L16" s="17" t="n">
        <f aca="false">H16/(0.25+K16)</f>
        <v>0.96031357177854</v>
      </c>
    </row>
    <row r="17" customFormat="false" ht="15" hidden="false" customHeight="false" outlineLevel="0" collapsed="false">
      <c r="A17" s="7" t="n">
        <v>13</v>
      </c>
      <c r="B17" s="8" t="s">
        <v>78</v>
      </c>
      <c r="C17" s="7" t="s">
        <v>66</v>
      </c>
      <c r="D17" s="7" t="s">
        <v>67</v>
      </c>
      <c r="E17" s="7" t="s">
        <v>77</v>
      </c>
      <c r="F17" s="7" t="s">
        <v>283</v>
      </c>
      <c r="G17" s="15" t="n">
        <v>20</v>
      </c>
      <c r="H17" s="16" t="n">
        <f aca="false">G17/26</f>
        <v>0.769230769230769</v>
      </c>
      <c r="I17" s="15" t="n">
        <v>43</v>
      </c>
      <c r="J17" s="15" t="n">
        <v>29</v>
      </c>
      <c r="K17" s="16" t="n">
        <f aca="false">J17/49</f>
        <v>0.591836734693878</v>
      </c>
      <c r="L17" s="17" t="n">
        <f aca="false">H17/(0.25+K17)</f>
        <v>0.913752913752914</v>
      </c>
    </row>
    <row r="18" customFormat="false" ht="15" hidden="false" customHeight="false" outlineLevel="0" collapsed="false">
      <c r="A18" s="7" t="n">
        <v>14</v>
      </c>
      <c r="B18" s="8" t="s">
        <v>89</v>
      </c>
      <c r="C18" s="7" t="s">
        <v>61</v>
      </c>
      <c r="D18" s="7" t="s">
        <v>69</v>
      </c>
      <c r="E18" s="7" t="s">
        <v>77</v>
      </c>
      <c r="F18" s="7" t="s">
        <v>284</v>
      </c>
      <c r="G18" s="15" t="n">
        <v>20</v>
      </c>
      <c r="H18" s="16" t="n">
        <f aca="false">G18/26</f>
        <v>0.769230769230769</v>
      </c>
      <c r="I18" s="15" t="n">
        <v>42</v>
      </c>
      <c r="J18" s="15" t="n">
        <v>13</v>
      </c>
      <c r="K18" s="16" t="n">
        <f aca="false">J18/49</f>
        <v>0.26530612244898</v>
      </c>
      <c r="L18" s="17" t="n">
        <f aca="false">H18/(0.25+K18)</f>
        <v>1.49276466108149</v>
      </c>
    </row>
    <row r="19" customFormat="false" ht="15" hidden="false" customHeight="false" outlineLevel="0" collapsed="false">
      <c r="A19" s="7" t="n">
        <v>15</v>
      </c>
      <c r="B19" s="8" t="s">
        <v>124</v>
      </c>
      <c r="C19" s="7" t="s">
        <v>65</v>
      </c>
      <c r="D19" s="7"/>
      <c r="E19" s="7" t="s">
        <v>97</v>
      </c>
      <c r="F19" s="7" t="s">
        <v>285</v>
      </c>
      <c r="G19" s="15" t="n">
        <v>20</v>
      </c>
      <c r="H19" s="16" t="n">
        <f aca="false">G19/26</f>
        <v>0.769230769230769</v>
      </c>
      <c r="I19" s="15" t="n">
        <v>42</v>
      </c>
      <c r="J19" s="15" t="n">
        <v>20</v>
      </c>
      <c r="K19" s="16" t="n">
        <f aca="false">J19/49</f>
        <v>0.408163265306122</v>
      </c>
      <c r="L19" s="17" t="n">
        <f aca="false">H19/(0.25+K19)</f>
        <v>1.16875372689326</v>
      </c>
    </row>
    <row r="20" customFormat="false" ht="15" hidden="false" customHeight="false" outlineLevel="0" collapsed="false">
      <c r="A20" s="7" t="n">
        <v>16</v>
      </c>
      <c r="B20" s="8" t="s">
        <v>130</v>
      </c>
      <c r="C20" s="7" t="s">
        <v>71</v>
      </c>
      <c r="D20" s="7" t="s">
        <v>67</v>
      </c>
      <c r="E20" s="7" t="s">
        <v>77</v>
      </c>
      <c r="F20" s="7" t="s">
        <v>286</v>
      </c>
      <c r="G20" s="15" t="n">
        <v>20</v>
      </c>
      <c r="H20" s="16" t="n">
        <f aca="false">G20/26</f>
        <v>0.769230769230769</v>
      </c>
      <c r="I20" s="15" t="n">
        <v>42</v>
      </c>
      <c r="J20" s="15" t="n">
        <v>40</v>
      </c>
      <c r="K20" s="16" t="n">
        <f aca="false">J20/49</f>
        <v>0.816326530612245</v>
      </c>
      <c r="L20" s="17" t="n">
        <f aca="false">H20/(0.25+K20)</f>
        <v>0.721383879278616</v>
      </c>
    </row>
    <row r="21" customFormat="false" ht="15" hidden="false" customHeight="false" outlineLevel="0" collapsed="false">
      <c r="A21" s="7" t="n">
        <v>17</v>
      </c>
      <c r="B21" s="8" t="s">
        <v>94</v>
      </c>
      <c r="C21" s="7" t="s">
        <v>61</v>
      </c>
      <c r="D21" s="7" t="s">
        <v>65</v>
      </c>
      <c r="E21" s="7" t="s">
        <v>77</v>
      </c>
      <c r="F21" s="7" t="s">
        <v>287</v>
      </c>
      <c r="G21" s="15" t="n">
        <v>20</v>
      </c>
      <c r="H21" s="16" t="n">
        <f aca="false">G21/26</f>
        <v>0.769230769230769</v>
      </c>
      <c r="I21" s="15" t="n">
        <v>41</v>
      </c>
      <c r="J21" s="15" t="n">
        <v>24</v>
      </c>
      <c r="K21" s="16" t="n">
        <f aca="false">J21/49</f>
        <v>0.489795918367347</v>
      </c>
      <c r="L21" s="17" t="n">
        <f aca="false">H21/(0.25+K21)</f>
        <v>1.03978779840849</v>
      </c>
    </row>
    <row r="22" customFormat="false" ht="15" hidden="false" customHeight="false" outlineLevel="0" collapsed="false">
      <c r="A22" s="7" t="n">
        <v>18</v>
      </c>
      <c r="B22" s="8" t="s">
        <v>85</v>
      </c>
      <c r="C22" s="7" t="s">
        <v>59</v>
      </c>
      <c r="D22" s="7"/>
      <c r="E22" s="7" t="s">
        <v>77</v>
      </c>
      <c r="F22" s="7" t="s">
        <v>288</v>
      </c>
      <c r="G22" s="15" t="n">
        <v>20</v>
      </c>
      <c r="H22" s="16" t="n">
        <f aca="false">G22/26</f>
        <v>0.769230769230769</v>
      </c>
      <c r="I22" s="15" t="n">
        <v>36</v>
      </c>
      <c r="J22" s="15" t="n">
        <v>36</v>
      </c>
      <c r="K22" s="16" t="n">
        <f aca="false">J22/49</f>
        <v>0.73469387755102</v>
      </c>
      <c r="L22" s="17" t="n">
        <f aca="false">H22/(0.25+K22)</f>
        <v>0.781187724192906</v>
      </c>
    </row>
    <row r="23" customFormat="false" ht="15" hidden="false" customHeight="false" outlineLevel="0" collapsed="false">
      <c r="A23" s="7" t="n">
        <v>19</v>
      </c>
      <c r="B23" s="8" t="s">
        <v>116</v>
      </c>
      <c r="C23" s="7" t="s">
        <v>73</v>
      </c>
      <c r="D23" s="7" t="s">
        <v>68</v>
      </c>
      <c r="E23" s="7" t="s">
        <v>77</v>
      </c>
      <c r="F23" s="7" t="s">
        <v>289</v>
      </c>
      <c r="G23" s="15" t="n">
        <v>19</v>
      </c>
      <c r="H23" s="16" t="n">
        <f aca="false">G23/26</f>
        <v>0.730769230769231</v>
      </c>
      <c r="I23" s="15" t="n">
        <v>42</v>
      </c>
      <c r="J23" s="15" t="n">
        <v>15</v>
      </c>
      <c r="K23" s="16" t="n">
        <f aca="false">J23/49</f>
        <v>0.306122448979592</v>
      </c>
      <c r="L23" s="17" t="n">
        <f aca="false">H23/(0.25+K23)</f>
        <v>1.31404375441073</v>
      </c>
    </row>
    <row r="24" customFormat="false" ht="15" hidden="false" customHeight="false" outlineLevel="0" collapsed="false">
      <c r="A24" s="7" t="n">
        <v>20</v>
      </c>
      <c r="B24" s="8" t="s">
        <v>146</v>
      </c>
      <c r="C24" s="7" t="s">
        <v>69</v>
      </c>
      <c r="D24" s="7"/>
      <c r="E24" s="7" t="s">
        <v>97</v>
      </c>
      <c r="F24" s="7" t="s">
        <v>290</v>
      </c>
      <c r="G24" s="15" t="n">
        <v>19</v>
      </c>
      <c r="H24" s="16" t="n">
        <f aca="false">G24/26</f>
        <v>0.730769230769231</v>
      </c>
      <c r="I24" s="15" t="n">
        <v>40</v>
      </c>
      <c r="J24" s="15" t="n">
        <v>22</v>
      </c>
      <c r="K24" s="16" t="n">
        <f aca="false">J24/49</f>
        <v>0.448979591836735</v>
      </c>
      <c r="L24" s="17" t="n">
        <f aca="false">H24/(0.25+K24)</f>
        <v>1.04548006737788</v>
      </c>
    </row>
    <row r="25" customFormat="false" ht="15" hidden="false" customHeight="false" outlineLevel="0" collapsed="false">
      <c r="A25" s="7" t="n">
        <v>21</v>
      </c>
      <c r="B25" s="8" t="s">
        <v>128</v>
      </c>
      <c r="C25" s="7" t="s">
        <v>61</v>
      </c>
      <c r="D25" s="7" t="s">
        <v>66</v>
      </c>
      <c r="E25" s="7" t="s">
        <v>77</v>
      </c>
      <c r="F25" s="7" t="s">
        <v>291</v>
      </c>
      <c r="G25" s="15" t="n">
        <v>19</v>
      </c>
      <c r="H25" s="16" t="n">
        <f aca="false">G25/26</f>
        <v>0.730769230769231</v>
      </c>
      <c r="I25" s="15" t="n">
        <v>40</v>
      </c>
      <c r="J25" s="15" t="n">
        <v>23</v>
      </c>
      <c r="K25" s="16" t="n">
        <f aca="false">J25/49</f>
        <v>0.469387755102041</v>
      </c>
      <c r="L25" s="17" t="n">
        <f aca="false">H25/(0.25+K25)</f>
        <v>1.01582105837425</v>
      </c>
    </row>
    <row r="26" customFormat="false" ht="15" hidden="false" customHeight="false" outlineLevel="0" collapsed="false">
      <c r="A26" s="7" t="n">
        <v>22</v>
      </c>
      <c r="B26" s="8" t="s">
        <v>178</v>
      </c>
      <c r="C26" s="7" t="s">
        <v>60</v>
      </c>
      <c r="D26" s="7" t="s">
        <v>68</v>
      </c>
      <c r="E26" s="7" t="s">
        <v>77</v>
      </c>
      <c r="F26" s="7" t="s">
        <v>292</v>
      </c>
      <c r="G26" s="15" t="n">
        <v>19</v>
      </c>
      <c r="H26" s="16" t="n">
        <f aca="false">G26/26</f>
        <v>0.730769230769231</v>
      </c>
      <c r="I26" s="15" t="n">
        <v>38</v>
      </c>
      <c r="J26" s="15" t="n">
        <v>21</v>
      </c>
      <c r="K26" s="16" t="n">
        <f aca="false">J26/49</f>
        <v>0.428571428571429</v>
      </c>
      <c r="L26" s="17" t="n">
        <f aca="false">H26/(0.25+K26)</f>
        <v>1.07692307692308</v>
      </c>
    </row>
    <row r="27" customFormat="false" ht="15" hidden="false" customHeight="false" outlineLevel="0" collapsed="false">
      <c r="A27" s="7" t="n">
        <v>23</v>
      </c>
      <c r="B27" s="8" t="s">
        <v>88</v>
      </c>
      <c r="C27" s="7" t="s">
        <v>59</v>
      </c>
      <c r="D27" s="7"/>
      <c r="E27" s="7" t="s">
        <v>77</v>
      </c>
      <c r="F27" s="7" t="s">
        <v>278</v>
      </c>
      <c r="G27" s="15" t="n">
        <v>19</v>
      </c>
      <c r="H27" s="16" t="n">
        <f aca="false">G27/26</f>
        <v>0.730769230769231</v>
      </c>
      <c r="I27" s="15" t="n">
        <v>38</v>
      </c>
      <c r="J27" s="15" t="n">
        <v>21</v>
      </c>
      <c r="K27" s="16" t="n">
        <f aca="false">J27/49</f>
        <v>0.428571428571429</v>
      </c>
      <c r="L27" s="17" t="n">
        <f aca="false">H27/(0.25+K27)</f>
        <v>1.07692307692308</v>
      </c>
    </row>
    <row r="28" customFormat="false" ht="15" hidden="false" customHeight="false" outlineLevel="0" collapsed="false">
      <c r="A28" s="7" t="n">
        <v>24</v>
      </c>
      <c r="B28" s="8" t="s">
        <v>96</v>
      </c>
      <c r="C28" s="7" t="s">
        <v>72</v>
      </c>
      <c r="D28" s="7" t="s">
        <v>66</v>
      </c>
      <c r="E28" s="7" t="s">
        <v>97</v>
      </c>
      <c r="F28" s="7" t="s">
        <v>293</v>
      </c>
      <c r="G28" s="15" t="n">
        <v>19</v>
      </c>
      <c r="H28" s="16" t="n">
        <f aca="false">G28/26</f>
        <v>0.730769230769231</v>
      </c>
      <c r="I28" s="15" t="n">
        <v>37</v>
      </c>
      <c r="J28" s="15" t="n">
        <v>23</v>
      </c>
      <c r="K28" s="16" t="n">
        <f aca="false">J28/49</f>
        <v>0.469387755102041</v>
      </c>
      <c r="L28" s="17" t="n">
        <f aca="false">H28/(0.25+K28)</f>
        <v>1.01582105837425</v>
      </c>
    </row>
    <row r="29" customFormat="false" ht="15" hidden="false" customHeight="false" outlineLevel="0" collapsed="false">
      <c r="A29" s="7" t="n">
        <v>25</v>
      </c>
      <c r="B29" s="8" t="s">
        <v>101</v>
      </c>
      <c r="C29" s="7" t="s">
        <v>67</v>
      </c>
      <c r="D29" s="7"/>
      <c r="E29" s="7" t="s">
        <v>77</v>
      </c>
      <c r="F29" s="7" t="s">
        <v>294</v>
      </c>
      <c r="G29" s="15" t="n">
        <v>18</v>
      </c>
      <c r="H29" s="16" t="n">
        <f aca="false">G29/26</f>
        <v>0.692307692307692</v>
      </c>
      <c r="I29" s="15" t="n">
        <v>40</v>
      </c>
      <c r="J29" s="15" t="n">
        <v>32</v>
      </c>
      <c r="K29" s="16" t="n">
        <f aca="false">J29/49</f>
        <v>0.653061224489796</v>
      </c>
      <c r="L29" s="17" t="n">
        <f aca="false">H29/(0.25+K29)</f>
        <v>0.766623207301173</v>
      </c>
    </row>
    <row r="30" customFormat="false" ht="15" hidden="false" customHeight="false" outlineLevel="0" collapsed="false">
      <c r="A30" s="7" t="n">
        <v>26</v>
      </c>
      <c r="B30" s="8" t="s">
        <v>112</v>
      </c>
      <c r="C30" s="7" t="s">
        <v>67</v>
      </c>
      <c r="D30" s="7" t="s">
        <v>71</v>
      </c>
      <c r="E30" s="7" t="s">
        <v>77</v>
      </c>
      <c r="F30" s="7" t="s">
        <v>295</v>
      </c>
      <c r="G30" s="15" t="n">
        <v>18</v>
      </c>
      <c r="H30" s="16" t="n">
        <f aca="false">G30/26</f>
        <v>0.692307692307692</v>
      </c>
      <c r="I30" s="15" t="n">
        <v>40</v>
      </c>
      <c r="J30" s="15" t="n">
        <v>40</v>
      </c>
      <c r="K30" s="16" t="n">
        <f aca="false">J30/49</f>
        <v>0.816326530612245</v>
      </c>
      <c r="L30" s="17" t="n">
        <f aca="false">H30/(0.25+K30)</f>
        <v>0.649245491350755</v>
      </c>
    </row>
    <row r="31" customFormat="false" ht="15" hidden="false" customHeight="false" outlineLevel="0" collapsed="false">
      <c r="A31" s="7" t="n">
        <v>27</v>
      </c>
      <c r="B31" s="8" t="s">
        <v>134</v>
      </c>
      <c r="C31" s="7" t="s">
        <v>71</v>
      </c>
      <c r="D31" s="7" t="s">
        <v>67</v>
      </c>
      <c r="E31" s="7" t="s">
        <v>77</v>
      </c>
      <c r="F31" s="7" t="s">
        <v>296</v>
      </c>
      <c r="G31" s="15" t="n">
        <v>18</v>
      </c>
      <c r="H31" s="16" t="n">
        <f aca="false">G31/26</f>
        <v>0.692307692307692</v>
      </c>
      <c r="I31" s="15" t="n">
        <v>40</v>
      </c>
      <c r="J31" s="15" t="n">
        <v>46</v>
      </c>
      <c r="K31" s="16" t="n">
        <f aca="false">J31/49</f>
        <v>0.938775510204082</v>
      </c>
      <c r="L31" s="17" t="n">
        <f aca="false">H31/(0.25+K31)</f>
        <v>0.58237041928029</v>
      </c>
    </row>
    <row r="32" customFormat="false" ht="15" hidden="false" customHeight="false" outlineLevel="0" collapsed="false">
      <c r="A32" s="7" t="n">
        <v>28</v>
      </c>
      <c r="B32" s="8" t="s">
        <v>109</v>
      </c>
      <c r="C32" s="7" t="s">
        <v>61</v>
      </c>
      <c r="D32" s="7"/>
      <c r="E32" s="7" t="s">
        <v>77</v>
      </c>
      <c r="F32" s="7" t="s">
        <v>297</v>
      </c>
      <c r="G32" s="15" t="n">
        <v>18</v>
      </c>
      <c r="H32" s="16" t="n">
        <f aca="false">G32/26</f>
        <v>0.692307692307692</v>
      </c>
      <c r="I32" s="15" t="n">
        <v>39</v>
      </c>
      <c r="J32" s="15" t="n">
        <v>16</v>
      </c>
      <c r="K32" s="16" t="n">
        <f aca="false">J32/49</f>
        <v>0.326530612244898</v>
      </c>
      <c r="L32" s="17" t="n">
        <f aca="false">H32/(0.25+K32)</f>
        <v>1.20081688223281</v>
      </c>
    </row>
    <row r="33" customFormat="false" ht="15" hidden="false" customHeight="false" outlineLevel="0" collapsed="false">
      <c r="A33" s="7" t="n">
        <v>29</v>
      </c>
      <c r="B33" s="8" t="s">
        <v>157</v>
      </c>
      <c r="C33" s="7" t="s">
        <v>71</v>
      </c>
      <c r="D33" s="7" t="s">
        <v>61</v>
      </c>
      <c r="E33" s="7" t="s">
        <v>77</v>
      </c>
      <c r="F33" s="7" t="s">
        <v>298</v>
      </c>
      <c r="G33" s="15" t="n">
        <v>18</v>
      </c>
      <c r="H33" s="16" t="n">
        <f aca="false">G33/26</f>
        <v>0.692307692307692</v>
      </c>
      <c r="I33" s="15" t="n">
        <v>39</v>
      </c>
      <c r="J33" s="15" t="n">
        <v>21</v>
      </c>
      <c r="K33" s="16" t="n">
        <f aca="false">J33/49</f>
        <v>0.428571428571429</v>
      </c>
      <c r="L33" s="17" t="n">
        <f aca="false">H33/(0.25+K33)</f>
        <v>1.02024291497976</v>
      </c>
    </row>
    <row r="34" customFormat="false" ht="15" hidden="false" customHeight="false" outlineLevel="0" collapsed="false">
      <c r="A34" s="7" t="n">
        <v>30</v>
      </c>
      <c r="B34" s="8" t="s">
        <v>79</v>
      </c>
      <c r="C34" s="7" t="s">
        <v>59</v>
      </c>
      <c r="D34" s="7"/>
      <c r="E34" s="7" t="s">
        <v>77</v>
      </c>
      <c r="F34" s="7" t="s">
        <v>278</v>
      </c>
      <c r="G34" s="15" t="n">
        <v>18</v>
      </c>
      <c r="H34" s="16" t="n">
        <f aca="false">G34/26</f>
        <v>0.692307692307692</v>
      </c>
      <c r="I34" s="15" t="n">
        <v>39</v>
      </c>
      <c r="J34" s="15" t="n">
        <v>25</v>
      </c>
      <c r="K34" s="16" t="n">
        <f aca="false">J34/49</f>
        <v>0.510204081632653</v>
      </c>
      <c r="L34" s="17" t="n">
        <f aca="false">H34/(0.25+K34)</f>
        <v>0.910686628807434</v>
      </c>
    </row>
    <row r="35" customFormat="false" ht="15" hidden="false" customHeight="false" outlineLevel="0" collapsed="false">
      <c r="A35" s="7" t="n">
        <v>31</v>
      </c>
      <c r="B35" s="8" t="s">
        <v>162</v>
      </c>
      <c r="C35" s="7" t="s">
        <v>69</v>
      </c>
      <c r="D35" s="7"/>
      <c r="E35" s="7" t="s">
        <v>77</v>
      </c>
      <c r="F35" s="7" t="s">
        <v>290</v>
      </c>
      <c r="G35" s="15" t="n">
        <v>18</v>
      </c>
      <c r="H35" s="16" t="n">
        <f aca="false">G35/26</f>
        <v>0.692307692307692</v>
      </c>
      <c r="I35" s="15" t="n">
        <v>38</v>
      </c>
      <c r="J35" s="15" t="n">
        <v>2</v>
      </c>
      <c r="K35" s="16" t="n">
        <f aca="false">J35/49</f>
        <v>0.0408163265306122</v>
      </c>
      <c r="L35" s="17" t="n">
        <f aca="false">H35/(0.25+K35)</f>
        <v>2.38056680161943</v>
      </c>
    </row>
    <row r="36" customFormat="false" ht="15" hidden="false" customHeight="false" outlineLevel="0" collapsed="false">
      <c r="A36" s="7" t="n">
        <v>32</v>
      </c>
      <c r="B36" s="8" t="s">
        <v>86</v>
      </c>
      <c r="C36" s="7" t="s">
        <v>59</v>
      </c>
      <c r="D36" s="7"/>
      <c r="E36" s="7" t="s">
        <v>77</v>
      </c>
      <c r="F36" s="7" t="s">
        <v>274</v>
      </c>
      <c r="G36" s="15" t="n">
        <v>18</v>
      </c>
      <c r="H36" s="16" t="n">
        <f aca="false">G36/26</f>
        <v>0.692307692307692</v>
      </c>
      <c r="I36" s="15" t="n">
        <v>38</v>
      </c>
      <c r="J36" s="15" t="n">
        <v>5</v>
      </c>
      <c r="K36" s="16" t="n">
        <f aca="false">J36/49</f>
        <v>0.102040816326531</v>
      </c>
      <c r="L36" s="17" t="n">
        <f aca="false">H36/(0.25+K36)</f>
        <v>1.96655518394649</v>
      </c>
    </row>
    <row r="37" customFormat="false" ht="15" hidden="false" customHeight="false" outlineLevel="0" collapsed="false">
      <c r="A37" s="7" t="n">
        <v>33</v>
      </c>
      <c r="B37" s="8" t="s">
        <v>90</v>
      </c>
      <c r="C37" s="7" t="s">
        <v>61</v>
      </c>
      <c r="D37" s="7" t="s">
        <v>69</v>
      </c>
      <c r="E37" s="7" t="s">
        <v>77</v>
      </c>
      <c r="F37" s="7" t="s">
        <v>284</v>
      </c>
      <c r="G37" s="15" t="n">
        <v>18</v>
      </c>
      <c r="H37" s="16" t="n">
        <f aca="false">G37/26</f>
        <v>0.692307692307692</v>
      </c>
      <c r="I37" s="15" t="n">
        <v>34</v>
      </c>
      <c r="J37" s="15" t="n">
        <v>22</v>
      </c>
      <c r="K37" s="16" t="n">
        <f aca="false">J37/49</f>
        <v>0.448979591836735</v>
      </c>
      <c r="L37" s="17" t="n">
        <f aca="false">H37/(0.25+K37)</f>
        <v>0.990454800673779</v>
      </c>
    </row>
    <row r="38" customFormat="false" ht="15" hidden="false" customHeight="false" outlineLevel="0" collapsed="false">
      <c r="A38" s="7" t="n">
        <v>34</v>
      </c>
      <c r="B38" s="8" t="s">
        <v>92</v>
      </c>
      <c r="C38" s="7" t="s">
        <v>61</v>
      </c>
      <c r="D38" s="7"/>
      <c r="E38" s="7" t="s">
        <v>77</v>
      </c>
      <c r="F38" s="7" t="s">
        <v>284</v>
      </c>
      <c r="G38" s="15" t="n">
        <v>18</v>
      </c>
      <c r="H38" s="16" t="n">
        <f aca="false">G38/26</f>
        <v>0.692307692307692</v>
      </c>
      <c r="I38" s="15" t="n">
        <v>34</v>
      </c>
      <c r="J38" s="15" t="n">
        <v>30</v>
      </c>
      <c r="K38" s="16" t="n">
        <f aca="false">J38/49</f>
        <v>0.612244897959184</v>
      </c>
      <c r="L38" s="17" t="n">
        <f aca="false">H38/(0.25+K38)</f>
        <v>0.802913063268093</v>
      </c>
    </row>
    <row r="39" customFormat="false" ht="15" hidden="false" customHeight="false" outlineLevel="0" collapsed="false">
      <c r="A39" s="7" t="n">
        <v>35</v>
      </c>
      <c r="B39" s="8" t="s">
        <v>126</v>
      </c>
      <c r="C39" s="7" t="s">
        <v>72</v>
      </c>
      <c r="D39" s="7" t="s">
        <v>66</v>
      </c>
      <c r="E39" s="7" t="s">
        <v>77</v>
      </c>
      <c r="F39" s="7" t="s">
        <v>299</v>
      </c>
      <c r="G39" s="15" t="n">
        <v>18</v>
      </c>
      <c r="H39" s="16" t="n">
        <f aca="false">G39/26</f>
        <v>0.692307692307692</v>
      </c>
      <c r="I39" s="15" t="n">
        <v>33</v>
      </c>
      <c r="J39" s="15" t="n">
        <v>30</v>
      </c>
      <c r="K39" s="16" t="n">
        <f aca="false">J39/49</f>
        <v>0.612244897959184</v>
      </c>
      <c r="L39" s="17" t="n">
        <f aca="false">H39/(0.25+K39)</f>
        <v>0.802913063268093</v>
      </c>
    </row>
    <row r="40" customFormat="false" ht="15" hidden="false" customHeight="false" outlineLevel="0" collapsed="false">
      <c r="A40" s="7" t="n">
        <v>36</v>
      </c>
      <c r="B40" s="8" t="s">
        <v>115</v>
      </c>
      <c r="C40" s="7" t="s">
        <v>65</v>
      </c>
      <c r="D40" s="7"/>
      <c r="E40" s="7" t="s">
        <v>77</v>
      </c>
      <c r="F40" s="7" t="s">
        <v>300</v>
      </c>
      <c r="G40" s="15" t="n">
        <v>18</v>
      </c>
      <c r="H40" s="16" t="n">
        <f aca="false">G40/26</f>
        <v>0.692307692307692</v>
      </c>
      <c r="I40" s="15" t="n">
        <v>32</v>
      </c>
      <c r="J40" s="15" t="n">
        <v>34</v>
      </c>
      <c r="K40" s="16" t="n">
        <f aca="false">J40/49</f>
        <v>0.693877551020408</v>
      </c>
      <c r="L40" s="17" t="n">
        <f aca="false">H40/(0.25+K40)</f>
        <v>0.733471933471934</v>
      </c>
    </row>
    <row r="41" customFormat="false" ht="15" hidden="false" customHeight="false" outlineLevel="0" collapsed="false">
      <c r="A41" s="7" t="n">
        <v>37</v>
      </c>
      <c r="B41" s="8" t="s">
        <v>129</v>
      </c>
      <c r="C41" s="7" t="s">
        <v>60</v>
      </c>
      <c r="D41" s="7" t="s">
        <v>68</v>
      </c>
      <c r="E41" s="7" t="s">
        <v>77</v>
      </c>
      <c r="F41" s="7" t="s">
        <v>301</v>
      </c>
      <c r="G41" s="15" t="n">
        <v>17</v>
      </c>
      <c r="H41" s="16" t="n">
        <f aca="false">G41/26</f>
        <v>0.653846153846154</v>
      </c>
      <c r="I41" s="15" t="n">
        <v>39</v>
      </c>
      <c r="J41" s="15" t="n">
        <v>28</v>
      </c>
      <c r="K41" s="16" t="n">
        <f aca="false">J41/49</f>
        <v>0.571428571428571</v>
      </c>
      <c r="L41" s="17" t="n">
        <f aca="false">H41/(0.25+K41)</f>
        <v>0.795986622073579</v>
      </c>
    </row>
    <row r="42" customFormat="false" ht="15" hidden="false" customHeight="false" outlineLevel="0" collapsed="false">
      <c r="A42" s="7" t="n">
        <v>38</v>
      </c>
      <c r="B42" s="8" t="s">
        <v>127</v>
      </c>
      <c r="C42" s="7" t="s">
        <v>67</v>
      </c>
      <c r="D42" s="7"/>
      <c r="E42" s="7" t="s">
        <v>77</v>
      </c>
      <c r="F42" s="7" t="s">
        <v>302</v>
      </c>
      <c r="G42" s="15" t="n">
        <v>17</v>
      </c>
      <c r="H42" s="16" t="n">
        <f aca="false">G42/26</f>
        <v>0.653846153846154</v>
      </c>
      <c r="I42" s="15" t="n">
        <v>39</v>
      </c>
      <c r="J42" s="15" t="n">
        <v>29</v>
      </c>
      <c r="K42" s="16" t="n">
        <f aca="false">J42/49</f>
        <v>0.591836734693878</v>
      </c>
      <c r="L42" s="17" t="n">
        <f aca="false">H42/(0.25+K42)</f>
        <v>0.776689976689977</v>
      </c>
    </row>
    <row r="43" customFormat="false" ht="15" hidden="false" customHeight="false" outlineLevel="0" collapsed="false">
      <c r="A43" s="7" t="n">
        <v>39</v>
      </c>
      <c r="B43" s="8" t="s">
        <v>188</v>
      </c>
      <c r="C43" s="7" t="s">
        <v>61</v>
      </c>
      <c r="D43" s="7"/>
      <c r="E43" s="7" t="s">
        <v>77</v>
      </c>
      <c r="F43" s="7" t="s">
        <v>303</v>
      </c>
      <c r="G43" s="15" t="n">
        <v>17</v>
      </c>
      <c r="H43" s="16" t="n">
        <f aca="false">G43/26</f>
        <v>0.653846153846154</v>
      </c>
      <c r="I43" s="15" t="n">
        <v>38</v>
      </c>
      <c r="J43" s="15" t="n">
        <v>3</v>
      </c>
      <c r="K43" s="16" t="n">
        <f aca="false">J43/49</f>
        <v>0.0612244897959184</v>
      </c>
      <c r="L43" s="17" t="n">
        <f aca="false">H43/(0.25+K43)</f>
        <v>2.10088272383354</v>
      </c>
    </row>
    <row r="44" customFormat="false" ht="15" hidden="false" customHeight="false" outlineLevel="0" collapsed="false">
      <c r="A44" s="7" t="n">
        <v>40</v>
      </c>
      <c r="B44" s="8" t="s">
        <v>153</v>
      </c>
      <c r="C44" s="7" t="s">
        <v>69</v>
      </c>
      <c r="D44" s="7"/>
      <c r="E44" s="7" t="s">
        <v>77</v>
      </c>
      <c r="F44" s="7" t="s">
        <v>304</v>
      </c>
      <c r="G44" s="15" t="n">
        <v>17</v>
      </c>
      <c r="H44" s="16" t="n">
        <f aca="false">G44/26</f>
        <v>0.653846153846154</v>
      </c>
      <c r="I44" s="15" t="n">
        <v>37</v>
      </c>
      <c r="J44" s="15" t="n">
        <v>41</v>
      </c>
      <c r="K44" s="16" t="n">
        <f aca="false">J44/49</f>
        <v>0.836734693877551</v>
      </c>
      <c r="L44" s="17" t="n">
        <f aca="false">H44/(0.25+K44)</f>
        <v>0.601661249548574</v>
      </c>
    </row>
    <row r="45" customFormat="false" ht="15" hidden="false" customHeight="false" outlineLevel="0" collapsed="false">
      <c r="A45" s="7" t="n">
        <v>41</v>
      </c>
      <c r="B45" s="8" t="s">
        <v>172</v>
      </c>
      <c r="C45" s="7" t="s">
        <v>60</v>
      </c>
      <c r="D45" s="7"/>
      <c r="E45" s="7" t="s">
        <v>77</v>
      </c>
      <c r="F45" s="7" t="s">
        <v>305</v>
      </c>
      <c r="G45" s="15" t="n">
        <v>17</v>
      </c>
      <c r="H45" s="16" t="n">
        <f aca="false">G45/26</f>
        <v>0.653846153846154</v>
      </c>
      <c r="I45" s="15" t="n">
        <v>36</v>
      </c>
      <c r="J45" s="15" t="n">
        <v>22</v>
      </c>
      <c r="K45" s="16" t="n">
        <f aca="false">J45/49</f>
        <v>0.448979591836735</v>
      </c>
      <c r="L45" s="17" t="n">
        <f aca="false">H45/(0.25+K45)</f>
        <v>0.93542953396968</v>
      </c>
    </row>
    <row r="46" customFormat="false" ht="15" hidden="false" customHeight="false" outlineLevel="0" collapsed="false">
      <c r="A46" s="7" t="n">
        <v>42</v>
      </c>
      <c r="B46" s="8" t="s">
        <v>118</v>
      </c>
      <c r="C46" s="7" t="s">
        <v>65</v>
      </c>
      <c r="D46" s="7"/>
      <c r="E46" s="7" t="s">
        <v>77</v>
      </c>
      <c r="F46" s="7" t="s">
        <v>285</v>
      </c>
      <c r="G46" s="15" t="n">
        <v>17</v>
      </c>
      <c r="H46" s="16" t="n">
        <f aca="false">G46/26</f>
        <v>0.653846153846154</v>
      </c>
      <c r="I46" s="15" t="n">
        <v>36</v>
      </c>
      <c r="J46" s="15" t="n">
        <v>29</v>
      </c>
      <c r="K46" s="16" t="n">
        <f aca="false">J46/49</f>
        <v>0.591836734693878</v>
      </c>
      <c r="L46" s="17" t="n">
        <f aca="false">H46/(0.25+K46)</f>
        <v>0.776689976689977</v>
      </c>
    </row>
    <row r="47" customFormat="false" ht="15" hidden="false" customHeight="false" outlineLevel="0" collapsed="false">
      <c r="A47" s="7" t="n">
        <v>43</v>
      </c>
      <c r="B47" s="8" t="s">
        <v>212</v>
      </c>
      <c r="C47" s="7" t="s">
        <v>59</v>
      </c>
      <c r="D47" s="7" t="s">
        <v>68</v>
      </c>
      <c r="E47" s="7" t="s">
        <v>77</v>
      </c>
      <c r="F47" s="7" t="s">
        <v>306</v>
      </c>
      <c r="G47" s="15" t="n">
        <v>17</v>
      </c>
      <c r="H47" s="16" t="n">
        <f aca="false">G47/26</f>
        <v>0.653846153846154</v>
      </c>
      <c r="I47" s="15" t="n">
        <v>35</v>
      </c>
      <c r="J47" s="15" t="n">
        <v>35</v>
      </c>
      <c r="K47" s="16" t="n">
        <f aca="false">J47/49</f>
        <v>0.714285714285714</v>
      </c>
      <c r="L47" s="17" t="n">
        <f aca="false">H47/(0.25+K47)</f>
        <v>0.678062678062678</v>
      </c>
    </row>
    <row r="48" customFormat="false" ht="15" hidden="false" customHeight="false" outlineLevel="0" collapsed="false">
      <c r="A48" s="7" t="n">
        <v>44</v>
      </c>
      <c r="B48" s="8" t="s">
        <v>151</v>
      </c>
      <c r="C48" s="7" t="s">
        <v>59</v>
      </c>
      <c r="D48" s="7"/>
      <c r="E48" s="7" t="s">
        <v>77</v>
      </c>
      <c r="F48" s="7" t="s">
        <v>274</v>
      </c>
      <c r="G48" s="15" t="n">
        <v>17</v>
      </c>
      <c r="H48" s="16" t="n">
        <f aca="false">G48/26</f>
        <v>0.653846153846154</v>
      </c>
      <c r="I48" s="15" t="n">
        <v>34</v>
      </c>
      <c r="J48" s="15" t="n">
        <v>25</v>
      </c>
      <c r="K48" s="16" t="n">
        <f aca="false">J48/49</f>
        <v>0.510204081632653</v>
      </c>
      <c r="L48" s="17" t="n">
        <f aca="false">H48/(0.25+K48)</f>
        <v>0.860092927207021</v>
      </c>
    </row>
    <row r="49" customFormat="false" ht="15" hidden="false" customHeight="false" outlineLevel="0" collapsed="false">
      <c r="A49" s="7" t="n">
        <v>45</v>
      </c>
      <c r="B49" s="8" t="s">
        <v>168</v>
      </c>
      <c r="C49" s="7" t="s">
        <v>62</v>
      </c>
      <c r="D49" s="7"/>
      <c r="E49" s="7" t="s">
        <v>77</v>
      </c>
      <c r="F49" s="7" t="s">
        <v>307</v>
      </c>
      <c r="G49" s="15" t="n">
        <v>17</v>
      </c>
      <c r="H49" s="16" t="n">
        <f aca="false">G49/26</f>
        <v>0.653846153846154</v>
      </c>
      <c r="I49" s="15" t="n">
        <v>29</v>
      </c>
      <c r="J49" s="15" t="n">
        <v>27</v>
      </c>
      <c r="K49" s="16" t="n">
        <f aca="false">J49/49</f>
        <v>0.551020408163265</v>
      </c>
      <c r="L49" s="17" t="n">
        <f aca="false">H49/(0.25+K49)</f>
        <v>0.816266536011759</v>
      </c>
    </row>
    <row r="50" customFormat="false" ht="15" hidden="false" customHeight="false" outlineLevel="0" collapsed="false">
      <c r="A50" s="7" t="n">
        <v>46</v>
      </c>
      <c r="B50" s="8" t="s">
        <v>187</v>
      </c>
      <c r="C50" s="7" t="s">
        <v>61</v>
      </c>
      <c r="D50" s="7" t="s">
        <v>64</v>
      </c>
      <c r="E50" s="7" t="s">
        <v>77</v>
      </c>
      <c r="F50" s="7" t="s">
        <v>308</v>
      </c>
      <c r="G50" s="15" t="n">
        <v>16</v>
      </c>
      <c r="H50" s="16" t="n">
        <f aca="false">G50/26</f>
        <v>0.615384615384615</v>
      </c>
      <c r="I50" s="15" t="n">
        <v>37</v>
      </c>
      <c r="J50" s="15" t="n">
        <v>17</v>
      </c>
      <c r="K50" s="16" t="n">
        <f aca="false">J50/49</f>
        <v>0.346938775510204</v>
      </c>
      <c r="L50" s="17" t="n">
        <f aca="false">H50/(0.25+K50)</f>
        <v>1.03090072320842</v>
      </c>
    </row>
    <row r="51" customFormat="false" ht="15" hidden="false" customHeight="false" outlineLevel="0" collapsed="false">
      <c r="A51" s="7" t="n">
        <v>47</v>
      </c>
      <c r="B51" s="8" t="s">
        <v>95</v>
      </c>
      <c r="C51" s="7" t="s">
        <v>61</v>
      </c>
      <c r="D51" s="7"/>
      <c r="E51" s="7" t="s">
        <v>77</v>
      </c>
      <c r="F51" s="7" t="s">
        <v>309</v>
      </c>
      <c r="G51" s="15" t="n">
        <v>16</v>
      </c>
      <c r="H51" s="16" t="n">
        <f aca="false">G51/26</f>
        <v>0.615384615384615</v>
      </c>
      <c r="I51" s="15" t="n">
        <v>37</v>
      </c>
      <c r="J51" s="15" t="n">
        <v>18</v>
      </c>
      <c r="K51" s="16" t="n">
        <f aca="false">J51/49</f>
        <v>0.36734693877551</v>
      </c>
      <c r="L51" s="17" t="n">
        <f aca="false">H51/(0.25+K51)</f>
        <v>0.996821360457724</v>
      </c>
    </row>
    <row r="52" customFormat="false" ht="15" hidden="false" customHeight="false" outlineLevel="0" collapsed="false">
      <c r="A52" s="7" t="n">
        <v>48</v>
      </c>
      <c r="B52" s="8" t="s">
        <v>194</v>
      </c>
      <c r="C52" s="7" t="s">
        <v>60</v>
      </c>
      <c r="D52" s="7"/>
      <c r="E52" s="7" t="s">
        <v>77</v>
      </c>
      <c r="F52" s="7" t="s">
        <v>310</v>
      </c>
      <c r="G52" s="15" t="n">
        <v>16</v>
      </c>
      <c r="H52" s="16" t="n">
        <f aca="false">G52/26</f>
        <v>0.615384615384615</v>
      </c>
      <c r="I52" s="15" t="n">
        <v>36</v>
      </c>
      <c r="J52" s="15" t="n">
        <v>23</v>
      </c>
      <c r="K52" s="16" t="n">
        <f aca="false">J52/49</f>
        <v>0.469387755102041</v>
      </c>
      <c r="L52" s="17" t="n">
        <f aca="false">H52/(0.25+K52)</f>
        <v>0.855428259683579</v>
      </c>
    </row>
    <row r="53" customFormat="false" ht="15" hidden="false" customHeight="false" outlineLevel="0" collapsed="false">
      <c r="A53" s="7" t="n">
        <v>49</v>
      </c>
      <c r="B53" s="8" t="s">
        <v>105</v>
      </c>
      <c r="C53" s="7" t="s">
        <v>59</v>
      </c>
      <c r="D53" s="7"/>
      <c r="E53" s="7" t="s">
        <v>77</v>
      </c>
      <c r="F53" s="7" t="s">
        <v>311</v>
      </c>
      <c r="G53" s="15" t="n">
        <v>16</v>
      </c>
      <c r="H53" s="16" t="n">
        <f aca="false">G53/26</f>
        <v>0.615384615384615</v>
      </c>
      <c r="I53" s="15" t="n">
        <v>34</v>
      </c>
      <c r="J53" s="15" t="n">
        <v>38</v>
      </c>
      <c r="K53" s="16" t="n">
        <f aca="false">J53/49</f>
        <v>0.775510204081633</v>
      </c>
      <c r="L53" s="17" t="n">
        <f aca="false">H53/(0.25+K53)</f>
        <v>0.600076540375048</v>
      </c>
    </row>
    <row r="54" customFormat="false" ht="15" hidden="false" customHeight="false" outlineLevel="0" collapsed="false">
      <c r="A54" s="7" t="n">
        <v>50</v>
      </c>
      <c r="B54" s="8" t="s">
        <v>136</v>
      </c>
      <c r="C54" s="7" t="s">
        <v>61</v>
      </c>
      <c r="D54" s="7"/>
      <c r="E54" s="7" t="s">
        <v>77</v>
      </c>
      <c r="F54" s="7" t="s">
        <v>312</v>
      </c>
      <c r="G54" s="15" t="n">
        <v>16</v>
      </c>
      <c r="H54" s="16" t="n">
        <f aca="false">G54/26</f>
        <v>0.615384615384615</v>
      </c>
      <c r="I54" s="15" t="n">
        <v>34</v>
      </c>
      <c r="J54" s="15" t="n">
        <v>40</v>
      </c>
      <c r="K54" s="16" t="n">
        <f aca="false">J54/49</f>
        <v>0.816326530612245</v>
      </c>
      <c r="L54" s="17" t="n">
        <f aca="false">H54/(0.25+K54)</f>
        <v>0.577107103422893</v>
      </c>
    </row>
    <row r="55" customFormat="false" ht="15" hidden="false" customHeight="false" outlineLevel="0" collapsed="false">
      <c r="A55" s="7" t="n">
        <v>51</v>
      </c>
      <c r="B55" s="8" t="s">
        <v>213</v>
      </c>
      <c r="C55" s="7" t="s">
        <v>62</v>
      </c>
      <c r="D55" s="7"/>
      <c r="E55" s="7" t="s">
        <v>77</v>
      </c>
      <c r="F55" s="7" t="s">
        <v>313</v>
      </c>
      <c r="G55" s="15" t="n">
        <v>16</v>
      </c>
      <c r="H55" s="16" t="n">
        <f aca="false">G55/26</f>
        <v>0.615384615384615</v>
      </c>
      <c r="I55" s="15" t="n">
        <v>29</v>
      </c>
      <c r="J55" s="15" t="n">
        <v>13</v>
      </c>
      <c r="K55" s="16" t="n">
        <f aca="false">J55/49</f>
        <v>0.26530612244898</v>
      </c>
      <c r="L55" s="17" t="n">
        <f aca="false">H55/(0.25+K55)</f>
        <v>1.19421172886519</v>
      </c>
    </row>
    <row r="56" customFormat="false" ht="15" hidden="false" customHeight="false" outlineLevel="0" collapsed="false">
      <c r="A56" s="7" t="n">
        <v>52</v>
      </c>
      <c r="B56" s="8" t="s">
        <v>191</v>
      </c>
      <c r="C56" s="7" t="s">
        <v>67</v>
      </c>
      <c r="D56" s="7"/>
      <c r="E56" s="7" t="s">
        <v>77</v>
      </c>
      <c r="F56" s="7" t="s">
        <v>314</v>
      </c>
      <c r="G56" s="15" t="n">
        <v>15</v>
      </c>
      <c r="H56" s="16" t="n">
        <f aca="false">G56/26</f>
        <v>0.576923076923077</v>
      </c>
      <c r="I56" s="15" t="n">
        <v>37</v>
      </c>
      <c r="J56" s="15" t="n">
        <v>42</v>
      </c>
      <c r="K56" s="16" t="n">
        <f aca="false">J56/49</f>
        <v>0.857142857142857</v>
      </c>
      <c r="L56" s="17" t="n">
        <f aca="false">H56/(0.25+K56)</f>
        <v>0.521091811414392</v>
      </c>
    </row>
    <row r="57" customFormat="false" ht="15" hidden="false" customHeight="false" outlineLevel="0" collapsed="false">
      <c r="A57" s="7" t="n">
        <v>53</v>
      </c>
      <c r="B57" s="8" t="s">
        <v>138</v>
      </c>
      <c r="C57" s="7" t="s">
        <v>61</v>
      </c>
      <c r="D57" s="7" t="s">
        <v>66</v>
      </c>
      <c r="E57" s="7" t="s">
        <v>77</v>
      </c>
      <c r="F57" s="7" t="s">
        <v>291</v>
      </c>
      <c r="G57" s="15" t="n">
        <v>15</v>
      </c>
      <c r="H57" s="16" t="n">
        <f aca="false">G57/26</f>
        <v>0.576923076923077</v>
      </c>
      <c r="I57" s="15" t="n">
        <v>34</v>
      </c>
      <c r="J57" s="15" t="n">
        <v>44</v>
      </c>
      <c r="K57" s="16" t="n">
        <f aca="false">J57/49</f>
        <v>0.897959183673469</v>
      </c>
      <c r="L57" s="17" t="n">
        <f aca="false">H57/(0.25+K57)</f>
        <v>0.502564102564102</v>
      </c>
    </row>
    <row r="58" customFormat="false" ht="15" hidden="false" customHeight="false" outlineLevel="0" collapsed="false">
      <c r="A58" s="7" t="n">
        <v>54</v>
      </c>
      <c r="B58" s="8" t="s">
        <v>173</v>
      </c>
      <c r="C58" s="7" t="s">
        <v>69</v>
      </c>
      <c r="D58" s="7"/>
      <c r="E58" s="7" t="s">
        <v>77</v>
      </c>
      <c r="F58" s="7" t="s">
        <v>304</v>
      </c>
      <c r="G58" s="15" t="n">
        <v>15</v>
      </c>
      <c r="H58" s="16" t="n">
        <f aca="false">G58/26</f>
        <v>0.576923076923077</v>
      </c>
      <c r="I58" s="15" t="n">
        <v>34</v>
      </c>
      <c r="J58" s="15" t="n">
        <v>48</v>
      </c>
      <c r="K58" s="16" t="n">
        <f aca="false">J58/49</f>
        <v>0.979591836734694</v>
      </c>
      <c r="L58" s="17" t="n">
        <f aca="false">H58/(0.25+K58)</f>
        <v>0.46919885094159</v>
      </c>
    </row>
    <row r="59" customFormat="false" ht="15" hidden="false" customHeight="false" outlineLevel="0" collapsed="false">
      <c r="A59" s="7" t="n">
        <v>55</v>
      </c>
      <c r="B59" s="8" t="s">
        <v>100</v>
      </c>
      <c r="C59" s="7" t="s">
        <v>67</v>
      </c>
      <c r="D59" s="7"/>
      <c r="E59" s="7" t="s">
        <v>77</v>
      </c>
      <c r="F59" s="7" t="s">
        <v>315</v>
      </c>
      <c r="G59" s="15" t="n">
        <v>15</v>
      </c>
      <c r="H59" s="16" t="n">
        <f aca="false">G59/26</f>
        <v>0.576923076923077</v>
      </c>
      <c r="I59" s="15" t="n">
        <v>32</v>
      </c>
      <c r="J59" s="15" t="n">
        <v>33</v>
      </c>
      <c r="K59" s="16" t="n">
        <f aca="false">J59/49</f>
        <v>0.673469387755102</v>
      </c>
      <c r="L59" s="17" t="n">
        <f aca="false">H59/(0.25+K59)</f>
        <v>0.624734381640459</v>
      </c>
    </row>
    <row r="60" customFormat="false" ht="15" hidden="false" customHeight="false" outlineLevel="0" collapsed="false">
      <c r="A60" s="7" t="n">
        <v>56</v>
      </c>
      <c r="B60" s="8" t="s">
        <v>142</v>
      </c>
      <c r="C60" s="7" t="s">
        <v>62</v>
      </c>
      <c r="D60" s="7"/>
      <c r="E60" s="7" t="s">
        <v>77</v>
      </c>
      <c r="F60" s="7" t="s">
        <v>316</v>
      </c>
      <c r="G60" s="15" t="n">
        <v>15</v>
      </c>
      <c r="H60" s="16" t="n">
        <f aca="false">G60/26</f>
        <v>0.576923076923077</v>
      </c>
      <c r="I60" s="15" t="n">
        <v>31</v>
      </c>
      <c r="J60" s="15" t="n">
        <v>16</v>
      </c>
      <c r="K60" s="16" t="n">
        <f aca="false">J60/49</f>
        <v>0.326530612244898</v>
      </c>
      <c r="L60" s="17" t="n">
        <f aca="false">H60/(0.25+K60)</f>
        <v>1.00068073519401</v>
      </c>
    </row>
    <row r="61" customFormat="false" ht="15" hidden="false" customHeight="false" outlineLevel="0" collapsed="false">
      <c r="A61" s="7" t="n">
        <v>57</v>
      </c>
      <c r="B61" s="8" t="s">
        <v>171</v>
      </c>
      <c r="C61" s="7" t="s">
        <v>69</v>
      </c>
      <c r="D61" s="7"/>
      <c r="E61" s="7" t="s">
        <v>77</v>
      </c>
      <c r="F61" s="7" t="s">
        <v>304</v>
      </c>
      <c r="G61" s="15" t="n">
        <v>15</v>
      </c>
      <c r="H61" s="16" t="n">
        <f aca="false">G61/26</f>
        <v>0.576923076923077</v>
      </c>
      <c r="I61" s="15" t="n">
        <v>31</v>
      </c>
      <c r="J61" s="15" t="n">
        <v>24</v>
      </c>
      <c r="K61" s="16" t="n">
        <f aca="false">J61/49</f>
        <v>0.489795918367347</v>
      </c>
      <c r="L61" s="17" t="n">
        <f aca="false">H61/(0.25+K61)</f>
        <v>0.779840848806366</v>
      </c>
    </row>
    <row r="62" customFormat="false" ht="15" hidden="false" customHeight="false" outlineLevel="0" collapsed="false">
      <c r="A62" s="7" t="n">
        <v>58</v>
      </c>
      <c r="B62" s="8" t="s">
        <v>207</v>
      </c>
      <c r="C62" s="7" t="s">
        <v>65</v>
      </c>
      <c r="D62" s="7"/>
      <c r="E62" s="7" t="s">
        <v>77</v>
      </c>
      <c r="F62" s="7" t="s">
        <v>317</v>
      </c>
      <c r="G62" s="15" t="n">
        <v>15</v>
      </c>
      <c r="H62" s="16" t="n">
        <f aca="false">G62/26</f>
        <v>0.576923076923077</v>
      </c>
      <c r="I62" s="15" t="n">
        <v>31</v>
      </c>
      <c r="J62" s="15" t="n">
        <v>45</v>
      </c>
      <c r="K62" s="16" t="n">
        <f aca="false">J62/49</f>
        <v>0.918367346938776</v>
      </c>
      <c r="L62" s="17" t="n">
        <f aca="false">H62/(0.25+K62)</f>
        <v>0.493785690292241</v>
      </c>
    </row>
    <row r="63" customFormat="false" ht="15" hidden="false" customHeight="false" outlineLevel="0" collapsed="false">
      <c r="A63" s="7" t="n">
        <v>59</v>
      </c>
      <c r="B63" s="8" t="s">
        <v>83</v>
      </c>
      <c r="C63" s="7" t="s">
        <v>59</v>
      </c>
      <c r="D63" s="7"/>
      <c r="E63" s="7" t="s">
        <v>77</v>
      </c>
      <c r="F63" s="7" t="s">
        <v>274</v>
      </c>
      <c r="G63" s="15" t="n">
        <v>15</v>
      </c>
      <c r="H63" s="16" t="n">
        <f aca="false">G63/26</f>
        <v>0.576923076923077</v>
      </c>
      <c r="I63" s="15" t="n">
        <v>30</v>
      </c>
      <c r="J63" s="15" t="n">
        <v>33</v>
      </c>
      <c r="K63" s="16" t="n">
        <f aca="false">J63/49</f>
        <v>0.673469387755102</v>
      </c>
      <c r="L63" s="17" t="n">
        <f aca="false">H63/(0.25+K63)</f>
        <v>0.624734381640459</v>
      </c>
    </row>
    <row r="64" customFormat="false" ht="15" hidden="false" customHeight="false" outlineLevel="0" collapsed="false">
      <c r="A64" s="7" t="n">
        <v>60</v>
      </c>
      <c r="B64" s="8" t="s">
        <v>192</v>
      </c>
      <c r="C64" s="7" t="s">
        <v>61</v>
      </c>
      <c r="D64" s="7"/>
      <c r="E64" s="7" t="s">
        <v>77</v>
      </c>
      <c r="F64" s="7" t="s">
        <v>308</v>
      </c>
      <c r="G64" s="15" t="n">
        <v>14</v>
      </c>
      <c r="H64" s="16" t="n">
        <f aca="false">G64/26</f>
        <v>0.538461538461538</v>
      </c>
      <c r="I64" s="15" t="n">
        <v>35</v>
      </c>
      <c r="J64" s="15" t="n">
        <v>27</v>
      </c>
      <c r="K64" s="16" t="n">
        <f aca="false">J64/49</f>
        <v>0.551020408163265</v>
      </c>
      <c r="L64" s="17" t="n">
        <f aca="false">H64/(0.25+K64)</f>
        <v>0.672219500244978</v>
      </c>
    </row>
    <row r="66" customFormat="false" ht="15" hidden="false" customHeight="false" outlineLevel="0" collapsed="false">
      <c r="A66" s="2" t="s">
        <v>318</v>
      </c>
    </row>
    <row r="67" customFormat="false" ht="15" hidden="false" customHeight="false" outlineLevel="0" collapsed="false">
      <c r="A67" s="2" t="s">
        <v>319</v>
      </c>
    </row>
  </sheetData>
  <autoFilter ref="A4:L64"/>
  <conditionalFormatting sqref="L5:L64">
    <cfRule type="cellIs" priority="2" operator="greaterThanOrEqual" aboveAverage="0" equalAverage="0" bottom="0" percent="0" rank="0" text="" dxfId="19">
      <formula>2</formula>
    </cfRule>
  </conditionalFormatting>
  <conditionalFormatting sqref="J5:J64">
    <cfRule type="cellIs" priority="3" operator="greaterThanOrEqual" aboveAverage="0" equalAverage="0" bottom="0" percent="0" rank="0" text="" dxfId="24">
      <formula>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30"/>
    <col collapsed="false" customWidth="true" hidden="false" outlineLevel="0" max="8" min="7" style="0" width="34"/>
  </cols>
  <sheetData>
    <row r="1" customFormat="false" ht="17.35" hidden="false" customHeight="false" outlineLevel="0" collapsed="false">
      <c r="A1" s="1" t="s">
        <v>320</v>
      </c>
    </row>
    <row r="2" customFormat="false" ht="15" hidden="false" customHeight="false" outlineLevel="0" collapsed="false">
      <c r="A2" s="2" t="s">
        <v>321</v>
      </c>
    </row>
    <row r="4" customFormat="false" ht="15" hidden="false" customHeight="false" outlineLevel="0" collapsed="false">
      <c r="A4" s="6" t="s">
        <v>233</v>
      </c>
      <c r="B4" s="6" t="s">
        <v>322</v>
      </c>
      <c r="C4" s="6" t="s">
        <v>323</v>
      </c>
      <c r="D4" s="6" t="s">
        <v>324</v>
      </c>
      <c r="E4" s="6" t="s">
        <v>325</v>
      </c>
      <c r="F4" s="6" t="s">
        <v>326</v>
      </c>
      <c r="G4" s="6" t="s">
        <v>327</v>
      </c>
      <c r="H4" s="6" t="s">
        <v>328</v>
      </c>
    </row>
    <row r="5" customFormat="false" ht="15" hidden="false" customHeight="false" outlineLevel="0" collapsed="false">
      <c r="A5" s="18" t="n">
        <v>1</v>
      </c>
      <c r="B5" s="19" t="s">
        <v>329</v>
      </c>
      <c r="C5" s="11" t="n">
        <v>4</v>
      </c>
      <c r="D5" s="18" t="s">
        <v>72</v>
      </c>
      <c r="E5" s="18" t="s">
        <v>330</v>
      </c>
      <c r="F5" s="18" t="s">
        <v>331</v>
      </c>
      <c r="G5" s="18" t="s">
        <v>332</v>
      </c>
      <c r="H5" s="18" t="s">
        <v>333</v>
      </c>
    </row>
    <row r="6" customFormat="false" ht="15" hidden="false" customHeight="false" outlineLevel="0" collapsed="false">
      <c r="A6" s="18" t="n">
        <v>2</v>
      </c>
      <c r="B6" s="19" t="s">
        <v>334</v>
      </c>
      <c r="C6" s="11" t="n">
        <v>4</v>
      </c>
      <c r="D6" s="18" t="s">
        <v>67</v>
      </c>
      <c r="E6" s="18" t="s">
        <v>330</v>
      </c>
      <c r="F6" s="18" t="s">
        <v>335</v>
      </c>
      <c r="G6" s="18" t="s">
        <v>336</v>
      </c>
      <c r="H6" s="18" t="s">
        <v>199</v>
      </c>
    </row>
    <row r="7" customFormat="false" ht="15" hidden="false" customHeight="false" outlineLevel="0" collapsed="false">
      <c r="A7" s="18" t="n">
        <v>3</v>
      </c>
      <c r="B7" s="19" t="s">
        <v>69</v>
      </c>
      <c r="C7" s="11" t="n">
        <v>3</v>
      </c>
      <c r="D7" s="18" t="s">
        <v>72</v>
      </c>
      <c r="E7" s="18" t="s">
        <v>330</v>
      </c>
      <c r="F7" s="18" t="s">
        <v>70</v>
      </c>
      <c r="G7" s="18" t="s">
        <v>337</v>
      </c>
      <c r="H7" s="18" t="s">
        <v>338</v>
      </c>
    </row>
    <row r="8" customFormat="false" ht="15" hidden="false" customHeight="false" outlineLevel="0" collapsed="false">
      <c r="A8" s="18" t="n">
        <v>4</v>
      </c>
      <c r="B8" s="19" t="s">
        <v>339</v>
      </c>
      <c r="C8" s="11" t="n">
        <v>3</v>
      </c>
      <c r="D8" s="18" t="s">
        <v>340</v>
      </c>
      <c r="E8" s="18" t="s">
        <v>330</v>
      </c>
      <c r="F8" s="18" t="s">
        <v>341</v>
      </c>
      <c r="G8" s="18" t="s">
        <v>342</v>
      </c>
      <c r="H8" s="18" t="s">
        <v>343</v>
      </c>
    </row>
    <row r="9" customFormat="false" ht="15" hidden="false" customHeight="false" outlineLevel="0" collapsed="false">
      <c r="A9" s="18" t="n">
        <v>5</v>
      </c>
      <c r="B9" s="19" t="s">
        <v>344</v>
      </c>
      <c r="C9" s="11" t="n">
        <v>3</v>
      </c>
      <c r="D9" s="18" t="s">
        <v>67</v>
      </c>
      <c r="E9" s="18" t="s">
        <v>330</v>
      </c>
      <c r="F9" s="18" t="s">
        <v>345</v>
      </c>
      <c r="G9" s="18" t="s">
        <v>346</v>
      </c>
      <c r="H9" s="18" t="s">
        <v>163</v>
      </c>
    </row>
    <row r="10" customFormat="false" ht="15" hidden="false" customHeight="false" outlineLevel="0" collapsed="false">
      <c r="A10" s="18" t="n">
        <v>6</v>
      </c>
      <c r="B10" s="19" t="s">
        <v>347</v>
      </c>
      <c r="C10" s="11" t="n">
        <v>3</v>
      </c>
      <c r="D10" s="18" t="s">
        <v>348</v>
      </c>
      <c r="E10" s="18" t="s">
        <v>330</v>
      </c>
      <c r="F10" s="18" t="s">
        <v>349</v>
      </c>
      <c r="G10" s="18" t="s">
        <v>350</v>
      </c>
      <c r="H10" s="18" t="s">
        <v>351</v>
      </c>
    </row>
    <row r="11" customFormat="false" ht="15" hidden="false" customHeight="false" outlineLevel="0" collapsed="false">
      <c r="A11" s="18" t="n">
        <v>7</v>
      </c>
      <c r="B11" s="19" t="s">
        <v>73</v>
      </c>
      <c r="C11" s="11" t="n">
        <v>2</v>
      </c>
      <c r="D11" s="18" t="s">
        <v>330</v>
      </c>
      <c r="E11" s="18" t="s">
        <v>330</v>
      </c>
      <c r="F11" s="18" t="s">
        <v>352</v>
      </c>
      <c r="G11" s="18" t="s">
        <v>353</v>
      </c>
      <c r="H11" s="18" t="s">
        <v>354</v>
      </c>
    </row>
    <row r="12" customFormat="false" ht="15" hidden="false" customHeight="false" outlineLevel="0" collapsed="false">
      <c r="A12" s="18" t="n">
        <v>8</v>
      </c>
      <c r="B12" s="19" t="s">
        <v>355</v>
      </c>
      <c r="C12" s="11" t="n">
        <v>2</v>
      </c>
      <c r="D12" s="18" t="s">
        <v>67</v>
      </c>
      <c r="E12" s="18" t="s">
        <v>64</v>
      </c>
      <c r="F12" s="18" t="s">
        <v>356</v>
      </c>
      <c r="G12" s="18" t="s">
        <v>357</v>
      </c>
      <c r="H12" s="18" t="s">
        <v>116</v>
      </c>
    </row>
    <row r="13" customFormat="false" ht="15" hidden="false" customHeight="false" outlineLevel="0" collapsed="false">
      <c r="A13" s="18" t="n">
        <v>9</v>
      </c>
      <c r="B13" s="19" t="s">
        <v>358</v>
      </c>
      <c r="C13" s="11" t="n">
        <v>2</v>
      </c>
      <c r="D13" s="18" t="s">
        <v>67</v>
      </c>
      <c r="E13" s="18" t="s">
        <v>62</v>
      </c>
      <c r="F13" s="18" t="s">
        <v>71</v>
      </c>
      <c r="G13" s="18" t="s">
        <v>359</v>
      </c>
      <c r="H13" s="18" t="s">
        <v>119</v>
      </c>
    </row>
    <row r="14" customFormat="false" ht="15" hidden="false" customHeight="false" outlineLevel="0" collapsed="false">
      <c r="A14" s="18" t="n">
        <v>10</v>
      </c>
      <c r="B14" s="19" t="s">
        <v>59</v>
      </c>
      <c r="C14" s="11" t="n">
        <v>1</v>
      </c>
      <c r="D14" s="18" t="s">
        <v>72</v>
      </c>
      <c r="E14" s="18" t="s">
        <v>330</v>
      </c>
      <c r="F14" s="18" t="s">
        <v>65</v>
      </c>
      <c r="G14" s="18" t="s">
        <v>330</v>
      </c>
      <c r="H14" s="18" t="s">
        <v>360</v>
      </c>
    </row>
    <row r="15" customFormat="false" ht="15" hidden="false" customHeight="false" outlineLevel="0" collapsed="false">
      <c r="A15" s="18" t="n">
        <v>11</v>
      </c>
      <c r="B15" s="19" t="s">
        <v>61</v>
      </c>
      <c r="C15" s="11" t="n">
        <v>1</v>
      </c>
      <c r="D15" s="18" t="s">
        <v>330</v>
      </c>
      <c r="E15" s="18" t="s">
        <v>330</v>
      </c>
      <c r="F15" s="18" t="s">
        <v>361</v>
      </c>
      <c r="G15" s="18" t="s">
        <v>362</v>
      </c>
      <c r="H15" s="18" t="s">
        <v>363</v>
      </c>
    </row>
    <row r="16" customFormat="false" ht="23.85" hidden="false" customHeight="false" outlineLevel="0" collapsed="false">
      <c r="A16" s="18" t="n">
        <v>12</v>
      </c>
      <c r="B16" s="19" t="s">
        <v>62</v>
      </c>
      <c r="C16" s="11" t="n">
        <v>1</v>
      </c>
      <c r="D16" s="18" t="s">
        <v>330</v>
      </c>
      <c r="E16" s="18" t="s">
        <v>330</v>
      </c>
      <c r="F16" s="18" t="s">
        <v>67</v>
      </c>
      <c r="G16" s="18" t="s">
        <v>364</v>
      </c>
      <c r="H16" s="18" t="s">
        <v>365</v>
      </c>
    </row>
    <row r="17" customFormat="false" ht="15" hidden="false" customHeight="false" outlineLevel="0" collapsed="false">
      <c r="A17" s="18" t="n">
        <v>13</v>
      </c>
      <c r="B17" s="19" t="s">
        <v>366</v>
      </c>
      <c r="C17" s="11" t="n">
        <v>1</v>
      </c>
      <c r="D17" s="18" t="s">
        <v>67</v>
      </c>
      <c r="E17" s="18" t="s">
        <v>330</v>
      </c>
      <c r="F17" s="18" t="s">
        <v>367</v>
      </c>
      <c r="G17" s="18" t="s">
        <v>368</v>
      </c>
      <c r="H17" s="18" t="s">
        <v>369</v>
      </c>
    </row>
    <row r="18" customFormat="false" ht="23.85" hidden="false" customHeight="false" outlineLevel="0" collapsed="false">
      <c r="A18" s="18" t="n">
        <v>14</v>
      </c>
      <c r="B18" s="19" t="s">
        <v>370</v>
      </c>
      <c r="C18" s="11" t="n">
        <v>1</v>
      </c>
      <c r="D18" s="18" t="s">
        <v>72</v>
      </c>
      <c r="E18" s="18" t="s">
        <v>70</v>
      </c>
      <c r="F18" s="18" t="s">
        <v>371</v>
      </c>
      <c r="G18" s="18" t="s">
        <v>372</v>
      </c>
      <c r="H18" s="18" t="s">
        <v>373</v>
      </c>
    </row>
    <row r="19" customFormat="false" ht="15" hidden="false" customHeight="false" outlineLevel="0" collapsed="false">
      <c r="A19" s="18" t="n">
        <v>15</v>
      </c>
      <c r="B19" s="19" t="s">
        <v>374</v>
      </c>
      <c r="C19" s="11" t="n">
        <v>1</v>
      </c>
      <c r="D19" s="18" t="s">
        <v>330</v>
      </c>
      <c r="E19" s="18" t="s">
        <v>330</v>
      </c>
      <c r="F19" s="18" t="s">
        <v>375</v>
      </c>
      <c r="G19" s="18" t="s">
        <v>376</v>
      </c>
      <c r="H19" s="18" t="s">
        <v>94</v>
      </c>
    </row>
    <row r="20" customFormat="false" ht="15" hidden="false" customHeight="false" outlineLevel="0" collapsed="false">
      <c r="A20" s="18" t="n">
        <v>16</v>
      </c>
      <c r="B20" s="19" t="s">
        <v>67</v>
      </c>
      <c r="C20" s="11" t="n">
        <v>1</v>
      </c>
      <c r="D20" s="18" t="s">
        <v>62</v>
      </c>
      <c r="E20" s="18" t="s">
        <v>330</v>
      </c>
      <c r="F20" s="18" t="s">
        <v>377</v>
      </c>
      <c r="G20" s="18" t="s">
        <v>378</v>
      </c>
      <c r="H20" s="18" t="s">
        <v>379</v>
      </c>
    </row>
    <row r="21" customFormat="false" ht="15" hidden="false" customHeight="false" outlineLevel="0" collapsed="false">
      <c r="A21" s="18" t="n">
        <v>17</v>
      </c>
      <c r="B21" s="19" t="s">
        <v>380</v>
      </c>
      <c r="C21" s="11" t="n">
        <v>1</v>
      </c>
      <c r="D21" s="18" t="s">
        <v>72</v>
      </c>
      <c r="E21" s="18" t="s">
        <v>330</v>
      </c>
      <c r="F21" s="18" t="s">
        <v>381</v>
      </c>
      <c r="G21" s="18" t="s">
        <v>382</v>
      </c>
      <c r="H21" s="18" t="s">
        <v>98</v>
      </c>
    </row>
    <row r="22" customFormat="false" ht="15" hidden="false" customHeight="false" outlineLevel="0" collapsed="false">
      <c r="A22" s="18" t="n">
        <v>18</v>
      </c>
      <c r="B22" s="19" t="s">
        <v>383</v>
      </c>
      <c r="C22" s="11" t="n">
        <v>1</v>
      </c>
      <c r="D22" s="18" t="s">
        <v>330</v>
      </c>
      <c r="E22" s="18" t="s">
        <v>330</v>
      </c>
      <c r="F22" s="18" t="s">
        <v>384</v>
      </c>
      <c r="G22" s="18" t="s">
        <v>385</v>
      </c>
      <c r="H22" s="18" t="s">
        <v>386</v>
      </c>
    </row>
    <row r="23" customFormat="false" ht="15" hidden="false" customHeight="false" outlineLevel="0" collapsed="false">
      <c r="A23" s="18" t="n">
        <v>19</v>
      </c>
      <c r="B23" s="19" t="s">
        <v>387</v>
      </c>
      <c r="C23" s="11" t="n">
        <v>0</v>
      </c>
      <c r="D23" s="18" t="s">
        <v>62</v>
      </c>
      <c r="E23" s="18" t="s">
        <v>330</v>
      </c>
      <c r="F23" s="18" t="s">
        <v>388</v>
      </c>
      <c r="G23" s="18" t="s">
        <v>389</v>
      </c>
      <c r="H23" s="18" t="s">
        <v>390</v>
      </c>
    </row>
    <row r="24" customFormat="false" ht="15" hidden="false" customHeight="false" outlineLevel="0" collapsed="false">
      <c r="A24" s="18" t="n">
        <v>20</v>
      </c>
      <c r="B24" s="19" t="s">
        <v>66</v>
      </c>
      <c r="C24" s="11" t="n">
        <v>0</v>
      </c>
      <c r="D24" s="18" t="s">
        <v>330</v>
      </c>
      <c r="E24" s="18" t="s">
        <v>330</v>
      </c>
      <c r="F24" s="18" t="s">
        <v>391</v>
      </c>
      <c r="G24" s="18" t="s">
        <v>368</v>
      </c>
      <c r="H24" s="18" t="s">
        <v>392</v>
      </c>
    </row>
    <row r="25" customFormat="false" ht="23.85" hidden="false" customHeight="false" outlineLevel="0" collapsed="false">
      <c r="A25" s="18" t="n">
        <v>21</v>
      </c>
      <c r="B25" s="19" t="s">
        <v>60</v>
      </c>
      <c r="C25" s="11" t="n">
        <v>0</v>
      </c>
      <c r="D25" s="18" t="s">
        <v>330</v>
      </c>
      <c r="E25" s="18" t="s">
        <v>330</v>
      </c>
      <c r="F25" s="18" t="s">
        <v>393</v>
      </c>
      <c r="G25" s="18" t="s">
        <v>394</v>
      </c>
      <c r="H25" s="18" t="s">
        <v>395</v>
      </c>
    </row>
    <row r="26" customFormat="false" ht="23.85" hidden="false" customHeight="false" outlineLevel="0" collapsed="false">
      <c r="A26" s="18" t="n">
        <v>22</v>
      </c>
      <c r="B26" s="19" t="s">
        <v>65</v>
      </c>
      <c r="C26" s="11" t="n">
        <v>0</v>
      </c>
      <c r="D26" s="18" t="s">
        <v>330</v>
      </c>
      <c r="E26" s="18" t="s">
        <v>330</v>
      </c>
      <c r="F26" s="18" t="s">
        <v>396</v>
      </c>
      <c r="G26" s="18" t="s">
        <v>397</v>
      </c>
      <c r="H26" s="18" t="s">
        <v>398</v>
      </c>
    </row>
    <row r="27" customFormat="false" ht="15" hidden="false" customHeight="false" outlineLevel="0" collapsed="false">
      <c r="A27" s="18" t="n">
        <v>23</v>
      </c>
      <c r="B27" s="19" t="s">
        <v>399</v>
      </c>
      <c r="C27" s="11" t="n">
        <v>0</v>
      </c>
      <c r="D27" s="18" t="s">
        <v>67</v>
      </c>
      <c r="E27" s="18" t="s">
        <v>71</v>
      </c>
      <c r="F27" s="18" t="s">
        <v>400</v>
      </c>
      <c r="G27" s="18" t="s">
        <v>401</v>
      </c>
      <c r="H27" s="18" t="s">
        <v>402</v>
      </c>
    </row>
    <row r="28" customFormat="false" ht="15" hidden="false" customHeight="false" outlineLevel="0" collapsed="false">
      <c r="A28" s="18" t="n">
        <v>24</v>
      </c>
      <c r="B28" s="19" t="s">
        <v>403</v>
      </c>
      <c r="C28" s="11" t="n">
        <v>-1</v>
      </c>
      <c r="D28" s="18" t="s">
        <v>67</v>
      </c>
      <c r="E28" s="18" t="s">
        <v>71</v>
      </c>
      <c r="F28" s="18" t="s">
        <v>404</v>
      </c>
      <c r="G28" s="18" t="s">
        <v>342</v>
      </c>
      <c r="H28" s="18" t="s">
        <v>145</v>
      </c>
    </row>
    <row r="29" customFormat="false" ht="15" hidden="false" customHeight="false" outlineLevel="0" collapsed="false">
      <c r="A29" s="18" t="n">
        <v>25</v>
      </c>
      <c r="B29" s="19" t="s">
        <v>70</v>
      </c>
      <c r="C29" s="11" t="n">
        <v>-1</v>
      </c>
      <c r="D29" s="18" t="s">
        <v>330</v>
      </c>
      <c r="E29" s="18" t="s">
        <v>330</v>
      </c>
      <c r="F29" s="18" t="s">
        <v>405</v>
      </c>
      <c r="G29" s="18" t="s">
        <v>406</v>
      </c>
      <c r="H29" s="18" t="s">
        <v>407</v>
      </c>
    </row>
    <row r="30" customFormat="false" ht="15" hidden="false" customHeight="false" outlineLevel="0" collapsed="false">
      <c r="A30" s="18" t="n">
        <v>26</v>
      </c>
      <c r="B30" s="19" t="s">
        <v>408</v>
      </c>
      <c r="C30" s="11" t="n">
        <v>-1</v>
      </c>
      <c r="D30" s="18" t="s">
        <v>330</v>
      </c>
      <c r="E30" s="18" t="s">
        <v>63</v>
      </c>
      <c r="F30" s="18" t="s">
        <v>409</v>
      </c>
      <c r="G30" s="18" t="s">
        <v>410</v>
      </c>
      <c r="H30" s="18" t="s">
        <v>411</v>
      </c>
    </row>
    <row r="31" customFormat="false" ht="15" hidden="false" customHeight="false" outlineLevel="0" collapsed="false">
      <c r="A31" s="18" t="n">
        <v>27</v>
      </c>
      <c r="B31" s="19" t="s">
        <v>63</v>
      </c>
      <c r="C31" s="11" t="n">
        <v>-1</v>
      </c>
      <c r="D31" s="18" t="s">
        <v>330</v>
      </c>
      <c r="E31" s="18" t="s">
        <v>330</v>
      </c>
      <c r="F31" s="18" t="s">
        <v>412</v>
      </c>
      <c r="G31" s="18" t="s">
        <v>413</v>
      </c>
      <c r="H31" s="18" t="s">
        <v>215</v>
      </c>
    </row>
    <row r="32" customFormat="false" ht="15" hidden="false" customHeight="false" outlineLevel="0" collapsed="false">
      <c r="A32" s="18" t="n">
        <v>28</v>
      </c>
      <c r="B32" s="19" t="s">
        <v>414</v>
      </c>
      <c r="C32" s="11" t="n">
        <v>-2</v>
      </c>
      <c r="D32" s="18" t="s">
        <v>330</v>
      </c>
      <c r="E32" s="18" t="s">
        <v>330</v>
      </c>
      <c r="F32" s="18" t="s">
        <v>415</v>
      </c>
      <c r="G32" s="18" t="s">
        <v>416</v>
      </c>
      <c r="H32" s="18" t="s">
        <v>417</v>
      </c>
    </row>
    <row r="33" customFormat="false" ht="15" hidden="false" customHeight="false" outlineLevel="0" collapsed="false">
      <c r="A33" s="18" t="n">
        <v>29</v>
      </c>
      <c r="B33" s="19" t="s">
        <v>418</v>
      </c>
      <c r="C33" s="11" t="n">
        <v>-2</v>
      </c>
      <c r="D33" s="18" t="s">
        <v>62</v>
      </c>
      <c r="E33" s="18" t="s">
        <v>419</v>
      </c>
      <c r="F33" s="18" t="s">
        <v>420</v>
      </c>
      <c r="G33" s="18" t="s">
        <v>421</v>
      </c>
      <c r="H33" s="18" t="s">
        <v>422</v>
      </c>
    </row>
    <row r="34" customFormat="false" ht="15" hidden="false" customHeight="false" outlineLevel="0" collapsed="false">
      <c r="A34" s="18" t="n">
        <v>30</v>
      </c>
      <c r="B34" s="19" t="s">
        <v>423</v>
      </c>
      <c r="C34" s="11" t="n">
        <v>-2</v>
      </c>
      <c r="D34" s="18" t="s">
        <v>62</v>
      </c>
      <c r="E34" s="18" t="s">
        <v>419</v>
      </c>
      <c r="F34" s="18" t="s">
        <v>420</v>
      </c>
      <c r="G34" s="18" t="s">
        <v>421</v>
      </c>
      <c r="H34" s="18" t="s">
        <v>424</v>
      </c>
    </row>
    <row r="35" customFormat="false" ht="15" hidden="false" customHeight="false" outlineLevel="0" collapsed="false">
      <c r="A35" s="18" t="n">
        <v>31</v>
      </c>
      <c r="B35" s="19" t="s">
        <v>425</v>
      </c>
      <c r="C35" s="11" t="n">
        <v>-3</v>
      </c>
      <c r="D35" s="18" t="s">
        <v>330</v>
      </c>
      <c r="E35" s="18" t="s">
        <v>70</v>
      </c>
      <c r="F35" s="18" t="s">
        <v>426</v>
      </c>
      <c r="G35" s="18" t="s">
        <v>427</v>
      </c>
      <c r="H35" s="18" t="s">
        <v>428</v>
      </c>
    </row>
    <row r="36" customFormat="false" ht="15" hidden="false" customHeight="false" outlineLevel="0" collapsed="false">
      <c r="A36" s="18" t="n">
        <v>32</v>
      </c>
      <c r="B36" s="19" t="s">
        <v>429</v>
      </c>
      <c r="C36" s="11" t="n">
        <v>-3</v>
      </c>
      <c r="D36" s="18" t="s">
        <v>67</v>
      </c>
      <c r="E36" s="18" t="s">
        <v>71</v>
      </c>
      <c r="F36" s="18" t="s">
        <v>430</v>
      </c>
      <c r="G36" s="18" t="s">
        <v>431</v>
      </c>
      <c r="H36" s="18" t="s">
        <v>432</v>
      </c>
    </row>
    <row r="37" customFormat="false" ht="15" hidden="false" customHeight="false" outlineLevel="0" collapsed="false">
      <c r="A37" s="18" t="n">
        <v>33</v>
      </c>
      <c r="B37" s="19" t="s">
        <v>433</v>
      </c>
      <c r="C37" s="11" t="n">
        <v>-3</v>
      </c>
      <c r="D37" s="18" t="s">
        <v>330</v>
      </c>
      <c r="E37" s="18" t="s">
        <v>330</v>
      </c>
      <c r="F37" s="18" t="s">
        <v>434</v>
      </c>
      <c r="G37" s="18" t="s">
        <v>435</v>
      </c>
      <c r="H37" s="18" t="s">
        <v>436</v>
      </c>
    </row>
    <row r="38" customFormat="false" ht="15" hidden="false" customHeight="false" outlineLevel="0" collapsed="false">
      <c r="A38" s="18" t="n">
        <v>34</v>
      </c>
      <c r="B38" s="19" t="s">
        <v>437</v>
      </c>
      <c r="C38" s="11" t="n">
        <v>-7</v>
      </c>
      <c r="D38" s="18" t="s">
        <v>330</v>
      </c>
      <c r="E38" s="18" t="s">
        <v>438</v>
      </c>
      <c r="F38" s="18" t="s">
        <v>439</v>
      </c>
      <c r="G38" s="18" t="s">
        <v>440</v>
      </c>
      <c r="H38" s="18" t="s">
        <v>441</v>
      </c>
    </row>
    <row r="40" customFormat="false" ht="15" hidden="false" customHeight="false" outlineLevel="0" collapsed="false">
      <c r="A40" s="2" t="s">
        <v>442</v>
      </c>
    </row>
  </sheetData>
  <conditionalFormatting sqref="C5:C38">
    <cfRule type="cellIs" priority="2" operator="greaterThanOrEqual" aboveAverage="0" equalAverage="0" bottom="0" percent="0" rank="0" text="" dxfId="19">
      <formula>3</formula>
    </cfRule>
    <cfRule type="cellIs" priority="3" operator="lessThanOrEqual" aboveAverage="0" equalAverage="0" bottom="0" percent="0" rank="0" text="" dxfId="24">
      <formula>-2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443</v>
      </c>
    </row>
    <row r="2" customFormat="false" ht="15" hidden="false" customHeight="false" outlineLevel="0" collapsed="false">
      <c r="A2" s="2" t="s">
        <v>444</v>
      </c>
    </row>
    <row r="4" customFormat="false" ht="23.85" hidden="false" customHeight="false" outlineLevel="0" collapsed="false">
      <c r="A4" s="6" t="s">
        <v>445</v>
      </c>
      <c r="B4" s="6" t="s">
        <v>446</v>
      </c>
      <c r="C4" s="6" t="s">
        <v>447</v>
      </c>
      <c r="D4" s="6" t="s">
        <v>448</v>
      </c>
      <c r="E4" s="6" t="s">
        <v>449</v>
      </c>
      <c r="F4" s="6" t="s">
        <v>450</v>
      </c>
      <c r="G4" s="6" t="s">
        <v>451</v>
      </c>
      <c r="H4" s="6" t="s">
        <v>452</v>
      </c>
    </row>
    <row r="5" customFormat="false" ht="15" hidden="false" customHeight="false" outlineLevel="0" collapsed="false">
      <c r="A5" s="8" t="s">
        <v>453</v>
      </c>
      <c r="B5" s="7" t="s">
        <v>59</v>
      </c>
      <c r="C5" s="7" t="s">
        <v>454</v>
      </c>
      <c r="D5" s="11" t="n">
        <v>170</v>
      </c>
      <c r="E5" s="11" t="n">
        <v>100</v>
      </c>
      <c r="F5" s="11" t="n">
        <v>5</v>
      </c>
      <c r="G5" s="11" t="s">
        <v>455</v>
      </c>
      <c r="H5" s="20" t="n">
        <f aca="false">D5*E5/100</f>
        <v>170</v>
      </c>
    </row>
    <row r="6" customFormat="false" ht="15" hidden="false" customHeight="false" outlineLevel="0" collapsed="false">
      <c r="A6" s="8" t="s">
        <v>456</v>
      </c>
      <c r="B6" s="7" t="s">
        <v>59</v>
      </c>
      <c r="C6" s="7" t="s">
        <v>454</v>
      </c>
      <c r="D6" s="11" t="n">
        <v>150</v>
      </c>
      <c r="E6" s="11" t="n">
        <v>90</v>
      </c>
      <c r="F6" s="11" t="n">
        <v>5</v>
      </c>
      <c r="G6" s="11" t="s">
        <v>457</v>
      </c>
      <c r="H6" s="20" t="n">
        <f aca="false">D6*E6/100</f>
        <v>135</v>
      </c>
    </row>
    <row r="7" customFormat="false" ht="15" hidden="false" customHeight="false" outlineLevel="0" collapsed="false">
      <c r="A7" s="8" t="s">
        <v>458</v>
      </c>
      <c r="B7" s="7" t="s">
        <v>59</v>
      </c>
      <c r="C7" s="7" t="s">
        <v>454</v>
      </c>
      <c r="D7" s="11" t="n">
        <v>130</v>
      </c>
      <c r="E7" s="11" t="n">
        <v>100</v>
      </c>
      <c r="F7" s="11" t="n">
        <v>5</v>
      </c>
      <c r="G7" s="11" t="s">
        <v>459</v>
      </c>
      <c r="H7" s="20" t="n">
        <f aca="false">D7*E7/100</f>
        <v>130</v>
      </c>
    </row>
    <row r="8" customFormat="false" ht="15" hidden="false" customHeight="false" outlineLevel="0" collapsed="false">
      <c r="A8" s="8" t="s">
        <v>460</v>
      </c>
      <c r="B8" s="7" t="s">
        <v>68</v>
      </c>
      <c r="C8" s="7" t="s">
        <v>454</v>
      </c>
      <c r="D8" s="11" t="n">
        <v>140</v>
      </c>
      <c r="E8" s="11" t="n">
        <v>90</v>
      </c>
      <c r="F8" s="11" t="n">
        <v>5</v>
      </c>
      <c r="G8" s="11" t="s">
        <v>461</v>
      </c>
      <c r="H8" s="20" t="n">
        <f aca="false">D8*E8/100</f>
        <v>126</v>
      </c>
    </row>
    <row r="9" customFormat="false" ht="15" hidden="false" customHeight="false" outlineLevel="0" collapsed="false">
      <c r="A9" s="8" t="s">
        <v>462</v>
      </c>
      <c r="B9" s="7" t="s">
        <v>63</v>
      </c>
      <c r="C9" s="7" t="s">
        <v>463</v>
      </c>
      <c r="D9" s="11" t="n">
        <v>120</v>
      </c>
      <c r="E9" s="11" t="n">
        <v>100</v>
      </c>
      <c r="F9" s="11" t="n">
        <v>10</v>
      </c>
      <c r="G9" s="11" t="s">
        <v>464</v>
      </c>
      <c r="H9" s="20" t="n">
        <f aca="false">D9*E9/100</f>
        <v>120</v>
      </c>
    </row>
    <row r="10" customFormat="false" ht="15" hidden="false" customHeight="false" outlineLevel="0" collapsed="false">
      <c r="A10" s="8" t="s">
        <v>465</v>
      </c>
      <c r="B10" s="7" t="s">
        <v>64</v>
      </c>
      <c r="C10" s="7" t="s">
        <v>463</v>
      </c>
      <c r="D10" s="11" t="n">
        <v>120</v>
      </c>
      <c r="E10" s="11" t="n">
        <v>90</v>
      </c>
      <c r="F10" s="11" t="n">
        <v>5</v>
      </c>
      <c r="G10" s="11" t="s">
        <v>466</v>
      </c>
      <c r="H10" s="20" t="n">
        <f aca="false">D10*E10/100</f>
        <v>108</v>
      </c>
    </row>
    <row r="11" customFormat="false" ht="15" hidden="false" customHeight="false" outlineLevel="0" collapsed="false">
      <c r="A11" s="8" t="s">
        <v>467</v>
      </c>
      <c r="B11" s="7" t="s">
        <v>60</v>
      </c>
      <c r="C11" s="7" t="s">
        <v>463</v>
      </c>
      <c r="D11" s="11" t="n">
        <v>120</v>
      </c>
      <c r="E11" s="11" t="n">
        <v>85</v>
      </c>
      <c r="F11" s="11" t="n">
        <v>5</v>
      </c>
      <c r="G11" s="11" t="s">
        <v>468</v>
      </c>
      <c r="H11" s="20" t="n">
        <f aca="false">D11*E11/100</f>
        <v>102</v>
      </c>
    </row>
    <row r="12" customFormat="false" ht="15" hidden="false" customHeight="false" outlineLevel="0" collapsed="false">
      <c r="A12" s="8" t="s">
        <v>469</v>
      </c>
      <c r="B12" s="7" t="s">
        <v>59</v>
      </c>
      <c r="C12" s="7" t="s">
        <v>454</v>
      </c>
      <c r="D12" s="11" t="n">
        <v>100</v>
      </c>
      <c r="E12" s="11" t="n">
        <v>100</v>
      </c>
      <c r="F12" s="11" t="n">
        <v>15</v>
      </c>
      <c r="G12" s="11" t="s">
        <v>470</v>
      </c>
      <c r="H12" s="20" t="n">
        <f aca="false">D12*E12/100</f>
        <v>100</v>
      </c>
    </row>
    <row r="13" customFormat="false" ht="15" hidden="false" customHeight="false" outlineLevel="0" collapsed="false">
      <c r="A13" s="8" t="s">
        <v>471</v>
      </c>
      <c r="B13" s="7" t="s">
        <v>67</v>
      </c>
      <c r="C13" s="7" t="s">
        <v>454</v>
      </c>
      <c r="D13" s="11" t="n">
        <v>100</v>
      </c>
      <c r="E13" s="11" t="n">
        <v>100</v>
      </c>
      <c r="F13" s="11" t="n">
        <v>10</v>
      </c>
      <c r="G13" s="11" t="s">
        <v>472</v>
      </c>
      <c r="H13" s="20" t="n">
        <f aca="false">D13*E13/100</f>
        <v>100</v>
      </c>
    </row>
    <row r="14" customFormat="false" ht="15" hidden="false" customHeight="false" outlineLevel="0" collapsed="false">
      <c r="A14" s="8" t="s">
        <v>473</v>
      </c>
      <c r="B14" s="7" t="s">
        <v>67</v>
      </c>
      <c r="C14" s="7" t="s">
        <v>454</v>
      </c>
      <c r="D14" s="11" t="n">
        <v>100</v>
      </c>
      <c r="E14" s="11" t="n">
        <v>100</v>
      </c>
      <c r="F14" s="11" t="n">
        <v>10</v>
      </c>
      <c r="G14" s="11" t="s">
        <v>474</v>
      </c>
      <c r="H14" s="20" t="n">
        <f aca="false">D14*E14/100</f>
        <v>100</v>
      </c>
    </row>
    <row r="15" customFormat="false" ht="15" hidden="false" customHeight="false" outlineLevel="0" collapsed="false">
      <c r="A15" s="8" t="s">
        <v>475</v>
      </c>
      <c r="B15" s="7" t="s">
        <v>59</v>
      </c>
      <c r="C15" s="7" t="s">
        <v>454</v>
      </c>
      <c r="D15" s="11" t="n">
        <v>100</v>
      </c>
      <c r="E15" s="11" t="n">
        <v>100</v>
      </c>
      <c r="F15" s="11" t="n">
        <v>15</v>
      </c>
      <c r="G15" s="11" t="s">
        <v>476</v>
      </c>
      <c r="H15" s="20" t="n">
        <f aca="false">D15*E15/100</f>
        <v>100</v>
      </c>
    </row>
    <row r="16" customFormat="false" ht="15" hidden="false" customHeight="false" outlineLevel="0" collapsed="false">
      <c r="A16" s="8" t="s">
        <v>477</v>
      </c>
      <c r="B16" s="7" t="s">
        <v>69</v>
      </c>
      <c r="C16" s="7" t="s">
        <v>330</v>
      </c>
      <c r="D16" s="11" t="n">
        <v>100</v>
      </c>
      <c r="E16" s="11" t="n">
        <v>100</v>
      </c>
      <c r="F16" s="11" t="n">
        <v>15</v>
      </c>
      <c r="G16" s="11" t="s">
        <v>478</v>
      </c>
      <c r="H16" s="20" t="n">
        <f aca="false">D16*E16/100</f>
        <v>100</v>
      </c>
    </row>
    <row r="17" customFormat="false" ht="15" hidden="false" customHeight="false" outlineLevel="0" collapsed="false">
      <c r="A17" s="8" t="s">
        <v>479</v>
      </c>
      <c r="B17" s="7" t="s">
        <v>61</v>
      </c>
      <c r="C17" s="7" t="s">
        <v>463</v>
      </c>
      <c r="D17" s="11" t="n">
        <v>120</v>
      </c>
      <c r="E17" s="11" t="n">
        <v>80</v>
      </c>
      <c r="F17" s="11" t="n">
        <v>5</v>
      </c>
      <c r="G17" s="11" t="s">
        <v>330</v>
      </c>
      <c r="H17" s="20" t="n">
        <f aca="false">D17*E17/100</f>
        <v>96</v>
      </c>
    </row>
    <row r="18" customFormat="false" ht="15" hidden="false" customHeight="false" outlineLevel="0" collapsed="false">
      <c r="A18" s="8" t="s">
        <v>480</v>
      </c>
      <c r="B18" s="7" t="s">
        <v>60</v>
      </c>
      <c r="C18" s="7" t="s">
        <v>463</v>
      </c>
      <c r="D18" s="11" t="n">
        <v>95</v>
      </c>
      <c r="E18" s="11" t="n">
        <v>100</v>
      </c>
      <c r="F18" s="11" t="n">
        <v>15</v>
      </c>
      <c r="G18" s="11" t="s">
        <v>330</v>
      </c>
      <c r="H18" s="20" t="n">
        <f aca="false">D18*E18/100</f>
        <v>95</v>
      </c>
    </row>
    <row r="19" customFormat="false" ht="15" hidden="false" customHeight="false" outlineLevel="0" collapsed="false">
      <c r="A19" s="8" t="s">
        <v>481</v>
      </c>
      <c r="B19" s="7" t="s">
        <v>61</v>
      </c>
      <c r="C19" s="7" t="s">
        <v>463</v>
      </c>
      <c r="D19" s="11" t="n">
        <v>95</v>
      </c>
      <c r="E19" s="11" t="n">
        <v>100</v>
      </c>
      <c r="F19" s="11" t="n">
        <v>15</v>
      </c>
      <c r="G19" s="11" t="s">
        <v>482</v>
      </c>
      <c r="H19" s="20" t="n">
        <f aca="false">D19*E19/100</f>
        <v>95</v>
      </c>
    </row>
    <row r="20" customFormat="false" ht="15" hidden="false" customHeight="false" outlineLevel="0" collapsed="false">
      <c r="A20" s="8" t="s">
        <v>483</v>
      </c>
      <c r="B20" s="7" t="s">
        <v>64</v>
      </c>
      <c r="C20" s="7" t="s">
        <v>463</v>
      </c>
      <c r="D20" s="11" t="n">
        <v>95</v>
      </c>
      <c r="E20" s="11" t="n">
        <v>100</v>
      </c>
      <c r="F20" s="11" t="n">
        <v>10</v>
      </c>
      <c r="G20" s="11" t="s">
        <v>484</v>
      </c>
      <c r="H20" s="20" t="n">
        <f aca="false">D20*E20/100</f>
        <v>95</v>
      </c>
    </row>
    <row r="21" customFormat="false" ht="15" hidden="false" customHeight="false" outlineLevel="0" collapsed="false">
      <c r="A21" s="8" t="s">
        <v>485</v>
      </c>
      <c r="B21" s="7" t="s">
        <v>62</v>
      </c>
      <c r="C21" s="7" t="s">
        <v>463</v>
      </c>
      <c r="D21" s="11" t="n">
        <v>95</v>
      </c>
      <c r="E21" s="11" t="n">
        <v>100</v>
      </c>
      <c r="F21" s="11" t="n">
        <v>15</v>
      </c>
      <c r="G21" s="11" t="s">
        <v>486</v>
      </c>
      <c r="H21" s="20" t="n">
        <f aca="false">D21*E21/100</f>
        <v>95</v>
      </c>
    </row>
    <row r="22" customFormat="false" ht="15" hidden="false" customHeight="false" outlineLevel="0" collapsed="false">
      <c r="A22" s="8" t="s">
        <v>487</v>
      </c>
      <c r="B22" s="7" t="s">
        <v>59</v>
      </c>
      <c r="C22" s="7" t="s">
        <v>454</v>
      </c>
      <c r="D22" s="11" t="n">
        <v>120</v>
      </c>
      <c r="E22" s="11" t="n">
        <v>75</v>
      </c>
      <c r="F22" s="11" t="n">
        <v>5</v>
      </c>
      <c r="G22" s="11" t="s">
        <v>488</v>
      </c>
      <c r="H22" s="20" t="n">
        <f aca="false">D22*E22/100</f>
        <v>90</v>
      </c>
    </row>
    <row r="23" customFormat="false" ht="15" hidden="false" customHeight="false" outlineLevel="0" collapsed="false">
      <c r="A23" s="8" t="s">
        <v>489</v>
      </c>
      <c r="B23" s="7" t="s">
        <v>59</v>
      </c>
      <c r="C23" s="7" t="s">
        <v>454</v>
      </c>
      <c r="D23" s="11" t="n">
        <v>90</v>
      </c>
      <c r="E23" s="11" t="n">
        <v>100</v>
      </c>
      <c r="F23" s="11" t="n">
        <v>20</v>
      </c>
      <c r="G23" s="11" t="s">
        <v>330</v>
      </c>
      <c r="H23" s="20" t="n">
        <f aca="false">D23*E23/100</f>
        <v>90</v>
      </c>
    </row>
    <row r="24" customFormat="false" ht="15" hidden="false" customHeight="false" outlineLevel="0" collapsed="false">
      <c r="A24" s="8" t="s">
        <v>69</v>
      </c>
      <c r="B24" s="7" t="s">
        <v>69</v>
      </c>
      <c r="C24" s="7" t="s">
        <v>330</v>
      </c>
      <c r="D24" s="11" t="n">
        <v>90</v>
      </c>
      <c r="E24" s="11" t="n">
        <v>100</v>
      </c>
      <c r="F24" s="11" t="n">
        <v>10</v>
      </c>
      <c r="G24" s="11" t="s">
        <v>490</v>
      </c>
      <c r="H24" s="20" t="n">
        <f aca="false">D24*E24/100</f>
        <v>90</v>
      </c>
    </row>
    <row r="25" customFormat="false" ht="15" hidden="false" customHeight="false" outlineLevel="0" collapsed="false">
      <c r="A25" s="8" t="s">
        <v>491</v>
      </c>
      <c r="B25" s="7" t="s">
        <v>59</v>
      </c>
      <c r="C25" s="7" t="s">
        <v>454</v>
      </c>
      <c r="D25" s="11" t="n">
        <v>85</v>
      </c>
      <c r="E25" s="11" t="n">
        <v>100</v>
      </c>
      <c r="F25" s="11" t="n">
        <v>15</v>
      </c>
      <c r="G25" s="11" t="s">
        <v>492</v>
      </c>
      <c r="H25" s="20" t="n">
        <f aca="false">D25*E25/100</f>
        <v>85</v>
      </c>
    </row>
    <row r="26" customFormat="false" ht="15" hidden="false" customHeight="false" outlineLevel="0" collapsed="false">
      <c r="A26" s="8" t="s">
        <v>493</v>
      </c>
      <c r="B26" s="7" t="s">
        <v>62</v>
      </c>
      <c r="C26" s="7" t="s">
        <v>463</v>
      </c>
      <c r="D26" s="11" t="n">
        <v>120</v>
      </c>
      <c r="E26" s="11" t="n">
        <v>70</v>
      </c>
      <c r="F26" s="11" t="n">
        <v>10</v>
      </c>
      <c r="G26" s="11" t="s">
        <v>494</v>
      </c>
      <c r="H26" s="20" t="n">
        <f aca="false">D26*E26/100</f>
        <v>84</v>
      </c>
    </row>
    <row r="27" customFormat="false" ht="15" hidden="false" customHeight="false" outlineLevel="0" collapsed="false">
      <c r="A27" s="8" t="s">
        <v>495</v>
      </c>
      <c r="B27" s="7" t="s">
        <v>68</v>
      </c>
      <c r="C27" s="7" t="s">
        <v>454</v>
      </c>
      <c r="D27" s="11" t="n">
        <v>80</v>
      </c>
      <c r="E27" s="11" t="n">
        <v>100</v>
      </c>
      <c r="F27" s="11" t="n">
        <v>20</v>
      </c>
      <c r="G27" s="11" t="s">
        <v>330</v>
      </c>
      <c r="H27" s="20" t="n">
        <f aca="false">D27*E27/100</f>
        <v>80</v>
      </c>
    </row>
    <row r="28" customFormat="false" ht="15" hidden="false" customHeight="false" outlineLevel="0" collapsed="false">
      <c r="A28" s="8" t="s">
        <v>496</v>
      </c>
      <c r="B28" s="7" t="s">
        <v>59</v>
      </c>
      <c r="C28" s="7" t="s">
        <v>454</v>
      </c>
      <c r="D28" s="11" t="n">
        <v>80</v>
      </c>
      <c r="E28" s="11" t="n">
        <v>100</v>
      </c>
      <c r="F28" s="11" t="n">
        <v>15</v>
      </c>
      <c r="G28" s="11" t="s">
        <v>497</v>
      </c>
      <c r="H28" s="20" t="n">
        <f aca="false">D28*E28/100</f>
        <v>80</v>
      </c>
    </row>
    <row r="29" customFormat="false" ht="15" hidden="false" customHeight="false" outlineLevel="0" collapsed="false">
      <c r="A29" s="8" t="s">
        <v>498</v>
      </c>
      <c r="B29" s="7" t="s">
        <v>61</v>
      </c>
      <c r="C29" s="7" t="s">
        <v>463</v>
      </c>
      <c r="D29" s="11" t="n">
        <v>80</v>
      </c>
      <c r="E29" s="11" t="n">
        <v>100</v>
      </c>
      <c r="F29" s="11" t="n">
        <v>15</v>
      </c>
      <c r="G29" s="11" t="s">
        <v>330</v>
      </c>
      <c r="H29" s="20" t="n">
        <f aca="false">D29*E29/100</f>
        <v>80</v>
      </c>
    </row>
    <row r="30" customFormat="false" ht="15" hidden="false" customHeight="false" outlineLevel="0" collapsed="false">
      <c r="A30" s="8" t="s">
        <v>499</v>
      </c>
      <c r="B30" s="7" t="s">
        <v>59</v>
      </c>
      <c r="C30" s="7" t="s">
        <v>454</v>
      </c>
      <c r="D30" s="11" t="n">
        <v>80</v>
      </c>
      <c r="E30" s="11" t="n">
        <v>100</v>
      </c>
      <c r="F30" s="11" t="n">
        <v>10</v>
      </c>
      <c r="G30" s="11" t="s">
        <v>500</v>
      </c>
      <c r="H30" s="20" t="n">
        <f aca="false">D30*E30/100</f>
        <v>80</v>
      </c>
    </row>
    <row r="31" customFormat="false" ht="15" hidden="false" customHeight="false" outlineLevel="0" collapsed="false">
      <c r="A31" s="8" t="s">
        <v>501</v>
      </c>
      <c r="B31" s="7" t="s">
        <v>59</v>
      </c>
      <c r="C31" s="7" t="s">
        <v>454</v>
      </c>
      <c r="D31" s="11" t="n">
        <v>90</v>
      </c>
      <c r="E31" s="11" t="n">
        <v>85</v>
      </c>
      <c r="F31" s="11" t="n">
        <v>20</v>
      </c>
      <c r="G31" s="11" t="s">
        <v>502</v>
      </c>
      <c r="H31" s="20" t="n">
        <f aca="false">D31*E31/100</f>
        <v>76.5</v>
      </c>
    </row>
    <row r="32" customFormat="false" ht="15" hidden="false" customHeight="false" outlineLevel="0" collapsed="false">
      <c r="A32" s="8" t="s">
        <v>503</v>
      </c>
      <c r="B32" s="7" t="s">
        <v>65</v>
      </c>
      <c r="C32" s="7" t="s">
        <v>454</v>
      </c>
      <c r="D32" s="11" t="n">
        <v>85</v>
      </c>
      <c r="E32" s="11" t="n">
        <v>90</v>
      </c>
      <c r="F32" s="11" t="n">
        <v>20</v>
      </c>
      <c r="G32" s="11" t="s">
        <v>330</v>
      </c>
      <c r="H32" s="20" t="n">
        <f aca="false">D32*E32/100</f>
        <v>76.5</v>
      </c>
    </row>
    <row r="33" customFormat="false" ht="15" hidden="false" customHeight="false" outlineLevel="0" collapsed="false">
      <c r="A33" s="8" t="s">
        <v>504</v>
      </c>
      <c r="B33" s="7" t="s">
        <v>61</v>
      </c>
      <c r="C33" s="7" t="s">
        <v>463</v>
      </c>
      <c r="D33" s="11" t="n">
        <v>90</v>
      </c>
      <c r="E33" s="11" t="n">
        <v>85</v>
      </c>
      <c r="F33" s="11" t="n">
        <v>10</v>
      </c>
      <c r="G33" s="11" t="s">
        <v>330</v>
      </c>
      <c r="H33" s="20" t="n">
        <f aca="false">D33*E33/100</f>
        <v>76.5</v>
      </c>
    </row>
    <row r="34" customFormat="false" ht="15" hidden="false" customHeight="false" outlineLevel="0" collapsed="false">
      <c r="A34" s="8" t="s">
        <v>505</v>
      </c>
      <c r="B34" s="7" t="s">
        <v>60</v>
      </c>
      <c r="C34" s="7" t="s">
        <v>463</v>
      </c>
      <c r="D34" s="11" t="n">
        <v>75</v>
      </c>
      <c r="E34" s="11" t="n">
        <v>100</v>
      </c>
      <c r="F34" s="11" t="n">
        <v>15</v>
      </c>
      <c r="G34" s="11" t="s">
        <v>330</v>
      </c>
      <c r="H34" s="20" t="n">
        <f aca="false">D34*E34/100</f>
        <v>75</v>
      </c>
    </row>
    <row r="35" customFormat="false" ht="15" hidden="false" customHeight="false" outlineLevel="0" collapsed="false">
      <c r="A35" s="8" t="s">
        <v>506</v>
      </c>
      <c r="B35" s="7" t="s">
        <v>64</v>
      </c>
      <c r="C35" s="7" t="s">
        <v>463</v>
      </c>
      <c r="D35" s="11" t="n">
        <v>75</v>
      </c>
      <c r="E35" s="11" t="n">
        <v>100</v>
      </c>
      <c r="F35" s="11" t="n">
        <v>15</v>
      </c>
      <c r="G35" s="11" t="s">
        <v>330</v>
      </c>
      <c r="H35" s="20" t="n">
        <f aca="false">D35*E35/100</f>
        <v>75</v>
      </c>
    </row>
    <row r="36" customFormat="false" ht="15" hidden="false" customHeight="false" outlineLevel="0" collapsed="false">
      <c r="A36" s="8" t="s">
        <v>507</v>
      </c>
      <c r="B36" s="7" t="s">
        <v>62</v>
      </c>
      <c r="C36" s="7" t="s">
        <v>463</v>
      </c>
      <c r="D36" s="11" t="n">
        <v>75</v>
      </c>
      <c r="E36" s="11" t="n">
        <v>100</v>
      </c>
      <c r="F36" s="11" t="n">
        <v>15</v>
      </c>
      <c r="G36" s="11" t="s">
        <v>330</v>
      </c>
      <c r="H36" s="20" t="n">
        <f aca="false">D36*E36/100</f>
        <v>75</v>
      </c>
    </row>
    <row r="37" customFormat="false" ht="15" hidden="false" customHeight="false" outlineLevel="0" collapsed="false">
      <c r="A37" s="8" t="s">
        <v>508</v>
      </c>
      <c r="B37" s="7" t="s">
        <v>59</v>
      </c>
      <c r="C37" s="7" t="s">
        <v>454</v>
      </c>
      <c r="D37" s="11" t="n">
        <v>100</v>
      </c>
      <c r="E37" s="11" t="n">
        <v>75</v>
      </c>
      <c r="F37" s="11" t="n">
        <v>10</v>
      </c>
      <c r="G37" s="11" t="s">
        <v>509</v>
      </c>
      <c r="H37" s="20" t="n">
        <f aca="false">D37*E37/100</f>
        <v>75</v>
      </c>
    </row>
    <row r="38" customFormat="false" ht="15" hidden="false" customHeight="false" outlineLevel="0" collapsed="false">
      <c r="A38" s="8" t="s">
        <v>510</v>
      </c>
      <c r="B38" s="7" t="s">
        <v>59</v>
      </c>
      <c r="C38" s="7" t="s">
        <v>454</v>
      </c>
      <c r="D38" s="11" t="n">
        <v>80</v>
      </c>
      <c r="E38" s="11" t="n">
        <v>90</v>
      </c>
      <c r="F38" s="11" t="n">
        <v>15</v>
      </c>
      <c r="G38" s="11" t="s">
        <v>330</v>
      </c>
      <c r="H38" s="20" t="n">
        <f aca="false">D38*E38/100</f>
        <v>72</v>
      </c>
    </row>
    <row r="39" customFormat="false" ht="15" hidden="false" customHeight="false" outlineLevel="0" collapsed="false">
      <c r="A39" s="8" t="s">
        <v>511</v>
      </c>
      <c r="B39" s="7" t="s">
        <v>59</v>
      </c>
      <c r="C39" s="7" t="s">
        <v>454</v>
      </c>
      <c r="D39" s="11" t="n">
        <v>70</v>
      </c>
      <c r="E39" s="11" t="n">
        <v>100</v>
      </c>
      <c r="F39" s="11" t="n">
        <v>15</v>
      </c>
      <c r="G39" s="11" t="s">
        <v>330</v>
      </c>
      <c r="H39" s="20" t="n">
        <f aca="false">D39*E39/100</f>
        <v>70</v>
      </c>
    </row>
    <row r="40" customFormat="false" ht="15" hidden="false" customHeight="false" outlineLevel="0" collapsed="false">
      <c r="A40" s="8" t="s">
        <v>512</v>
      </c>
      <c r="B40" s="7" t="s">
        <v>63</v>
      </c>
      <c r="C40" s="7" t="s">
        <v>463</v>
      </c>
      <c r="D40" s="11" t="n">
        <v>70</v>
      </c>
      <c r="E40" s="11" t="n">
        <v>100</v>
      </c>
      <c r="F40" s="11" t="n">
        <v>20</v>
      </c>
      <c r="G40" s="11" t="s">
        <v>330</v>
      </c>
      <c r="H40" s="20" t="n">
        <f aca="false">D40*E40/100</f>
        <v>70</v>
      </c>
    </row>
    <row r="41" customFormat="false" ht="15" hidden="false" customHeight="false" outlineLevel="0" collapsed="false">
      <c r="A41" s="8" t="s">
        <v>513</v>
      </c>
      <c r="B41" s="7" t="s">
        <v>59</v>
      </c>
      <c r="C41" s="7" t="s">
        <v>454</v>
      </c>
      <c r="D41" s="11" t="n">
        <v>70</v>
      </c>
      <c r="E41" s="11" t="n">
        <v>100</v>
      </c>
      <c r="F41" s="11" t="n">
        <v>10</v>
      </c>
      <c r="G41" s="11" t="s">
        <v>330</v>
      </c>
      <c r="H41" s="20" t="n">
        <f aca="false">D41*E41/100</f>
        <v>70</v>
      </c>
    </row>
    <row r="42" customFormat="false" ht="15" hidden="false" customHeight="false" outlineLevel="0" collapsed="false">
      <c r="A42" s="8" t="s">
        <v>514</v>
      </c>
      <c r="B42" s="7" t="s">
        <v>59</v>
      </c>
      <c r="C42" s="7" t="s">
        <v>454</v>
      </c>
      <c r="D42" s="11" t="n">
        <v>70</v>
      </c>
      <c r="E42" s="11" t="n">
        <v>100</v>
      </c>
      <c r="F42" s="11" t="n">
        <v>20</v>
      </c>
      <c r="G42" s="11" t="s">
        <v>330</v>
      </c>
      <c r="H42" s="20" t="n">
        <f aca="false">D42*E42/100</f>
        <v>70</v>
      </c>
    </row>
    <row r="43" customFormat="false" ht="15" hidden="false" customHeight="false" outlineLevel="0" collapsed="false">
      <c r="A43" s="8" t="s">
        <v>515</v>
      </c>
      <c r="B43" s="7" t="s">
        <v>59</v>
      </c>
      <c r="C43" s="7" t="s">
        <v>454</v>
      </c>
      <c r="D43" s="11" t="n">
        <v>80</v>
      </c>
      <c r="E43" s="11" t="n">
        <v>85</v>
      </c>
      <c r="F43" s="11" t="n">
        <v>20</v>
      </c>
      <c r="G43" s="11" t="s">
        <v>516</v>
      </c>
      <c r="H43" s="20" t="n">
        <f aca="false">D43*E43/100</f>
        <v>68</v>
      </c>
    </row>
    <row r="44" customFormat="false" ht="15" hidden="false" customHeight="false" outlineLevel="0" collapsed="false">
      <c r="A44" s="8" t="s">
        <v>517</v>
      </c>
      <c r="B44" s="7" t="s">
        <v>71</v>
      </c>
      <c r="C44" s="7" t="s">
        <v>454</v>
      </c>
      <c r="D44" s="11" t="n">
        <v>75</v>
      </c>
      <c r="E44" s="11" t="n">
        <v>90</v>
      </c>
      <c r="F44" s="11" t="n">
        <v>10</v>
      </c>
      <c r="G44" s="11" t="s">
        <v>518</v>
      </c>
      <c r="H44" s="20" t="n">
        <f aca="false">D44*E44/100</f>
        <v>67.5</v>
      </c>
    </row>
    <row r="45" customFormat="false" ht="15" hidden="false" customHeight="false" outlineLevel="0" collapsed="false">
      <c r="A45" s="8" t="s">
        <v>519</v>
      </c>
      <c r="B45" s="7" t="s">
        <v>68</v>
      </c>
      <c r="C45" s="7" t="s">
        <v>454</v>
      </c>
      <c r="D45" s="11" t="n">
        <v>70</v>
      </c>
      <c r="E45" s="11" t="n">
        <v>95</v>
      </c>
      <c r="F45" s="11" t="n">
        <v>15</v>
      </c>
      <c r="G45" s="11" t="s">
        <v>520</v>
      </c>
      <c r="H45" s="20" t="n">
        <f aca="false">D45*E45/100</f>
        <v>66.5</v>
      </c>
    </row>
    <row r="46" customFormat="false" ht="15" hidden="false" customHeight="false" outlineLevel="0" collapsed="false">
      <c r="A46" s="8" t="s">
        <v>521</v>
      </c>
      <c r="B46" s="7" t="s">
        <v>65</v>
      </c>
      <c r="C46" s="7" t="s">
        <v>454</v>
      </c>
      <c r="D46" s="11" t="n">
        <v>70</v>
      </c>
      <c r="E46" s="11" t="n">
        <v>95</v>
      </c>
      <c r="F46" s="11" t="n">
        <v>25</v>
      </c>
      <c r="G46" s="11" t="s">
        <v>330</v>
      </c>
      <c r="H46" s="20" t="n">
        <f aca="false">D46*E46/100</f>
        <v>66.5</v>
      </c>
    </row>
    <row r="47" customFormat="false" ht="15" hidden="false" customHeight="false" outlineLevel="0" collapsed="false">
      <c r="A47" s="8" t="s">
        <v>522</v>
      </c>
      <c r="B47" s="7" t="s">
        <v>59</v>
      </c>
      <c r="C47" s="7" t="s">
        <v>454</v>
      </c>
      <c r="D47" s="11" t="n">
        <v>65</v>
      </c>
      <c r="E47" s="11" t="n">
        <v>100</v>
      </c>
      <c r="F47" s="11" t="n">
        <v>20</v>
      </c>
      <c r="G47" s="11" t="s">
        <v>330</v>
      </c>
      <c r="H47" s="20" t="n">
        <f aca="false">D47*E47/100</f>
        <v>65</v>
      </c>
    </row>
    <row r="48" customFormat="false" ht="15" hidden="false" customHeight="false" outlineLevel="0" collapsed="false">
      <c r="A48" s="8" t="s">
        <v>523</v>
      </c>
      <c r="B48" s="7" t="s">
        <v>59</v>
      </c>
      <c r="C48" s="7" t="s">
        <v>454</v>
      </c>
      <c r="D48" s="11" t="n">
        <v>65</v>
      </c>
      <c r="E48" s="11" t="n">
        <v>100</v>
      </c>
      <c r="F48" s="11" t="n">
        <v>25</v>
      </c>
      <c r="G48" s="11" t="s">
        <v>330</v>
      </c>
      <c r="H48" s="20" t="n">
        <f aca="false">D48*E48/100</f>
        <v>65</v>
      </c>
    </row>
    <row r="49" customFormat="false" ht="15" hidden="false" customHeight="false" outlineLevel="0" collapsed="false">
      <c r="A49" s="8" t="s">
        <v>524</v>
      </c>
      <c r="B49" s="7" t="s">
        <v>69</v>
      </c>
      <c r="C49" s="7" t="s">
        <v>330</v>
      </c>
      <c r="D49" s="11" t="n">
        <v>65</v>
      </c>
      <c r="E49" s="11" t="n">
        <v>100</v>
      </c>
      <c r="F49" s="11" t="n">
        <v>20</v>
      </c>
      <c r="G49" s="11" t="s">
        <v>330</v>
      </c>
      <c r="H49" s="20" t="n">
        <f aca="false">D49*E49/100</f>
        <v>65</v>
      </c>
    </row>
    <row r="50" customFormat="false" ht="15" hidden="false" customHeight="false" outlineLevel="0" collapsed="false">
      <c r="A50" s="8" t="s">
        <v>525</v>
      </c>
      <c r="B50" s="7" t="s">
        <v>61</v>
      </c>
      <c r="C50" s="7" t="s">
        <v>463</v>
      </c>
      <c r="D50" s="11" t="n">
        <v>65</v>
      </c>
      <c r="E50" s="11" t="n">
        <v>100</v>
      </c>
      <c r="F50" s="11" t="n">
        <v>20</v>
      </c>
      <c r="G50" s="11" t="s">
        <v>526</v>
      </c>
      <c r="H50" s="20" t="n">
        <f aca="false">D50*E50/100</f>
        <v>65</v>
      </c>
    </row>
    <row r="51" customFormat="false" ht="15" hidden="false" customHeight="false" outlineLevel="0" collapsed="false">
      <c r="A51" s="8" t="s">
        <v>527</v>
      </c>
      <c r="B51" s="7" t="s">
        <v>64</v>
      </c>
      <c r="C51" s="7" t="s">
        <v>463</v>
      </c>
      <c r="D51" s="11" t="n">
        <v>65</v>
      </c>
      <c r="E51" s="11" t="n">
        <v>100</v>
      </c>
      <c r="F51" s="11" t="n">
        <v>20</v>
      </c>
      <c r="G51" s="11" t="s">
        <v>330</v>
      </c>
      <c r="H51" s="20" t="n">
        <f aca="false">D51*E51/100</f>
        <v>65</v>
      </c>
    </row>
    <row r="52" customFormat="false" ht="15" hidden="false" customHeight="false" outlineLevel="0" collapsed="false">
      <c r="A52" s="8" t="s">
        <v>528</v>
      </c>
      <c r="B52" s="7" t="s">
        <v>66</v>
      </c>
      <c r="C52" s="7" t="s">
        <v>454</v>
      </c>
      <c r="D52" s="11" t="n">
        <v>65</v>
      </c>
      <c r="E52" s="11" t="n">
        <v>100</v>
      </c>
      <c r="F52" s="11" t="n">
        <v>20</v>
      </c>
      <c r="G52" s="11" t="s">
        <v>330</v>
      </c>
      <c r="H52" s="20" t="n">
        <f aca="false">D52*E52/100</f>
        <v>65</v>
      </c>
    </row>
    <row r="53" customFormat="false" ht="15" hidden="false" customHeight="false" outlineLevel="0" collapsed="false">
      <c r="A53" s="8" t="s">
        <v>529</v>
      </c>
      <c r="B53" s="7" t="s">
        <v>65</v>
      </c>
      <c r="C53" s="7" t="s">
        <v>454</v>
      </c>
      <c r="D53" s="11" t="n">
        <v>80</v>
      </c>
      <c r="E53" s="11" t="n">
        <v>80</v>
      </c>
      <c r="F53" s="11" t="n">
        <v>25</v>
      </c>
      <c r="G53" s="11" t="s">
        <v>530</v>
      </c>
      <c r="H53" s="20" t="n">
        <f aca="false">D53*E53/100</f>
        <v>64</v>
      </c>
    </row>
    <row r="54" customFormat="false" ht="15" hidden="false" customHeight="false" outlineLevel="0" collapsed="false">
      <c r="A54" s="8" t="s">
        <v>531</v>
      </c>
      <c r="B54" s="7" t="s">
        <v>59</v>
      </c>
      <c r="C54" s="7" t="s">
        <v>454</v>
      </c>
      <c r="D54" s="11" t="n">
        <v>80</v>
      </c>
      <c r="E54" s="11" t="n">
        <v>75</v>
      </c>
      <c r="F54" s="11" t="n">
        <v>10</v>
      </c>
      <c r="G54" s="11" t="s">
        <v>532</v>
      </c>
      <c r="H54" s="20" t="n">
        <f aca="false">D54*E54/100</f>
        <v>60</v>
      </c>
    </row>
    <row r="55" customFormat="false" ht="15" hidden="false" customHeight="false" outlineLevel="0" collapsed="false">
      <c r="A55" s="8" t="s">
        <v>533</v>
      </c>
      <c r="B55" s="7" t="s">
        <v>59</v>
      </c>
      <c r="C55" s="7" t="s">
        <v>454</v>
      </c>
      <c r="D55" s="11" t="n">
        <v>80</v>
      </c>
      <c r="E55" s="11" t="n">
        <v>75</v>
      </c>
      <c r="F55" s="11" t="n">
        <v>20</v>
      </c>
      <c r="G55" s="11" t="s">
        <v>330</v>
      </c>
      <c r="H55" s="20" t="n">
        <f aca="false">D55*E55/100</f>
        <v>60</v>
      </c>
    </row>
    <row r="56" customFormat="false" ht="15" hidden="false" customHeight="false" outlineLevel="0" collapsed="false">
      <c r="A56" s="8" t="s">
        <v>534</v>
      </c>
      <c r="B56" s="7" t="s">
        <v>59</v>
      </c>
      <c r="C56" s="7" t="s">
        <v>454</v>
      </c>
      <c r="D56" s="11" t="n">
        <v>60</v>
      </c>
      <c r="E56" s="11" t="n">
        <v>100</v>
      </c>
      <c r="F56" s="11" t="n">
        <v>25</v>
      </c>
      <c r="G56" s="11" t="s">
        <v>330</v>
      </c>
      <c r="H56" s="20" t="n">
        <f aca="false">D56*E56/100</f>
        <v>60</v>
      </c>
    </row>
    <row r="57" customFormat="false" ht="15" hidden="false" customHeight="false" outlineLevel="0" collapsed="false">
      <c r="A57" s="8" t="s">
        <v>535</v>
      </c>
      <c r="B57" s="7" t="s">
        <v>59</v>
      </c>
      <c r="C57" s="7" t="s">
        <v>454</v>
      </c>
      <c r="D57" s="11" t="n">
        <v>60</v>
      </c>
      <c r="E57" s="11" t="n">
        <v>100</v>
      </c>
      <c r="F57" s="11" t="n">
        <v>20</v>
      </c>
      <c r="G57" s="11" t="s">
        <v>536</v>
      </c>
      <c r="H57" s="20" t="n">
        <f aca="false">D57*E57/100</f>
        <v>60</v>
      </c>
    </row>
    <row r="58" customFormat="false" ht="15" hidden="false" customHeight="false" outlineLevel="0" collapsed="false">
      <c r="A58" s="8" t="s">
        <v>537</v>
      </c>
      <c r="B58" s="7" t="s">
        <v>67</v>
      </c>
      <c r="C58" s="7" t="s">
        <v>454</v>
      </c>
      <c r="D58" s="11" t="n">
        <v>65</v>
      </c>
      <c r="E58" s="11" t="n">
        <v>85</v>
      </c>
      <c r="F58" s="11" t="n">
        <v>20</v>
      </c>
      <c r="G58" s="11" t="s">
        <v>330</v>
      </c>
      <c r="H58" s="20" t="n">
        <f aca="false">D58*E58/100</f>
        <v>55.25</v>
      </c>
    </row>
    <row r="59" customFormat="false" ht="15" hidden="false" customHeight="false" outlineLevel="0" collapsed="false">
      <c r="A59" s="8" t="s">
        <v>538</v>
      </c>
      <c r="B59" s="7" t="s">
        <v>59</v>
      </c>
      <c r="C59" s="7" t="s">
        <v>454</v>
      </c>
      <c r="D59" s="11" t="n">
        <v>55</v>
      </c>
      <c r="E59" s="11" t="n">
        <v>100</v>
      </c>
      <c r="F59" s="11" t="n">
        <v>30</v>
      </c>
      <c r="G59" s="11" t="s">
        <v>330</v>
      </c>
      <c r="H59" s="20" t="n">
        <f aca="false">D59*E59/100</f>
        <v>55</v>
      </c>
    </row>
    <row r="60" customFormat="false" ht="15" hidden="false" customHeight="false" outlineLevel="0" collapsed="false">
      <c r="A60" s="8" t="s">
        <v>539</v>
      </c>
      <c r="B60" s="7" t="s">
        <v>63</v>
      </c>
      <c r="C60" s="7" t="s">
        <v>463</v>
      </c>
      <c r="D60" s="11" t="n">
        <v>55</v>
      </c>
      <c r="E60" s="11" t="n">
        <v>95</v>
      </c>
      <c r="F60" s="11" t="n">
        <v>25</v>
      </c>
      <c r="G60" s="11" t="s">
        <v>330</v>
      </c>
      <c r="H60" s="20" t="n">
        <f aca="false">D60*E60/100</f>
        <v>52.25</v>
      </c>
    </row>
    <row r="61" customFormat="false" ht="15" hidden="false" customHeight="false" outlineLevel="0" collapsed="false">
      <c r="A61" s="8" t="s">
        <v>540</v>
      </c>
      <c r="B61" s="7" t="s">
        <v>65</v>
      </c>
      <c r="C61" s="7" t="s">
        <v>454</v>
      </c>
      <c r="D61" s="11" t="n">
        <v>60</v>
      </c>
      <c r="E61" s="11" t="n">
        <v>85</v>
      </c>
      <c r="F61" s="11" t="n">
        <v>15</v>
      </c>
      <c r="G61" s="11" t="s">
        <v>330</v>
      </c>
      <c r="H61" s="20" t="n">
        <f aca="false">D61*E61/100</f>
        <v>51</v>
      </c>
    </row>
    <row r="62" customFormat="false" ht="15" hidden="false" customHeight="false" outlineLevel="0" collapsed="false">
      <c r="A62" s="8" t="s">
        <v>541</v>
      </c>
      <c r="B62" s="7" t="s">
        <v>59</v>
      </c>
      <c r="C62" s="7" t="s">
        <v>454</v>
      </c>
      <c r="D62" s="11" t="n">
        <v>50</v>
      </c>
      <c r="E62" s="11" t="n">
        <v>100</v>
      </c>
      <c r="F62" s="11" t="n">
        <v>25</v>
      </c>
      <c r="G62" s="11" t="s">
        <v>330</v>
      </c>
      <c r="H62" s="20" t="n">
        <f aca="false">D62*E62/100</f>
        <v>50</v>
      </c>
    </row>
    <row r="63" customFormat="false" ht="15" hidden="false" customHeight="false" outlineLevel="0" collapsed="false">
      <c r="A63" s="8" t="s">
        <v>542</v>
      </c>
      <c r="B63" s="7" t="s">
        <v>69</v>
      </c>
      <c r="C63" s="7" t="s">
        <v>330</v>
      </c>
      <c r="D63" s="11" t="n">
        <v>50</v>
      </c>
      <c r="E63" s="11" t="n">
        <v>100</v>
      </c>
      <c r="F63" s="11" t="n">
        <v>25</v>
      </c>
      <c r="G63" s="11" t="s">
        <v>330</v>
      </c>
      <c r="H63" s="20" t="n">
        <f aca="false">D63*E63/100</f>
        <v>50</v>
      </c>
    </row>
    <row r="64" customFormat="false" ht="15" hidden="false" customHeight="false" outlineLevel="0" collapsed="false">
      <c r="A64" s="8" t="s">
        <v>543</v>
      </c>
      <c r="B64" s="7" t="s">
        <v>59</v>
      </c>
      <c r="C64" s="7" t="s">
        <v>454</v>
      </c>
      <c r="D64" s="11" t="n">
        <v>50</v>
      </c>
      <c r="E64" s="11" t="n">
        <v>100</v>
      </c>
      <c r="F64" s="11" t="n">
        <v>10</v>
      </c>
      <c r="G64" s="11" t="s">
        <v>330</v>
      </c>
      <c r="H64" s="20" t="n">
        <f aca="false">D64*E64/100</f>
        <v>50</v>
      </c>
    </row>
    <row r="65" customFormat="false" ht="15" hidden="false" customHeight="false" outlineLevel="0" collapsed="false">
      <c r="A65" s="8" t="s">
        <v>544</v>
      </c>
      <c r="B65" s="7" t="s">
        <v>59</v>
      </c>
      <c r="C65" s="7" t="s">
        <v>454</v>
      </c>
      <c r="D65" s="11" t="n">
        <v>50</v>
      </c>
      <c r="E65" s="11" t="n">
        <v>95</v>
      </c>
      <c r="F65" s="11" t="n">
        <v>30</v>
      </c>
      <c r="G65" s="11" t="s">
        <v>545</v>
      </c>
      <c r="H65" s="20" t="n">
        <f aca="false">D65*E65/100</f>
        <v>47.5</v>
      </c>
    </row>
    <row r="66" customFormat="false" ht="15" hidden="false" customHeight="false" outlineLevel="0" collapsed="false">
      <c r="A66" s="8" t="s">
        <v>546</v>
      </c>
      <c r="B66" s="7" t="s">
        <v>65</v>
      </c>
      <c r="C66" s="7" t="s">
        <v>454</v>
      </c>
      <c r="D66" s="11" t="n">
        <v>50</v>
      </c>
      <c r="E66" s="11" t="n">
        <v>90</v>
      </c>
      <c r="F66" s="11" t="n">
        <v>20</v>
      </c>
      <c r="G66" s="11" t="s">
        <v>330</v>
      </c>
      <c r="H66" s="20" t="n">
        <f aca="false">D66*E66/100</f>
        <v>45</v>
      </c>
    </row>
    <row r="67" customFormat="false" ht="15" hidden="false" customHeight="false" outlineLevel="0" collapsed="false">
      <c r="A67" s="8" t="s">
        <v>547</v>
      </c>
      <c r="B67" s="7" t="s">
        <v>67</v>
      </c>
      <c r="C67" s="7" t="s">
        <v>454</v>
      </c>
      <c r="D67" s="11" t="n">
        <v>50</v>
      </c>
      <c r="E67" s="11" t="n">
        <v>90</v>
      </c>
      <c r="F67" s="11" t="n">
        <v>10</v>
      </c>
      <c r="G67" s="11" t="s">
        <v>330</v>
      </c>
      <c r="H67" s="20" t="n">
        <f aca="false">D67*E67/100</f>
        <v>45</v>
      </c>
    </row>
    <row r="68" customFormat="false" ht="15" hidden="false" customHeight="false" outlineLevel="0" collapsed="false">
      <c r="A68" s="8" t="s">
        <v>548</v>
      </c>
      <c r="B68" s="7" t="s">
        <v>59</v>
      </c>
      <c r="C68" s="7" t="s">
        <v>454</v>
      </c>
      <c r="D68" s="11" t="n">
        <v>40</v>
      </c>
      <c r="E68" s="11" t="n">
        <v>100</v>
      </c>
      <c r="F68" s="11" t="n">
        <v>35</v>
      </c>
      <c r="G68" s="11" t="s">
        <v>330</v>
      </c>
      <c r="H68" s="20" t="n">
        <f aca="false">D68*E68/100</f>
        <v>40</v>
      </c>
    </row>
    <row r="69" customFormat="false" ht="15" hidden="false" customHeight="false" outlineLevel="0" collapsed="false">
      <c r="A69" s="8" t="s">
        <v>549</v>
      </c>
      <c r="B69" s="7" t="s">
        <v>59</v>
      </c>
      <c r="C69" s="7" t="s">
        <v>454</v>
      </c>
      <c r="D69" s="11" t="n">
        <v>40</v>
      </c>
      <c r="E69" s="11" t="n">
        <v>100</v>
      </c>
      <c r="F69" s="11" t="n">
        <v>20</v>
      </c>
      <c r="G69" s="11" t="s">
        <v>550</v>
      </c>
      <c r="H69" s="20" t="n">
        <f aca="false">D69*E69/100</f>
        <v>40</v>
      </c>
    </row>
    <row r="70" customFormat="false" ht="15" hidden="false" customHeight="false" outlineLevel="0" collapsed="false">
      <c r="A70" s="8" t="s">
        <v>551</v>
      </c>
      <c r="B70" s="7" t="s">
        <v>59</v>
      </c>
      <c r="C70" s="7" t="s">
        <v>454</v>
      </c>
      <c r="D70" s="11" t="n">
        <v>40</v>
      </c>
      <c r="E70" s="11" t="n">
        <v>100</v>
      </c>
      <c r="F70" s="11" t="n">
        <v>35</v>
      </c>
      <c r="G70" s="11" t="s">
        <v>330</v>
      </c>
      <c r="H70" s="20" t="n">
        <f aca="false">D70*E70/100</f>
        <v>40</v>
      </c>
    </row>
    <row r="71" customFormat="false" ht="15" hidden="false" customHeight="false" outlineLevel="0" collapsed="false">
      <c r="A71" s="8" t="s">
        <v>552</v>
      </c>
      <c r="B71" s="7" t="s">
        <v>59</v>
      </c>
      <c r="C71" s="7" t="s">
        <v>454</v>
      </c>
      <c r="D71" s="11" t="n">
        <v>40</v>
      </c>
      <c r="E71" s="11" t="n">
        <v>100</v>
      </c>
      <c r="F71" s="11" t="n">
        <v>35</v>
      </c>
      <c r="G71" s="11" t="s">
        <v>330</v>
      </c>
      <c r="H71" s="20" t="n">
        <f aca="false">D71*E71/100</f>
        <v>40</v>
      </c>
    </row>
    <row r="72" customFormat="false" ht="15" hidden="false" customHeight="false" outlineLevel="0" collapsed="false">
      <c r="A72" s="8" t="s">
        <v>553</v>
      </c>
      <c r="B72" s="7" t="s">
        <v>66</v>
      </c>
      <c r="C72" s="7" t="s">
        <v>454</v>
      </c>
      <c r="D72" s="11" t="n">
        <v>40</v>
      </c>
      <c r="E72" s="11" t="n">
        <v>100</v>
      </c>
      <c r="F72" s="11" t="n">
        <v>30</v>
      </c>
      <c r="G72" s="11" t="s">
        <v>330</v>
      </c>
      <c r="H72" s="20" t="n">
        <f aca="false">D72*E72/100</f>
        <v>40</v>
      </c>
    </row>
    <row r="73" customFormat="false" ht="15" hidden="false" customHeight="false" outlineLevel="0" collapsed="false">
      <c r="A73" s="8" t="s">
        <v>554</v>
      </c>
      <c r="B73" s="7" t="s">
        <v>60</v>
      </c>
      <c r="C73" s="7" t="s">
        <v>463</v>
      </c>
      <c r="D73" s="11" t="n">
        <v>40</v>
      </c>
      <c r="E73" s="11" t="n">
        <v>100</v>
      </c>
      <c r="F73" s="11" t="n">
        <v>25</v>
      </c>
      <c r="G73" s="11" t="s">
        <v>330</v>
      </c>
      <c r="H73" s="20" t="n">
        <f aca="false">D73*E73/100</f>
        <v>40</v>
      </c>
    </row>
    <row r="74" customFormat="false" ht="15" hidden="false" customHeight="false" outlineLevel="0" collapsed="false">
      <c r="A74" s="8" t="s">
        <v>555</v>
      </c>
      <c r="B74" s="7" t="s">
        <v>61</v>
      </c>
      <c r="C74" s="7" t="s">
        <v>463</v>
      </c>
      <c r="D74" s="11" t="n">
        <v>40</v>
      </c>
      <c r="E74" s="11" t="n">
        <v>100</v>
      </c>
      <c r="F74" s="11" t="n">
        <v>25</v>
      </c>
      <c r="G74" s="11" t="s">
        <v>556</v>
      </c>
      <c r="H74" s="20" t="n">
        <f aca="false">D74*E74/100</f>
        <v>40</v>
      </c>
    </row>
    <row r="75" customFormat="false" ht="15" hidden="false" customHeight="false" outlineLevel="0" collapsed="false">
      <c r="A75" s="8" t="s">
        <v>557</v>
      </c>
      <c r="B75" s="7" t="s">
        <v>63</v>
      </c>
      <c r="C75" s="7" t="s">
        <v>463</v>
      </c>
      <c r="D75" s="11" t="n">
        <v>40</v>
      </c>
      <c r="E75" s="11" t="n">
        <v>100</v>
      </c>
      <c r="F75" s="11" t="n">
        <v>10</v>
      </c>
      <c r="G75" s="11" t="s">
        <v>558</v>
      </c>
      <c r="H75" s="20" t="n">
        <f aca="false">D75*E75/100</f>
        <v>40</v>
      </c>
    </row>
    <row r="76" customFormat="false" ht="15" hidden="false" customHeight="false" outlineLevel="0" collapsed="false">
      <c r="A76" s="8" t="s">
        <v>559</v>
      </c>
      <c r="B76" s="7" t="s">
        <v>62</v>
      </c>
      <c r="C76" s="7" t="s">
        <v>463</v>
      </c>
      <c r="D76" s="11" t="n">
        <v>40</v>
      </c>
      <c r="E76" s="11" t="n">
        <v>100</v>
      </c>
      <c r="F76" s="11" t="n">
        <v>30</v>
      </c>
      <c r="G76" s="11" t="s">
        <v>330</v>
      </c>
      <c r="H76" s="20" t="n">
        <f aca="false">D76*E76/100</f>
        <v>40</v>
      </c>
    </row>
    <row r="77" customFormat="false" ht="15" hidden="false" customHeight="false" outlineLevel="0" collapsed="false">
      <c r="A77" s="8" t="s">
        <v>560</v>
      </c>
      <c r="B77" s="7" t="s">
        <v>59</v>
      </c>
      <c r="C77" s="7" t="s">
        <v>454</v>
      </c>
      <c r="D77" s="11" t="n">
        <v>40</v>
      </c>
      <c r="E77" s="11" t="n">
        <v>100</v>
      </c>
      <c r="F77" s="11" t="n">
        <v>30</v>
      </c>
      <c r="G77" s="11" t="s">
        <v>330</v>
      </c>
      <c r="H77" s="20" t="n">
        <f aca="false">D77*E77/100</f>
        <v>40</v>
      </c>
    </row>
    <row r="78" customFormat="false" ht="15" hidden="false" customHeight="false" outlineLevel="0" collapsed="false">
      <c r="A78" s="8" t="s">
        <v>561</v>
      </c>
      <c r="B78" s="7" t="s">
        <v>68</v>
      </c>
      <c r="C78" s="7" t="s">
        <v>454</v>
      </c>
      <c r="D78" s="11" t="n">
        <v>35</v>
      </c>
      <c r="E78" s="11" t="n">
        <v>100</v>
      </c>
      <c r="F78" s="11" t="n">
        <v>35</v>
      </c>
      <c r="G78" s="11" t="s">
        <v>330</v>
      </c>
      <c r="H78" s="20" t="n">
        <f aca="false">D78*E78/100</f>
        <v>35</v>
      </c>
    </row>
    <row r="79" customFormat="false" ht="15" hidden="false" customHeight="false" outlineLevel="0" collapsed="false">
      <c r="A79" s="8" t="s">
        <v>562</v>
      </c>
      <c r="B79" s="7" t="s">
        <v>63</v>
      </c>
      <c r="C79" s="7" t="s">
        <v>463</v>
      </c>
      <c r="D79" s="11" t="n">
        <v>35</v>
      </c>
      <c r="E79" s="11" t="n">
        <v>100</v>
      </c>
      <c r="F79" s="11" t="n">
        <v>10</v>
      </c>
      <c r="G79" s="11" t="s">
        <v>330</v>
      </c>
      <c r="H79" s="20" t="n">
        <f aca="false">D79*E79/100</f>
        <v>35</v>
      </c>
    </row>
    <row r="80" customFormat="false" ht="15" hidden="false" customHeight="false" outlineLevel="0" collapsed="false">
      <c r="A80" s="8" t="s">
        <v>563</v>
      </c>
      <c r="B80" s="7" t="s">
        <v>68</v>
      </c>
      <c r="C80" s="7" t="s">
        <v>454</v>
      </c>
      <c r="D80" s="11" t="n">
        <v>35</v>
      </c>
      <c r="E80" s="11" t="n">
        <v>100</v>
      </c>
      <c r="F80" s="11" t="n">
        <v>35</v>
      </c>
      <c r="G80" s="11" t="s">
        <v>330</v>
      </c>
      <c r="H80" s="20" t="n">
        <f aca="false">D80*E80/100</f>
        <v>35</v>
      </c>
    </row>
    <row r="81" customFormat="false" ht="15" hidden="false" customHeight="false" outlineLevel="0" collapsed="false">
      <c r="A81" s="8" t="s">
        <v>564</v>
      </c>
      <c r="B81" s="7" t="s">
        <v>59</v>
      </c>
      <c r="C81" s="7" t="s">
        <v>454</v>
      </c>
      <c r="D81" s="11" t="n">
        <v>35</v>
      </c>
      <c r="E81" s="11" t="n">
        <v>95</v>
      </c>
      <c r="F81" s="11" t="n">
        <v>35</v>
      </c>
      <c r="G81" s="11" t="s">
        <v>330</v>
      </c>
      <c r="H81" s="20" t="n">
        <f aca="false">D81*E81/100</f>
        <v>33.25</v>
      </c>
    </row>
    <row r="82" customFormat="false" ht="15" hidden="false" customHeight="false" outlineLevel="0" collapsed="false">
      <c r="A82" s="8" t="s">
        <v>565</v>
      </c>
      <c r="B82" s="7" t="s">
        <v>71</v>
      </c>
      <c r="C82" s="7" t="s">
        <v>454</v>
      </c>
      <c r="D82" s="11" t="n">
        <v>50</v>
      </c>
      <c r="E82" s="11" t="n">
        <v>65</v>
      </c>
      <c r="F82" s="11" t="n">
        <v>15</v>
      </c>
      <c r="G82" s="11" t="s">
        <v>330</v>
      </c>
      <c r="H82" s="20" t="n">
        <f aca="false">D82*E82/100</f>
        <v>32.5</v>
      </c>
    </row>
    <row r="83" customFormat="false" ht="15" hidden="false" customHeight="false" outlineLevel="0" collapsed="false">
      <c r="A83" s="8" t="s">
        <v>566</v>
      </c>
      <c r="B83" s="7" t="s">
        <v>65</v>
      </c>
      <c r="C83" s="7" t="s">
        <v>454</v>
      </c>
      <c r="D83" s="11" t="n">
        <v>30</v>
      </c>
      <c r="E83" s="11" t="n">
        <v>100</v>
      </c>
      <c r="F83" s="11" t="n">
        <v>30</v>
      </c>
      <c r="G83" s="11" t="s">
        <v>330</v>
      </c>
      <c r="H83" s="20" t="n">
        <f aca="false">D83*E83/100</f>
        <v>30</v>
      </c>
    </row>
    <row r="84" customFormat="false" ht="15" hidden="false" customHeight="false" outlineLevel="0" collapsed="false">
      <c r="A84" s="8" t="s">
        <v>567</v>
      </c>
      <c r="B84" s="7" t="s">
        <v>61</v>
      </c>
      <c r="C84" s="7" t="s">
        <v>463</v>
      </c>
      <c r="D84" s="11" t="n">
        <v>35</v>
      </c>
      <c r="E84" s="11" t="n">
        <v>75</v>
      </c>
      <c r="F84" s="11" t="n">
        <v>10</v>
      </c>
      <c r="G84" s="11" t="s">
        <v>330</v>
      </c>
      <c r="H84" s="20" t="n">
        <f aca="false">D84*E84/100</f>
        <v>26.25</v>
      </c>
    </row>
    <row r="85" customFormat="false" ht="15" hidden="false" customHeight="false" outlineLevel="0" collapsed="false">
      <c r="A85" s="8" t="s">
        <v>568</v>
      </c>
      <c r="B85" s="7" t="s">
        <v>70</v>
      </c>
      <c r="C85" s="7" t="s">
        <v>454</v>
      </c>
      <c r="D85" s="11" t="n">
        <v>25</v>
      </c>
      <c r="E85" s="11" t="n">
        <v>100</v>
      </c>
      <c r="F85" s="11" t="n">
        <v>20</v>
      </c>
      <c r="G85" s="11" t="s">
        <v>330</v>
      </c>
      <c r="H85" s="20" t="n">
        <f aca="false">D85*E85/100</f>
        <v>25</v>
      </c>
    </row>
    <row r="86" customFormat="false" ht="15" hidden="false" customHeight="false" outlineLevel="0" collapsed="false">
      <c r="A86" s="8" t="s">
        <v>569</v>
      </c>
      <c r="B86" s="7" t="s">
        <v>63</v>
      </c>
      <c r="C86" s="7" t="s">
        <v>463</v>
      </c>
      <c r="D86" s="11" t="n">
        <v>20</v>
      </c>
      <c r="E86" s="11" t="n">
        <v>100</v>
      </c>
      <c r="F86" s="11" t="n">
        <v>20</v>
      </c>
      <c r="G86" s="11" t="s">
        <v>330</v>
      </c>
      <c r="H86" s="20" t="n">
        <f aca="false">D86*E86/100</f>
        <v>20</v>
      </c>
    </row>
    <row r="87" customFormat="false" ht="15" hidden="false" customHeight="false" outlineLevel="0" collapsed="false">
      <c r="A87" s="8" t="s">
        <v>570</v>
      </c>
      <c r="B87" s="7" t="s">
        <v>59</v>
      </c>
      <c r="C87" s="7" t="s">
        <v>454</v>
      </c>
      <c r="D87" s="11" t="n">
        <v>20</v>
      </c>
      <c r="E87" s="11" t="n">
        <v>100</v>
      </c>
      <c r="F87" s="11" t="n">
        <v>20</v>
      </c>
      <c r="G87" s="11" t="s">
        <v>571</v>
      </c>
      <c r="H87" s="20" t="n">
        <f aca="false">D87*E87/100</f>
        <v>20</v>
      </c>
    </row>
    <row r="88" customFormat="false" ht="15" hidden="false" customHeight="false" outlineLevel="0" collapsed="false">
      <c r="A88" s="8" t="s">
        <v>572</v>
      </c>
      <c r="B88" s="7" t="s">
        <v>72</v>
      </c>
      <c r="C88" s="7" t="s">
        <v>454</v>
      </c>
      <c r="D88" s="11" t="n">
        <v>20</v>
      </c>
      <c r="E88" s="11" t="n">
        <v>100</v>
      </c>
      <c r="F88" s="11" t="n">
        <v>30</v>
      </c>
      <c r="G88" s="11" t="s">
        <v>330</v>
      </c>
      <c r="H88" s="20" t="n">
        <f aca="false">D88*E88/100</f>
        <v>20</v>
      </c>
    </row>
    <row r="89" customFormat="false" ht="15" hidden="false" customHeight="false" outlineLevel="0" collapsed="false">
      <c r="A89" s="8" t="s">
        <v>573</v>
      </c>
      <c r="B89" s="7" t="s">
        <v>59</v>
      </c>
      <c r="C89" s="7" t="s">
        <v>454</v>
      </c>
      <c r="D89" s="11" t="n">
        <v>20</v>
      </c>
      <c r="E89" s="11" t="n">
        <v>100</v>
      </c>
      <c r="F89" s="11" t="n">
        <v>15</v>
      </c>
      <c r="G89" s="11" t="s">
        <v>330</v>
      </c>
      <c r="H89" s="20" t="n">
        <f aca="false">D89*E89/100</f>
        <v>20</v>
      </c>
    </row>
    <row r="90" customFormat="false" ht="15" hidden="false" customHeight="false" outlineLevel="0" collapsed="false">
      <c r="A90" s="8" t="s">
        <v>574</v>
      </c>
      <c r="B90" s="7" t="s">
        <v>70</v>
      </c>
      <c r="C90" s="7" t="s">
        <v>454</v>
      </c>
      <c r="D90" s="11" t="n">
        <v>20</v>
      </c>
      <c r="E90" s="11" t="n">
        <v>100</v>
      </c>
      <c r="F90" s="11" t="n">
        <v>15</v>
      </c>
      <c r="G90" s="11" t="s">
        <v>330</v>
      </c>
      <c r="H90" s="20" t="n">
        <f aca="false">D90*E90/100</f>
        <v>20</v>
      </c>
    </row>
    <row r="91" customFormat="false" ht="15" hidden="false" customHeight="false" outlineLevel="0" collapsed="false">
      <c r="A91" s="8" t="s">
        <v>575</v>
      </c>
      <c r="B91" s="7" t="s">
        <v>61</v>
      </c>
      <c r="C91" s="7" t="s">
        <v>463</v>
      </c>
      <c r="D91" s="11" t="n">
        <v>20</v>
      </c>
      <c r="E91" s="11" t="n">
        <v>100</v>
      </c>
      <c r="F91" s="11" t="n">
        <v>30</v>
      </c>
      <c r="G91" s="11" t="s">
        <v>330</v>
      </c>
      <c r="H91" s="20" t="n">
        <f aca="false">D91*E91/100</f>
        <v>20</v>
      </c>
    </row>
    <row r="92" customFormat="false" ht="15" hidden="false" customHeight="false" outlineLevel="0" collapsed="false">
      <c r="A92" s="8" t="s">
        <v>576</v>
      </c>
      <c r="B92" s="7" t="s">
        <v>59</v>
      </c>
      <c r="C92" s="7" t="s">
        <v>454</v>
      </c>
      <c r="D92" s="11" t="n">
        <v>18</v>
      </c>
      <c r="E92" s="11" t="n">
        <v>85</v>
      </c>
      <c r="F92" s="11" t="n">
        <v>15</v>
      </c>
      <c r="G92" s="11" t="s">
        <v>330</v>
      </c>
      <c r="H92" s="20" t="n">
        <f aca="false">D92*E92/100</f>
        <v>15.3</v>
      </c>
    </row>
    <row r="93" customFormat="false" ht="15" hidden="false" customHeight="false" outlineLevel="0" collapsed="false">
      <c r="A93" s="8" t="s">
        <v>577</v>
      </c>
      <c r="B93" s="7" t="s">
        <v>66</v>
      </c>
      <c r="C93" s="7" t="s">
        <v>454</v>
      </c>
      <c r="D93" s="11" t="n">
        <v>15</v>
      </c>
      <c r="E93" s="11" t="n">
        <v>100</v>
      </c>
      <c r="F93" s="11" t="n">
        <v>35</v>
      </c>
      <c r="G93" s="11" t="s">
        <v>330</v>
      </c>
      <c r="H93" s="20" t="n">
        <f aca="false">D93*E93/100</f>
        <v>15</v>
      </c>
    </row>
    <row r="94" customFormat="false" ht="15" hidden="false" customHeight="false" outlineLevel="0" collapsed="false">
      <c r="A94" s="8" t="s">
        <v>578</v>
      </c>
      <c r="B94" s="7" t="s">
        <v>59</v>
      </c>
      <c r="C94" s="7" t="s">
        <v>454</v>
      </c>
      <c r="D94" s="11" t="n">
        <v>18</v>
      </c>
      <c r="E94" s="11" t="n">
        <v>80</v>
      </c>
      <c r="F94" s="11" t="n">
        <v>15</v>
      </c>
      <c r="G94" s="11" t="s">
        <v>330</v>
      </c>
      <c r="H94" s="20" t="n">
        <f aca="false">D94*E94/100</f>
        <v>14.4</v>
      </c>
    </row>
    <row r="95" customFormat="false" ht="15" hidden="false" customHeight="false" outlineLevel="0" collapsed="false">
      <c r="A95" s="8" t="s">
        <v>579</v>
      </c>
      <c r="B95" s="7" t="s">
        <v>66</v>
      </c>
      <c r="C95" s="7" t="s">
        <v>454</v>
      </c>
      <c r="D95" s="11" t="n">
        <v>20</v>
      </c>
      <c r="E95" s="11" t="n">
        <v>70</v>
      </c>
      <c r="F95" s="11" t="n">
        <v>20</v>
      </c>
      <c r="G95" s="11" t="s">
        <v>330</v>
      </c>
      <c r="H95" s="20" t="n">
        <f aca="false">D95*E95/100</f>
        <v>14</v>
      </c>
    </row>
    <row r="96" customFormat="false" ht="15" hidden="false" customHeight="false" outlineLevel="0" collapsed="false">
      <c r="A96" s="8" t="s">
        <v>580</v>
      </c>
      <c r="B96" s="7" t="s">
        <v>59</v>
      </c>
      <c r="C96" s="7" t="s">
        <v>454</v>
      </c>
      <c r="D96" s="11" t="n">
        <v>15</v>
      </c>
      <c r="E96" s="11" t="n">
        <v>85</v>
      </c>
      <c r="F96" s="11" t="n">
        <v>10</v>
      </c>
      <c r="G96" s="11" t="s">
        <v>330</v>
      </c>
      <c r="H96" s="20" t="n">
        <f aca="false">D96*E96/100</f>
        <v>12.75</v>
      </c>
    </row>
    <row r="97" customFormat="false" ht="15" hidden="false" customHeight="false" outlineLevel="0" collapsed="false">
      <c r="A97" s="8" t="s">
        <v>581</v>
      </c>
      <c r="B97" s="7" t="s">
        <v>59</v>
      </c>
      <c r="C97" s="7" t="s">
        <v>454</v>
      </c>
      <c r="D97" s="11" t="n">
        <v>15</v>
      </c>
      <c r="E97" s="11" t="n">
        <v>85</v>
      </c>
      <c r="F97" s="11" t="n">
        <v>20</v>
      </c>
      <c r="G97" s="11" t="s">
        <v>330</v>
      </c>
      <c r="H97" s="20" t="n">
        <f aca="false">D97*E97/100</f>
        <v>12.75</v>
      </c>
    </row>
    <row r="98" customFormat="false" ht="15" hidden="false" customHeight="false" outlineLevel="0" collapsed="false">
      <c r="A98" s="8" t="s">
        <v>582</v>
      </c>
      <c r="B98" s="7" t="s">
        <v>59</v>
      </c>
      <c r="C98" s="7" t="s">
        <v>454</v>
      </c>
      <c r="D98" s="11" t="n">
        <v>15</v>
      </c>
      <c r="E98" s="11" t="n">
        <v>85</v>
      </c>
      <c r="F98" s="11" t="n">
        <v>20</v>
      </c>
      <c r="G98" s="11" t="s">
        <v>330</v>
      </c>
      <c r="H98" s="20" t="n">
        <f aca="false">D98*E98/100</f>
        <v>12.75</v>
      </c>
    </row>
    <row r="99" customFormat="false" ht="15" hidden="false" customHeight="false" outlineLevel="0" collapsed="false">
      <c r="A99" s="8" t="s">
        <v>583</v>
      </c>
      <c r="B99" s="7" t="s">
        <v>59</v>
      </c>
      <c r="C99" s="7" t="s">
        <v>454</v>
      </c>
      <c r="D99" s="11" t="n">
        <v>15</v>
      </c>
      <c r="E99" s="11" t="n">
        <v>85</v>
      </c>
      <c r="F99" s="11" t="n">
        <v>20</v>
      </c>
      <c r="G99" s="11" t="s">
        <v>330</v>
      </c>
      <c r="H99" s="20" t="n">
        <f aca="false">D99*E99/100</f>
        <v>12.75</v>
      </c>
    </row>
    <row r="100" customFormat="false" ht="15" hidden="false" customHeight="false" outlineLevel="0" collapsed="false">
      <c r="A100" s="8" t="s">
        <v>584</v>
      </c>
      <c r="B100" s="7" t="s">
        <v>70</v>
      </c>
      <c r="C100" s="7" t="s">
        <v>454</v>
      </c>
      <c r="D100" s="11" t="n">
        <v>14</v>
      </c>
      <c r="E100" s="11" t="n">
        <v>85</v>
      </c>
      <c r="F100" s="11" t="n">
        <v>20</v>
      </c>
      <c r="G100" s="11" t="s">
        <v>330</v>
      </c>
      <c r="H100" s="20" t="n">
        <f aca="false">D100*E100/100</f>
        <v>11.9</v>
      </c>
    </row>
    <row r="101" customFormat="false" ht="15" hidden="false" customHeight="false" outlineLevel="0" collapsed="false">
      <c r="A101" s="8" t="s">
        <v>585</v>
      </c>
      <c r="B101" s="7" t="s">
        <v>59</v>
      </c>
      <c r="C101" s="7" t="s">
        <v>454</v>
      </c>
      <c r="D101" s="11" t="n">
        <v>15</v>
      </c>
      <c r="E101" s="11" t="n">
        <v>75</v>
      </c>
      <c r="F101" s="11" t="n">
        <v>20</v>
      </c>
      <c r="G101" s="11" t="s">
        <v>330</v>
      </c>
      <c r="H101" s="20" t="n">
        <f aca="false">D101*E101/100</f>
        <v>11.25</v>
      </c>
    </row>
    <row r="102" customFormat="false" ht="15" hidden="false" customHeight="false" outlineLevel="0" collapsed="false">
      <c r="A102" s="8" t="s">
        <v>586</v>
      </c>
      <c r="B102" s="7" t="s">
        <v>60</v>
      </c>
      <c r="C102" s="7" t="s">
        <v>463</v>
      </c>
      <c r="D102" s="11" t="n">
        <v>15</v>
      </c>
      <c r="E102" s="11" t="n">
        <v>70</v>
      </c>
      <c r="F102" s="11" t="n">
        <v>15</v>
      </c>
      <c r="G102" s="11" t="s">
        <v>330</v>
      </c>
      <c r="H102" s="20" t="n">
        <f aca="false">D102*E102/100</f>
        <v>10.5</v>
      </c>
    </row>
    <row r="103" customFormat="false" ht="15" hidden="false" customHeight="false" outlineLevel="0" collapsed="false">
      <c r="A103" s="8" t="s">
        <v>587</v>
      </c>
      <c r="B103" s="7" t="s">
        <v>59</v>
      </c>
      <c r="C103" s="7" t="s">
        <v>454</v>
      </c>
      <c r="D103" s="11" t="n">
        <v>10</v>
      </c>
      <c r="E103" s="11" t="n">
        <v>100</v>
      </c>
      <c r="F103" s="11" t="n">
        <v>35</v>
      </c>
      <c r="G103" s="11" t="s">
        <v>330</v>
      </c>
      <c r="H103" s="20" t="n">
        <f aca="false">D103*E103/100</f>
        <v>10</v>
      </c>
    </row>
  </sheetData>
  <autoFilter ref="A4:H103"/>
  <conditionalFormatting sqref="G5:G103">
    <cfRule type="cellIs" priority="2" operator="notEqual" aboveAverage="0" equalAverage="0" bottom="0" percent="0" rank="0" text="" dxfId="26">
      <formula>"-"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588</v>
      </c>
    </row>
    <row r="2" customFormat="false" ht="15" hidden="false" customHeight="false" outlineLevel="0" collapsed="false">
      <c r="A2" s="2" t="s">
        <v>589</v>
      </c>
    </row>
    <row r="4" customFormat="false" ht="23.85" hidden="false" customHeight="false" outlineLevel="0" collapsed="false">
      <c r="A4" s="6" t="s">
        <v>590</v>
      </c>
      <c r="B4" s="6" t="s">
        <v>53</v>
      </c>
      <c r="C4" s="6" t="s">
        <v>322</v>
      </c>
      <c r="D4" s="6" t="s">
        <v>591</v>
      </c>
      <c r="E4" s="6" t="s">
        <v>592</v>
      </c>
      <c r="F4" s="6" t="s">
        <v>268</v>
      </c>
      <c r="G4" s="6" t="s">
        <v>593</v>
      </c>
      <c r="H4" s="6" t="s">
        <v>594</v>
      </c>
    </row>
    <row r="5" customFormat="false" ht="63.75" hidden="false" customHeight="true" outlineLevel="0" collapsed="false">
      <c r="A5" s="18" t="s">
        <v>595</v>
      </c>
      <c r="B5" s="19" t="s">
        <v>76</v>
      </c>
      <c r="C5" s="18" t="s">
        <v>59</v>
      </c>
      <c r="D5" s="18" t="s">
        <v>596</v>
      </c>
      <c r="E5" s="18" t="s">
        <v>597</v>
      </c>
      <c r="F5" s="15" t="n">
        <v>21</v>
      </c>
      <c r="G5" s="15" t="n">
        <v>3</v>
      </c>
      <c r="H5" s="18" t="s">
        <v>598</v>
      </c>
    </row>
    <row r="6" customFormat="false" ht="63.75" hidden="false" customHeight="true" outlineLevel="0" collapsed="false">
      <c r="A6" s="18" t="s">
        <v>599</v>
      </c>
      <c r="B6" s="19" t="s">
        <v>102</v>
      </c>
      <c r="C6" s="18" t="s">
        <v>414</v>
      </c>
      <c r="D6" s="18" t="s">
        <v>600</v>
      </c>
      <c r="E6" s="18" t="s">
        <v>601</v>
      </c>
      <c r="F6" s="15" t="n">
        <v>22</v>
      </c>
      <c r="G6" s="15" t="n">
        <v>6</v>
      </c>
      <c r="H6" s="18" t="s">
        <v>602</v>
      </c>
    </row>
    <row r="7" customFormat="false" ht="63.75" hidden="false" customHeight="true" outlineLevel="0" collapsed="false">
      <c r="A7" s="18" t="s">
        <v>603</v>
      </c>
      <c r="B7" s="19" t="s">
        <v>78</v>
      </c>
      <c r="C7" s="18" t="s">
        <v>387</v>
      </c>
      <c r="D7" s="18" t="s">
        <v>604</v>
      </c>
      <c r="E7" s="18" t="s">
        <v>605</v>
      </c>
      <c r="F7" s="15" t="n">
        <v>20</v>
      </c>
      <c r="G7" s="15" t="n">
        <v>29</v>
      </c>
      <c r="H7" s="18" t="s">
        <v>606</v>
      </c>
    </row>
    <row r="8" customFormat="false" ht="63.75" hidden="false" customHeight="true" outlineLevel="0" collapsed="false">
      <c r="A8" s="18" t="s">
        <v>607</v>
      </c>
      <c r="B8" s="19" t="s">
        <v>170</v>
      </c>
      <c r="C8" s="18" t="s">
        <v>370</v>
      </c>
      <c r="D8" s="18" t="s">
        <v>608</v>
      </c>
      <c r="E8" s="18" t="s">
        <v>609</v>
      </c>
      <c r="F8" s="15" t="n">
        <v>22</v>
      </c>
      <c r="G8" s="15" t="n">
        <v>9</v>
      </c>
      <c r="H8" s="18" t="s">
        <v>610</v>
      </c>
    </row>
    <row r="9" customFormat="false" ht="63.75" hidden="false" customHeight="true" outlineLevel="0" collapsed="false">
      <c r="A9" s="18" t="s">
        <v>611</v>
      </c>
      <c r="B9" s="19" t="s">
        <v>176</v>
      </c>
      <c r="C9" s="18" t="s">
        <v>62</v>
      </c>
      <c r="D9" s="18" t="s">
        <v>612</v>
      </c>
      <c r="E9" s="18" t="s">
        <v>613</v>
      </c>
      <c r="F9" s="15" t="n">
        <v>8</v>
      </c>
      <c r="G9" s="15" t="n">
        <v>40</v>
      </c>
      <c r="H9" s="18" t="s">
        <v>614</v>
      </c>
    </row>
    <row r="10" customFormat="false" ht="63.75" hidden="false" customHeight="true" outlineLevel="0" collapsed="false">
      <c r="A10" s="18" t="s">
        <v>615</v>
      </c>
      <c r="B10" s="19" t="s">
        <v>137</v>
      </c>
      <c r="C10" s="18" t="s">
        <v>329</v>
      </c>
      <c r="D10" s="18" t="s">
        <v>312</v>
      </c>
      <c r="E10" s="18" t="s">
        <v>616</v>
      </c>
      <c r="F10" s="15" t="n">
        <v>22</v>
      </c>
      <c r="G10" s="15" t="n">
        <v>16</v>
      </c>
      <c r="H10" s="18" t="s">
        <v>617</v>
      </c>
    </row>
    <row r="13" customFormat="false" ht="15" hidden="false" customHeight="false" outlineLevel="0" collapsed="false">
      <c r="A13" s="4" t="s">
        <v>618</v>
      </c>
    </row>
    <row r="14" customFormat="false" ht="15" hidden="false" customHeight="false" outlineLevel="0" collapsed="false">
      <c r="A14" s="21" t="s">
        <v>619</v>
      </c>
    </row>
    <row r="15" customFormat="false" ht="15" hidden="false" customHeight="false" outlineLevel="0" collapsed="false">
      <c r="A15" s="21" t="s">
        <v>620</v>
      </c>
    </row>
    <row r="16" customFormat="false" ht="15" hidden="false" customHeight="false" outlineLevel="0" collapsed="false">
      <c r="A16" s="21" t="s">
        <v>621</v>
      </c>
    </row>
    <row r="17" customFormat="false" ht="15" hidden="false" customHeight="false" outlineLevel="0" collapsed="false">
      <c r="A17" s="21" t="s">
        <v>622</v>
      </c>
    </row>
    <row r="18" customFormat="false" ht="15" hidden="false" customHeight="false" outlineLevel="0" collapsed="false">
      <c r="A18" s="21"/>
    </row>
    <row r="19" customFormat="false" ht="15" hidden="false" customHeight="false" outlineLevel="0" collapsed="false">
      <c r="A19" s="4" t="s">
        <v>623</v>
      </c>
    </row>
    <row r="20" customFormat="false" ht="15" hidden="false" customHeight="false" outlineLevel="0" collapsed="false">
      <c r="A20" s="21" t="s">
        <v>624</v>
      </c>
    </row>
    <row r="21" customFormat="false" ht="15" hidden="false" customHeight="false" outlineLevel="0" collapsed="false">
      <c r="A21" s="21" t="s">
        <v>625</v>
      </c>
    </row>
    <row r="22" customFormat="false" ht="15" hidden="false" customHeight="false" outlineLevel="0" collapsed="false">
      <c r="A22" s="21" t="s">
        <v>626</v>
      </c>
    </row>
    <row r="23" customFormat="false" ht="15" hidden="false" customHeight="false" outlineLevel="0" collapsed="false">
      <c r="A23" s="21"/>
    </row>
    <row r="24" customFormat="false" ht="15" hidden="false" customHeight="false" outlineLevel="0" collapsed="false">
      <c r="A24" s="4" t="s">
        <v>627</v>
      </c>
    </row>
    <row r="25" customFormat="false" ht="15" hidden="false" customHeight="false" outlineLevel="0" collapsed="false">
      <c r="A25" s="21" t="s">
        <v>628</v>
      </c>
    </row>
    <row r="26" customFormat="false" ht="15" hidden="false" customHeight="false" outlineLevel="0" collapsed="false">
      <c r="A26" s="21" t="s">
        <v>629</v>
      </c>
    </row>
    <row r="27" customFormat="false" ht="15" hidden="false" customHeight="false" outlineLevel="0" collapsed="false">
      <c r="A27" s="21" t="s">
        <v>630</v>
      </c>
    </row>
    <row r="28" customFormat="false" ht="15" hidden="false" customHeight="false" outlineLevel="0" collapsed="false">
      <c r="A28" s="21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2026-07-13T19:35:28Z</dcterms:created>
  <dc:creator>openpyxl</dc:creator>
  <dc:description/>
  <dc:language>en-US</dc:language>
  <cp:lastModifiedBy/>
  <dcterms:modified xsi:type="dcterms:W3CDTF">2026-07-13T19:35:31Z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